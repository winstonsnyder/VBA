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snyder\Documents\SDX\SDX_UCD\Labor_Calc\"/>
    </mc:Choice>
  </mc:AlternateContent>
  <bookViews>
    <workbookView xWindow="1692" yWindow="-168" windowWidth="18768" windowHeight="10836" tabRatio="899" firstSheet="2" activeTab="27"/>
  </bookViews>
  <sheets>
    <sheet name="01x" sheetId="3" r:id="rId1"/>
    <sheet name="02x" sheetId="21" r:id="rId2"/>
    <sheet name="03x" sheetId="25" r:id="rId3"/>
    <sheet name="04x" sheetId="20" r:id="rId4"/>
    <sheet name="05x" sheetId="19" r:id="rId5"/>
    <sheet name="06x" sheetId="18" r:id="rId6"/>
    <sheet name="07x" sheetId="17" r:id="rId7"/>
    <sheet name="08x" sheetId="15" r:id="rId8"/>
    <sheet name="09x" sheetId="14" r:id="rId9"/>
    <sheet name="10x" sheetId="13" r:id="rId10"/>
    <sheet name="11x" sheetId="12" r:id="rId11"/>
    <sheet name="12x" sheetId="11" r:id="rId12"/>
    <sheet name="13x" sheetId="10" r:id="rId13"/>
    <sheet name="14x" sheetId="9" r:id="rId14"/>
    <sheet name="17x" sheetId="2" r:id="rId15"/>
    <sheet name="21x" sheetId="8" r:id="rId16"/>
    <sheet name="22x" sheetId="7" r:id="rId17"/>
    <sheet name="23x" sheetId="6" r:id="rId18"/>
    <sheet name="24x" sheetId="5" r:id="rId19"/>
    <sheet name="25x" sheetId="22" r:id="rId20"/>
    <sheet name="78x" sheetId="1" r:id="rId21"/>
    <sheet name="79x" sheetId="4" r:id="rId22"/>
    <sheet name="Data" sheetId="23" r:id="rId23"/>
    <sheet name="fData" sheetId="34" r:id="rId24"/>
    <sheet name="Summary" sheetId="24" r:id="rId25"/>
    <sheet name="infRates" sheetId="30" r:id="rId26"/>
    <sheet name="Frmlas" sheetId="26" r:id="rId27"/>
    <sheet name="lstProc" sheetId="27" r:id="rId28"/>
    <sheet name="Header" sheetId="28" r:id="rId29"/>
    <sheet name="Comments" sheetId="29" r:id="rId30"/>
    <sheet name="infTypes" sheetId="31" r:id="rId31"/>
    <sheet name="r" sheetId="33" r:id="rId32"/>
    <sheet name="Sheet1" sheetId="35" r:id="rId33"/>
    <sheet name="Adj" sheetId="36" r:id="rId34"/>
    <sheet name="Sheet4" sheetId="38" r:id="rId35"/>
    <sheet name="Sheet2" sheetId="39" r:id="rId36"/>
  </sheets>
  <definedNames>
    <definedName name="_xlnm._FilterDatabase" localSheetId="1" hidden="1">'02x'!$A$1:$L$9</definedName>
    <definedName name="_xlnm._FilterDatabase" localSheetId="3" hidden="1">'04x'!$A$7:$M$9</definedName>
    <definedName name="_xlnm._FilterDatabase" localSheetId="22" hidden="1">Data!$A$1:$C$177</definedName>
    <definedName name="_xlnm._FilterDatabase" localSheetId="23" hidden="1">fData!$A$1:$H$558</definedName>
    <definedName name="_xlnm.Print_Area" localSheetId="24">Summary!$B$2:$C$28</definedName>
    <definedName name="tblAccrual">Sheet2!$A$1:$B$27</definedName>
    <definedName name="tblEmplUnit">Sheet4!$A$1:$B$325</definedName>
    <definedName name="tblRates">'r'!$A$2:INDEX('r'!$2:$65535,COUNTA('r'!$A:$A),COUNTA('r'!$2:$2))</definedName>
  </definedNames>
  <calcPr calcId="152511" calcMode="manual" fullCalcOnLoad="1"/>
</workbook>
</file>

<file path=xl/calcChain.xml><?xml version="1.0" encoding="utf-8"?>
<calcChain xmlns="http://schemas.openxmlformats.org/spreadsheetml/2006/main">
  <c r="Q9" i="4" l="1"/>
  <c r="Q10" i="4"/>
  <c r="P9" i="4"/>
  <c r="P10" i="4"/>
  <c r="O9" i="4"/>
  <c r="S9" i="4"/>
  <c r="R9" i="4"/>
  <c r="O10" i="4"/>
  <c r="R10" i="4"/>
  <c r="Q9" i="1"/>
  <c r="S9" i="1" s="1"/>
  <c r="Q10" i="1"/>
  <c r="S10" i="1" s="1"/>
  <c r="Q11" i="1"/>
  <c r="P9" i="1"/>
  <c r="P10" i="1"/>
  <c r="P11" i="1"/>
  <c r="O9" i="1"/>
  <c r="R9" i="1"/>
  <c r="O10" i="1"/>
  <c r="R10" i="1" s="1"/>
  <c r="O11" i="1"/>
  <c r="R11" i="1" s="1"/>
  <c r="Q9" i="5"/>
  <c r="S9" i="5"/>
  <c r="Q10" i="5"/>
  <c r="S10" i="5" s="1"/>
  <c r="Q11" i="5"/>
  <c r="Q12" i="5"/>
  <c r="S12" i="5" s="1"/>
  <c r="Q13" i="5"/>
  <c r="Q14" i="5"/>
  <c r="S14" i="5" s="1"/>
  <c r="P9" i="5"/>
  <c r="P10" i="5"/>
  <c r="R10" i="5" s="1"/>
  <c r="P11" i="5"/>
  <c r="P12" i="5"/>
  <c r="P13" i="5"/>
  <c r="P14" i="5"/>
  <c r="R14" i="5" s="1"/>
  <c r="O9" i="5"/>
  <c r="R9" i="5" s="1"/>
  <c r="O10" i="5"/>
  <c r="O11" i="5"/>
  <c r="R11" i="5" s="1"/>
  <c r="O12" i="5"/>
  <c r="R12" i="5"/>
  <c r="O13" i="5"/>
  <c r="R13" i="5" s="1"/>
  <c r="O14" i="5"/>
  <c r="Q9" i="6"/>
  <c r="S9" i="6" s="1"/>
  <c r="Q10" i="6"/>
  <c r="S10" i="6"/>
  <c r="P9" i="6"/>
  <c r="P10" i="6"/>
  <c r="O9" i="6"/>
  <c r="R9" i="6"/>
  <c r="O10" i="6"/>
  <c r="R10" i="6" s="1"/>
  <c r="Q9" i="7"/>
  <c r="S9" i="7"/>
  <c r="Q10" i="7"/>
  <c r="S10" i="7" s="1"/>
  <c r="Q11" i="7"/>
  <c r="S11" i="7"/>
  <c r="Q12" i="7"/>
  <c r="S12" i="7" s="1"/>
  <c r="P9" i="7"/>
  <c r="P10" i="7"/>
  <c r="P11" i="7"/>
  <c r="P12" i="7"/>
  <c r="O9" i="7"/>
  <c r="R9" i="7"/>
  <c r="O10" i="7"/>
  <c r="O11" i="7"/>
  <c r="R11" i="7"/>
  <c r="O12" i="7"/>
  <c r="R12" i="7" s="1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P9" i="8"/>
  <c r="P10" i="8"/>
  <c r="P11" i="8"/>
  <c r="R11" i="8" s="1"/>
  <c r="P12" i="8"/>
  <c r="P13" i="8"/>
  <c r="P14" i="8"/>
  <c r="P15" i="8"/>
  <c r="P16" i="8"/>
  <c r="P17" i="8"/>
  <c r="P18" i="8"/>
  <c r="P19" i="8"/>
  <c r="R19" i="8" s="1"/>
  <c r="P20" i="8"/>
  <c r="P21" i="8"/>
  <c r="O9" i="8"/>
  <c r="R9" i="8"/>
  <c r="O10" i="8"/>
  <c r="R10" i="8" s="1"/>
  <c r="O11" i="8"/>
  <c r="O12" i="8"/>
  <c r="O13" i="8"/>
  <c r="R13" i="8"/>
  <c r="O14" i="8"/>
  <c r="R14" i="8" s="1"/>
  <c r="O15" i="8"/>
  <c r="R15" i="8"/>
  <c r="O16" i="8"/>
  <c r="O17" i="8"/>
  <c r="R17" i="8"/>
  <c r="O18" i="8"/>
  <c r="R18" i="8" s="1"/>
  <c r="O19" i="8"/>
  <c r="O20" i="8"/>
  <c r="R20" i="8" s="1"/>
  <c r="O21" i="8"/>
  <c r="R21" i="8"/>
  <c r="Q9" i="2"/>
  <c r="Q10" i="2"/>
  <c r="P9" i="2"/>
  <c r="P10" i="2"/>
  <c r="O9" i="2"/>
  <c r="S9" i="2"/>
  <c r="S1" i="2" s="1"/>
  <c r="R9" i="2"/>
  <c r="O10" i="2"/>
  <c r="S10" i="2" s="1"/>
  <c r="R10" i="2"/>
  <c r="Q9" i="9"/>
  <c r="Q10" i="9"/>
  <c r="Q11" i="9"/>
  <c r="Q12" i="9"/>
  <c r="Q13" i="9"/>
  <c r="Q14" i="9"/>
  <c r="Q15" i="9"/>
  <c r="Q16" i="9"/>
  <c r="Q17" i="9"/>
  <c r="Q18" i="9"/>
  <c r="Q19" i="9"/>
  <c r="Q20" i="9"/>
  <c r="P9" i="9"/>
  <c r="P10" i="9"/>
  <c r="P11" i="9"/>
  <c r="P12" i="9"/>
  <c r="P13" i="9"/>
  <c r="P14" i="9"/>
  <c r="P15" i="9"/>
  <c r="P16" i="9"/>
  <c r="P17" i="9"/>
  <c r="P18" i="9"/>
  <c r="P19" i="9"/>
  <c r="P20" i="9"/>
  <c r="O9" i="9"/>
  <c r="O10" i="9"/>
  <c r="O11" i="9"/>
  <c r="O12" i="9"/>
  <c r="O13" i="9"/>
  <c r="O14" i="9"/>
  <c r="O15" i="9"/>
  <c r="O16" i="9"/>
  <c r="O17" i="9"/>
  <c r="O18" i="9"/>
  <c r="O19" i="9"/>
  <c r="O20" i="9"/>
  <c r="Q9" i="10"/>
  <c r="Q10" i="10"/>
  <c r="Q11" i="10"/>
  <c r="Q12" i="10"/>
  <c r="Q13" i="10"/>
  <c r="Q14" i="10"/>
  <c r="Q15" i="10"/>
  <c r="Q16" i="10"/>
  <c r="Q17" i="10"/>
  <c r="Q18" i="10"/>
  <c r="P9" i="10"/>
  <c r="P10" i="10"/>
  <c r="P11" i="10"/>
  <c r="P12" i="10"/>
  <c r="P13" i="10"/>
  <c r="P14" i="10"/>
  <c r="P15" i="10"/>
  <c r="P16" i="10"/>
  <c r="P17" i="10"/>
  <c r="P18" i="10"/>
  <c r="O9" i="10"/>
  <c r="O10" i="10"/>
  <c r="O11" i="10"/>
  <c r="O12" i="10"/>
  <c r="O13" i="10"/>
  <c r="O14" i="10"/>
  <c r="O15" i="10"/>
  <c r="O16" i="10"/>
  <c r="O17" i="10"/>
  <c r="O18" i="10"/>
  <c r="Q9" i="11"/>
  <c r="S9" i="11" s="1"/>
  <c r="Q10" i="11"/>
  <c r="S10" i="11" s="1"/>
  <c r="Q11" i="11"/>
  <c r="Q12" i="11"/>
  <c r="Q13" i="11"/>
  <c r="S13" i="11" s="1"/>
  <c r="Q14" i="11"/>
  <c r="S14" i="11" s="1"/>
  <c r="Q15" i="11"/>
  <c r="P9" i="11"/>
  <c r="P10" i="11"/>
  <c r="P11" i="11"/>
  <c r="P12" i="11"/>
  <c r="P13" i="11"/>
  <c r="P14" i="11"/>
  <c r="P15" i="11"/>
  <c r="O9" i="11"/>
  <c r="R9" i="11"/>
  <c r="O10" i="11"/>
  <c r="R10" i="11" s="1"/>
  <c r="O11" i="11"/>
  <c r="R11" i="11" s="1"/>
  <c r="O12" i="11"/>
  <c r="S12" i="11"/>
  <c r="R12" i="11"/>
  <c r="O13" i="11"/>
  <c r="R13" i="11"/>
  <c r="O14" i="11"/>
  <c r="R14" i="11" s="1"/>
  <c r="O15" i="11"/>
  <c r="R15" i="11" s="1"/>
  <c r="Q9" i="12"/>
  <c r="Q10" i="12"/>
  <c r="Q11" i="12"/>
  <c r="S11" i="12" s="1"/>
  <c r="Q12" i="12"/>
  <c r="Q13" i="12"/>
  <c r="Q14" i="12"/>
  <c r="S14" i="12" s="1"/>
  <c r="Q15" i="12"/>
  <c r="Q16" i="12"/>
  <c r="Q17" i="12"/>
  <c r="Q18" i="12"/>
  <c r="P9" i="12"/>
  <c r="R9" i="12" s="1"/>
  <c r="R1" i="12" s="1"/>
  <c r="P10" i="12"/>
  <c r="P11" i="12"/>
  <c r="P12" i="12"/>
  <c r="P13" i="12"/>
  <c r="P14" i="12"/>
  <c r="P15" i="12"/>
  <c r="P16" i="12"/>
  <c r="P17" i="12"/>
  <c r="P18" i="12"/>
  <c r="O9" i="12"/>
  <c r="O10" i="12"/>
  <c r="O11" i="12"/>
  <c r="O12" i="12"/>
  <c r="S12" i="12" s="1"/>
  <c r="O13" i="12"/>
  <c r="S13" i="12"/>
  <c r="O14" i="12"/>
  <c r="O15" i="12"/>
  <c r="S15" i="12"/>
  <c r="O16" i="12"/>
  <c r="S16" i="12" s="1"/>
  <c r="O17" i="12"/>
  <c r="S17" i="12"/>
  <c r="O18" i="12"/>
  <c r="R18" i="12" s="1"/>
  <c r="Q9" i="13"/>
  <c r="Q10" i="13"/>
  <c r="Q11" i="13"/>
  <c r="P9" i="13"/>
  <c r="P10" i="13"/>
  <c r="P11" i="13"/>
  <c r="O9" i="13"/>
  <c r="R9" i="13" s="1"/>
  <c r="O10" i="13"/>
  <c r="S10" i="13"/>
  <c r="O11" i="13"/>
  <c r="R11" i="13" s="1"/>
  <c r="Q9" i="14"/>
  <c r="S9" i="14"/>
  <c r="Q10" i="14"/>
  <c r="S10" i="14" s="1"/>
  <c r="Q11" i="14"/>
  <c r="Q12" i="14"/>
  <c r="S12" i="14" s="1"/>
  <c r="Q13" i="14"/>
  <c r="Q14" i="14"/>
  <c r="S14" i="14" s="1"/>
  <c r="P9" i="14"/>
  <c r="P10" i="14"/>
  <c r="P11" i="14"/>
  <c r="P12" i="14"/>
  <c r="P13" i="14"/>
  <c r="P14" i="14"/>
  <c r="R14" i="14" s="1"/>
  <c r="R1" i="14" s="1"/>
  <c r="O9" i="14"/>
  <c r="R9" i="14" s="1"/>
  <c r="O10" i="14"/>
  <c r="R10" i="14"/>
  <c r="O11" i="14"/>
  <c r="R11" i="14" s="1"/>
  <c r="O12" i="14"/>
  <c r="R12" i="14"/>
  <c r="O13" i="14"/>
  <c r="R13" i="14" s="1"/>
  <c r="O14" i="14"/>
  <c r="Q9" i="15"/>
  <c r="Q10" i="15"/>
  <c r="S10" i="15"/>
  <c r="Q11" i="15"/>
  <c r="Q12" i="15"/>
  <c r="S12" i="15"/>
  <c r="Q13" i="15"/>
  <c r="S13" i="15" s="1"/>
  <c r="Q14" i="15"/>
  <c r="Q15" i="15"/>
  <c r="S15" i="15" s="1"/>
  <c r="Q16" i="15"/>
  <c r="Q17" i="15"/>
  <c r="Q18" i="15"/>
  <c r="Q19" i="15"/>
  <c r="Q20" i="15"/>
  <c r="S20" i="15" s="1"/>
  <c r="Q21" i="15"/>
  <c r="S21" i="15" s="1"/>
  <c r="Q22" i="15"/>
  <c r="Q23" i="15"/>
  <c r="S23" i="15" s="1"/>
  <c r="Q24" i="15"/>
  <c r="P9" i="15"/>
  <c r="P10" i="15"/>
  <c r="P11" i="15"/>
  <c r="P12" i="15"/>
  <c r="R12" i="15" s="1"/>
  <c r="R1" i="15" s="1"/>
  <c r="P13" i="15"/>
  <c r="P14" i="15"/>
  <c r="P15" i="15"/>
  <c r="P16" i="15"/>
  <c r="P17" i="15"/>
  <c r="P18" i="15"/>
  <c r="P19" i="15"/>
  <c r="P20" i="15"/>
  <c r="P21" i="15"/>
  <c r="P22" i="15"/>
  <c r="P23" i="15"/>
  <c r="P24" i="15"/>
  <c r="O9" i="15"/>
  <c r="R9" i="15" s="1"/>
  <c r="O10" i="15"/>
  <c r="R10" i="15"/>
  <c r="O11" i="15"/>
  <c r="R11" i="15" s="1"/>
  <c r="O12" i="15"/>
  <c r="O13" i="15"/>
  <c r="O14" i="15"/>
  <c r="S14" i="15"/>
  <c r="O15" i="15"/>
  <c r="O16" i="15"/>
  <c r="S16" i="15"/>
  <c r="O17" i="15"/>
  <c r="O18" i="15"/>
  <c r="S18" i="15"/>
  <c r="O19" i="15"/>
  <c r="O20" i="15"/>
  <c r="O21" i="15"/>
  <c r="O22" i="15"/>
  <c r="S22" i="15"/>
  <c r="O23" i="15"/>
  <c r="O24" i="15"/>
  <c r="S24" i="15"/>
  <c r="Q9" i="17"/>
  <c r="Q10" i="17"/>
  <c r="Q11" i="17"/>
  <c r="Q12" i="17"/>
  <c r="S12" i="17" s="1"/>
  <c r="Q13" i="17"/>
  <c r="S13" i="17" s="1"/>
  <c r="Q14" i="17"/>
  <c r="Q15" i="17"/>
  <c r="Q16" i="17"/>
  <c r="S16" i="17" s="1"/>
  <c r="Q17" i="17"/>
  <c r="S17" i="17" s="1"/>
  <c r="P9" i="17"/>
  <c r="P10" i="17"/>
  <c r="P11" i="17"/>
  <c r="R11" i="17" s="1"/>
  <c r="P12" i="17"/>
  <c r="P13" i="17"/>
  <c r="P14" i="17"/>
  <c r="P15" i="17"/>
  <c r="P16" i="17"/>
  <c r="P17" i="17"/>
  <c r="O9" i="17"/>
  <c r="O10" i="17"/>
  <c r="S10" i="17"/>
  <c r="R10" i="17"/>
  <c r="O11" i="17"/>
  <c r="S11" i="17"/>
  <c r="O12" i="17"/>
  <c r="O13" i="17"/>
  <c r="O14" i="17"/>
  <c r="S14" i="17" s="1"/>
  <c r="O15" i="17"/>
  <c r="S15" i="17"/>
  <c r="O16" i="17"/>
  <c r="O17" i="17"/>
  <c r="Q9" i="18"/>
  <c r="S9" i="18" s="1"/>
  <c r="Q10" i="18"/>
  <c r="Q11" i="18"/>
  <c r="S11" i="18" s="1"/>
  <c r="Q12" i="18"/>
  <c r="Q13" i="18"/>
  <c r="Q14" i="18"/>
  <c r="S14" i="18"/>
  <c r="P9" i="18"/>
  <c r="P10" i="18"/>
  <c r="P11" i="18"/>
  <c r="P12" i="18"/>
  <c r="P13" i="18"/>
  <c r="P14" i="18"/>
  <c r="O9" i="18"/>
  <c r="R9" i="18"/>
  <c r="O10" i="18"/>
  <c r="R10" i="18" s="1"/>
  <c r="O11" i="18"/>
  <c r="R11" i="18"/>
  <c r="O12" i="18"/>
  <c r="R12" i="18" s="1"/>
  <c r="O13" i="18"/>
  <c r="R13" i="18" s="1"/>
  <c r="R1" i="18" s="1"/>
  <c r="O14" i="18"/>
  <c r="R14" i="18" s="1"/>
  <c r="Q9" i="19"/>
  <c r="S9" i="19" s="1"/>
  <c r="Q10" i="19"/>
  <c r="Q11" i="19"/>
  <c r="S11" i="19"/>
  <c r="Q12" i="19"/>
  <c r="P9" i="19"/>
  <c r="P10" i="19"/>
  <c r="P11" i="19"/>
  <c r="R11" i="19" s="1"/>
  <c r="P12" i="19"/>
  <c r="O9" i="19"/>
  <c r="R9" i="19"/>
  <c r="O10" i="19"/>
  <c r="R10" i="19" s="1"/>
  <c r="R1" i="19" s="1"/>
  <c r="O11" i="19"/>
  <c r="O12" i="19"/>
  <c r="R12" i="19" s="1"/>
  <c r="Q9" i="20"/>
  <c r="Q10" i="20"/>
  <c r="Q1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47" i="20"/>
  <c r="Q48" i="20"/>
  <c r="Q49" i="20"/>
  <c r="Q50" i="20"/>
  <c r="Q51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S63" i="20" s="1"/>
  <c r="Q64" i="20"/>
  <c r="Q65" i="20"/>
  <c r="Q66" i="20"/>
  <c r="Q67" i="20"/>
  <c r="S67" i="20" s="1"/>
  <c r="Q68" i="20"/>
  <c r="Q69" i="20"/>
  <c r="Q70" i="20"/>
  <c r="Q71" i="20"/>
  <c r="S71" i="20" s="1"/>
  <c r="Q72" i="20"/>
  <c r="Q73" i="20"/>
  <c r="Q74" i="20"/>
  <c r="Q75" i="20"/>
  <c r="S75" i="20" s="1"/>
  <c r="Q76" i="20"/>
  <c r="Q77" i="20"/>
  <c r="Q78" i="20"/>
  <c r="Q79" i="20"/>
  <c r="S79" i="20" s="1"/>
  <c r="Q80" i="20"/>
  <c r="Q81" i="20"/>
  <c r="Q82" i="20"/>
  <c r="Q83" i="20"/>
  <c r="S83" i="20" s="1"/>
  <c r="Q84" i="20"/>
  <c r="Q85" i="20"/>
  <c r="Q86" i="20"/>
  <c r="P9" i="20"/>
  <c r="R9" i="20" s="1"/>
  <c r="P10" i="20"/>
  <c r="P11" i="20"/>
  <c r="P12" i="20"/>
  <c r="P13" i="20"/>
  <c r="P14" i="20"/>
  <c r="P15" i="20"/>
  <c r="P16" i="20"/>
  <c r="P17" i="20"/>
  <c r="R17" i="20" s="1"/>
  <c r="P18" i="20"/>
  <c r="P19" i="20"/>
  <c r="P20" i="20"/>
  <c r="P21" i="20"/>
  <c r="R21" i="20" s="1"/>
  <c r="P22" i="20"/>
  <c r="P23" i="20"/>
  <c r="P24" i="20"/>
  <c r="P25" i="20"/>
  <c r="R25" i="20" s="1"/>
  <c r="P26" i="20"/>
  <c r="P27" i="20"/>
  <c r="P28" i="20"/>
  <c r="P29" i="20"/>
  <c r="R29" i="20" s="1"/>
  <c r="P30" i="20"/>
  <c r="P31" i="20"/>
  <c r="P32" i="20"/>
  <c r="P33" i="20"/>
  <c r="R33" i="20" s="1"/>
  <c r="P34" i="20"/>
  <c r="P35" i="20"/>
  <c r="P36" i="20"/>
  <c r="P37" i="20"/>
  <c r="R37" i="20" s="1"/>
  <c r="P38" i="20"/>
  <c r="P39" i="20"/>
  <c r="P40" i="20"/>
  <c r="P41" i="20"/>
  <c r="R41" i="20" s="1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O9" i="20"/>
  <c r="O10" i="20"/>
  <c r="O11" i="20"/>
  <c r="R11" i="20"/>
  <c r="O12" i="20"/>
  <c r="O13" i="20"/>
  <c r="R13" i="20" s="1"/>
  <c r="O14" i="20"/>
  <c r="O15" i="20"/>
  <c r="R15" i="20"/>
  <c r="O16" i="20"/>
  <c r="R16" i="20"/>
  <c r="O17" i="20"/>
  <c r="O18" i="20"/>
  <c r="R18" i="20"/>
  <c r="O19" i="20"/>
  <c r="R19" i="20"/>
  <c r="O20" i="20"/>
  <c r="R20" i="20"/>
  <c r="O21" i="20"/>
  <c r="O22" i="20"/>
  <c r="R22" i="20"/>
  <c r="O23" i="20"/>
  <c r="R23" i="20"/>
  <c r="O24" i="20"/>
  <c r="R24" i="20"/>
  <c r="O25" i="20"/>
  <c r="O26" i="20"/>
  <c r="R26" i="20"/>
  <c r="O27" i="20"/>
  <c r="R27" i="20"/>
  <c r="O28" i="20"/>
  <c r="R28" i="20"/>
  <c r="O29" i="20"/>
  <c r="O30" i="20"/>
  <c r="R30" i="20"/>
  <c r="O31" i="20"/>
  <c r="R31" i="20"/>
  <c r="O32" i="20"/>
  <c r="R32" i="20"/>
  <c r="O33" i="20"/>
  <c r="O34" i="20"/>
  <c r="R34" i="20"/>
  <c r="O35" i="20"/>
  <c r="R35" i="20"/>
  <c r="O36" i="20"/>
  <c r="R36" i="20"/>
  <c r="O37" i="20"/>
  <c r="O38" i="20"/>
  <c r="R38" i="20"/>
  <c r="O39" i="20"/>
  <c r="R39" i="20"/>
  <c r="O40" i="20"/>
  <c r="R40" i="20"/>
  <c r="O41" i="20"/>
  <c r="O42" i="20"/>
  <c r="R42" i="20"/>
  <c r="O43" i="20"/>
  <c r="R43" i="20" s="1"/>
  <c r="O44" i="20"/>
  <c r="R44" i="20"/>
  <c r="O45" i="20"/>
  <c r="R45" i="20" s="1"/>
  <c r="O46" i="20"/>
  <c r="R46" i="20"/>
  <c r="O47" i="20"/>
  <c r="R47" i="20" s="1"/>
  <c r="O48" i="20"/>
  <c r="R48" i="20"/>
  <c r="O49" i="20"/>
  <c r="R49" i="20" s="1"/>
  <c r="O50" i="20"/>
  <c r="R50" i="20"/>
  <c r="O51" i="20"/>
  <c r="R51" i="20" s="1"/>
  <c r="O52" i="20"/>
  <c r="R52" i="20"/>
  <c r="O53" i="20"/>
  <c r="R53" i="20" s="1"/>
  <c r="O54" i="20"/>
  <c r="R54" i="20"/>
  <c r="O55" i="20"/>
  <c r="R55" i="20" s="1"/>
  <c r="O56" i="20"/>
  <c r="R56" i="20"/>
  <c r="O57" i="20"/>
  <c r="R57" i="20" s="1"/>
  <c r="O58" i="20"/>
  <c r="R58" i="20"/>
  <c r="O59" i="20"/>
  <c r="R59" i="20" s="1"/>
  <c r="O60" i="20"/>
  <c r="R60" i="20"/>
  <c r="O61" i="20"/>
  <c r="S61" i="20" s="1"/>
  <c r="O62" i="20"/>
  <c r="R62" i="20"/>
  <c r="O63" i="20"/>
  <c r="O64" i="20"/>
  <c r="R64" i="20"/>
  <c r="O65" i="20"/>
  <c r="S65" i="20" s="1"/>
  <c r="O66" i="20"/>
  <c r="R66" i="20"/>
  <c r="O67" i="20"/>
  <c r="O68" i="20"/>
  <c r="R68" i="20"/>
  <c r="O69" i="20"/>
  <c r="S69" i="20" s="1"/>
  <c r="O70" i="20"/>
  <c r="R70" i="20"/>
  <c r="O71" i="20"/>
  <c r="O72" i="20"/>
  <c r="R72" i="20"/>
  <c r="O73" i="20"/>
  <c r="S73" i="20" s="1"/>
  <c r="O74" i="20"/>
  <c r="R74" i="20"/>
  <c r="O75" i="20"/>
  <c r="O76" i="20"/>
  <c r="R76" i="20"/>
  <c r="O77" i="20"/>
  <c r="S77" i="20" s="1"/>
  <c r="O78" i="20"/>
  <c r="R78" i="20"/>
  <c r="O79" i="20"/>
  <c r="O80" i="20"/>
  <c r="R80" i="20"/>
  <c r="O81" i="20"/>
  <c r="S81" i="20" s="1"/>
  <c r="O82" i="20"/>
  <c r="R82" i="20"/>
  <c r="O83" i="20"/>
  <c r="O84" i="20"/>
  <c r="R84" i="20"/>
  <c r="O85" i="20"/>
  <c r="S85" i="20" s="1"/>
  <c r="O86" i="20"/>
  <c r="R86" i="20"/>
  <c r="Q9" i="25"/>
  <c r="Q10" i="25"/>
  <c r="Q11" i="25"/>
  <c r="Q12" i="25"/>
  <c r="S12" i="25" s="1"/>
  <c r="Q13" i="25"/>
  <c r="Q14" i="25"/>
  <c r="Q15" i="25"/>
  <c r="Q16" i="25"/>
  <c r="S16" i="25" s="1"/>
  <c r="Q17" i="25"/>
  <c r="Q18" i="25"/>
  <c r="Q19" i="25"/>
  <c r="Q20" i="25"/>
  <c r="S20" i="25" s="1"/>
  <c r="Q21" i="25"/>
  <c r="Q22" i="25"/>
  <c r="Q23" i="25"/>
  <c r="Q24" i="25"/>
  <c r="Q25" i="25"/>
  <c r="Q26" i="25"/>
  <c r="Q27" i="25"/>
  <c r="Q28" i="25"/>
  <c r="S28" i="25" s="1"/>
  <c r="Q29" i="25"/>
  <c r="P9" i="25"/>
  <c r="P10" i="25"/>
  <c r="P11" i="25"/>
  <c r="R11" i="25" s="1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O9" i="25"/>
  <c r="S9" i="25"/>
  <c r="O10" i="25"/>
  <c r="R10" i="25" s="1"/>
  <c r="O11" i="25"/>
  <c r="S11" i="25"/>
  <c r="O12" i="25"/>
  <c r="O13" i="25"/>
  <c r="S13" i="25"/>
  <c r="O14" i="25"/>
  <c r="R14" i="25" s="1"/>
  <c r="O15" i="25"/>
  <c r="S15" i="25"/>
  <c r="R15" i="25"/>
  <c r="O16" i="25"/>
  <c r="O17" i="25"/>
  <c r="S17" i="25"/>
  <c r="O18" i="25"/>
  <c r="R18" i="25"/>
  <c r="O19" i="25"/>
  <c r="S19" i="25"/>
  <c r="O20" i="25"/>
  <c r="R20" i="25"/>
  <c r="O21" i="25"/>
  <c r="S21" i="25"/>
  <c r="R21" i="25"/>
  <c r="O22" i="25"/>
  <c r="R22" i="25"/>
  <c r="O23" i="25"/>
  <c r="O24" i="25"/>
  <c r="R24" i="25" s="1"/>
  <c r="S24" i="25"/>
  <c r="O25" i="25"/>
  <c r="S25" i="25"/>
  <c r="R25" i="25"/>
  <c r="O26" i="25"/>
  <c r="R26" i="25" s="1"/>
  <c r="O27" i="25"/>
  <c r="S27" i="25"/>
  <c r="O28" i="25"/>
  <c r="R28" i="25"/>
  <c r="O29" i="25"/>
  <c r="S29" i="25"/>
  <c r="R29" i="25"/>
  <c r="Q9" i="21"/>
  <c r="Q10" i="21"/>
  <c r="Q11" i="21"/>
  <c r="S11" i="21" s="1"/>
  <c r="Q12" i="21"/>
  <c r="Q13" i="21"/>
  <c r="S13" i="21" s="1"/>
  <c r="Q14" i="21"/>
  <c r="Q15" i="21"/>
  <c r="Q16" i="21"/>
  <c r="Q17" i="21"/>
  <c r="Q18" i="21"/>
  <c r="Q19" i="21"/>
  <c r="S19" i="21" s="1"/>
  <c r="Q20" i="21"/>
  <c r="Q21" i="21"/>
  <c r="S21" i="21" s="1"/>
  <c r="Q22" i="21"/>
  <c r="Q23" i="21"/>
  <c r="Q24" i="21"/>
  <c r="Q25" i="21"/>
  <c r="Q26" i="21"/>
  <c r="Q27" i="21"/>
  <c r="S27" i="21" s="1"/>
  <c r="Q28" i="21"/>
  <c r="Q29" i="21"/>
  <c r="S29" i="21" s="1"/>
  <c r="Q30" i="21"/>
  <c r="Q31" i="21"/>
  <c r="Q32" i="21"/>
  <c r="Q33" i="21"/>
  <c r="Q34" i="21"/>
  <c r="Q35" i="21"/>
  <c r="S35" i="21" s="1"/>
  <c r="Q36" i="21"/>
  <c r="Q37" i="21"/>
  <c r="S37" i="21" s="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P9" i="21"/>
  <c r="P10" i="21"/>
  <c r="P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O9" i="21"/>
  <c r="O10" i="21"/>
  <c r="S10" i="21" s="1"/>
  <c r="O11" i="21"/>
  <c r="O12" i="21"/>
  <c r="S12" i="21"/>
  <c r="O13" i="21"/>
  <c r="O14" i="21"/>
  <c r="S14" i="21"/>
  <c r="O15" i="21"/>
  <c r="O16" i="21"/>
  <c r="S16" i="21" s="1"/>
  <c r="O17" i="21"/>
  <c r="O18" i="21"/>
  <c r="S18" i="21" s="1"/>
  <c r="O19" i="21"/>
  <c r="O20" i="21"/>
  <c r="S20" i="21"/>
  <c r="O21" i="21"/>
  <c r="O22" i="21"/>
  <c r="S22" i="21"/>
  <c r="O23" i="21"/>
  <c r="O24" i="21"/>
  <c r="S24" i="21" s="1"/>
  <c r="O25" i="21"/>
  <c r="O26" i="21"/>
  <c r="S26" i="21" s="1"/>
  <c r="O27" i="21"/>
  <c r="O28" i="21"/>
  <c r="S28" i="21"/>
  <c r="O29" i="21"/>
  <c r="O30" i="21"/>
  <c r="S30" i="21"/>
  <c r="O31" i="21"/>
  <c r="O32" i="21"/>
  <c r="S32" i="21" s="1"/>
  <c r="O33" i="21"/>
  <c r="O34" i="21"/>
  <c r="S34" i="21" s="1"/>
  <c r="O35" i="21"/>
  <c r="O36" i="21"/>
  <c r="S36" i="21" s="1"/>
  <c r="O37" i="21"/>
  <c r="O38" i="21"/>
  <c r="S38" i="21"/>
  <c r="O39" i="21"/>
  <c r="O40" i="21"/>
  <c r="S40" i="21" s="1"/>
  <c r="O41" i="21"/>
  <c r="O42" i="21"/>
  <c r="S42" i="21" s="1"/>
  <c r="O43" i="21"/>
  <c r="S43" i="21"/>
  <c r="O44" i="21"/>
  <c r="S44" i="21" s="1"/>
  <c r="O45" i="21"/>
  <c r="S45" i="21"/>
  <c r="O46" i="21"/>
  <c r="S46" i="21" s="1"/>
  <c r="O47" i="21"/>
  <c r="S47" i="21"/>
  <c r="O48" i="21"/>
  <c r="S48" i="21" s="1"/>
  <c r="O49" i="21"/>
  <c r="S49" i="21"/>
  <c r="O50" i="21"/>
  <c r="S50" i="21" s="1"/>
  <c r="O51" i="21"/>
  <c r="S51" i="21"/>
  <c r="O52" i="21"/>
  <c r="S52" i="21" s="1"/>
  <c r="O53" i="21"/>
  <c r="S53" i="21"/>
  <c r="O54" i="21"/>
  <c r="S54" i="21" s="1"/>
  <c r="O55" i="21"/>
  <c r="S55" i="21"/>
  <c r="O56" i="21"/>
  <c r="S56" i="21" s="1"/>
  <c r="O57" i="21"/>
  <c r="S57" i="21"/>
  <c r="O58" i="21"/>
  <c r="S58" i="21" s="1"/>
  <c r="O59" i="21"/>
  <c r="S59" i="21"/>
  <c r="O60" i="21"/>
  <c r="R60" i="21" s="1"/>
  <c r="O61" i="21"/>
  <c r="S61" i="21"/>
  <c r="O62" i="21"/>
  <c r="R62" i="21" s="1"/>
  <c r="O63" i="21"/>
  <c r="S63" i="21"/>
  <c r="O64" i="21"/>
  <c r="R64" i="21" s="1"/>
  <c r="O65" i="21"/>
  <c r="S65" i="21"/>
  <c r="O66" i="21"/>
  <c r="R66" i="21" s="1"/>
  <c r="O67" i="21"/>
  <c r="S67" i="21"/>
  <c r="O68" i="21"/>
  <c r="R68" i="21" s="1"/>
  <c r="O69" i="21"/>
  <c r="S69" i="21"/>
  <c r="O70" i="21"/>
  <c r="R70" i="21" s="1"/>
  <c r="O71" i="21"/>
  <c r="S71" i="21"/>
  <c r="O72" i="21"/>
  <c r="R72" i="21" s="1"/>
  <c r="Q9" i="3"/>
  <c r="Q10" i="3"/>
  <c r="Q11" i="3"/>
  <c r="Q12" i="3"/>
  <c r="S12" i="3" s="1"/>
  <c r="Q13" i="3"/>
  <c r="Q14" i="3"/>
  <c r="S14" i="3" s="1"/>
  <c r="Q15" i="3"/>
  <c r="Q16" i="3"/>
  <c r="Q17" i="3"/>
  <c r="Q18" i="3"/>
  <c r="S18" i="3" s="1"/>
  <c r="Q19" i="3"/>
  <c r="Q20" i="3"/>
  <c r="S20" i="3" s="1"/>
  <c r="Q21" i="3"/>
  <c r="Q22" i="3"/>
  <c r="Q23" i="3"/>
  <c r="Q24" i="3"/>
  <c r="Q25" i="3"/>
  <c r="P9" i="3"/>
  <c r="P10" i="3"/>
  <c r="P11" i="3"/>
  <c r="P12" i="3"/>
  <c r="P13" i="3"/>
  <c r="P14" i="3"/>
  <c r="P15" i="3"/>
  <c r="P16" i="3"/>
  <c r="P17" i="3"/>
  <c r="P18" i="3"/>
  <c r="P19" i="3"/>
  <c r="P20" i="3"/>
  <c r="R20" i="3" s="1"/>
  <c r="P21" i="3"/>
  <c r="P22" i="3"/>
  <c r="P23" i="3"/>
  <c r="P24" i="3"/>
  <c r="P25" i="3"/>
  <c r="O9" i="3"/>
  <c r="R9" i="3"/>
  <c r="O10" i="3"/>
  <c r="S10" i="3" s="1"/>
  <c r="O11" i="3"/>
  <c r="R11" i="3"/>
  <c r="O12" i="3"/>
  <c r="R12" i="3" s="1"/>
  <c r="O13" i="3"/>
  <c r="R13" i="3"/>
  <c r="O14" i="3"/>
  <c r="O15" i="3"/>
  <c r="R15" i="3"/>
  <c r="O16" i="3"/>
  <c r="S16" i="3"/>
  <c r="O17" i="3"/>
  <c r="R17" i="3"/>
  <c r="O18" i="3"/>
  <c r="R18" i="3"/>
  <c r="O19" i="3"/>
  <c r="R19" i="3"/>
  <c r="O20" i="3"/>
  <c r="O21" i="3"/>
  <c r="R21" i="3" s="1"/>
  <c r="O22" i="3"/>
  <c r="S22" i="3"/>
  <c r="O23" i="3"/>
  <c r="R23" i="3" s="1"/>
  <c r="O24" i="3"/>
  <c r="S24" i="3"/>
  <c r="R24" i="3"/>
  <c r="O25" i="3"/>
  <c r="R25" i="3"/>
  <c r="R5" i="24"/>
  <c r="Q5" i="24"/>
  <c r="P5" i="24"/>
  <c r="O5" i="24"/>
  <c r="M5" i="24"/>
  <c r="L5" i="24"/>
  <c r="K5" i="24"/>
  <c r="J5" i="24"/>
  <c r="H5" i="24"/>
  <c r="G5" i="24"/>
  <c r="F5" i="24"/>
  <c r="E5" i="24"/>
  <c r="U26" i="24"/>
  <c r="U25" i="24"/>
  <c r="U24" i="24"/>
  <c r="U23" i="24"/>
  <c r="U22" i="24"/>
  <c r="U21" i="24"/>
  <c r="U20" i="24"/>
  <c r="G20" i="24"/>
  <c r="U19" i="24"/>
  <c r="U18" i="24"/>
  <c r="U17" i="24"/>
  <c r="U16" i="24"/>
  <c r="U15" i="24"/>
  <c r="U14" i="24"/>
  <c r="U13" i="24"/>
  <c r="U12" i="24"/>
  <c r="U11" i="24"/>
  <c r="U10" i="24"/>
  <c r="U9" i="24"/>
  <c r="U8" i="24"/>
  <c r="U7" i="24"/>
  <c r="U28" i="24" s="1"/>
  <c r="U6" i="24"/>
  <c r="U5" i="24"/>
  <c r="T26" i="24"/>
  <c r="T25" i="24"/>
  <c r="T24" i="24"/>
  <c r="T23" i="24"/>
  <c r="T22" i="24"/>
  <c r="T21" i="24"/>
  <c r="T20" i="24"/>
  <c r="E20" i="24"/>
  <c r="T19" i="24"/>
  <c r="T18" i="24"/>
  <c r="T17" i="24"/>
  <c r="T16" i="24"/>
  <c r="T15" i="24"/>
  <c r="T14" i="24"/>
  <c r="T13" i="24"/>
  <c r="T12" i="24"/>
  <c r="T11" i="24"/>
  <c r="T10" i="24"/>
  <c r="T9" i="24"/>
  <c r="T8" i="24"/>
  <c r="T7" i="24"/>
  <c r="T6" i="24"/>
  <c r="T28" i="24" s="1"/>
  <c r="T5" i="24"/>
  <c r="I26" i="35"/>
  <c r="I25" i="35"/>
  <c r="I24" i="35"/>
  <c r="I23" i="35"/>
  <c r="I22" i="35"/>
  <c r="I21" i="35"/>
  <c r="I20" i="35"/>
  <c r="I19" i="35"/>
  <c r="I18" i="35"/>
  <c r="I17" i="35"/>
  <c r="I16" i="35"/>
  <c r="I15" i="35"/>
  <c r="I14" i="35"/>
  <c r="I13" i="35"/>
  <c r="I12" i="35"/>
  <c r="I11" i="35"/>
  <c r="I10" i="35"/>
  <c r="I9" i="35"/>
  <c r="I8" i="35"/>
  <c r="I7" i="35"/>
  <c r="I6" i="35"/>
  <c r="I5" i="35"/>
  <c r="I28" i="35" s="1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D6" i="35"/>
  <c r="D5" i="35"/>
  <c r="R26" i="24"/>
  <c r="Q26" i="24"/>
  <c r="P26" i="24"/>
  <c r="O26" i="24"/>
  <c r="M26" i="24"/>
  <c r="L26" i="24"/>
  <c r="K26" i="24"/>
  <c r="J26" i="24"/>
  <c r="H26" i="24"/>
  <c r="G26" i="24"/>
  <c r="F26" i="24"/>
  <c r="E26" i="24"/>
  <c r="R25" i="24"/>
  <c r="Q25" i="24"/>
  <c r="P25" i="24"/>
  <c r="O25" i="24"/>
  <c r="M25" i="24"/>
  <c r="L25" i="24"/>
  <c r="K25" i="24"/>
  <c r="J25" i="24"/>
  <c r="H25" i="24"/>
  <c r="C25" i="24" s="1"/>
  <c r="G25" i="24"/>
  <c r="F25" i="24"/>
  <c r="E25" i="24"/>
  <c r="R24" i="24"/>
  <c r="Q24" i="24"/>
  <c r="P24" i="24"/>
  <c r="O24" i="24"/>
  <c r="M24" i="24"/>
  <c r="L24" i="24"/>
  <c r="K24" i="24"/>
  <c r="J24" i="24"/>
  <c r="H24" i="24"/>
  <c r="G24" i="24"/>
  <c r="F24" i="24"/>
  <c r="E24" i="24"/>
  <c r="R23" i="24"/>
  <c r="Q23" i="24"/>
  <c r="P23" i="24"/>
  <c r="O23" i="24"/>
  <c r="M23" i="24"/>
  <c r="L23" i="24"/>
  <c r="K23" i="24"/>
  <c r="J23" i="24"/>
  <c r="H23" i="24"/>
  <c r="C23" i="24" s="1"/>
  <c r="G23" i="24"/>
  <c r="F23" i="24"/>
  <c r="E23" i="24"/>
  <c r="R22" i="24"/>
  <c r="Q22" i="24"/>
  <c r="P22" i="24"/>
  <c r="O22" i="24"/>
  <c r="M22" i="24"/>
  <c r="L22" i="24"/>
  <c r="K22" i="24"/>
  <c r="J22" i="24"/>
  <c r="H22" i="24"/>
  <c r="G22" i="24"/>
  <c r="F22" i="24"/>
  <c r="E22" i="24"/>
  <c r="R21" i="24"/>
  <c r="Q21" i="24"/>
  <c r="P21" i="24"/>
  <c r="O21" i="24"/>
  <c r="M21" i="24"/>
  <c r="L21" i="24"/>
  <c r="K21" i="24"/>
  <c r="J21" i="24"/>
  <c r="H21" i="24"/>
  <c r="C21" i="24" s="1"/>
  <c r="G21" i="24"/>
  <c r="F21" i="24"/>
  <c r="E21" i="24"/>
  <c r="R20" i="24"/>
  <c r="Q20" i="24"/>
  <c r="P20" i="24"/>
  <c r="O20" i="24"/>
  <c r="M20" i="24"/>
  <c r="L20" i="24"/>
  <c r="K20" i="24"/>
  <c r="J20" i="24"/>
  <c r="H20" i="24"/>
  <c r="C20" i="24" s="1"/>
  <c r="F20" i="24"/>
  <c r="R19" i="24"/>
  <c r="Q19" i="24"/>
  <c r="P19" i="24"/>
  <c r="O19" i="24"/>
  <c r="M19" i="24"/>
  <c r="L19" i="24"/>
  <c r="K19" i="24"/>
  <c r="J19" i="24"/>
  <c r="H19" i="24"/>
  <c r="G19" i="24"/>
  <c r="C19" i="24" s="1"/>
  <c r="F19" i="24"/>
  <c r="E19" i="24"/>
  <c r="R18" i="24"/>
  <c r="Q18" i="24"/>
  <c r="P18" i="24"/>
  <c r="O18" i="24"/>
  <c r="M18" i="24"/>
  <c r="L18" i="24"/>
  <c r="K18" i="24"/>
  <c r="J18" i="24"/>
  <c r="H18" i="24"/>
  <c r="C18" i="24"/>
  <c r="G18" i="24"/>
  <c r="F18" i="24"/>
  <c r="E18" i="24"/>
  <c r="R17" i="24"/>
  <c r="Q17" i="24"/>
  <c r="P17" i="24"/>
  <c r="O17" i="24"/>
  <c r="M17" i="24"/>
  <c r="L17" i="24"/>
  <c r="K17" i="24"/>
  <c r="J17" i="24"/>
  <c r="H17" i="24"/>
  <c r="C17" i="24" s="1"/>
  <c r="G17" i="24"/>
  <c r="F17" i="24"/>
  <c r="E17" i="24"/>
  <c r="R16" i="24"/>
  <c r="Q16" i="24"/>
  <c r="P16" i="24"/>
  <c r="O16" i="24"/>
  <c r="M16" i="24"/>
  <c r="L16" i="24"/>
  <c r="K16" i="24"/>
  <c r="J16" i="24"/>
  <c r="H16" i="24"/>
  <c r="G16" i="24"/>
  <c r="C16" i="24" s="1"/>
  <c r="F16" i="24"/>
  <c r="E16" i="24"/>
  <c r="R15" i="24"/>
  <c r="Q15" i="24"/>
  <c r="P15" i="24"/>
  <c r="O15" i="24"/>
  <c r="M15" i="24"/>
  <c r="L15" i="24"/>
  <c r="K15" i="24"/>
  <c r="J15" i="24"/>
  <c r="H15" i="24"/>
  <c r="G15" i="24"/>
  <c r="F15" i="24"/>
  <c r="E15" i="24"/>
  <c r="R14" i="24"/>
  <c r="Q14" i="24"/>
  <c r="P14" i="24"/>
  <c r="O14" i="24"/>
  <c r="M14" i="24"/>
  <c r="L14" i="24"/>
  <c r="K14" i="24"/>
  <c r="J14" i="24"/>
  <c r="H14" i="24"/>
  <c r="G14" i="24"/>
  <c r="C14" i="24" s="1"/>
  <c r="F14" i="24"/>
  <c r="E14" i="24"/>
  <c r="R13" i="24"/>
  <c r="Q13" i="24"/>
  <c r="P13" i="24"/>
  <c r="O13" i="24"/>
  <c r="M13" i="24"/>
  <c r="L13" i="24"/>
  <c r="K13" i="24"/>
  <c r="K28" i="24" s="1"/>
  <c r="J13" i="24"/>
  <c r="H13" i="24"/>
  <c r="G13" i="24"/>
  <c r="C13" i="24" s="1"/>
  <c r="F13" i="24"/>
  <c r="E13" i="24"/>
  <c r="R12" i="24"/>
  <c r="Q12" i="24"/>
  <c r="P12" i="24"/>
  <c r="O12" i="24"/>
  <c r="M12" i="24"/>
  <c r="L12" i="24"/>
  <c r="K12" i="24"/>
  <c r="J12" i="24"/>
  <c r="H12" i="24"/>
  <c r="G12" i="24"/>
  <c r="C12" i="24" s="1"/>
  <c r="F12" i="24"/>
  <c r="E12" i="24"/>
  <c r="R11" i="24"/>
  <c r="Q11" i="24"/>
  <c r="P11" i="24"/>
  <c r="O11" i="24"/>
  <c r="M11" i="24"/>
  <c r="L11" i="24"/>
  <c r="K11" i="24"/>
  <c r="J11" i="24"/>
  <c r="H11" i="24"/>
  <c r="G11" i="24"/>
  <c r="C11" i="24" s="1"/>
  <c r="F11" i="24"/>
  <c r="E11" i="24"/>
  <c r="R10" i="24"/>
  <c r="Q10" i="24"/>
  <c r="P10" i="24"/>
  <c r="O10" i="24"/>
  <c r="M10" i="24"/>
  <c r="L10" i="24"/>
  <c r="K10" i="24"/>
  <c r="J10" i="24"/>
  <c r="H10" i="24"/>
  <c r="G10" i="24"/>
  <c r="C10" i="24" s="1"/>
  <c r="F10" i="24"/>
  <c r="E10" i="24"/>
  <c r="R9" i="24"/>
  <c r="Q9" i="24"/>
  <c r="P9" i="24"/>
  <c r="O9" i="24"/>
  <c r="M9" i="24"/>
  <c r="L9" i="24"/>
  <c r="K9" i="24"/>
  <c r="J9" i="24"/>
  <c r="H9" i="24"/>
  <c r="G9" i="24"/>
  <c r="C9" i="24" s="1"/>
  <c r="F9" i="24"/>
  <c r="E9" i="24"/>
  <c r="R8" i="24"/>
  <c r="Q8" i="24"/>
  <c r="P8" i="24"/>
  <c r="O8" i="24"/>
  <c r="M8" i="24"/>
  <c r="L8" i="24"/>
  <c r="K8" i="24"/>
  <c r="J8" i="24"/>
  <c r="H8" i="24"/>
  <c r="C8" i="24"/>
  <c r="G8" i="24"/>
  <c r="F8" i="24"/>
  <c r="E8" i="24"/>
  <c r="R7" i="24"/>
  <c r="Q7" i="24"/>
  <c r="P7" i="24"/>
  <c r="O7" i="24"/>
  <c r="O28" i="24" s="1"/>
  <c r="M7" i="24"/>
  <c r="L7" i="24"/>
  <c r="K7" i="24"/>
  <c r="J7" i="24"/>
  <c r="H7" i="24"/>
  <c r="H28" i="24" s="1"/>
  <c r="G7" i="24"/>
  <c r="F7" i="24"/>
  <c r="E7" i="24"/>
  <c r="R6" i="24"/>
  <c r="R28" i="24" s="1"/>
  <c r="Q6" i="24"/>
  <c r="Q28" i="24" s="1"/>
  <c r="P6" i="24"/>
  <c r="P28" i="24"/>
  <c r="O6" i="24"/>
  <c r="M6" i="24"/>
  <c r="L6" i="24"/>
  <c r="L28" i="24" s="1"/>
  <c r="K6" i="24"/>
  <c r="J6" i="24"/>
  <c r="H6" i="24"/>
  <c r="G6" i="24"/>
  <c r="C6" i="24" s="1"/>
  <c r="F6" i="24"/>
  <c r="F28" i="24" s="1"/>
  <c r="E6" i="24"/>
  <c r="E28" i="24" s="1"/>
  <c r="O9" i="26"/>
  <c r="Q9" i="26"/>
  <c r="N9" i="26"/>
  <c r="P9" i="26"/>
  <c r="C15" i="24"/>
  <c r="C24" i="24"/>
  <c r="C22" i="24"/>
  <c r="C5" i="24"/>
  <c r="J28" i="24"/>
  <c r="C26" i="24"/>
  <c r="M28" i="24"/>
  <c r="S25" i="3"/>
  <c r="S21" i="3"/>
  <c r="S19" i="3"/>
  <c r="S17" i="3"/>
  <c r="S13" i="3"/>
  <c r="S11" i="3"/>
  <c r="S9" i="3"/>
  <c r="S1" i="3" s="1"/>
  <c r="S72" i="21"/>
  <c r="S68" i="21"/>
  <c r="S64" i="21"/>
  <c r="S60" i="21"/>
  <c r="S84" i="20"/>
  <c r="S82" i="20"/>
  <c r="S80" i="20"/>
  <c r="S78" i="20"/>
  <c r="S76" i="20"/>
  <c r="S74" i="20"/>
  <c r="S72" i="20"/>
  <c r="S70" i="20"/>
  <c r="S68" i="20"/>
  <c r="S66" i="20"/>
  <c r="S64" i="20"/>
  <c r="S62" i="20"/>
  <c r="S60" i="20"/>
  <c r="S58" i="20"/>
  <c r="S56" i="20"/>
  <c r="S54" i="20"/>
  <c r="S52" i="20"/>
  <c r="S50" i="20"/>
  <c r="S48" i="20"/>
  <c r="S46" i="20"/>
  <c r="S44" i="20"/>
  <c r="S42" i="20"/>
  <c r="S40" i="20"/>
  <c r="S38" i="20"/>
  <c r="S36" i="20"/>
  <c r="S34" i="20"/>
  <c r="S32" i="20"/>
  <c r="S30" i="20"/>
  <c r="S28" i="20"/>
  <c r="S26" i="20"/>
  <c r="S24" i="20"/>
  <c r="S22" i="20"/>
  <c r="S20" i="20"/>
  <c r="S18" i="20"/>
  <c r="S16" i="20"/>
  <c r="S59" i="20"/>
  <c r="S57" i="20"/>
  <c r="S55" i="20"/>
  <c r="S53" i="20"/>
  <c r="S51" i="20"/>
  <c r="S49" i="20"/>
  <c r="S47" i="20"/>
  <c r="S45" i="20"/>
  <c r="S43" i="20"/>
  <c r="S41" i="20"/>
  <c r="S39" i="20"/>
  <c r="S37" i="20"/>
  <c r="S35" i="20"/>
  <c r="S33" i="20"/>
  <c r="S31" i="20"/>
  <c r="S29" i="20"/>
  <c r="S27" i="20"/>
  <c r="S25" i="20"/>
  <c r="S23" i="20"/>
  <c r="S21" i="20"/>
  <c r="S19" i="20"/>
  <c r="S17" i="20"/>
  <c r="S15" i="20"/>
  <c r="S13" i="20"/>
  <c r="S11" i="20"/>
  <c r="S9" i="20"/>
  <c r="S1" i="7"/>
  <c r="R1" i="6"/>
  <c r="N1" i="6" s="1"/>
  <c r="S1" i="6"/>
  <c r="S11" i="13"/>
  <c r="S9" i="13"/>
  <c r="S1" i="13" s="1"/>
  <c r="S18" i="12"/>
  <c r="R1" i="11"/>
  <c r="R1" i="1"/>
  <c r="S86" i="20"/>
  <c r="S62" i="21"/>
  <c r="S66" i="21"/>
  <c r="S70" i="21"/>
  <c r="S15" i="3"/>
  <c r="S23" i="3"/>
  <c r="R22" i="3"/>
  <c r="R16" i="3"/>
  <c r="R14" i="3"/>
  <c r="R71" i="21"/>
  <c r="R69" i="21"/>
  <c r="R67" i="21"/>
  <c r="R65" i="21"/>
  <c r="R63" i="21"/>
  <c r="R61" i="21"/>
  <c r="R59" i="21"/>
  <c r="R58" i="21"/>
  <c r="R57" i="21"/>
  <c r="R56" i="21"/>
  <c r="R55" i="21"/>
  <c r="R54" i="21"/>
  <c r="R53" i="21"/>
  <c r="R52" i="21"/>
  <c r="R51" i="21"/>
  <c r="R50" i="21"/>
  <c r="R49" i="21"/>
  <c r="R48" i="21"/>
  <c r="R47" i="21"/>
  <c r="R46" i="21"/>
  <c r="R45" i="21"/>
  <c r="R44" i="21"/>
  <c r="R43" i="21"/>
  <c r="R42" i="21"/>
  <c r="R41" i="21"/>
  <c r="R40" i="21"/>
  <c r="R39" i="21"/>
  <c r="R38" i="21"/>
  <c r="R37" i="21"/>
  <c r="R3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R9" i="21"/>
  <c r="R17" i="25"/>
  <c r="R13" i="25"/>
  <c r="R9" i="25"/>
  <c r="R16" i="25"/>
  <c r="R12" i="25"/>
  <c r="S18" i="25"/>
  <c r="S14" i="25"/>
  <c r="S10" i="25"/>
  <c r="R85" i="20"/>
  <c r="R83" i="20"/>
  <c r="R81" i="20"/>
  <c r="R79" i="20"/>
  <c r="R77" i="20"/>
  <c r="R75" i="20"/>
  <c r="R73" i="20"/>
  <c r="R71" i="20"/>
  <c r="R69" i="20"/>
  <c r="R67" i="20"/>
  <c r="R65" i="20"/>
  <c r="R63" i="20"/>
  <c r="R61" i="20"/>
  <c r="S14" i="20"/>
  <c r="R14" i="20"/>
  <c r="S12" i="20"/>
  <c r="R12" i="20"/>
  <c r="S10" i="20"/>
  <c r="R10" i="20"/>
  <c r="R17" i="12"/>
  <c r="R16" i="12"/>
  <c r="R15" i="12"/>
  <c r="R14" i="12"/>
  <c r="R13" i="12"/>
  <c r="R12" i="12"/>
  <c r="R11" i="12"/>
  <c r="R10" i="12"/>
  <c r="S9" i="12"/>
  <c r="S18" i="10"/>
  <c r="R18" i="10"/>
  <c r="S16" i="10"/>
  <c r="R16" i="10"/>
  <c r="S14" i="10"/>
  <c r="R14" i="10"/>
  <c r="S12" i="10"/>
  <c r="R12" i="10"/>
  <c r="S10" i="10"/>
  <c r="R10" i="10"/>
  <c r="S20" i="9"/>
  <c r="R20" i="9"/>
  <c r="S18" i="9"/>
  <c r="R18" i="9"/>
  <c r="S16" i="9"/>
  <c r="R16" i="9"/>
  <c r="S14" i="9"/>
  <c r="R14" i="9"/>
  <c r="S12" i="9"/>
  <c r="R12" i="9"/>
  <c r="S10" i="9"/>
  <c r="R10" i="9"/>
  <c r="R1" i="4"/>
  <c r="S10" i="4"/>
  <c r="S1" i="4"/>
  <c r="R16" i="17"/>
  <c r="R12" i="17"/>
  <c r="R17" i="17"/>
  <c r="R13" i="17"/>
  <c r="R9" i="17"/>
  <c r="R24" i="15"/>
  <c r="R23" i="15"/>
  <c r="R22" i="15"/>
  <c r="R21" i="15"/>
  <c r="R20" i="15"/>
  <c r="R19" i="15"/>
  <c r="R18" i="15"/>
  <c r="R17" i="15"/>
  <c r="R16" i="15"/>
  <c r="R15" i="15"/>
  <c r="R14" i="15"/>
  <c r="R13" i="15"/>
  <c r="R10" i="13"/>
  <c r="R1" i="13" s="1"/>
  <c r="N1" i="13" s="1"/>
  <c r="S17" i="10"/>
  <c r="R17" i="10"/>
  <c r="S15" i="10"/>
  <c r="R15" i="10"/>
  <c r="S13" i="10"/>
  <c r="R13" i="10"/>
  <c r="S11" i="10"/>
  <c r="R11" i="10"/>
  <c r="S9" i="10"/>
  <c r="S1" i="10"/>
  <c r="R9" i="10"/>
  <c r="S19" i="9"/>
  <c r="R19" i="9"/>
  <c r="S17" i="9"/>
  <c r="R17" i="9"/>
  <c r="S15" i="9"/>
  <c r="R15" i="9"/>
  <c r="S13" i="9"/>
  <c r="R13" i="9"/>
  <c r="S11" i="9"/>
  <c r="R11" i="9"/>
  <c r="R1" i="9" s="1"/>
  <c r="S9" i="9"/>
  <c r="S1" i="9" s="1"/>
  <c r="R9" i="9"/>
  <c r="S21" i="8"/>
  <c r="S20" i="8"/>
  <c r="S19" i="8"/>
  <c r="S18" i="8"/>
  <c r="S17" i="8"/>
  <c r="S16" i="8"/>
  <c r="S15" i="8"/>
  <c r="S14" i="8"/>
  <c r="S13" i="8"/>
  <c r="S11" i="8"/>
  <c r="S9" i="8"/>
  <c r="R1" i="10"/>
  <c r="N1" i="10" s="1"/>
  <c r="N1" i="4"/>
  <c r="C28" i="24" l="1"/>
  <c r="N1" i="9"/>
  <c r="R1" i="21"/>
  <c r="R1" i="20"/>
  <c r="R1" i="5"/>
  <c r="N1" i="5" s="1"/>
  <c r="S1" i="20"/>
  <c r="G28" i="24"/>
  <c r="C7" i="24"/>
  <c r="R10" i="3"/>
  <c r="R1" i="3" s="1"/>
  <c r="N1" i="3" s="1"/>
  <c r="S39" i="21"/>
  <c r="S31" i="21"/>
  <c r="S23" i="21"/>
  <c r="S15" i="21"/>
  <c r="R23" i="25"/>
  <c r="S10" i="19"/>
  <c r="S1" i="19" s="1"/>
  <c r="N1" i="19" s="1"/>
  <c r="S13" i="18"/>
  <c r="S10" i="18"/>
  <c r="S11" i="15"/>
  <c r="S13" i="14"/>
  <c r="R1" i="2"/>
  <c r="N1" i="2" s="1"/>
  <c r="R16" i="8"/>
  <c r="R1" i="8" s="1"/>
  <c r="N1" i="8" s="1"/>
  <c r="S13" i="5"/>
  <c r="S11" i="1"/>
  <c r="S1" i="1" s="1"/>
  <c r="N1" i="1" s="1"/>
  <c r="S12" i="19"/>
  <c r="S12" i="18"/>
  <c r="R14" i="17"/>
  <c r="R1" i="17" s="1"/>
  <c r="N1" i="17" s="1"/>
  <c r="S9" i="17"/>
  <c r="S1" i="17" s="1"/>
  <c r="S17" i="15"/>
  <c r="S15" i="11"/>
  <c r="S11" i="11"/>
  <c r="S10" i="8"/>
  <c r="S1" i="8" s="1"/>
  <c r="S41" i="21"/>
  <c r="S33" i="21"/>
  <c r="S25" i="21"/>
  <c r="S17" i="21"/>
  <c r="S9" i="21"/>
  <c r="R27" i="25"/>
  <c r="R1" i="25" s="1"/>
  <c r="N1" i="25" s="1"/>
  <c r="R19" i="25"/>
  <c r="R12" i="8"/>
  <c r="S12" i="8"/>
  <c r="S23" i="25"/>
  <c r="S1" i="25" s="1"/>
  <c r="S26" i="25"/>
  <c r="S22" i="25"/>
  <c r="R15" i="17"/>
  <c r="S19" i="15"/>
  <c r="S9" i="15"/>
  <c r="S11" i="14"/>
  <c r="S1" i="14" s="1"/>
  <c r="N1" i="14" s="1"/>
  <c r="S10" i="12"/>
  <c r="S1" i="12" s="1"/>
  <c r="N1" i="12" s="1"/>
  <c r="R10" i="7"/>
  <c r="R1" i="7" s="1"/>
  <c r="N1" i="7" s="1"/>
  <c r="S11" i="5"/>
  <c r="S1" i="5" s="1"/>
  <c r="S1" i="21" l="1"/>
  <c r="N1" i="21" s="1"/>
  <c r="S1" i="18"/>
  <c r="N1" i="18" s="1"/>
  <c r="N1" i="20"/>
  <c r="S1" i="15"/>
  <c r="N1" i="15" s="1"/>
  <c r="S1" i="11"/>
  <c r="N1" i="11" s="1"/>
</calcChain>
</file>

<file path=xl/sharedStrings.xml><?xml version="1.0" encoding="utf-8"?>
<sst xmlns="http://schemas.openxmlformats.org/spreadsheetml/2006/main" count="2143" uniqueCount="739">
  <si>
    <t>Name</t>
  </si>
  <si>
    <t>Thursday</t>
  </si>
  <si>
    <t>ConsolidateData</t>
  </si>
  <si>
    <t>FormatData</t>
  </si>
  <si>
    <t>Order?</t>
  </si>
  <si>
    <t>Process</t>
  </si>
  <si>
    <t>P/NP?</t>
  </si>
  <si>
    <t>Comment</t>
  </si>
  <si>
    <t>Rate</t>
  </si>
  <si>
    <t>OtWages</t>
  </si>
  <si>
    <t>UpdateFormulas</t>
  </si>
  <si>
    <t>Unit</t>
  </si>
  <si>
    <t>RATE1</t>
  </si>
  <si>
    <t>Holiday - Paid</t>
  </si>
  <si>
    <t>Sick (Implemented)</t>
  </si>
  <si>
    <t>Bereavement - Paid</t>
  </si>
  <si>
    <t>Sick (Non-Implemented)</t>
  </si>
  <si>
    <t>DeleteProcess</t>
  </si>
  <si>
    <t>Holiday0-0Paid</t>
  </si>
  <si>
    <t>Vacation0(Implemented)</t>
  </si>
  <si>
    <t>Sick0(Implemented)</t>
  </si>
  <si>
    <t>Bereavement0-0Paid</t>
  </si>
  <si>
    <t>Regular0Hours</t>
  </si>
  <si>
    <t>OT0Hours</t>
  </si>
  <si>
    <t>Regular0Wages</t>
  </si>
  <si>
    <t>&lt;&lt;0Clear0old0data</t>
  </si>
  <si>
    <t>&lt;&lt;0Manually0copy0paste0data0from0Labor0Management0to0each0worksheet</t>
  </si>
  <si>
    <t>&lt;&lt;0Trim</t>
  </si>
  <si>
    <t>Sched0Not0Work0Unpaid</t>
  </si>
  <si>
    <t>Unpaid0-0Other</t>
  </si>
  <si>
    <t>Empl Id</t>
  </si>
  <si>
    <t>Empl Curr Hrly Wage Rt</t>
  </si>
  <si>
    <t>01x</t>
  </si>
  <si>
    <t>02x</t>
  </si>
  <si>
    <t>03x</t>
  </si>
  <si>
    <t>04x</t>
  </si>
  <si>
    <t>05x</t>
  </si>
  <si>
    <t>06x</t>
  </si>
  <si>
    <t>07x</t>
  </si>
  <si>
    <t>08x</t>
  </si>
  <si>
    <t>09x</t>
  </si>
  <si>
    <t>10x</t>
  </si>
  <si>
    <t>11x</t>
  </si>
  <si>
    <t>12x</t>
  </si>
  <si>
    <t>13x</t>
  </si>
  <si>
    <t>14x</t>
  </si>
  <si>
    <t>17x</t>
  </si>
  <si>
    <t>21x</t>
  </si>
  <si>
    <t>22x</t>
  </si>
  <si>
    <t>23x</t>
  </si>
  <si>
    <t>24x</t>
  </si>
  <si>
    <t>25x</t>
  </si>
  <si>
    <t>78x</t>
  </si>
  <si>
    <t>79x</t>
  </si>
  <si>
    <t>Reg Hrs</t>
  </si>
  <si>
    <t>OT Hrs</t>
  </si>
  <si>
    <t>Reg Wages</t>
  </si>
  <si>
    <t>OT Wages</t>
  </si>
  <si>
    <t>WOR
Flash</t>
  </si>
  <si>
    <t>Productive Labor</t>
  </si>
  <si>
    <t>Non-productive Hours</t>
  </si>
  <si>
    <t>Non-productive Wages</t>
  </si>
  <si>
    <t>Total</t>
  </si>
  <si>
    <t>TFB</t>
  </si>
  <si>
    <t>SAL REG ACCR BI-WKLY : 7110 : 6410.0110</t>
  </si>
  <si>
    <t>Amount</t>
  </si>
  <si>
    <t>Not in LM</t>
  </si>
  <si>
    <t>Lewis, Brittany</t>
  </si>
  <si>
    <t>Copy detail from Time Summary Estimator Report</t>
  </si>
  <si>
    <t>Paste to approprirate tab in this workbook by unit, see 1x, 2x, etc…</t>
  </si>
  <si>
    <t>Run Macros in sequence</t>
  </si>
  <si>
    <t>Each Thurs, get updated rates from HR or Brio Intelligence Query</t>
  </si>
  <si>
    <t>Put new rates in a throw away workbook at cell A1.</t>
  </si>
  <si>
    <t>To the bottom of the new rate list, append the old rate list</t>
  </si>
  <si>
    <t>Open Personal.xls and run macro"Delete Duplicate"</t>
  </si>
  <si>
    <t>Delete the last rates</t>
  </si>
  <si>
    <t>Paste the new rate to the location of the old rates</t>
  </si>
  <si>
    <t>Make sure the name of the table "tblRates" expands to include the last row of information</t>
  </si>
  <si>
    <t>WBS</t>
  </si>
  <si>
    <t>WBS.Step</t>
  </si>
  <si>
    <t>A</t>
  </si>
  <si>
    <t>B</t>
  </si>
  <si>
    <t>C</t>
  </si>
  <si>
    <t>D</t>
  </si>
  <si>
    <t>E</t>
  </si>
  <si>
    <t>F</t>
  </si>
  <si>
    <t>G</t>
  </si>
  <si>
    <t>Section</t>
  </si>
  <si>
    <t>Rates</t>
  </si>
  <si>
    <t>Task Frequency</t>
  </si>
  <si>
    <t>Day of Wk</t>
  </si>
  <si>
    <t>Weekly</t>
  </si>
  <si>
    <t>WOR</t>
  </si>
  <si>
    <t>Peoples, Melody</t>
  </si>
  <si>
    <t>Batlle,Katya</t>
  </si>
  <si>
    <t>Baldwin,Sam D</t>
  </si>
  <si>
    <t>Constant,Melvin G</t>
  </si>
  <si>
    <t>Cutts,Rebecca M</t>
  </si>
  <si>
    <t>Dortch,Angelique D</t>
  </si>
  <si>
    <t>Goodman,Jessica E</t>
  </si>
  <si>
    <t>Gormaley,Amy</t>
  </si>
  <si>
    <t>Plotsky,Deborah</t>
  </si>
  <si>
    <t>Prince,Mary</t>
  </si>
  <si>
    <t>Smallwood,Tiffany</t>
  </si>
  <si>
    <t>Smith,Kasey</t>
  </si>
  <si>
    <t>Williams,Ashley D</t>
  </si>
  <si>
    <t>Xia,Tianshi</t>
  </si>
  <si>
    <t>Abrams,Alfred</t>
  </si>
  <si>
    <t>Abramyan,Anatoly</t>
  </si>
  <si>
    <t>Abramyan,Elena</t>
  </si>
  <si>
    <t>Adgo,Yewoinhareg A</t>
  </si>
  <si>
    <t>Aldridge,Rekeana L</t>
  </si>
  <si>
    <t>Allah,Zakiyyah</t>
  </si>
  <si>
    <t>Andrews,Regina</t>
  </si>
  <si>
    <t>Asfaw,Gelilla D</t>
  </si>
  <si>
    <t>Baker,Marcus T</t>
  </si>
  <si>
    <t>Ball,Wynfrey W</t>
  </si>
  <si>
    <t>Benning,Tiffany N</t>
  </si>
  <si>
    <t>Bernard,Caridad</t>
  </si>
  <si>
    <t>Berry,Galen P</t>
  </si>
  <si>
    <t>Billings,Alma J</t>
  </si>
  <si>
    <t>Bobo,Brittany</t>
  </si>
  <si>
    <t>Bradley,William</t>
  </si>
  <si>
    <t>Brown,Kevin J</t>
  </si>
  <si>
    <t>Bryant,Herschell D</t>
  </si>
  <si>
    <t>Burnett,Wendell</t>
  </si>
  <si>
    <t>Byrd,Michael T</t>
  </si>
  <si>
    <t>Chisom,Tia J</t>
  </si>
  <si>
    <t>Clark,Lauren</t>
  </si>
  <si>
    <t>Copeland,Shameika C</t>
  </si>
  <si>
    <t>Cuadra,Javier</t>
  </si>
  <si>
    <t>Davis,Belinda P</t>
  </si>
  <si>
    <t>Duckett,Katrice M</t>
  </si>
  <si>
    <t>Elliott,Teresa E</t>
  </si>
  <si>
    <t>Fields,Cynthia D</t>
  </si>
  <si>
    <t>Fitzgerald Jr,Gettis W</t>
  </si>
  <si>
    <t>Fradestin,Roland</t>
  </si>
  <si>
    <t>Freeman,Angela</t>
  </si>
  <si>
    <t>Frierson,Maggie F</t>
  </si>
  <si>
    <t>George,Warren A</t>
  </si>
  <si>
    <t>Gilliam,Micaiah A</t>
  </si>
  <si>
    <t>Grant,John</t>
  </si>
  <si>
    <t>Gresham,Mignonne C</t>
  </si>
  <si>
    <t>Hamilton,Andre L</t>
  </si>
  <si>
    <t>Hampton,Joyce A</t>
  </si>
  <si>
    <t>Harris,Quanterion T</t>
  </si>
  <si>
    <t>Harrison,Rondy</t>
  </si>
  <si>
    <t>Heard-Strickland,Sophia R</t>
  </si>
  <si>
    <t>Herring,Vincent E</t>
  </si>
  <si>
    <t>Hillian Jr,Clifton E</t>
  </si>
  <si>
    <t>Hodge,Malcolm J</t>
  </si>
  <si>
    <t>Horton,Marcus E</t>
  </si>
  <si>
    <t>Howard,Paulette</t>
  </si>
  <si>
    <t>Hudson,Sanitra</t>
  </si>
  <si>
    <t>Jefferies,Carla N</t>
  </si>
  <si>
    <t>Johnson,Keith</t>
  </si>
  <si>
    <t>Johnson,Krystal S</t>
  </si>
  <si>
    <t>Johnson,Telicia D</t>
  </si>
  <si>
    <t>Jones,Barbara G</t>
  </si>
  <si>
    <t>Jones,Tamika L</t>
  </si>
  <si>
    <t>Kalonji,Tshala J</t>
  </si>
  <si>
    <t>Karimi,Sara</t>
  </si>
  <si>
    <t>Kassa,Bizuayehu A</t>
  </si>
  <si>
    <t>Kay,Regina L</t>
  </si>
  <si>
    <t>Key,Toriano D</t>
  </si>
  <si>
    <t>Kimble,Sunday Y</t>
  </si>
  <si>
    <t>Kosoko,Marjorie E</t>
  </si>
  <si>
    <t>Laidler,Lakeisha N</t>
  </si>
  <si>
    <t>Latten,Sade M</t>
  </si>
  <si>
    <t>Livingston,Jordana D</t>
  </si>
  <si>
    <t>Lucas,Starkema F</t>
  </si>
  <si>
    <t>Major,Damian A</t>
  </si>
  <si>
    <t>McNabb,Lashunda D</t>
  </si>
  <si>
    <t>Mendez,Juana</t>
  </si>
  <si>
    <t>Molette,Anwar L</t>
  </si>
  <si>
    <t>Monroe,Wilson D</t>
  </si>
  <si>
    <t>Morgan,Lisa K</t>
  </si>
  <si>
    <t>Morrell,Christina S</t>
  </si>
  <si>
    <t>Mulamba,Mappy K</t>
  </si>
  <si>
    <t>Nassiri,Laila</t>
  </si>
  <si>
    <t>Nelson,Tiquila T</t>
  </si>
  <si>
    <t>Palmer,Ronald L</t>
  </si>
  <si>
    <t>Pittman,Roderick W</t>
  </si>
  <si>
    <t>Ponder,Demark</t>
  </si>
  <si>
    <t>Ramey,Yolanda Y</t>
  </si>
  <si>
    <t>Reid,Clara M</t>
  </si>
  <si>
    <t>Richardson,Charles A</t>
  </si>
  <si>
    <t>Saffo,Timothy</t>
  </si>
  <si>
    <t>Smith,Carlos C</t>
  </si>
  <si>
    <t>Smith,Cassandra C</t>
  </si>
  <si>
    <t>Smith,Pamela C</t>
  </si>
  <si>
    <t>Spikes,K-narsha S</t>
  </si>
  <si>
    <t>Staples,Ceirra S</t>
  </si>
  <si>
    <t>Starks,Tony A</t>
  </si>
  <si>
    <t>Stephens,Shaundell N</t>
  </si>
  <si>
    <t>Taffe,Kevin C</t>
  </si>
  <si>
    <t>Thomas,Shelby</t>
  </si>
  <si>
    <t>Upshaw Jr,Victor L</t>
  </si>
  <si>
    <t>Wantee,Varnie</t>
  </si>
  <si>
    <t>Washington-Stanton,Ramona L</t>
  </si>
  <si>
    <t>Williams,Derek L</t>
  </si>
  <si>
    <t>Wilson,John W</t>
  </si>
  <si>
    <t>Withers,Lamickicia N</t>
  </si>
  <si>
    <t>Young,Antoris Q</t>
  </si>
  <si>
    <t>Ascencio,Ana I</t>
  </si>
  <si>
    <t>Atwater,Tony T</t>
  </si>
  <si>
    <t>Banks,Marilyn L</t>
  </si>
  <si>
    <t>Belcher,Alfreda</t>
  </si>
  <si>
    <t>Bradley,Evelyn F</t>
  </si>
  <si>
    <t>Briney,Rachel M</t>
  </si>
  <si>
    <t>Brooks,Taiwanna L</t>
  </si>
  <si>
    <t>Brown,Geraldine</t>
  </si>
  <si>
    <t>Brown,Marcus O</t>
  </si>
  <si>
    <t>Caudle,Willie N</t>
  </si>
  <si>
    <t>Clark,Richard T</t>
  </si>
  <si>
    <t>Daggs-Armstead,Shennon D</t>
  </si>
  <si>
    <t>Denton,Suzanna</t>
  </si>
  <si>
    <t>Fears,Terrance A</t>
  </si>
  <si>
    <t>Gray,Deborah A</t>
  </si>
  <si>
    <t>Ham,Byron</t>
  </si>
  <si>
    <t>Hospodarsky,Cynthia A</t>
  </si>
  <si>
    <t>Howard,Latoya D</t>
  </si>
  <si>
    <t>Humpheries,Creshandra L</t>
  </si>
  <si>
    <t>Jenkins,Obera S</t>
  </si>
  <si>
    <t>Johnson,Dexter L</t>
  </si>
  <si>
    <t>Lackey,Tiffany N</t>
  </si>
  <si>
    <t>Manuel,Charles</t>
  </si>
  <si>
    <t>Mitchell,Helen A</t>
  </si>
  <si>
    <t>Nolley,Maricus</t>
  </si>
  <si>
    <t>Parent,Scott G</t>
  </si>
  <si>
    <t>Porche,Ernel</t>
  </si>
  <si>
    <t>Robinson,Deonta S</t>
  </si>
  <si>
    <t>Smalls,Bridgett C</t>
  </si>
  <si>
    <t>Smith,Patsy J</t>
  </si>
  <si>
    <t>Smith,Yorkshire A</t>
  </si>
  <si>
    <t>Stanley,Annabelle L</t>
  </si>
  <si>
    <t>Vojtesak,Sheryl L</t>
  </si>
  <si>
    <t>White,Angela N</t>
  </si>
  <si>
    <t>White,Tarrance</t>
  </si>
  <si>
    <t>Wilborn,Kevin R</t>
  </si>
  <si>
    <t>Williams,Kathleen F</t>
  </si>
  <si>
    <t>Willis,Isaiah</t>
  </si>
  <si>
    <t>Aaron,Kim M</t>
  </si>
  <si>
    <t>Alonzo,Isabel</t>
  </si>
  <si>
    <t>Anderson,Jaleesa</t>
  </si>
  <si>
    <t>Armstead,Dantae</t>
  </si>
  <si>
    <t>Armstead,Marquez</t>
  </si>
  <si>
    <t>Bailey,Bonnie W</t>
  </si>
  <si>
    <t>Benton,Stacy Y</t>
  </si>
  <si>
    <t>Booker,Alaska</t>
  </si>
  <si>
    <t>Boykin,Marquia</t>
  </si>
  <si>
    <t>Bozeman Jr,Harrell</t>
  </si>
  <si>
    <t>Brown,Kimberly Y</t>
  </si>
  <si>
    <t>Carmichael Jr,Dwight K</t>
  </si>
  <si>
    <t>Carter,Carlton B</t>
  </si>
  <si>
    <t>Clayton,Courtney</t>
  </si>
  <si>
    <t>Collier,Destiny C</t>
  </si>
  <si>
    <t>Collins,Walter</t>
  </si>
  <si>
    <t>Crafter,Lekenya Y</t>
  </si>
  <si>
    <t>Crockett,Matthew</t>
  </si>
  <si>
    <t>Davis,Kelvin J</t>
  </si>
  <si>
    <t>Dey,Sajal M</t>
  </si>
  <si>
    <t>Dorsey,Alandress</t>
  </si>
  <si>
    <t>Estevez,Jessica</t>
  </si>
  <si>
    <t>Fambro,Yolanda M</t>
  </si>
  <si>
    <t>Fielder,Quentin D</t>
  </si>
  <si>
    <t>Finch,Leroy</t>
  </si>
  <si>
    <t>Fleming,Teresa M</t>
  </si>
  <si>
    <t>Forsido,Bekele</t>
  </si>
  <si>
    <t>Franks,Mattie C</t>
  </si>
  <si>
    <t>Gates,Brittany M</t>
  </si>
  <si>
    <t>Germain,Christine A</t>
  </si>
  <si>
    <t>Germain,Eliott</t>
  </si>
  <si>
    <t>Gibson,Roy P</t>
  </si>
  <si>
    <t>Givens,Cecilia</t>
  </si>
  <si>
    <t>Greene,Brittany I</t>
  </si>
  <si>
    <t>Hailu,Frewoini</t>
  </si>
  <si>
    <t>Hernandez,Francisca E</t>
  </si>
  <si>
    <t>Hight,Derrick O</t>
  </si>
  <si>
    <t>Hill,Latrecia</t>
  </si>
  <si>
    <t>Hussen,Kemerya R</t>
  </si>
  <si>
    <t>Jackson,Shalisha</t>
  </si>
  <si>
    <t>James,Zakiyyah</t>
  </si>
  <si>
    <t>Johnson,Michael</t>
  </si>
  <si>
    <t>Joyner,Henry W</t>
  </si>
  <si>
    <t>Jules,Allana V</t>
  </si>
  <si>
    <t>Kirksey,Jeria D</t>
  </si>
  <si>
    <t>Lee,Tanya E</t>
  </si>
  <si>
    <t>Lewis,Shannon J</t>
  </si>
  <si>
    <t>Manuel,Shankeya N</t>
  </si>
  <si>
    <t>Mathis,Ashley</t>
  </si>
  <si>
    <t>Mayfield,Stanley B</t>
  </si>
  <si>
    <t>Mc Dougald,Reginald L</t>
  </si>
  <si>
    <t>Mkwanazi,Ashley E</t>
  </si>
  <si>
    <t>Moore,Danny B</t>
  </si>
  <si>
    <t>Murphy,Patricia A</t>
  </si>
  <si>
    <t>Nolley,David R</t>
  </si>
  <si>
    <t>Nurse,Dorcas D</t>
  </si>
  <si>
    <t>Pace,Keisha H</t>
  </si>
  <si>
    <t>Powell,Lunita R</t>
  </si>
  <si>
    <t>Richardson,Debra J</t>
  </si>
  <si>
    <t>Riza,Jameel</t>
  </si>
  <si>
    <t>Ruffin,Sheila</t>
  </si>
  <si>
    <t>Scales,Dominic G</t>
  </si>
  <si>
    <t>Scott,Elesia R</t>
  </si>
  <si>
    <t>Shelton,Carol A</t>
  </si>
  <si>
    <t>Sims-Blake,Evonne R</t>
  </si>
  <si>
    <t>Sisco,Voncil</t>
  </si>
  <si>
    <t>Smith,Joshua N</t>
  </si>
  <si>
    <t>Strozier,Deleah</t>
  </si>
  <si>
    <t>Thornton,Marjester Leon</t>
  </si>
  <si>
    <t>Tiller,Albert L</t>
  </si>
  <si>
    <t>Watkins,George O</t>
  </si>
  <si>
    <t>Watts,Lucy A</t>
  </si>
  <si>
    <t>Wiley,Artie S</t>
  </si>
  <si>
    <t>Williams,Marsha D</t>
  </si>
  <si>
    <t>Griffin,Sandra D</t>
  </si>
  <si>
    <t>Taylor,Latiffany N</t>
  </si>
  <si>
    <t>Bostick,Chalyndia T</t>
  </si>
  <si>
    <t>Burch,Tasha A</t>
  </si>
  <si>
    <t>Bush,Adrienne</t>
  </si>
  <si>
    <t>Cuku,Resmie</t>
  </si>
  <si>
    <t>Mitchell,Maureen A</t>
  </si>
  <si>
    <t>Benjamin,Dwayne</t>
  </si>
  <si>
    <t>Greer,Vernika P</t>
  </si>
  <si>
    <t>Hernandez,Etan M</t>
  </si>
  <si>
    <t>Jaynes,Antionette V</t>
  </si>
  <si>
    <t>Jordan,Paula R</t>
  </si>
  <si>
    <t>McClellan,Krystle F</t>
  </si>
  <si>
    <t>Nelson,Deangelo</t>
  </si>
  <si>
    <t>Parks,Veronica</t>
  </si>
  <si>
    <t>Rucker,Kimishia K</t>
  </si>
  <si>
    <t>Smith,Kessango K</t>
  </si>
  <si>
    <t>Washington,Quincee A</t>
  </si>
  <si>
    <t>Batista,Pedro J</t>
  </si>
  <si>
    <t>Boyce,Tammie T</t>
  </si>
  <si>
    <t>Carter,Jessica</t>
  </si>
  <si>
    <t>Elliott,Sharne</t>
  </si>
  <si>
    <t>James,Sandra</t>
  </si>
  <si>
    <t>Jackson,David A</t>
  </si>
  <si>
    <t>Quinonez,Elizabeth</t>
  </si>
  <si>
    <t>Stanley,Vincent</t>
  </si>
  <si>
    <t>Taliercio,Elise S</t>
  </si>
  <si>
    <t>Watts,Angela R</t>
  </si>
  <si>
    <t>Yates,Nefertiti</t>
  </si>
  <si>
    <t>Eubanks,Nicole L</t>
  </si>
  <si>
    <t>Harrison,Roger</t>
  </si>
  <si>
    <t>Harvey,Jason T</t>
  </si>
  <si>
    <t>Leonard,Steve P</t>
  </si>
  <si>
    <t>Randle,Leonard</t>
  </si>
  <si>
    <t>Shaw,Robert F</t>
  </si>
  <si>
    <t>Young,Melinda M</t>
  </si>
  <si>
    <t>Anderson,Jerron L</t>
  </si>
  <si>
    <t>Blakely,Essie L</t>
  </si>
  <si>
    <t>Goodman,Della M</t>
  </si>
  <si>
    <t>Jackson,Lewis E</t>
  </si>
  <si>
    <t>Whipple,Bobbie J</t>
  </si>
  <si>
    <t>White,Quanita D</t>
  </si>
  <si>
    <t>Brittian,Lamont</t>
  </si>
  <si>
    <t>Brooks,Sasha R</t>
  </si>
  <si>
    <t>Brown,Trina L</t>
  </si>
  <si>
    <t>Gibson,Tamika L</t>
  </si>
  <si>
    <t>Holsey,Stephanie</t>
  </si>
  <si>
    <t>Hopkins,Kortez</t>
  </si>
  <si>
    <t>McCann,Charonda L</t>
  </si>
  <si>
    <t>Parks,Iesha</t>
  </si>
  <si>
    <t>Smith,Raymond D</t>
  </si>
  <si>
    <t>Swinger,Latoia T</t>
  </si>
  <si>
    <t>Andrews,Alicia</t>
  </si>
  <si>
    <t>Burns,Tikela N</t>
  </si>
  <si>
    <t>Delgado,Daniel C</t>
  </si>
  <si>
    <t>Flemister,Susan</t>
  </si>
  <si>
    <t>Freeman,Grady</t>
  </si>
  <si>
    <t>Reid,Paris K</t>
  </si>
  <si>
    <t>Seivright,Odette M</t>
  </si>
  <si>
    <t>Vines,Brittany D</t>
  </si>
  <si>
    <t>Baker,Evelyn M</t>
  </si>
  <si>
    <t>Brown,Lakiesha C</t>
  </si>
  <si>
    <t>Hicks,Stephanie R</t>
  </si>
  <si>
    <t>Jackson,Tasha L</t>
  </si>
  <si>
    <t>Mays,Timothy K</t>
  </si>
  <si>
    <t>Sankareh,Charolette</t>
  </si>
  <si>
    <t>Townsend,Aisha P</t>
  </si>
  <si>
    <t>Tucker,Tiffany T</t>
  </si>
  <si>
    <t>Aminov,Iosif K</t>
  </si>
  <si>
    <t>Andrews,Pamela J</t>
  </si>
  <si>
    <t>Childs,Latoinia P</t>
  </si>
  <si>
    <t>Fedison,Keyana T</t>
  </si>
  <si>
    <t>Full,Rosland R</t>
  </si>
  <si>
    <t>Major,Janice D</t>
  </si>
  <si>
    <t>Perrien,Edreakis J</t>
  </si>
  <si>
    <t>Sanford,Tiffany S</t>
  </si>
  <si>
    <t>Shingles,Idella</t>
  </si>
  <si>
    <t>Smith,Angelia L</t>
  </si>
  <si>
    <t>Smith,Ellener C</t>
  </si>
  <si>
    <t>Love,Karima Z</t>
  </si>
  <si>
    <t>Cobb,Kymetha J</t>
  </si>
  <si>
    <t>Chun,Erin</t>
  </si>
  <si>
    <t>Davis,Arthur L</t>
  </si>
  <si>
    <t>Giles-Brown,Melinda D</t>
  </si>
  <si>
    <t>Horton,Phaidra A</t>
  </si>
  <si>
    <t>Hunt,Donna</t>
  </si>
  <si>
    <t>Keller,Amber</t>
  </si>
  <si>
    <t>Morris,Tamisha</t>
  </si>
  <si>
    <t>Najera,Yasmin</t>
  </si>
  <si>
    <t>Rankins,Natasha Q</t>
  </si>
  <si>
    <t>Warkentin,Kevin</t>
  </si>
  <si>
    <t>Zuzi,Vanessa</t>
  </si>
  <si>
    <t>Brown,Shontise E</t>
  </si>
  <si>
    <t>Walker,Gwendolyn</t>
  </si>
  <si>
    <t>Johnson-Mcguire,Stephanie</t>
  </si>
  <si>
    <t>Burton,Keyuana K</t>
  </si>
  <si>
    <t>Raindrop,Tameas S</t>
  </si>
  <si>
    <t>Smith,Carlene E</t>
  </si>
  <si>
    <t>Canon,Clara E</t>
  </si>
  <si>
    <t>Dollard,Phillip R</t>
  </si>
  <si>
    <t>Griffen,Elizabeth</t>
  </si>
  <si>
    <t>Habermann,Lila G</t>
  </si>
  <si>
    <t>Hankins,Camille H</t>
  </si>
  <si>
    <t>Kosciuszko,Eric S</t>
  </si>
  <si>
    <t>Ladov,Lauren E</t>
  </si>
  <si>
    <t>Li,Rebecca G</t>
  </si>
  <si>
    <t>McCrae,Kristen</t>
  </si>
  <si>
    <t>Shi,Eileen</t>
  </si>
  <si>
    <t>Skibell,Arianna</t>
  </si>
  <si>
    <t>Sporn,Jefferson B</t>
  </si>
  <si>
    <t>Ware Ii,Arista D</t>
  </si>
  <si>
    <t>Whitaker,Emma</t>
  </si>
  <si>
    <t>Wilcox,Margaret A</t>
  </si>
  <si>
    <t>Sims,Albert L</t>
  </si>
  <si>
    <t>Miles,Glenda D</t>
  </si>
  <si>
    <t>Bignell,Gillian Harte</t>
  </si>
  <si>
    <t>Payton,Nakiesha</t>
  </si>
  <si>
    <t>Accrual Nov Wk 4</t>
  </si>
  <si>
    <t>*This report is not intended for employee signoff.</t>
  </si>
  <si>
    <t>Unit Number/Name: 41400001 - EMORY UNIVERSITY-ADMIN</t>
  </si>
  <si>
    <t>Work Site: ALL</t>
  </si>
  <si>
    <t>Subsection: ALL</t>
  </si>
  <si>
    <t>Employee of: ALL</t>
  </si>
  <si>
    <t>EMPLID</t>
  </si>
  <si>
    <t>Rate or Non-</t>
  </si>
  <si>
    <t>Friday</t>
  </si>
  <si>
    <t>Saturday</t>
  </si>
  <si>
    <t>Sunday</t>
  </si>
  <si>
    <t>Monday</t>
  </si>
  <si>
    <t>Tuesday</t>
  </si>
  <si>
    <t>Wednesday</t>
  </si>
  <si>
    <t>Totals</t>
  </si>
  <si>
    <t>Productive Task</t>
  </si>
  <si>
    <t>Baldwin, Sam</t>
  </si>
  <si>
    <t>Batlle, Katya</t>
  </si>
  <si>
    <t>Constant, Melvin</t>
  </si>
  <si>
    <t>Cutts, Rebecca</t>
  </si>
  <si>
    <t>Dortch, Angelique</t>
  </si>
  <si>
    <t>Goodman, Jessica</t>
  </si>
  <si>
    <t>Payton, Nakiesha</t>
  </si>
  <si>
    <t>Plotsky, Deborah</t>
  </si>
  <si>
    <t>Prince, Mary</t>
  </si>
  <si>
    <t>Smallwood, Tiffany</t>
  </si>
  <si>
    <t>Smith, Kasey</t>
  </si>
  <si>
    <t>Williams, Ashley</t>
  </si>
  <si>
    <t>Xia, Tianshi</t>
  </si>
  <si>
    <t>Unit Summary</t>
  </si>
  <si>
    <t>Unit Number/Name: 41400002 - EMORY UNIV-DOBBS CT-RES DINING</t>
  </si>
  <si>
    <t>Work Site: 41400AAB - EMORY UNIV-DOBBS CT-RES DINING</t>
  </si>
  <si>
    <t>Abramyan, Elena</t>
  </si>
  <si>
    <t>Adgo, Yewoinhareg</t>
  </si>
  <si>
    <t>Ball, Wynfrey</t>
  </si>
  <si>
    <t>Jefferies, Carla</t>
  </si>
  <si>
    <t>Johnson, Telicia</t>
  </si>
  <si>
    <t>Kassa, Bizuayehu</t>
  </si>
  <si>
    <t>Key, Toriano</t>
  </si>
  <si>
    <t>Kosoko, Marjorie</t>
  </si>
  <si>
    <t>Laidler, Lakeisha</t>
  </si>
  <si>
    <t>Latten, Sade</t>
  </si>
  <si>
    <t>Livingston, Jordana</t>
  </si>
  <si>
    <t>McNabb, Lashunda</t>
  </si>
  <si>
    <t>Monroe, Wilson</t>
  </si>
  <si>
    <t>Morgan, Lisa</t>
  </si>
  <si>
    <t>Mulamba, Mappy</t>
  </si>
  <si>
    <t>Nelson, Tiquila</t>
  </si>
  <si>
    <t>Ponder, Demark</t>
  </si>
  <si>
    <t>Reid, Clara</t>
  </si>
  <si>
    <t>Saffo, Timothy</t>
  </si>
  <si>
    <t>Vacation (Implemented)</t>
  </si>
  <si>
    <t>Billings, Alma</t>
  </si>
  <si>
    <t>Cuadra, Javier</t>
  </si>
  <si>
    <t>Davis, Belinda</t>
  </si>
  <si>
    <t>Fradestin, Roland</t>
  </si>
  <si>
    <t>Frierson, Maggie</t>
  </si>
  <si>
    <t>Hillian, Clifton</t>
  </si>
  <si>
    <t>Hodge, Malcolm</t>
  </si>
  <si>
    <t>Howard, Paulette</t>
  </si>
  <si>
    <t>Hudson, Sanitra</t>
  </si>
  <si>
    <t>Johnson, Krystal</t>
  </si>
  <si>
    <t>Jones, Barbara</t>
  </si>
  <si>
    <t>Kalonji, Tshala</t>
  </si>
  <si>
    <t>Unit Number/Name: 41400003 - EMORY UNIV-OXFORD COLL-RES DIN</t>
  </si>
  <si>
    <t>Ascencio, Ana</t>
  </si>
  <si>
    <t>Atwater, Tony</t>
  </si>
  <si>
    <t>Clark, Richard</t>
  </si>
  <si>
    <t>Daggs-Armstead, Shennon</t>
  </si>
  <si>
    <t>Denton, Suzanna</t>
  </si>
  <si>
    <t>Ham, Byron</t>
  </si>
  <si>
    <t>Henderson, Shadonna</t>
  </si>
  <si>
    <t>Howard, Latoya</t>
  </si>
  <si>
    <t>Johnson, Dexter</t>
  </si>
  <si>
    <t>Lackey, Tiffany</t>
  </si>
  <si>
    <t>Manuel, Charles</t>
  </si>
  <si>
    <t>Mitchell, Helen</t>
  </si>
  <si>
    <t>Nolley, Maricus</t>
  </si>
  <si>
    <t>Parent, Scott</t>
  </si>
  <si>
    <t>Porche, Ernel</t>
  </si>
  <si>
    <t>Robinson, Deonta</t>
  </si>
  <si>
    <t>Smith, Yorkshire</t>
  </si>
  <si>
    <t>Vojtesak, Sheryl</t>
  </si>
  <si>
    <t>White, Tarrance</t>
  </si>
  <si>
    <t>Wilborn, Kevin</t>
  </si>
  <si>
    <t>Unit Number/Name: 41400004 - EMORY UNIV-COX HALL-RETAIL</t>
  </si>
  <si>
    <t>Aaron, Kim</t>
  </si>
  <si>
    <t>Alonzo, Isabel</t>
  </si>
  <si>
    <t>Anderson, Jaleesa</t>
  </si>
  <si>
    <t>Armstead, Dantae</t>
  </si>
  <si>
    <t>Armstead, Marquez</t>
  </si>
  <si>
    <t>Bailey, Bonnie</t>
  </si>
  <si>
    <t>Benton, Stacy</t>
  </si>
  <si>
    <t>Booker, Alaska</t>
  </si>
  <si>
    <t>Unpaid - Mgr Asked No Work</t>
  </si>
  <si>
    <t>Brown, Kimberly</t>
  </si>
  <si>
    <t>Carmichael, Dwight</t>
  </si>
  <si>
    <t>Carter, Carlton</t>
  </si>
  <si>
    <t>Clayton, Courtney</t>
  </si>
  <si>
    <t>Collier, Destiny</t>
  </si>
  <si>
    <t>Collins, Walter</t>
  </si>
  <si>
    <t>Crafter, Lekenya</t>
  </si>
  <si>
    <t>Crockett, Matthew</t>
  </si>
  <si>
    <t>Davis, Kelvin</t>
  </si>
  <si>
    <t>Dey, Sajal</t>
  </si>
  <si>
    <t>Dorsey, Alandress</t>
  </si>
  <si>
    <t>Estevez, Jessica</t>
  </si>
  <si>
    <t>Fielder, Quentin</t>
  </si>
  <si>
    <t>Finch, Leroy</t>
  </si>
  <si>
    <t>Fleming, Teresa</t>
  </si>
  <si>
    <t>Forsido, Bekele</t>
  </si>
  <si>
    <t>Franks, Mattie</t>
  </si>
  <si>
    <t>Gates, Brittany</t>
  </si>
  <si>
    <t>Germain, Christine</t>
  </si>
  <si>
    <t>Germain, Eliott</t>
  </si>
  <si>
    <t>Givens, Cecilia</t>
  </si>
  <si>
    <t>Greene, Brittany</t>
  </si>
  <si>
    <t>Hailu, Frewoini</t>
  </si>
  <si>
    <t>Hernandez, Francisca</t>
  </si>
  <si>
    <t>Hight, Derrick</t>
  </si>
  <si>
    <t>Hill, Latrecia</t>
  </si>
  <si>
    <t>Hussen, Kemerya</t>
  </si>
  <si>
    <t>Jackson, Shalisha</t>
  </si>
  <si>
    <t>James, Zakiyyah</t>
  </si>
  <si>
    <t>Johnson, Michael</t>
  </si>
  <si>
    <t>Joyner, Henry</t>
  </si>
  <si>
    <t>Jules, Allana</t>
  </si>
  <si>
    <t>Kirksey, Jeria</t>
  </si>
  <si>
    <t>Lee, Tanya</t>
  </si>
  <si>
    <t>Lewis, Shannon</t>
  </si>
  <si>
    <t>Manuel, Shankeya</t>
  </si>
  <si>
    <t>Mathis, Ashley</t>
  </si>
  <si>
    <t>Mayfield, Stanley</t>
  </si>
  <si>
    <t>Mc Dougald, Reginald</t>
  </si>
  <si>
    <t>Mkwanazi, Ashley</t>
  </si>
  <si>
    <t>Moore, Danny</t>
  </si>
  <si>
    <t>Murphy, Patricia</t>
  </si>
  <si>
    <t>Nolley, David</t>
  </si>
  <si>
    <t>Nurse, Dorcas</t>
  </si>
  <si>
    <t>Pace, Keisha</t>
  </si>
  <si>
    <t>Powell, Lunita</t>
  </si>
  <si>
    <t>Richardson, Debra</t>
  </si>
  <si>
    <t>Riza, Jameel</t>
  </si>
  <si>
    <t>Ruffin, Sheila</t>
  </si>
  <si>
    <t>Scott, Elesia</t>
  </si>
  <si>
    <t>Shelton, Carol</t>
  </si>
  <si>
    <t>Sims-Blake, Evonne</t>
  </si>
  <si>
    <t>Sisco, Voncil</t>
  </si>
  <si>
    <t>Smith, Joshua</t>
  </si>
  <si>
    <t>Strozier, Deleah</t>
  </si>
  <si>
    <t>Thornton, Marjester</t>
  </si>
  <si>
    <t>Tiller, Albert</t>
  </si>
  <si>
    <t>Watkins, George</t>
  </si>
  <si>
    <t>Watts, Lucy</t>
  </si>
  <si>
    <t>Wiley, Artie</t>
  </si>
  <si>
    <t>Williams, Marsha</t>
  </si>
  <si>
    <t>Unit Number/Name: 41400005 - EMORY UNIV - WOW CAFE&amp;WINGERY</t>
  </si>
  <si>
    <t>Griffin, Sandra</t>
  </si>
  <si>
    <t>Lent From: 41400004</t>
  </si>
  <si>
    <t>Taylor, Latiffany</t>
  </si>
  <si>
    <t>Unit Number/Name: 41400006 - EMORY UNIV-COX HALL-CHICK FILA</t>
  </si>
  <si>
    <t>Bostick, Chalyndia</t>
  </si>
  <si>
    <t>Burch, Tasha</t>
  </si>
  <si>
    <t>Bush, Adrienne</t>
  </si>
  <si>
    <t>Cuku, Resmie</t>
  </si>
  <si>
    <t>Mitchell, Maureen</t>
  </si>
  <si>
    <t>Unit Number/Name: 41400007 - EMORY UNIV-SAC BUILDG-RETAIL</t>
  </si>
  <si>
    <t>Benjamin, Dwayne</t>
  </si>
  <si>
    <t>Greer, Vernika</t>
  </si>
  <si>
    <t>Jaynes, Antionette</t>
  </si>
  <si>
    <t>Jordan, Paula</t>
  </si>
  <si>
    <t>McClellan, Krystle</t>
  </si>
  <si>
    <t>Nelson, Deangelo</t>
  </si>
  <si>
    <t>Parks, Veronica</t>
  </si>
  <si>
    <t>Rucker, Kimishia</t>
  </si>
  <si>
    <t>Unit Number/Name: 41400008 - EMORY UNIV-CATERING</t>
  </si>
  <si>
    <t>Batista, Pedro</t>
  </si>
  <si>
    <t>Bignell, Gillian</t>
  </si>
  <si>
    <t>Boyce, Tammie</t>
  </si>
  <si>
    <t>Carter, Jessica</t>
  </si>
  <si>
    <t>Elliott, Sharne</t>
  </si>
  <si>
    <t>Jackson, David</t>
  </si>
  <si>
    <t>James, Sandra</t>
  </si>
  <si>
    <t>Quinonez, Elizabeth</t>
  </si>
  <si>
    <t>Stanley, Vincent</t>
  </si>
  <si>
    <t>Taliercio, Elise</t>
  </si>
  <si>
    <t>Watts, Angela</t>
  </si>
  <si>
    <t>Yates, Nefertiti</t>
  </si>
  <si>
    <t>Unit Number/Name: 41400009 - EMORY UNIV-WOODRUFFRGF-RETAIL</t>
  </si>
  <si>
    <t>Eubanks, Nicole</t>
  </si>
  <si>
    <t>Harrison, Roger</t>
  </si>
  <si>
    <t>Leonard, Steve</t>
  </si>
  <si>
    <t>Shaw, Robert</t>
  </si>
  <si>
    <t>Young, Melinda</t>
  </si>
  <si>
    <t>Unit Number/Name: 41400010 - EMORY UNIV-FACULTY DINING</t>
  </si>
  <si>
    <t>Anderson, Jerron</t>
  </si>
  <si>
    <t>Jackson, Lewis</t>
  </si>
  <si>
    <t>Unit Number/Name: 41400011 - EMORY UNIV-WOODRUFFLIBJAZZMANS</t>
  </si>
  <si>
    <t>Brown, Trina</t>
  </si>
  <si>
    <t>Freeman, Grady</t>
  </si>
  <si>
    <t>Gibson, Tamika</t>
  </si>
  <si>
    <t>Holsey, Stephanie</t>
  </si>
  <si>
    <t>Hopkins, Kortez</t>
  </si>
  <si>
    <t>McCann, Charonda</t>
  </si>
  <si>
    <t>Parks, Iesha</t>
  </si>
  <si>
    <t>Seivright, Odette</t>
  </si>
  <si>
    <t>Smith, Raymond</t>
  </si>
  <si>
    <t>Swinger, Latoia</t>
  </si>
  <si>
    <t>Williams, Shantell</t>
  </si>
  <si>
    <t>Unit Number/Name: 41400012 - EMORY UNIV-ROLLINS SCH-RETAIL</t>
  </si>
  <si>
    <t>Andrews, Alicia</t>
  </si>
  <si>
    <t>Flemister, Susan</t>
  </si>
  <si>
    <t>Vines, Brittany</t>
  </si>
  <si>
    <t>Unit Number/Name: 41400013 - EMORY UNIV-GOIZUETA-BS-RETAIL</t>
  </si>
  <si>
    <t>Baker, Evelyn</t>
  </si>
  <si>
    <t>Brown, Lakiesha</t>
  </si>
  <si>
    <t>Hicks, Stephanie</t>
  </si>
  <si>
    <t>Jackson, Tasha</t>
  </si>
  <si>
    <t>Mays, Timothy</t>
  </si>
  <si>
    <t>Sankareh, Charolette</t>
  </si>
  <si>
    <t>Townsend, Aisha</t>
  </si>
  <si>
    <t>Tucker, Tiffany</t>
  </si>
  <si>
    <t>Unit Number/Name: 41400014 - EMORY UNIV-DUC EINSTEINS</t>
  </si>
  <si>
    <t>Aminov, Iosif</t>
  </si>
  <si>
    <t>Andrews, Pamela</t>
  </si>
  <si>
    <t>Childs, Latoinia</t>
  </si>
  <si>
    <t>Fedison, Keyana</t>
  </si>
  <si>
    <t>Major, Janice</t>
  </si>
  <si>
    <t>Perrien, Edreakis</t>
  </si>
  <si>
    <t>Sanford, Tiffany</t>
  </si>
  <si>
    <t>Shingles, Idella</t>
  </si>
  <si>
    <t>Smith, Angelia</t>
  </si>
  <si>
    <t>Smith, Ellener</t>
  </si>
  <si>
    <t>Unit Number/Name: 41400017 - EMORY UNIV - CANNON CHAPEL</t>
  </si>
  <si>
    <t>Love, Karima</t>
  </si>
  <si>
    <t>Unit Number/Name: 41400021 - EMORY UNIV - STARBUCKS</t>
  </si>
  <si>
    <t>Chun, Erin</t>
  </si>
  <si>
    <t>Cobb, Kymetha</t>
  </si>
  <si>
    <t>Davis, Arthur</t>
  </si>
  <si>
    <t>Giles-Brown, Melinda</t>
  </si>
  <si>
    <t>Horton, Phaidra</t>
  </si>
  <si>
    <t>Keller, Amber</t>
  </si>
  <si>
    <t>Morris, Tamisha</t>
  </si>
  <si>
    <t>Najera, Yasmin</t>
  </si>
  <si>
    <t>Rankins, Natasha</t>
  </si>
  <si>
    <t>Warkentin, Kevin</t>
  </si>
  <si>
    <t>Zuzi, Vanessa</t>
  </si>
  <si>
    <t>Unit Number/Name: 41400022 - EMORY UNIV-PIZZA HUT</t>
  </si>
  <si>
    <t>Brown, Shontise</t>
  </si>
  <si>
    <t>Walker, Gwendolyn</t>
  </si>
  <si>
    <t>Unit Number/Name: 41400024 - EMORY UNIV-ACS</t>
  </si>
  <si>
    <t>Burton, Keyuana</t>
  </si>
  <si>
    <t>Raindrop, Tameas</t>
  </si>
  <si>
    <t>Smith, Carlene</t>
  </si>
  <si>
    <t>Unit Number/Name: 41400078 - EMORY UNIV - LAW SCHOL CALC</t>
  </si>
  <si>
    <t>SMALL, MAREE</t>
  </si>
  <si>
    <t>Sims, Albert</t>
  </si>
  <si>
    <t>Unit Number/Name: 41400079 - EMORY-WHITEHEAD BLDG</t>
  </si>
  <si>
    <t>Miles, Glenda</t>
  </si>
  <si>
    <t>Gormaley, Amy</t>
  </si>
  <si>
    <t>Subsection: 00710 - RESIDENT DINING</t>
  </si>
  <si>
    <t>Fambro, Yolanda</t>
  </si>
  <si>
    <t>Scales, Dominic</t>
  </si>
  <si>
    <t>Date Range: 12/16/2011 to 12/22/2011</t>
  </si>
  <si>
    <t>Fry, Dorothy</t>
  </si>
  <si>
    <t>Lent From: 54348001</t>
  </si>
  <si>
    <t>Lent From: 41400003</t>
  </si>
  <si>
    <t>Lent From: 41400013</t>
  </si>
  <si>
    <t>RATE 1</t>
  </si>
  <si>
    <t>Unit Number/Name: 41400023 - EMORY UNIV MEDICAL SCHOOL</t>
  </si>
  <si>
    <t>Lent From: 41400012</t>
  </si>
  <si>
    <t>Lent From: 41400078</t>
  </si>
  <si>
    <t>Smith, Cassandra</t>
  </si>
  <si>
    <t>Smith, Pamela</t>
  </si>
  <si>
    <t>Starks, Tony</t>
  </si>
  <si>
    <t>Taffe, Kevin</t>
  </si>
  <si>
    <t>Thomas, Shelby</t>
  </si>
  <si>
    <t>Upshaw, Victor</t>
  </si>
  <si>
    <t>Williams, Derek</t>
  </si>
  <si>
    <t>Wilson, John</t>
  </si>
  <si>
    <t>Abrams, Alfred</t>
  </si>
  <si>
    <t>Abramyan, Anatoly</t>
  </si>
  <si>
    <t>Aldridge, Rekeana</t>
  </si>
  <si>
    <t>Allah, Zakiyyah</t>
  </si>
  <si>
    <t>Andrews, Regina</t>
  </si>
  <si>
    <t>Asfaw, Gelilla</t>
  </si>
  <si>
    <t>Benning, Tiffany</t>
  </si>
  <si>
    <t>Brown, Kevin</t>
  </si>
  <si>
    <t>Byrd, Michael</t>
  </si>
  <si>
    <t>Copeland, Shameika</t>
  </si>
  <si>
    <t>Duckett, Katrice</t>
  </si>
  <si>
    <t>Elliott, Teresa</t>
  </si>
  <si>
    <t>Fields, Cynthia</t>
  </si>
  <si>
    <t>Gresham, Mignonne</t>
  </si>
  <si>
    <t>Heard-Strickland, Sophia</t>
  </si>
  <si>
    <t>Jones, Tamika</t>
  </si>
  <si>
    <t>Karimi, Sara</t>
  </si>
  <si>
    <t>Spikes, K-narsha</t>
  </si>
  <si>
    <t>Staples, Ceirra</t>
  </si>
  <si>
    <t>Stephens, Shaundell</t>
  </si>
  <si>
    <t>Wantee, Varnie</t>
  </si>
  <si>
    <t>Washington-Stanton, Ramona</t>
  </si>
  <si>
    <t>Withers, Lamickicia</t>
  </si>
  <si>
    <t>Young, Antoris</t>
  </si>
  <si>
    <t>Time Summary Estimator Report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</si>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</sst>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</numFmts>
  <fonts count="2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name val="Calibri"/>
      <family val="2"/>
    </font>
    <font>
      <u val="doubleAccounting"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u val="doubleAccounting"/>
      <sz val="1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</borders>
  <cellStyleXfs count="43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1" applyNumberFormat="0" applyAlignment="0" applyProtection="0"/>
    <xf numFmtId="0" fontId="9" fillId="28" borderId="2" applyNumberFormat="0" applyAlignment="0" applyProtection="0"/>
    <xf numFmtId="0" fontId="10" fillId="0" borderId="0" applyNumberFormat="0" applyFill="0" applyBorder="0" applyAlignment="0" applyProtection="0"/>
    <xf numFmtId="0" fontId="11" fillId="2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30" borderId="1" applyNumberFormat="0" applyAlignment="0" applyProtection="0"/>
    <xf numFmtId="0" fontId="16" fillId="0" borderId="6" applyNumberFormat="0" applyFill="0" applyAlignment="0" applyProtection="0"/>
    <xf numFmtId="0" fontId="17" fillId="31" borderId="0" applyNumberFormat="0" applyBorder="0" applyAlignment="0" applyProtection="0"/>
    <xf numFmtId="0" fontId="5" fillId="0" borderId="0"/>
    <xf numFmtId="0" fontId="5" fillId="32" borderId="7" applyNumberFormat="0" applyFont="0" applyAlignment="0" applyProtection="0"/>
    <xf numFmtId="0" fontId="18" fillId="2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31">
    <xf numFmtId="0" fontId="0" fillId="0" borderId="0" xfId="0"/>
    <xf numFmtId="43" fontId="0" fillId="0" borderId="0" xfId="0" applyNumberFormat="1"/>
    <xf numFmtId="0" fontId="22" fillId="0" borderId="0" xfId="0" applyFont="1"/>
    <xf numFmtId="0" fontId="22" fillId="33" borderId="0" xfId="0" applyFont="1" applyFill="1"/>
    <xf numFmtId="0" fontId="22" fillId="0" borderId="0" xfId="0" applyFont="1" applyFill="1" applyAlignment="1">
      <alignment vertical="center"/>
    </xf>
    <xf numFmtId="0" fontId="23" fillId="0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1" fillId="33" borderId="0" xfId="0" applyFont="1" applyFill="1"/>
    <xf numFmtId="43" fontId="22" fillId="0" borderId="0" xfId="0" applyNumberFormat="1" applyFont="1"/>
    <xf numFmtId="44" fontId="22" fillId="0" borderId="0" xfId="0" applyNumberFormat="1" applyFont="1"/>
    <xf numFmtId="0" fontId="22" fillId="33" borderId="0" xfId="0" applyFont="1" applyFill="1" applyAlignment="1">
      <alignment horizontal="center" vertical="center" wrapText="1"/>
    </xf>
    <xf numFmtId="0" fontId="22" fillId="0" borderId="10" xfId="0" applyFont="1" applyBorder="1" applyAlignment="1">
      <alignment horizontal="centerContinuous" vertical="center"/>
    </xf>
    <xf numFmtId="43" fontId="22" fillId="0" borderId="11" xfId="0" applyNumberFormat="1" applyFont="1" applyBorder="1"/>
    <xf numFmtId="0" fontId="22" fillId="0" borderId="0" xfId="0" applyFont="1" applyAlignment="1">
      <alignment horizontal="center"/>
    </xf>
    <xf numFmtId="43" fontId="24" fillId="0" borderId="0" xfId="0" applyNumberFormat="1" applyFont="1"/>
    <xf numFmtId="43" fontId="4" fillId="0" borderId="0" xfId="0" applyNumberFormat="1" applyFont="1"/>
    <xf numFmtId="0" fontId="3" fillId="0" borderId="0" xfId="0" applyFont="1" applyFill="1"/>
    <xf numFmtId="43" fontId="3" fillId="0" borderId="0" xfId="0" applyNumberFormat="1" applyFont="1" applyFill="1"/>
    <xf numFmtId="14" fontId="3" fillId="0" borderId="0" xfId="0" applyNumberFormat="1" applyFont="1" applyFill="1"/>
    <xf numFmtId="0" fontId="22" fillId="0" borderId="0" xfId="0" applyNumberFormat="1" applyFont="1"/>
    <xf numFmtId="0" fontId="25" fillId="0" borderId="0" xfId="0" applyFont="1" applyFill="1" applyBorder="1"/>
    <xf numFmtId="0" fontId="23" fillId="0" borderId="0" xfId="0" applyFont="1"/>
    <xf numFmtId="0" fontId="22" fillId="33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11" xfId="0" applyFont="1" applyBorder="1"/>
    <xf numFmtId="0" fontId="22" fillId="0" borderId="12" xfId="0" applyFont="1" applyBorder="1"/>
    <xf numFmtId="43" fontId="22" fillId="0" borderId="12" xfId="0" applyNumberFormat="1" applyFont="1" applyBorder="1"/>
    <xf numFmtId="0" fontId="0" fillId="0" borderId="0" xfId="0" applyBorder="1"/>
    <xf numFmtId="8" fontId="22" fillId="0" borderId="0" xfId="0" applyNumberFormat="1" applyFont="1"/>
    <xf numFmtId="0" fontId="0" fillId="0" borderId="0" xfId="0" applyFill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te 2" xfId="38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V25"/>
  <sheetViews>
    <sheetView topLeftCell="E1" zoomScale="75" zoomScaleNormal="75" workbookViewId="0">
      <selection activeCell="D42" sqref="D42"/>
    </sheetView>
  </sheetViews>
  <sheetFormatPr defaultColWidth="9.109375" defaultRowHeight="14.4" x14ac:dyDescent="0.3"/>
  <cols>
    <col min="1" max="1" width="55.5546875" style="17" bestFit="1" customWidth="1"/>
    <col min="2" max="2" width="9.33203125" style="17" bestFit="1" customWidth="1"/>
    <col min="3" max="3" width="23.44140625" style="17" bestFit="1" customWidth="1"/>
    <col min="4" max="11" width="12.6640625" style="17" customWidth="1"/>
    <col min="12" max="12" width="20.6640625" style="17" bestFit="1" customWidth="1"/>
    <col min="13" max="13" width="9.109375" style="17"/>
    <col min="14" max="14" width="23.44140625" style="17" bestFit="1" customWidth="1"/>
    <col min="15" max="15" width="10.33203125" style="17" bestFit="1" customWidth="1"/>
    <col min="16" max="16" width="14.44140625" style="17" bestFit="1" customWidth="1"/>
    <col min="17" max="17" width="10.33203125" style="17" bestFit="1" customWidth="1"/>
    <col min="18" max="18" width="15.5546875" style="17" bestFit="1" customWidth="1"/>
    <col min="19" max="16384" width="9.109375" style="17"/>
  </cols>
  <sheetData>
    <row r="1" spans="1:256" x14ac:dyDescent="0.3">
      <c r="A1" s="17" t="s">
        <v>434</v>
      </c>
      <c r="N1" s="17">
        <f>SUM(R1,S1)</f>
        <v>4375.3700000000008</v>
      </c>
      <c r="R1" s="17">
        <f>SUM(R9:R10000)</f>
        <v>4375.3700000000008</v>
      </c>
      <c r="S1" s="17">
        <f>SUM(S9:S10000)</f>
        <v>0</v>
      </c>
      <c r="IV1"/>
    </row>
    <row r="2" spans="1:256" x14ac:dyDescent="0.3">
      <c r="A2" s="17" t="s">
        <v>435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9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449</v>
      </c>
      <c r="B9" s="17">
        <v>5039818</v>
      </c>
      <c r="C9" s="17" t="s">
        <v>12</v>
      </c>
      <c r="D9" s="18">
        <v>4</v>
      </c>
      <c r="E9" s="18">
        <v>0</v>
      </c>
      <c r="F9" s="18">
        <v>0</v>
      </c>
      <c r="G9" s="18">
        <v>0</v>
      </c>
      <c r="H9" s="18">
        <v>4</v>
      </c>
      <c r="I9" s="18">
        <v>0</v>
      </c>
      <c r="J9" s="18">
        <v>0</v>
      </c>
      <c r="K9" s="18">
        <v>8</v>
      </c>
      <c r="N9" s="17" t="s">
        <v>738</v>
      </c>
      <c r="O9" s="17">
        <f>IF(ISERROR(VLOOKUP(B9,tblRates,2,FALSE)),0,VLOOKUP(B9,tblRates,2,FALSE))</f>
        <v>15.89</v>
      </c>
      <c r="P9" s="17">
        <f t="shared" ref="P9:P25" si="0">IF(K9&gt;40,40,K9)</f>
        <v>8</v>
      </c>
      <c r="Q9" s="17">
        <f t="shared" ref="Q9:Q25" si="1">IF(K9&gt;40,K9-40,0)</f>
        <v>0</v>
      </c>
      <c r="R9" s="17">
        <f t="shared" ref="R9:R25" si="2">ROUND((O9*P9),2)</f>
        <v>127.12</v>
      </c>
      <c r="S9" s="17">
        <f t="shared" ref="S9:S25" si="3">ROUND((Q9*(O9*1.5)),2)</f>
        <v>0</v>
      </c>
    </row>
    <row r="10" spans="1:256" x14ac:dyDescent="0.3">
      <c r="A10" s="17" t="s">
        <v>450</v>
      </c>
      <c r="B10" s="17">
        <v>6092591</v>
      </c>
      <c r="C10" s="17" t="s">
        <v>12</v>
      </c>
      <c r="D10" s="18">
        <v>0</v>
      </c>
      <c r="E10" s="18">
        <v>0</v>
      </c>
      <c r="F10" s="18">
        <v>0</v>
      </c>
      <c r="G10" s="18">
        <v>4.5</v>
      </c>
      <c r="H10" s="18">
        <v>5.67</v>
      </c>
      <c r="I10" s="18">
        <v>0</v>
      </c>
      <c r="J10" s="18">
        <v>0</v>
      </c>
      <c r="K10" s="18">
        <v>10.17</v>
      </c>
      <c r="N10" s="17" t="s">
        <v>738</v>
      </c>
      <c r="O10" s="17">
        <f>IF(ISERROR(VLOOKUP(B10,tblRates,2,FALSE)),0,VLOOKUP(B10,tblRates,2,FALSE))</f>
        <v>10</v>
      </c>
      <c r="P10" s="17">
        <f t="shared" si="0"/>
        <v>10.17</v>
      </c>
      <c r="Q10" s="17">
        <f t="shared" si="1"/>
        <v>0</v>
      </c>
      <c r="R10" s="17">
        <f t="shared" si="2"/>
        <v>101.7</v>
      </c>
      <c r="S10" s="17">
        <f t="shared" si="3"/>
        <v>0</v>
      </c>
    </row>
    <row r="11" spans="1:256" x14ac:dyDescent="0.3">
      <c r="A11" s="17" t="s">
        <v>451</v>
      </c>
      <c r="B11" s="17">
        <v>5175799</v>
      </c>
      <c r="C11" s="17" t="s">
        <v>12</v>
      </c>
      <c r="D11" s="18">
        <v>7.68</v>
      </c>
      <c r="E11" s="18">
        <v>0</v>
      </c>
      <c r="F11" s="18">
        <v>0</v>
      </c>
      <c r="G11" s="18">
        <v>8.17</v>
      </c>
      <c r="H11" s="18">
        <v>8.07</v>
      </c>
      <c r="I11" s="18">
        <v>7.52</v>
      </c>
      <c r="J11" s="18">
        <v>0</v>
      </c>
      <c r="K11" s="18">
        <v>31.43</v>
      </c>
      <c r="N11" s="17" t="s">
        <v>738</v>
      </c>
      <c r="O11" s="17">
        <f>IF(ISERROR(VLOOKUP(B11,tblRates,2,FALSE)),0,VLOOKUP(B11,tblRates,2,FALSE))</f>
        <v>15.84</v>
      </c>
      <c r="P11" s="17">
        <f t="shared" si="0"/>
        <v>31.43</v>
      </c>
      <c r="Q11" s="17">
        <f t="shared" si="1"/>
        <v>0</v>
      </c>
      <c r="R11" s="17">
        <f t="shared" si="2"/>
        <v>497.85</v>
      </c>
      <c r="S11" s="17">
        <f t="shared" si="3"/>
        <v>0</v>
      </c>
    </row>
    <row r="12" spans="1:256" x14ac:dyDescent="0.3">
      <c r="A12" s="17" t="s">
        <v>451</v>
      </c>
      <c r="B12" s="17">
        <v>5175799</v>
      </c>
      <c r="C12" s="17" t="s">
        <v>14</v>
      </c>
      <c r="D12" s="18">
        <v>0</v>
      </c>
      <c r="E12" s="18">
        <v>2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2</v>
      </c>
      <c r="N12" s="17" t="s">
        <v>14</v>
      </c>
      <c r="O12" s="17">
        <f>IF(ISERROR(VLOOKUP(B12,tblRates,2,FALSE)),0,VLOOKUP(B12,tblRates,2,FALSE))</f>
        <v>15.84</v>
      </c>
      <c r="P12" s="17">
        <f t="shared" si="0"/>
        <v>2</v>
      </c>
      <c r="Q12" s="17">
        <f t="shared" si="1"/>
        <v>0</v>
      </c>
      <c r="R12" s="17">
        <f t="shared" si="2"/>
        <v>31.68</v>
      </c>
      <c r="S12" s="17">
        <f t="shared" si="3"/>
        <v>0</v>
      </c>
    </row>
    <row r="13" spans="1:256" x14ac:dyDescent="0.3">
      <c r="A13" s="17" t="s">
        <v>452</v>
      </c>
      <c r="B13" s="17">
        <v>6003738</v>
      </c>
      <c r="C13" s="17" t="s">
        <v>12</v>
      </c>
      <c r="D13" s="18">
        <v>7.57</v>
      </c>
      <c r="E13" s="18">
        <v>0</v>
      </c>
      <c r="F13" s="18">
        <v>0</v>
      </c>
      <c r="G13" s="18">
        <v>7.92</v>
      </c>
      <c r="H13" s="18">
        <v>7.97</v>
      </c>
      <c r="I13" s="18">
        <v>8</v>
      </c>
      <c r="J13" s="18">
        <v>8.4499999999999993</v>
      </c>
      <c r="K13" s="18">
        <v>39.9</v>
      </c>
      <c r="N13" s="17" t="s">
        <v>738</v>
      </c>
      <c r="O13" s="17">
        <f>IF(ISERROR(VLOOKUP(B13,tblRates,2,FALSE)),0,VLOOKUP(B13,tblRates,2,FALSE))</f>
        <v>18</v>
      </c>
      <c r="P13" s="17">
        <f t="shared" si="0"/>
        <v>39.9</v>
      </c>
      <c r="Q13" s="17">
        <f t="shared" si="1"/>
        <v>0</v>
      </c>
      <c r="R13" s="17">
        <f t="shared" si="2"/>
        <v>718.2</v>
      </c>
      <c r="S13" s="17">
        <f t="shared" si="3"/>
        <v>0</v>
      </c>
    </row>
    <row r="14" spans="1:256" x14ac:dyDescent="0.3">
      <c r="A14" s="17" t="s">
        <v>453</v>
      </c>
      <c r="B14" s="17">
        <v>5988313</v>
      </c>
      <c r="C14" s="17" t="s">
        <v>12</v>
      </c>
      <c r="D14" s="18">
        <v>7.02</v>
      </c>
      <c r="E14" s="18">
        <v>0</v>
      </c>
      <c r="F14" s="18">
        <v>0</v>
      </c>
      <c r="G14" s="18">
        <v>6.73</v>
      </c>
      <c r="H14" s="18">
        <v>7.35</v>
      </c>
      <c r="I14" s="18">
        <v>7.57</v>
      </c>
      <c r="J14" s="18">
        <v>6.9</v>
      </c>
      <c r="K14" s="18">
        <v>35.57</v>
      </c>
      <c r="N14" s="17" t="s">
        <v>738</v>
      </c>
      <c r="O14" s="17">
        <f>IF(ISERROR(VLOOKUP(B14,tblRates,2,FALSE)),0,VLOOKUP(B14,tblRates,2,FALSE))</f>
        <v>14.78</v>
      </c>
      <c r="P14" s="17">
        <f t="shared" si="0"/>
        <v>35.57</v>
      </c>
      <c r="Q14" s="17">
        <f t="shared" si="1"/>
        <v>0</v>
      </c>
      <c r="R14" s="17">
        <f t="shared" si="2"/>
        <v>525.72</v>
      </c>
      <c r="S14" s="17">
        <f t="shared" si="3"/>
        <v>0</v>
      </c>
    </row>
    <row r="15" spans="1:256" x14ac:dyDescent="0.3">
      <c r="A15" s="17" t="s">
        <v>697</v>
      </c>
      <c r="B15" s="17">
        <v>6021988</v>
      </c>
      <c r="C15" s="17" t="s">
        <v>12</v>
      </c>
      <c r="D15" s="18">
        <v>0</v>
      </c>
      <c r="E15" s="18">
        <v>0</v>
      </c>
      <c r="F15" s="18">
        <v>0</v>
      </c>
      <c r="G15" s="18">
        <v>0</v>
      </c>
      <c r="H15" s="18">
        <v>9</v>
      </c>
      <c r="I15" s="18">
        <v>6</v>
      </c>
      <c r="J15" s="18">
        <v>0</v>
      </c>
      <c r="K15" s="18">
        <v>15</v>
      </c>
      <c r="L15" s="17" t="s">
        <v>698</v>
      </c>
      <c r="N15" s="17" t="s">
        <v>738</v>
      </c>
      <c r="O15" s="17">
        <f>IF(ISERROR(VLOOKUP(B15,tblRates,2,FALSE)),0,VLOOKUP(B15,tblRates,2,FALSE))</f>
        <v>0</v>
      </c>
      <c r="P15" s="17">
        <f t="shared" si="0"/>
        <v>15</v>
      </c>
      <c r="Q15" s="17">
        <f t="shared" si="1"/>
        <v>0</v>
      </c>
      <c r="R15" s="17">
        <f t="shared" si="2"/>
        <v>0</v>
      </c>
      <c r="S15" s="17">
        <f t="shared" si="3"/>
        <v>0</v>
      </c>
    </row>
    <row r="16" spans="1:256" x14ac:dyDescent="0.3">
      <c r="A16" s="17" t="s">
        <v>454</v>
      </c>
      <c r="B16" s="17">
        <v>6084232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O16" s="17">
        <f>IF(ISERROR(VLOOKUP(B16,tblRates,2,FALSE)),0,VLOOKUP(B16,tblRates,2,FALSE))</f>
        <v>8</v>
      </c>
      <c r="P16" s="17">
        <f t="shared" si="0"/>
        <v>0</v>
      </c>
      <c r="Q16" s="17">
        <f t="shared" si="1"/>
        <v>0</v>
      </c>
      <c r="R16" s="17">
        <f t="shared" si="2"/>
        <v>0</v>
      </c>
      <c r="S16" s="17">
        <f t="shared" si="3"/>
        <v>0</v>
      </c>
    </row>
    <row r="17" spans="1:19" x14ac:dyDescent="0.3">
      <c r="A17" s="17" t="s">
        <v>692</v>
      </c>
      <c r="B17" s="17">
        <v>6042565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0</v>
      </c>
      <c r="O17" s="17">
        <f>IF(ISERROR(VLOOKUP(B17,tblRates,2,FALSE)),0,VLOOKUP(B17,tblRates,2,FALSE))</f>
        <v>8.1999999999999993</v>
      </c>
      <c r="P17" s="17">
        <f t="shared" si="0"/>
        <v>0</v>
      </c>
      <c r="Q17" s="17">
        <f t="shared" si="1"/>
        <v>0</v>
      </c>
      <c r="R17" s="17">
        <f t="shared" si="2"/>
        <v>0</v>
      </c>
      <c r="S17" s="17">
        <f t="shared" si="3"/>
        <v>0</v>
      </c>
    </row>
    <row r="18" spans="1:19" x14ac:dyDescent="0.3">
      <c r="A18" s="17" t="s">
        <v>455</v>
      </c>
      <c r="B18" s="17">
        <v>6093836</v>
      </c>
      <c r="C18" s="17" t="s">
        <v>12</v>
      </c>
      <c r="D18" s="18">
        <v>8</v>
      </c>
      <c r="E18" s="18">
        <v>0</v>
      </c>
      <c r="F18" s="18">
        <v>0</v>
      </c>
      <c r="G18" s="18">
        <v>7.75</v>
      </c>
      <c r="H18" s="18">
        <v>7.75</v>
      </c>
      <c r="I18" s="18">
        <v>5</v>
      </c>
      <c r="J18" s="18">
        <v>8.5</v>
      </c>
      <c r="K18" s="18">
        <v>37</v>
      </c>
      <c r="N18" s="17" t="s">
        <v>738</v>
      </c>
      <c r="O18" s="17">
        <f>IF(ISERROR(VLOOKUP(B18,tblRates,2,FALSE)),0,VLOOKUP(B18,tblRates,2,FALSE))</f>
        <v>15</v>
      </c>
      <c r="P18" s="17">
        <f t="shared" si="0"/>
        <v>37</v>
      </c>
      <c r="Q18" s="17">
        <f t="shared" si="1"/>
        <v>0</v>
      </c>
      <c r="R18" s="17">
        <f t="shared" si="2"/>
        <v>555</v>
      </c>
      <c r="S18" s="17">
        <f t="shared" si="3"/>
        <v>0</v>
      </c>
    </row>
    <row r="19" spans="1:19" x14ac:dyDescent="0.3">
      <c r="A19" s="17" t="s">
        <v>456</v>
      </c>
      <c r="B19" s="17">
        <v>6090317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O19" s="17">
        <f>IF(ISERROR(VLOOKUP(B19,tblRates,2,FALSE)),0,VLOOKUP(B19,tblRates,2,FALSE))</f>
        <v>8</v>
      </c>
      <c r="P19" s="17">
        <f t="shared" si="0"/>
        <v>0</v>
      </c>
      <c r="Q19" s="17">
        <f t="shared" si="1"/>
        <v>0</v>
      </c>
      <c r="R19" s="17">
        <f t="shared" si="2"/>
        <v>0</v>
      </c>
      <c r="S19" s="17">
        <f t="shared" si="3"/>
        <v>0</v>
      </c>
    </row>
    <row r="20" spans="1:19" x14ac:dyDescent="0.3">
      <c r="A20" s="17" t="s">
        <v>457</v>
      </c>
      <c r="B20" s="17">
        <v>5077602</v>
      </c>
      <c r="C20" s="17" t="s">
        <v>12</v>
      </c>
      <c r="D20" s="18">
        <v>0</v>
      </c>
      <c r="E20" s="18">
        <v>0</v>
      </c>
      <c r="F20" s="18">
        <v>0</v>
      </c>
      <c r="G20" s="18">
        <v>6.58</v>
      </c>
      <c r="H20" s="18">
        <v>6.58</v>
      </c>
      <c r="I20" s="18">
        <v>6.83</v>
      </c>
      <c r="J20" s="18">
        <v>6.73</v>
      </c>
      <c r="K20" s="18">
        <v>26.73</v>
      </c>
      <c r="N20" s="17" t="s">
        <v>738</v>
      </c>
      <c r="O20" s="17">
        <f>IF(ISERROR(VLOOKUP(B20,tblRates,2,FALSE)),0,VLOOKUP(B20,tblRates,2,FALSE))</f>
        <v>16.89</v>
      </c>
      <c r="P20" s="17">
        <f t="shared" si="0"/>
        <v>26.73</v>
      </c>
      <c r="Q20" s="17">
        <f t="shared" si="1"/>
        <v>0</v>
      </c>
      <c r="R20" s="17">
        <f t="shared" si="2"/>
        <v>451.47</v>
      </c>
      <c r="S20" s="17">
        <f t="shared" si="3"/>
        <v>0</v>
      </c>
    </row>
    <row r="21" spans="1:19" x14ac:dyDescent="0.3">
      <c r="A21" s="17" t="s">
        <v>458</v>
      </c>
      <c r="B21" s="17">
        <v>5972790</v>
      </c>
      <c r="C21" s="17" t="s">
        <v>12</v>
      </c>
      <c r="D21" s="18">
        <v>8</v>
      </c>
      <c r="E21" s="18">
        <v>0</v>
      </c>
      <c r="F21" s="18">
        <v>0</v>
      </c>
      <c r="G21" s="18">
        <v>7.33</v>
      </c>
      <c r="H21" s="18">
        <v>7.5</v>
      </c>
      <c r="I21" s="18">
        <v>8</v>
      </c>
      <c r="J21" s="18">
        <v>7.55</v>
      </c>
      <c r="K21" s="18">
        <v>38.380000000000003</v>
      </c>
      <c r="N21" s="17" t="s">
        <v>738</v>
      </c>
      <c r="O21" s="17">
        <f>IF(ISERROR(VLOOKUP(B21,tblRates,2,FALSE)),0,VLOOKUP(B21,tblRates,2,FALSE))</f>
        <v>13.37</v>
      </c>
      <c r="P21" s="17">
        <f t="shared" si="0"/>
        <v>38.380000000000003</v>
      </c>
      <c r="Q21" s="17">
        <f t="shared" si="1"/>
        <v>0</v>
      </c>
      <c r="R21" s="17">
        <f t="shared" si="2"/>
        <v>513.14</v>
      </c>
      <c r="S21" s="17">
        <f t="shared" si="3"/>
        <v>0</v>
      </c>
    </row>
    <row r="22" spans="1:19" x14ac:dyDescent="0.3">
      <c r="A22" s="17" t="s">
        <v>459</v>
      </c>
      <c r="B22" s="17">
        <v>5056063</v>
      </c>
      <c r="C22" s="17" t="s">
        <v>12</v>
      </c>
      <c r="D22" s="18">
        <v>7.55</v>
      </c>
      <c r="E22" s="18">
        <v>0</v>
      </c>
      <c r="F22" s="18">
        <v>0</v>
      </c>
      <c r="G22" s="18">
        <v>7.85</v>
      </c>
      <c r="H22" s="18">
        <v>7.48</v>
      </c>
      <c r="I22" s="18">
        <v>7.78</v>
      </c>
      <c r="J22" s="18">
        <v>8.8800000000000008</v>
      </c>
      <c r="K22" s="18">
        <v>39.549999999999997</v>
      </c>
      <c r="N22" s="17" t="s">
        <v>738</v>
      </c>
      <c r="O22" s="17">
        <f>IF(ISERROR(VLOOKUP(B22,tblRates,2,FALSE)),0,VLOOKUP(B22,tblRates,2,FALSE))</f>
        <v>21.58</v>
      </c>
      <c r="P22" s="17">
        <f t="shared" si="0"/>
        <v>39.549999999999997</v>
      </c>
      <c r="Q22" s="17">
        <f t="shared" si="1"/>
        <v>0</v>
      </c>
      <c r="R22" s="17">
        <f t="shared" si="2"/>
        <v>853.49</v>
      </c>
      <c r="S22" s="17">
        <f t="shared" si="3"/>
        <v>0</v>
      </c>
    </row>
    <row r="23" spans="1:19" x14ac:dyDescent="0.3">
      <c r="A23" s="17" t="s">
        <v>460</v>
      </c>
      <c r="B23" s="17">
        <v>6084355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O23" s="17">
        <f>IF(ISERROR(VLOOKUP(B23,tblRates,2,FALSE)),0,VLOOKUP(B23,tblRates,2,FALSE))</f>
        <v>8</v>
      </c>
      <c r="P23" s="17">
        <f t="shared" si="0"/>
        <v>0</v>
      </c>
      <c r="Q23" s="17">
        <f t="shared" si="1"/>
        <v>0</v>
      </c>
      <c r="R23" s="17">
        <f t="shared" si="2"/>
        <v>0</v>
      </c>
      <c r="S23" s="17">
        <f t="shared" si="3"/>
        <v>0</v>
      </c>
    </row>
    <row r="24" spans="1:19" x14ac:dyDescent="0.3">
      <c r="A24" s="17" t="s">
        <v>461</v>
      </c>
      <c r="B24" s="17">
        <v>6085093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O24" s="17">
        <f>IF(ISERROR(VLOOKUP(B24,tblRates,2,FALSE)),0,VLOOKUP(B24,tblRates,2,FALSE))</f>
        <v>8</v>
      </c>
      <c r="P24" s="17">
        <f t="shared" si="0"/>
        <v>0</v>
      </c>
      <c r="Q24" s="17">
        <f t="shared" si="1"/>
        <v>0</v>
      </c>
      <c r="R24" s="17">
        <f t="shared" si="2"/>
        <v>0</v>
      </c>
      <c r="S24" s="17">
        <f t="shared" si="3"/>
        <v>0</v>
      </c>
    </row>
    <row r="25" spans="1:19" x14ac:dyDescent="0.3">
      <c r="A25" s="17" t="s">
        <v>462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0</v>
      </c>
      <c r="K25" s="18">
        <v>0</v>
      </c>
      <c r="O25" s="17">
        <f>IF(ISERROR(VLOOKUP(B25,tblRates,2,FALSE)),0,VLOOKUP(B25,tblRates,2,FALSE))</f>
        <v>0</v>
      </c>
      <c r="P25" s="17">
        <f t="shared" si="0"/>
        <v>0</v>
      </c>
      <c r="Q25" s="17">
        <f t="shared" si="1"/>
        <v>0</v>
      </c>
      <c r="R25" s="17">
        <f t="shared" si="2"/>
        <v>0</v>
      </c>
      <c r="S25" s="17">
        <f t="shared" si="3"/>
        <v>0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V72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" width="62.44140625" style="17" bestFit="1" customWidth="1"/>
    <col min="2" max="2" width="15.6640625" style="17" customWidth="1"/>
    <col min="3" max="3" width="25.44140625" style="17" bestFit="1" customWidth="1"/>
    <col min="4" max="10" width="15.6640625" style="17" customWidth="1"/>
    <col min="11" max="11" width="7.5546875" style="17" bestFit="1" customWidth="1"/>
    <col min="12" max="12" width="15.6640625" style="17" customWidth="1"/>
    <col min="13" max="13" width="9.5546875" style="17" customWidth="1"/>
    <col min="14" max="14" width="18.6640625" style="17" bestFit="1" customWidth="1"/>
    <col min="15" max="15" width="9.109375" style="17"/>
    <col min="16" max="16" width="14.44140625" style="17" bestFit="1" customWidth="1"/>
    <col min="17" max="17" width="9.109375" style="17"/>
    <col min="18" max="18" width="15.5546875" style="17" bestFit="1" customWidth="1"/>
    <col min="19" max="19" width="9.44140625" style="17" bestFit="1" customWidth="1"/>
    <col min="20" max="16384" width="9.109375" style="17"/>
  </cols>
  <sheetData>
    <row r="1" spans="1:256" x14ac:dyDescent="0.3">
      <c r="A1" s="17" t="s">
        <v>434</v>
      </c>
      <c r="N1" s="17">
        <f>SUM(R1,S1)</f>
        <v>0</v>
      </c>
      <c r="R1" s="17">
        <f>SUM(R9:R10000)</f>
        <v>0</v>
      </c>
      <c r="S1" s="17">
        <f>SUM(S9:S10000)</f>
        <v>0</v>
      </c>
      <c r="IV1"/>
    </row>
    <row r="2" spans="1:256" x14ac:dyDescent="0.3">
      <c r="A2" s="17" t="s">
        <v>463</v>
      </c>
      <c r="I2" s="17" t="s">
        <v>737</v>
      </c>
    </row>
    <row r="3" spans="1:256" x14ac:dyDescent="0.3">
      <c r="A3" s="17" t="s">
        <v>464</v>
      </c>
    </row>
    <row r="4" spans="1:256" x14ac:dyDescent="0.3">
      <c r="A4" s="17" t="s">
        <v>693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465</v>
      </c>
      <c r="B9" s="17">
        <v>6015047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O9" s="17">
        <f>IF(ISERROR(VLOOKUP(B9,tblRates,2,FALSE)),0,VLOOKUP(B9,tblRates,2,FALSE))</f>
        <v>11.12</v>
      </c>
      <c r="P9" s="17">
        <f t="shared" ref="P9:P40" si="0">IF(K9&gt;40,40,K9)</f>
        <v>0</v>
      </c>
      <c r="Q9" s="17">
        <f t="shared" ref="Q9:Q40" si="1">IF(K9&gt;40,K9-40,0)</f>
        <v>0</v>
      </c>
      <c r="R9" s="17">
        <f t="shared" ref="R9:R40" si="2">ROUND((O9*P9),2)</f>
        <v>0</v>
      </c>
      <c r="S9" s="17">
        <f t="shared" ref="S9:S40" si="3">ROUND((Q9*(O9*1.5)),2)</f>
        <v>0</v>
      </c>
    </row>
    <row r="10" spans="1:256" x14ac:dyDescent="0.3">
      <c r="A10" s="17" t="s">
        <v>466</v>
      </c>
      <c r="B10" s="17">
        <v>5108591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O10" s="17">
        <f>IF(ISERROR(VLOOKUP(B10,tblRates,2,FALSE)),0,VLOOKUP(B10,tblRates,2,FALSE))</f>
        <v>12.74</v>
      </c>
      <c r="P10" s="17">
        <f t="shared" si="0"/>
        <v>0</v>
      </c>
      <c r="Q10" s="17">
        <f t="shared" si="1"/>
        <v>0</v>
      </c>
      <c r="R10" s="17">
        <f t="shared" si="2"/>
        <v>0</v>
      </c>
      <c r="S10" s="17">
        <f t="shared" si="3"/>
        <v>0</v>
      </c>
    </row>
    <row r="11" spans="1:256" x14ac:dyDescent="0.3">
      <c r="A11" s="17" t="s">
        <v>467</v>
      </c>
      <c r="B11" s="17">
        <v>5945178</v>
      </c>
      <c r="D11" s="18">
        <v>0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O11" s="17">
        <f>IF(ISERROR(VLOOKUP(B11,tblRates,2,FALSE)),0,VLOOKUP(B11,tblRates,2,FALSE))</f>
        <v>11.14</v>
      </c>
      <c r="P11" s="17">
        <f t="shared" si="0"/>
        <v>0</v>
      </c>
      <c r="Q11" s="17">
        <f t="shared" si="1"/>
        <v>0</v>
      </c>
      <c r="R11" s="17">
        <f t="shared" si="2"/>
        <v>0</v>
      </c>
      <c r="S11" s="17">
        <f t="shared" si="3"/>
        <v>0</v>
      </c>
    </row>
    <row r="12" spans="1:256" x14ac:dyDescent="0.3">
      <c r="A12" s="17" t="s">
        <v>468</v>
      </c>
      <c r="B12" s="17">
        <v>6040254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O12" s="17">
        <f>IF(ISERROR(VLOOKUP(B12,tblRates,2,FALSE)),0,VLOOKUP(B12,tblRates,2,FALSE))</f>
        <v>10.3</v>
      </c>
      <c r="P12" s="17">
        <f t="shared" si="0"/>
        <v>0</v>
      </c>
      <c r="Q12" s="17">
        <f t="shared" si="1"/>
        <v>0</v>
      </c>
      <c r="R12" s="17">
        <f t="shared" si="2"/>
        <v>0</v>
      </c>
      <c r="S12" s="17">
        <f t="shared" si="3"/>
        <v>0</v>
      </c>
    </row>
    <row r="13" spans="1:256" x14ac:dyDescent="0.3">
      <c r="A13" s="17" t="s">
        <v>469</v>
      </c>
      <c r="B13" s="17">
        <v>5143758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O13" s="17">
        <f>IF(ISERROR(VLOOKUP(B13,tblRates,2,FALSE)),0,VLOOKUP(B13,tblRates,2,FALSE))</f>
        <v>11.12</v>
      </c>
      <c r="P13" s="17">
        <f t="shared" si="0"/>
        <v>0</v>
      </c>
      <c r="Q13" s="17">
        <f t="shared" si="1"/>
        <v>0</v>
      </c>
      <c r="R13" s="17">
        <f t="shared" si="2"/>
        <v>0</v>
      </c>
      <c r="S13" s="17">
        <f t="shared" si="3"/>
        <v>0</v>
      </c>
    </row>
    <row r="14" spans="1:256" x14ac:dyDescent="0.3">
      <c r="A14" s="17" t="s">
        <v>470</v>
      </c>
      <c r="B14" s="17">
        <v>6038871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O14" s="17">
        <f>IF(ISERROR(VLOOKUP(B14,tblRates,2,FALSE)),0,VLOOKUP(B14,tblRates,2,FALSE))</f>
        <v>11.1</v>
      </c>
      <c r="P14" s="17">
        <f t="shared" si="0"/>
        <v>0</v>
      </c>
      <c r="Q14" s="17">
        <f t="shared" si="1"/>
        <v>0</v>
      </c>
      <c r="R14" s="17">
        <f t="shared" si="2"/>
        <v>0</v>
      </c>
      <c r="S14" s="17">
        <f t="shared" si="3"/>
        <v>0</v>
      </c>
    </row>
    <row r="15" spans="1:256" x14ac:dyDescent="0.3">
      <c r="A15" s="17" t="s">
        <v>471</v>
      </c>
      <c r="B15" s="17">
        <v>5973273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O15" s="17">
        <f>IF(ISERROR(VLOOKUP(B15,tblRates,2,FALSE)),0,VLOOKUP(B15,tblRates,2,FALSE))</f>
        <v>11.12</v>
      </c>
      <c r="P15" s="17">
        <f t="shared" si="0"/>
        <v>0</v>
      </c>
      <c r="Q15" s="17">
        <f t="shared" si="1"/>
        <v>0</v>
      </c>
      <c r="R15" s="17">
        <f t="shared" si="2"/>
        <v>0</v>
      </c>
      <c r="S15" s="17">
        <f t="shared" si="3"/>
        <v>0</v>
      </c>
    </row>
    <row r="16" spans="1:256" x14ac:dyDescent="0.3">
      <c r="A16" s="17" t="s">
        <v>472</v>
      </c>
      <c r="B16" s="17">
        <v>5972129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O16" s="17">
        <f>IF(ISERROR(VLOOKUP(B16,tblRates,2,FALSE)),0,VLOOKUP(B16,tblRates,2,FALSE))</f>
        <v>11.12</v>
      </c>
      <c r="P16" s="17">
        <f t="shared" si="0"/>
        <v>0</v>
      </c>
      <c r="Q16" s="17">
        <f t="shared" si="1"/>
        <v>0</v>
      </c>
      <c r="R16" s="17">
        <f t="shared" si="2"/>
        <v>0</v>
      </c>
      <c r="S16" s="17">
        <f t="shared" si="3"/>
        <v>0</v>
      </c>
    </row>
    <row r="17" spans="1:19" x14ac:dyDescent="0.3">
      <c r="A17" s="17" t="s">
        <v>473</v>
      </c>
      <c r="B17" s="17">
        <v>5959355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0</v>
      </c>
      <c r="O17" s="17">
        <f>IF(ISERROR(VLOOKUP(B17,tblRates,2,FALSE)),0,VLOOKUP(B17,tblRates,2,FALSE))</f>
        <v>11.12</v>
      </c>
      <c r="P17" s="17">
        <f t="shared" si="0"/>
        <v>0</v>
      </c>
      <c r="Q17" s="17">
        <f t="shared" si="1"/>
        <v>0</v>
      </c>
      <c r="R17" s="17">
        <f t="shared" si="2"/>
        <v>0</v>
      </c>
      <c r="S17" s="17">
        <f t="shared" si="3"/>
        <v>0</v>
      </c>
    </row>
    <row r="18" spans="1:19" x14ac:dyDescent="0.3">
      <c r="A18" s="17" t="s">
        <v>474</v>
      </c>
      <c r="B18" s="17">
        <v>5994633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O18" s="17">
        <f>IF(ISERROR(VLOOKUP(B18,tblRates,2,FALSE)),0,VLOOKUP(B18,tblRates,2,FALSE))</f>
        <v>10.56</v>
      </c>
      <c r="P18" s="17">
        <f t="shared" si="0"/>
        <v>0</v>
      </c>
      <c r="Q18" s="17">
        <f t="shared" si="1"/>
        <v>0</v>
      </c>
      <c r="R18" s="17">
        <f t="shared" si="2"/>
        <v>0</v>
      </c>
      <c r="S18" s="17">
        <f t="shared" si="3"/>
        <v>0</v>
      </c>
    </row>
    <row r="19" spans="1:19" x14ac:dyDescent="0.3">
      <c r="A19" s="17" t="s">
        <v>475</v>
      </c>
      <c r="B19" s="17">
        <v>5031890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O19" s="17">
        <f>IF(ISERROR(VLOOKUP(B19,tblRates,2,FALSE)),0,VLOOKUP(B19,tblRates,2,FALSE))</f>
        <v>11.14</v>
      </c>
      <c r="P19" s="17">
        <f t="shared" si="0"/>
        <v>0</v>
      </c>
      <c r="Q19" s="17">
        <f t="shared" si="1"/>
        <v>0</v>
      </c>
      <c r="R19" s="17">
        <f t="shared" si="2"/>
        <v>0</v>
      </c>
      <c r="S19" s="17">
        <f t="shared" si="3"/>
        <v>0</v>
      </c>
    </row>
    <row r="20" spans="1:19" x14ac:dyDescent="0.3">
      <c r="A20" s="17" t="s">
        <v>476</v>
      </c>
      <c r="B20" s="17">
        <v>5994617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O20" s="17">
        <f>IF(ISERROR(VLOOKUP(B20,tblRates,2,FALSE)),0,VLOOKUP(B20,tblRates,2,FALSE))</f>
        <v>11.12</v>
      </c>
      <c r="P20" s="17">
        <f t="shared" si="0"/>
        <v>0</v>
      </c>
      <c r="Q20" s="17">
        <f t="shared" si="1"/>
        <v>0</v>
      </c>
      <c r="R20" s="17">
        <f t="shared" si="2"/>
        <v>0</v>
      </c>
      <c r="S20" s="17">
        <f t="shared" si="3"/>
        <v>0</v>
      </c>
    </row>
    <row r="21" spans="1:19" x14ac:dyDescent="0.3">
      <c r="A21" s="17" t="s">
        <v>477</v>
      </c>
      <c r="B21" s="17">
        <v>5057156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O21" s="17">
        <f>IF(ISERROR(VLOOKUP(B21,tblRates,2,FALSE)),0,VLOOKUP(B21,tblRates,2,FALSE))</f>
        <v>11.12</v>
      </c>
      <c r="P21" s="17">
        <f t="shared" si="0"/>
        <v>0</v>
      </c>
      <c r="Q21" s="17">
        <f t="shared" si="1"/>
        <v>0</v>
      </c>
      <c r="R21" s="17">
        <f t="shared" si="2"/>
        <v>0</v>
      </c>
      <c r="S21" s="17">
        <f t="shared" si="3"/>
        <v>0</v>
      </c>
    </row>
    <row r="22" spans="1:19" x14ac:dyDescent="0.3">
      <c r="A22" s="17" t="s">
        <v>478</v>
      </c>
      <c r="B22" s="17">
        <v>6038806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O22" s="17">
        <f>IF(ISERROR(VLOOKUP(B22,tblRates,2,FALSE)),0,VLOOKUP(B22,tblRates,2,FALSE))</f>
        <v>12.92</v>
      </c>
      <c r="P22" s="17">
        <f t="shared" si="0"/>
        <v>0</v>
      </c>
      <c r="Q22" s="17">
        <f t="shared" si="1"/>
        <v>0</v>
      </c>
      <c r="R22" s="17">
        <f t="shared" si="2"/>
        <v>0</v>
      </c>
      <c r="S22" s="17">
        <f t="shared" si="3"/>
        <v>0</v>
      </c>
    </row>
    <row r="23" spans="1:19" x14ac:dyDescent="0.3">
      <c r="A23" s="17" t="s">
        <v>479</v>
      </c>
      <c r="B23" s="17">
        <v>5108699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O23" s="17">
        <f>IF(ISERROR(VLOOKUP(B23,tblRates,2,FALSE)),0,VLOOKUP(B23,tblRates,2,FALSE))</f>
        <v>11.98</v>
      </c>
      <c r="P23" s="17">
        <f t="shared" si="0"/>
        <v>0</v>
      </c>
      <c r="Q23" s="17">
        <f t="shared" si="1"/>
        <v>0</v>
      </c>
      <c r="R23" s="17">
        <f t="shared" si="2"/>
        <v>0</v>
      </c>
      <c r="S23" s="17">
        <f t="shared" si="3"/>
        <v>0</v>
      </c>
    </row>
    <row r="24" spans="1:19" x14ac:dyDescent="0.3">
      <c r="A24" s="17" t="s">
        <v>480</v>
      </c>
      <c r="B24" s="17">
        <v>5994620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O24" s="17">
        <f>IF(ISERROR(VLOOKUP(B24,tblRates,2,FALSE)),0,VLOOKUP(B24,tblRates,2,FALSE))</f>
        <v>10.56</v>
      </c>
      <c r="P24" s="17">
        <f t="shared" si="0"/>
        <v>0</v>
      </c>
      <c r="Q24" s="17">
        <f t="shared" si="1"/>
        <v>0</v>
      </c>
      <c r="R24" s="17">
        <f t="shared" si="2"/>
        <v>0</v>
      </c>
      <c r="S24" s="17">
        <f t="shared" si="3"/>
        <v>0</v>
      </c>
    </row>
    <row r="25" spans="1:19" x14ac:dyDescent="0.3">
      <c r="A25" s="17" t="s">
        <v>481</v>
      </c>
      <c r="B25" s="17">
        <v>6091941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0</v>
      </c>
      <c r="K25" s="18">
        <v>0</v>
      </c>
      <c r="O25" s="17">
        <f>IF(ISERROR(VLOOKUP(B25,tblRates,2,FALSE)),0,VLOOKUP(B25,tblRates,2,FALSE))</f>
        <v>11.1</v>
      </c>
      <c r="P25" s="17">
        <f t="shared" si="0"/>
        <v>0</v>
      </c>
      <c r="Q25" s="17">
        <f t="shared" si="1"/>
        <v>0</v>
      </c>
      <c r="R25" s="17">
        <f t="shared" si="2"/>
        <v>0</v>
      </c>
      <c r="S25" s="17">
        <f t="shared" si="3"/>
        <v>0</v>
      </c>
    </row>
    <row r="26" spans="1:19" x14ac:dyDescent="0.3">
      <c r="A26" s="17" t="s">
        <v>482</v>
      </c>
      <c r="B26" s="17">
        <v>5039501</v>
      </c>
      <c r="D26" s="18">
        <v>0</v>
      </c>
      <c r="E26" s="18">
        <v>0</v>
      </c>
      <c r="F26" s="18">
        <v>0</v>
      </c>
      <c r="G26" s="18">
        <v>0</v>
      </c>
      <c r="H26" s="18">
        <v>0</v>
      </c>
      <c r="I26" s="18">
        <v>0</v>
      </c>
      <c r="J26" s="18">
        <v>0</v>
      </c>
      <c r="K26" s="18">
        <v>0</v>
      </c>
      <c r="O26" s="17">
        <f>IF(ISERROR(VLOOKUP(B26,tblRates,2,FALSE)),0,VLOOKUP(B26,tblRates,2,FALSE))</f>
        <v>11.14</v>
      </c>
      <c r="P26" s="17">
        <f t="shared" si="0"/>
        <v>0</v>
      </c>
      <c r="Q26" s="17">
        <f t="shared" si="1"/>
        <v>0</v>
      </c>
      <c r="R26" s="17">
        <f t="shared" si="2"/>
        <v>0</v>
      </c>
      <c r="S26" s="17">
        <f t="shared" si="3"/>
        <v>0</v>
      </c>
    </row>
    <row r="27" spans="1:19" x14ac:dyDescent="0.3">
      <c r="A27" s="17" t="s">
        <v>483</v>
      </c>
      <c r="B27" s="17">
        <v>6014725</v>
      </c>
      <c r="D27" s="18">
        <v>0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0</v>
      </c>
      <c r="O27" s="17">
        <f>IF(ISERROR(VLOOKUP(B27,tblRates,2,FALSE)),0,VLOOKUP(B27,tblRates,2,FALSE))</f>
        <v>11.35</v>
      </c>
      <c r="P27" s="17">
        <f t="shared" si="0"/>
        <v>0</v>
      </c>
      <c r="Q27" s="17">
        <f t="shared" si="1"/>
        <v>0</v>
      </c>
      <c r="R27" s="17">
        <f t="shared" si="2"/>
        <v>0</v>
      </c>
      <c r="S27" s="17">
        <f t="shared" si="3"/>
        <v>0</v>
      </c>
    </row>
    <row r="28" spans="1:19" x14ac:dyDescent="0.3">
      <c r="A28" s="17" t="s">
        <v>705</v>
      </c>
      <c r="B28" s="17">
        <v>5040279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O28" s="17">
        <f>IF(ISERROR(VLOOKUP(B28,tblRates,2,FALSE)),0,VLOOKUP(B28,tblRates,2,FALSE))</f>
        <v>11.14</v>
      </c>
      <c r="P28" s="17">
        <f t="shared" si="0"/>
        <v>0</v>
      </c>
      <c r="Q28" s="17">
        <f t="shared" si="1"/>
        <v>0</v>
      </c>
      <c r="R28" s="17">
        <f t="shared" si="2"/>
        <v>0</v>
      </c>
      <c r="S28" s="17">
        <f t="shared" si="3"/>
        <v>0</v>
      </c>
    </row>
    <row r="29" spans="1:19" x14ac:dyDescent="0.3">
      <c r="A29" s="17" t="s">
        <v>706</v>
      </c>
      <c r="B29" s="17">
        <v>5039324</v>
      </c>
      <c r="D29" s="18">
        <v>0</v>
      </c>
      <c r="E29" s="18">
        <v>0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O29" s="17">
        <f>IF(ISERROR(VLOOKUP(B29,tblRates,2,FALSE)),0,VLOOKUP(B29,tblRates,2,FALSE))</f>
        <v>11.24</v>
      </c>
      <c r="P29" s="17">
        <f t="shared" si="0"/>
        <v>0</v>
      </c>
      <c r="Q29" s="17">
        <f t="shared" si="1"/>
        <v>0</v>
      </c>
      <c r="R29" s="17">
        <f t="shared" si="2"/>
        <v>0</v>
      </c>
      <c r="S29" s="17">
        <f t="shared" si="3"/>
        <v>0</v>
      </c>
    </row>
    <row r="30" spans="1:19" x14ac:dyDescent="0.3">
      <c r="A30" s="17" t="s">
        <v>707</v>
      </c>
      <c r="B30" s="17">
        <v>5040369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0</v>
      </c>
      <c r="J30" s="18">
        <v>0</v>
      </c>
      <c r="K30" s="18">
        <v>0</v>
      </c>
      <c r="O30" s="17">
        <f>IF(ISERROR(VLOOKUP(B30,tblRates,2,FALSE)),0,VLOOKUP(B30,tblRates,2,FALSE))</f>
        <v>15</v>
      </c>
      <c r="P30" s="17">
        <f t="shared" si="0"/>
        <v>0</v>
      </c>
      <c r="Q30" s="17">
        <f t="shared" si="1"/>
        <v>0</v>
      </c>
      <c r="R30" s="17">
        <f t="shared" si="2"/>
        <v>0</v>
      </c>
      <c r="S30" s="17">
        <f t="shared" si="3"/>
        <v>0</v>
      </c>
    </row>
    <row r="31" spans="1:19" x14ac:dyDescent="0.3">
      <c r="A31" s="17" t="s">
        <v>708</v>
      </c>
      <c r="B31" s="17">
        <v>5950504</v>
      </c>
      <c r="D31" s="18">
        <v>0</v>
      </c>
      <c r="E31" s="18">
        <v>0</v>
      </c>
      <c r="F31" s="18">
        <v>0</v>
      </c>
      <c r="G31" s="18">
        <v>0</v>
      </c>
      <c r="H31" s="18">
        <v>0</v>
      </c>
      <c r="I31" s="18">
        <v>0</v>
      </c>
      <c r="J31" s="18">
        <v>0</v>
      </c>
      <c r="K31" s="18">
        <v>0</v>
      </c>
      <c r="O31" s="17">
        <f>IF(ISERROR(VLOOKUP(B31,tblRates,2,FALSE)),0,VLOOKUP(B31,tblRates,2,FALSE))</f>
        <v>14.07</v>
      </c>
      <c r="P31" s="17">
        <f t="shared" si="0"/>
        <v>0</v>
      </c>
      <c r="Q31" s="17">
        <f t="shared" si="1"/>
        <v>0</v>
      </c>
      <c r="R31" s="17">
        <f t="shared" si="2"/>
        <v>0</v>
      </c>
      <c r="S31" s="17">
        <f t="shared" si="3"/>
        <v>0</v>
      </c>
    </row>
    <row r="32" spans="1:19" x14ac:dyDescent="0.3">
      <c r="A32" s="17" t="s">
        <v>709</v>
      </c>
      <c r="B32" s="17">
        <v>5065937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>
        <v>0</v>
      </c>
      <c r="K32" s="18">
        <v>0</v>
      </c>
      <c r="O32" s="17">
        <f>IF(ISERROR(VLOOKUP(B32,tblRates,2,FALSE)),0,VLOOKUP(B32,tblRates,2,FALSE))</f>
        <v>11.71</v>
      </c>
      <c r="P32" s="17">
        <f t="shared" si="0"/>
        <v>0</v>
      </c>
      <c r="Q32" s="17">
        <f t="shared" si="1"/>
        <v>0</v>
      </c>
      <c r="R32" s="17">
        <f t="shared" si="2"/>
        <v>0</v>
      </c>
      <c r="S32" s="17">
        <f t="shared" si="3"/>
        <v>0</v>
      </c>
    </row>
    <row r="33" spans="1:19" x14ac:dyDescent="0.3">
      <c r="A33" s="17" t="s">
        <v>710</v>
      </c>
      <c r="B33" s="17">
        <v>5039463</v>
      </c>
      <c r="D33" s="18">
        <v>0</v>
      </c>
      <c r="E33" s="18">
        <v>0</v>
      </c>
      <c r="F33" s="18">
        <v>0</v>
      </c>
      <c r="G33" s="18">
        <v>0</v>
      </c>
      <c r="H33" s="18">
        <v>0</v>
      </c>
      <c r="I33" s="18">
        <v>0</v>
      </c>
      <c r="J33" s="18">
        <v>0</v>
      </c>
      <c r="K33" s="18">
        <v>0</v>
      </c>
      <c r="O33" s="17">
        <f>IF(ISERROR(VLOOKUP(B33,tblRates,2,FALSE)),0,VLOOKUP(B33,tblRates,2,FALSE))</f>
        <v>11.12</v>
      </c>
      <c r="P33" s="17">
        <f t="shared" si="0"/>
        <v>0</v>
      </c>
      <c r="Q33" s="17">
        <f t="shared" si="1"/>
        <v>0</v>
      </c>
      <c r="R33" s="17">
        <f t="shared" si="2"/>
        <v>0</v>
      </c>
      <c r="S33" s="17">
        <f t="shared" si="3"/>
        <v>0</v>
      </c>
    </row>
    <row r="34" spans="1:19" x14ac:dyDescent="0.3">
      <c r="A34" s="17" t="s">
        <v>711</v>
      </c>
      <c r="B34" s="17">
        <v>5165774</v>
      </c>
      <c r="D34" s="18">
        <v>0</v>
      </c>
      <c r="E34" s="18">
        <v>0</v>
      </c>
      <c r="F34" s="18">
        <v>0</v>
      </c>
      <c r="G34" s="18">
        <v>0</v>
      </c>
      <c r="H34" s="18">
        <v>0</v>
      </c>
      <c r="I34" s="18">
        <v>0</v>
      </c>
      <c r="J34" s="18">
        <v>0</v>
      </c>
      <c r="K34" s="18">
        <v>0</v>
      </c>
      <c r="O34" s="17">
        <f>IF(ISERROR(VLOOKUP(B34,tblRates,2,FALSE)),0,VLOOKUP(B34,tblRates,2,FALSE))</f>
        <v>11.14</v>
      </c>
      <c r="P34" s="17">
        <f t="shared" si="0"/>
        <v>0</v>
      </c>
      <c r="Q34" s="17">
        <f t="shared" si="1"/>
        <v>0</v>
      </c>
      <c r="R34" s="17">
        <f t="shared" si="2"/>
        <v>0</v>
      </c>
      <c r="S34" s="17">
        <f t="shared" si="3"/>
        <v>0</v>
      </c>
    </row>
    <row r="35" spans="1:19" x14ac:dyDescent="0.3">
      <c r="A35" s="17" t="s">
        <v>712</v>
      </c>
      <c r="B35" s="17">
        <v>5042127</v>
      </c>
      <c r="D35" s="18">
        <v>0</v>
      </c>
      <c r="E35" s="18">
        <v>0</v>
      </c>
      <c r="F35" s="18">
        <v>0</v>
      </c>
      <c r="G35" s="18">
        <v>0</v>
      </c>
      <c r="H35" s="18">
        <v>0</v>
      </c>
      <c r="I35" s="18">
        <v>0</v>
      </c>
      <c r="J35" s="18">
        <v>0</v>
      </c>
      <c r="K35" s="18">
        <v>0</v>
      </c>
      <c r="O35" s="17">
        <f>IF(ISERROR(VLOOKUP(B35,tblRates,2,FALSE)),0,VLOOKUP(B35,tblRates,2,FALSE))</f>
        <v>12.98</v>
      </c>
      <c r="P35" s="17">
        <f t="shared" si="0"/>
        <v>0</v>
      </c>
      <c r="Q35" s="17">
        <f t="shared" si="1"/>
        <v>0</v>
      </c>
      <c r="R35" s="17">
        <f t="shared" si="2"/>
        <v>0</v>
      </c>
      <c r="S35" s="17">
        <f t="shared" si="3"/>
        <v>0</v>
      </c>
    </row>
    <row r="36" spans="1:19" x14ac:dyDescent="0.3">
      <c r="A36" s="17" t="s">
        <v>713</v>
      </c>
      <c r="B36" s="17">
        <v>5178623</v>
      </c>
      <c r="D36" s="18">
        <v>0</v>
      </c>
      <c r="E36" s="18">
        <v>0</v>
      </c>
      <c r="F36" s="18">
        <v>0</v>
      </c>
      <c r="G36" s="18">
        <v>0</v>
      </c>
      <c r="H36" s="18">
        <v>0</v>
      </c>
      <c r="I36" s="18">
        <v>0</v>
      </c>
      <c r="J36" s="18">
        <v>0</v>
      </c>
      <c r="K36" s="18">
        <v>0</v>
      </c>
      <c r="O36" s="17">
        <f>IF(ISERROR(VLOOKUP(B36,tblRates,2,FALSE)),0,VLOOKUP(B36,tblRates,2,FALSE))</f>
        <v>11.12</v>
      </c>
      <c r="P36" s="17">
        <f t="shared" si="0"/>
        <v>0</v>
      </c>
      <c r="Q36" s="17">
        <f t="shared" si="1"/>
        <v>0</v>
      </c>
      <c r="R36" s="17">
        <f t="shared" si="2"/>
        <v>0</v>
      </c>
      <c r="S36" s="17">
        <f t="shared" si="3"/>
        <v>0</v>
      </c>
    </row>
    <row r="37" spans="1:19" x14ac:dyDescent="0.3">
      <c r="A37" s="17" t="s">
        <v>714</v>
      </c>
      <c r="B37" s="17">
        <v>5997477</v>
      </c>
      <c r="D37" s="18">
        <v>0</v>
      </c>
      <c r="E37" s="18">
        <v>0</v>
      </c>
      <c r="F37" s="18">
        <v>0</v>
      </c>
      <c r="G37" s="18">
        <v>0</v>
      </c>
      <c r="H37" s="18">
        <v>0</v>
      </c>
      <c r="I37" s="18">
        <v>0</v>
      </c>
      <c r="J37" s="18">
        <v>0</v>
      </c>
      <c r="K37" s="18">
        <v>0</v>
      </c>
      <c r="O37" s="17">
        <f>IF(ISERROR(VLOOKUP(B37,tblRates,2,FALSE)),0,VLOOKUP(B37,tblRates,2,FALSE))</f>
        <v>11.12</v>
      </c>
      <c r="P37" s="17">
        <f t="shared" si="0"/>
        <v>0</v>
      </c>
      <c r="Q37" s="17">
        <f t="shared" si="1"/>
        <v>0</v>
      </c>
      <c r="R37" s="17">
        <f t="shared" si="2"/>
        <v>0</v>
      </c>
      <c r="S37" s="17">
        <f t="shared" si="3"/>
        <v>0</v>
      </c>
    </row>
    <row r="38" spans="1:19" x14ac:dyDescent="0.3">
      <c r="A38" s="17" t="s">
        <v>715</v>
      </c>
      <c r="B38" s="17">
        <v>5959358</v>
      </c>
      <c r="D38" s="18">
        <v>0</v>
      </c>
      <c r="E38" s="18">
        <v>0</v>
      </c>
      <c r="F38" s="18">
        <v>0</v>
      </c>
      <c r="G38" s="18">
        <v>0</v>
      </c>
      <c r="H38" s="18">
        <v>0</v>
      </c>
      <c r="I38" s="18">
        <v>0</v>
      </c>
      <c r="J38" s="18">
        <v>0</v>
      </c>
      <c r="K38" s="18">
        <v>0</v>
      </c>
      <c r="O38" s="17">
        <f>IF(ISERROR(VLOOKUP(B38,tblRates,2,FALSE)),0,VLOOKUP(B38,tblRates,2,FALSE))</f>
        <v>11.12</v>
      </c>
      <c r="P38" s="17">
        <f t="shared" si="0"/>
        <v>0</v>
      </c>
      <c r="Q38" s="17">
        <f t="shared" si="1"/>
        <v>0</v>
      </c>
      <c r="R38" s="17">
        <f t="shared" si="2"/>
        <v>0</v>
      </c>
      <c r="S38" s="17">
        <f t="shared" si="3"/>
        <v>0</v>
      </c>
    </row>
    <row r="39" spans="1:19" x14ac:dyDescent="0.3">
      <c r="A39" s="17" t="s">
        <v>716</v>
      </c>
      <c r="B39" s="17">
        <v>6036704</v>
      </c>
      <c r="D39" s="18">
        <v>0</v>
      </c>
      <c r="E39" s="18">
        <v>0</v>
      </c>
      <c r="F39" s="18">
        <v>0</v>
      </c>
      <c r="G39" s="18">
        <v>0</v>
      </c>
      <c r="H39" s="18">
        <v>0</v>
      </c>
      <c r="I39" s="18">
        <v>0</v>
      </c>
      <c r="J39" s="18">
        <v>0</v>
      </c>
      <c r="K39" s="18">
        <v>0</v>
      </c>
      <c r="O39" s="17">
        <f>IF(ISERROR(VLOOKUP(B39,tblRates,2,FALSE)),0,VLOOKUP(B39,tblRates,2,FALSE))</f>
        <v>10.3</v>
      </c>
      <c r="P39" s="17">
        <f t="shared" si="0"/>
        <v>0</v>
      </c>
      <c r="Q39" s="17">
        <f t="shared" si="1"/>
        <v>0</v>
      </c>
      <c r="R39" s="17">
        <f t="shared" si="2"/>
        <v>0</v>
      </c>
      <c r="S39" s="17">
        <f t="shared" si="3"/>
        <v>0</v>
      </c>
    </row>
    <row r="40" spans="1:19" x14ac:dyDescent="0.3">
      <c r="A40" s="17" t="s">
        <v>717</v>
      </c>
      <c r="B40" s="17">
        <v>5144687</v>
      </c>
      <c r="D40" s="18">
        <v>0</v>
      </c>
      <c r="E40" s="18">
        <v>0</v>
      </c>
      <c r="F40" s="18">
        <v>0</v>
      </c>
      <c r="G40" s="18">
        <v>0</v>
      </c>
      <c r="H40" s="18">
        <v>0</v>
      </c>
      <c r="I40" s="18">
        <v>0</v>
      </c>
      <c r="J40" s="18">
        <v>0</v>
      </c>
      <c r="K40" s="18">
        <v>0</v>
      </c>
      <c r="O40" s="17">
        <f>IF(ISERROR(VLOOKUP(B40,tblRates,2,FALSE)),0,VLOOKUP(B40,tblRates,2,FALSE))</f>
        <v>11.12</v>
      </c>
      <c r="P40" s="17">
        <f t="shared" si="0"/>
        <v>0</v>
      </c>
      <c r="Q40" s="17">
        <f t="shared" si="1"/>
        <v>0</v>
      </c>
      <c r="R40" s="17">
        <f t="shared" si="2"/>
        <v>0</v>
      </c>
      <c r="S40" s="17">
        <f t="shared" si="3"/>
        <v>0</v>
      </c>
    </row>
    <row r="41" spans="1:19" x14ac:dyDescent="0.3">
      <c r="A41" s="17" t="s">
        <v>718</v>
      </c>
      <c r="B41" s="17">
        <v>5997476</v>
      </c>
      <c r="D41" s="18">
        <v>0</v>
      </c>
      <c r="E41" s="18">
        <v>0</v>
      </c>
      <c r="F41" s="18">
        <v>0</v>
      </c>
      <c r="G41" s="18">
        <v>0</v>
      </c>
      <c r="H41" s="18">
        <v>0</v>
      </c>
      <c r="I41" s="18">
        <v>0</v>
      </c>
      <c r="J41" s="18">
        <v>0</v>
      </c>
      <c r="K41" s="18">
        <v>0</v>
      </c>
      <c r="O41" s="17">
        <f>IF(ISERROR(VLOOKUP(B41,tblRates,2,FALSE)),0,VLOOKUP(B41,tblRates,2,FALSE))</f>
        <v>10.56</v>
      </c>
      <c r="P41" s="17">
        <f t="shared" ref="P41:P72" si="4">IF(K41&gt;40,40,K41)</f>
        <v>0</v>
      </c>
      <c r="Q41" s="17">
        <f t="shared" ref="Q41:Q72" si="5">IF(K41&gt;40,K41-40,0)</f>
        <v>0</v>
      </c>
      <c r="R41" s="17">
        <f t="shared" ref="R41:R72" si="6">ROUND((O41*P41),2)</f>
        <v>0</v>
      </c>
      <c r="S41" s="17">
        <f t="shared" ref="S41:S72" si="7">ROUND((Q41*(O41*1.5)),2)</f>
        <v>0</v>
      </c>
    </row>
    <row r="42" spans="1:19" x14ac:dyDescent="0.3">
      <c r="A42" s="17" t="s">
        <v>719</v>
      </c>
      <c r="B42" s="17">
        <v>5144876</v>
      </c>
      <c r="D42" s="18">
        <v>0</v>
      </c>
      <c r="E42" s="18">
        <v>0</v>
      </c>
      <c r="F42" s="18">
        <v>0</v>
      </c>
      <c r="G42" s="18">
        <v>0</v>
      </c>
      <c r="H42" s="18">
        <v>0</v>
      </c>
      <c r="I42" s="18">
        <v>0</v>
      </c>
      <c r="J42" s="18">
        <v>0</v>
      </c>
      <c r="K42" s="18">
        <v>0</v>
      </c>
      <c r="O42" s="17">
        <f>IF(ISERROR(VLOOKUP(B42,tblRates,2,FALSE)),0,VLOOKUP(B42,tblRates,2,FALSE))</f>
        <v>11.12</v>
      </c>
      <c r="P42" s="17">
        <f t="shared" si="4"/>
        <v>0</v>
      </c>
      <c r="Q42" s="17">
        <f t="shared" si="5"/>
        <v>0</v>
      </c>
      <c r="R42" s="17">
        <f t="shared" si="6"/>
        <v>0</v>
      </c>
      <c r="S42" s="17">
        <f t="shared" si="7"/>
        <v>0</v>
      </c>
    </row>
    <row r="43" spans="1:19" x14ac:dyDescent="0.3">
      <c r="A43" s="17" t="s">
        <v>720</v>
      </c>
      <c r="B43" s="17">
        <v>5039125</v>
      </c>
      <c r="D43" s="18">
        <v>0</v>
      </c>
      <c r="E43" s="18">
        <v>0</v>
      </c>
      <c r="F43" s="18">
        <v>0</v>
      </c>
      <c r="G43" s="18">
        <v>0</v>
      </c>
      <c r="H43" s="18">
        <v>0</v>
      </c>
      <c r="I43" s="18">
        <v>0</v>
      </c>
      <c r="J43" s="18">
        <v>0</v>
      </c>
      <c r="K43" s="18">
        <v>0</v>
      </c>
      <c r="O43" s="17">
        <f>IF(ISERROR(VLOOKUP(B43,tblRates,2,FALSE)),0,VLOOKUP(B43,tblRates,2,FALSE))</f>
        <v>11.12</v>
      </c>
      <c r="P43" s="17">
        <f t="shared" si="4"/>
        <v>0</v>
      </c>
      <c r="Q43" s="17">
        <f t="shared" si="5"/>
        <v>0</v>
      </c>
      <c r="R43" s="17">
        <f t="shared" si="6"/>
        <v>0</v>
      </c>
      <c r="S43" s="17">
        <f t="shared" si="7"/>
        <v>0</v>
      </c>
    </row>
    <row r="44" spans="1:19" x14ac:dyDescent="0.3">
      <c r="A44" s="17" t="s">
        <v>721</v>
      </c>
      <c r="B44" s="17">
        <v>6044004</v>
      </c>
      <c r="D44" s="18">
        <v>0</v>
      </c>
      <c r="E44" s="18">
        <v>0</v>
      </c>
      <c r="F44" s="18">
        <v>0</v>
      </c>
      <c r="G44" s="18">
        <v>0</v>
      </c>
      <c r="H44" s="18">
        <v>0</v>
      </c>
      <c r="I44" s="18">
        <v>0</v>
      </c>
      <c r="J44" s="18">
        <v>0</v>
      </c>
      <c r="K44" s="18">
        <v>0</v>
      </c>
      <c r="O44" s="17">
        <f>IF(ISERROR(VLOOKUP(B44,tblRates,2,FALSE)),0,VLOOKUP(B44,tblRates,2,FALSE))</f>
        <v>10.3</v>
      </c>
      <c r="P44" s="17">
        <f t="shared" si="4"/>
        <v>0</v>
      </c>
      <c r="Q44" s="17">
        <f t="shared" si="5"/>
        <v>0</v>
      </c>
      <c r="R44" s="17">
        <f t="shared" si="6"/>
        <v>0</v>
      </c>
      <c r="S44" s="17">
        <f t="shared" si="7"/>
        <v>0</v>
      </c>
    </row>
    <row r="45" spans="1:19" x14ac:dyDescent="0.3">
      <c r="A45" s="17" t="s">
        <v>722</v>
      </c>
      <c r="B45" s="17">
        <v>5144853</v>
      </c>
      <c r="D45" s="18">
        <v>0</v>
      </c>
      <c r="E45" s="18">
        <v>0</v>
      </c>
      <c r="F45" s="18">
        <v>0</v>
      </c>
      <c r="G45" s="18">
        <v>0</v>
      </c>
      <c r="H45" s="18">
        <v>0</v>
      </c>
      <c r="I45" s="18">
        <v>0</v>
      </c>
      <c r="J45" s="18">
        <v>0</v>
      </c>
      <c r="K45" s="18">
        <v>0</v>
      </c>
      <c r="O45" s="17">
        <f>IF(ISERROR(VLOOKUP(B45,tblRates,2,FALSE)),0,VLOOKUP(B45,tblRates,2,FALSE))</f>
        <v>11.12</v>
      </c>
      <c r="P45" s="17">
        <f t="shared" si="4"/>
        <v>0</v>
      </c>
      <c r="Q45" s="17">
        <f t="shared" si="5"/>
        <v>0</v>
      </c>
      <c r="R45" s="17">
        <f t="shared" si="6"/>
        <v>0</v>
      </c>
      <c r="S45" s="17">
        <f t="shared" si="7"/>
        <v>0</v>
      </c>
    </row>
    <row r="46" spans="1:19" x14ac:dyDescent="0.3">
      <c r="A46" s="17" t="s">
        <v>723</v>
      </c>
      <c r="B46" s="17">
        <v>5994632</v>
      </c>
      <c r="D46" s="18">
        <v>0</v>
      </c>
      <c r="E46" s="18">
        <v>0</v>
      </c>
      <c r="F46" s="18">
        <v>0</v>
      </c>
      <c r="G46" s="18">
        <v>0</v>
      </c>
      <c r="H46" s="18">
        <v>0</v>
      </c>
      <c r="I46" s="18">
        <v>0</v>
      </c>
      <c r="J46" s="18">
        <v>0</v>
      </c>
      <c r="K46" s="18">
        <v>0</v>
      </c>
      <c r="O46" s="17">
        <f>IF(ISERROR(VLOOKUP(B46,tblRates,2,FALSE)),0,VLOOKUP(B46,tblRates,2,FALSE))</f>
        <v>10.56</v>
      </c>
      <c r="P46" s="17">
        <f t="shared" si="4"/>
        <v>0</v>
      </c>
      <c r="Q46" s="17">
        <f t="shared" si="5"/>
        <v>0</v>
      </c>
      <c r="R46" s="17">
        <f t="shared" si="6"/>
        <v>0</v>
      </c>
      <c r="S46" s="17">
        <f t="shared" si="7"/>
        <v>0</v>
      </c>
    </row>
    <row r="47" spans="1:19" x14ac:dyDescent="0.3">
      <c r="A47" s="17" t="s">
        <v>724</v>
      </c>
      <c r="B47" s="17">
        <v>6036709</v>
      </c>
      <c r="D47" s="18">
        <v>0</v>
      </c>
      <c r="E47" s="18">
        <v>0</v>
      </c>
      <c r="F47" s="18">
        <v>0</v>
      </c>
      <c r="G47" s="18">
        <v>0</v>
      </c>
      <c r="H47" s="18">
        <v>0</v>
      </c>
      <c r="I47" s="18">
        <v>0</v>
      </c>
      <c r="J47" s="18">
        <v>0</v>
      </c>
      <c r="K47" s="18">
        <v>0</v>
      </c>
      <c r="O47" s="17">
        <f>IF(ISERROR(VLOOKUP(B47,tblRates,2,FALSE)),0,VLOOKUP(B47,tblRates,2,FALSE))</f>
        <v>11.1</v>
      </c>
      <c r="P47" s="17">
        <f t="shared" si="4"/>
        <v>0</v>
      </c>
      <c r="Q47" s="17">
        <f t="shared" si="5"/>
        <v>0</v>
      </c>
      <c r="R47" s="17">
        <f t="shared" si="6"/>
        <v>0</v>
      </c>
      <c r="S47" s="17">
        <f t="shared" si="7"/>
        <v>0</v>
      </c>
    </row>
    <row r="48" spans="1:19" x14ac:dyDescent="0.3">
      <c r="A48" s="17" t="s">
        <v>725</v>
      </c>
      <c r="B48" s="17">
        <v>5063743</v>
      </c>
      <c r="D48" s="18">
        <v>0</v>
      </c>
      <c r="E48" s="18">
        <v>0</v>
      </c>
      <c r="F48" s="18">
        <v>0</v>
      </c>
      <c r="G48" s="18">
        <v>0</v>
      </c>
      <c r="H48" s="18">
        <v>0</v>
      </c>
      <c r="I48" s="18">
        <v>0</v>
      </c>
      <c r="J48" s="18">
        <v>0</v>
      </c>
      <c r="K48" s="18">
        <v>0</v>
      </c>
      <c r="O48" s="17">
        <f>IF(ISERROR(VLOOKUP(B48,tblRates,2,FALSE)),0,VLOOKUP(B48,tblRates,2,FALSE))</f>
        <v>11.12</v>
      </c>
      <c r="P48" s="17">
        <f t="shared" si="4"/>
        <v>0</v>
      </c>
      <c r="Q48" s="17">
        <f t="shared" si="5"/>
        <v>0</v>
      </c>
      <c r="R48" s="17">
        <f t="shared" si="6"/>
        <v>0</v>
      </c>
      <c r="S48" s="17">
        <f t="shared" si="7"/>
        <v>0</v>
      </c>
    </row>
    <row r="49" spans="1:19" x14ac:dyDescent="0.3">
      <c r="A49" s="17" t="s">
        <v>726</v>
      </c>
      <c r="B49" s="17">
        <v>6036700</v>
      </c>
      <c r="D49" s="18">
        <v>0</v>
      </c>
      <c r="E49" s="18">
        <v>0</v>
      </c>
      <c r="F49" s="18">
        <v>0</v>
      </c>
      <c r="G49" s="18">
        <v>0</v>
      </c>
      <c r="H49" s="18">
        <v>0</v>
      </c>
      <c r="I49" s="18">
        <v>0</v>
      </c>
      <c r="J49" s="18">
        <v>0</v>
      </c>
      <c r="K49" s="18">
        <v>0</v>
      </c>
      <c r="O49" s="17">
        <f>IF(ISERROR(VLOOKUP(B49,tblRates,2,FALSE)),0,VLOOKUP(B49,tblRates,2,FALSE))</f>
        <v>10.3</v>
      </c>
      <c r="P49" s="17">
        <f t="shared" si="4"/>
        <v>0</v>
      </c>
      <c r="Q49" s="17">
        <f t="shared" si="5"/>
        <v>0</v>
      </c>
      <c r="R49" s="17">
        <f t="shared" si="6"/>
        <v>0</v>
      </c>
      <c r="S49" s="17">
        <f t="shared" si="7"/>
        <v>0</v>
      </c>
    </row>
    <row r="50" spans="1:19" x14ac:dyDescent="0.3">
      <c r="A50" s="17" t="s">
        <v>727</v>
      </c>
      <c r="B50" s="17">
        <v>5144828</v>
      </c>
      <c r="D50" s="18">
        <v>0</v>
      </c>
      <c r="E50" s="18">
        <v>0</v>
      </c>
      <c r="F50" s="18">
        <v>0</v>
      </c>
      <c r="G50" s="18">
        <v>0</v>
      </c>
      <c r="H50" s="18">
        <v>0</v>
      </c>
      <c r="I50" s="18">
        <v>0</v>
      </c>
      <c r="J50" s="18">
        <v>0</v>
      </c>
      <c r="K50" s="18">
        <v>0</v>
      </c>
      <c r="O50" s="17">
        <f>IF(ISERROR(VLOOKUP(B50,tblRates,2,FALSE)),0,VLOOKUP(B50,tblRates,2,FALSE))</f>
        <v>11.12</v>
      </c>
      <c r="P50" s="17">
        <f t="shared" si="4"/>
        <v>0</v>
      </c>
      <c r="Q50" s="17">
        <f t="shared" si="5"/>
        <v>0</v>
      </c>
      <c r="R50" s="17">
        <f t="shared" si="6"/>
        <v>0</v>
      </c>
      <c r="S50" s="17">
        <f t="shared" si="7"/>
        <v>0</v>
      </c>
    </row>
    <row r="51" spans="1:19" x14ac:dyDescent="0.3">
      <c r="A51" s="17" t="s">
        <v>728</v>
      </c>
      <c r="B51" s="17">
        <v>5994618</v>
      </c>
      <c r="D51" s="18">
        <v>0</v>
      </c>
      <c r="E51" s="18">
        <v>0</v>
      </c>
      <c r="F51" s="18">
        <v>0</v>
      </c>
      <c r="G51" s="18">
        <v>0</v>
      </c>
      <c r="H51" s="18">
        <v>0</v>
      </c>
      <c r="I51" s="18">
        <v>0</v>
      </c>
      <c r="J51" s="18">
        <v>0</v>
      </c>
      <c r="K51" s="18">
        <v>0</v>
      </c>
      <c r="O51" s="17">
        <f>IF(ISERROR(VLOOKUP(B51,tblRates,2,FALSE)),0,VLOOKUP(B51,tblRates,2,FALSE))</f>
        <v>10.56</v>
      </c>
      <c r="P51" s="17">
        <f t="shared" si="4"/>
        <v>0</v>
      </c>
      <c r="Q51" s="17">
        <f t="shared" si="5"/>
        <v>0</v>
      </c>
      <c r="R51" s="17">
        <f t="shared" si="6"/>
        <v>0</v>
      </c>
      <c r="S51" s="17">
        <f t="shared" si="7"/>
        <v>0</v>
      </c>
    </row>
    <row r="52" spans="1:19" x14ac:dyDescent="0.3">
      <c r="A52" s="17" t="s">
        <v>729</v>
      </c>
      <c r="B52" s="17">
        <v>5108627</v>
      </c>
      <c r="D52" s="18">
        <v>0</v>
      </c>
      <c r="E52" s="18">
        <v>0</v>
      </c>
      <c r="F52" s="18">
        <v>0</v>
      </c>
      <c r="G52" s="18">
        <v>0</v>
      </c>
      <c r="H52" s="18">
        <v>0</v>
      </c>
      <c r="I52" s="18">
        <v>0</v>
      </c>
      <c r="J52" s="18">
        <v>0</v>
      </c>
      <c r="K52" s="18">
        <v>0</v>
      </c>
      <c r="O52" s="17">
        <f>IF(ISERROR(VLOOKUP(B52,tblRates,2,FALSE)),0,VLOOKUP(B52,tblRates,2,FALSE))</f>
        <v>11.14</v>
      </c>
      <c r="P52" s="17">
        <f t="shared" si="4"/>
        <v>0</v>
      </c>
      <c r="Q52" s="17">
        <f t="shared" si="5"/>
        <v>0</v>
      </c>
      <c r="R52" s="17">
        <f t="shared" si="6"/>
        <v>0</v>
      </c>
      <c r="S52" s="17">
        <f t="shared" si="7"/>
        <v>0</v>
      </c>
    </row>
    <row r="53" spans="1:19" x14ac:dyDescent="0.3">
      <c r="A53" s="17" t="s">
        <v>730</v>
      </c>
      <c r="B53" s="17">
        <v>5997479</v>
      </c>
      <c r="D53" s="18">
        <v>0</v>
      </c>
      <c r="E53" s="18">
        <v>0</v>
      </c>
      <c r="F53" s="18">
        <v>0</v>
      </c>
      <c r="G53" s="18">
        <v>0</v>
      </c>
      <c r="H53" s="18">
        <v>0</v>
      </c>
      <c r="I53" s="18">
        <v>0</v>
      </c>
      <c r="J53" s="18">
        <v>0</v>
      </c>
      <c r="K53" s="18">
        <v>0</v>
      </c>
      <c r="O53" s="17">
        <f>IF(ISERROR(VLOOKUP(B53,tblRates,2,FALSE)),0,VLOOKUP(B53,tblRates,2,FALSE))</f>
        <v>10.56</v>
      </c>
      <c r="P53" s="17">
        <f t="shared" si="4"/>
        <v>0</v>
      </c>
      <c r="Q53" s="17">
        <f t="shared" si="5"/>
        <v>0</v>
      </c>
      <c r="R53" s="17">
        <f t="shared" si="6"/>
        <v>0</v>
      </c>
      <c r="S53" s="17">
        <f t="shared" si="7"/>
        <v>0</v>
      </c>
    </row>
    <row r="54" spans="1:19" x14ac:dyDescent="0.3">
      <c r="A54" s="17" t="s">
        <v>731</v>
      </c>
      <c r="B54" s="17">
        <v>6038915</v>
      </c>
      <c r="D54" s="18">
        <v>0</v>
      </c>
      <c r="E54" s="18">
        <v>0</v>
      </c>
      <c r="F54" s="18">
        <v>0</v>
      </c>
      <c r="G54" s="18">
        <v>0</v>
      </c>
      <c r="H54" s="18">
        <v>0</v>
      </c>
      <c r="I54" s="18">
        <v>0</v>
      </c>
      <c r="J54" s="18">
        <v>0</v>
      </c>
      <c r="K54" s="18">
        <v>0</v>
      </c>
      <c r="O54" s="17">
        <f>IF(ISERROR(VLOOKUP(B54,tblRates,2,FALSE)),0,VLOOKUP(B54,tblRates,2,FALSE))</f>
        <v>10.3</v>
      </c>
      <c r="P54" s="17">
        <f t="shared" si="4"/>
        <v>0</v>
      </c>
      <c r="Q54" s="17">
        <f t="shared" si="5"/>
        <v>0</v>
      </c>
      <c r="R54" s="17">
        <f t="shared" si="6"/>
        <v>0</v>
      </c>
      <c r="S54" s="17">
        <f t="shared" si="7"/>
        <v>0</v>
      </c>
    </row>
    <row r="55" spans="1:19" x14ac:dyDescent="0.3">
      <c r="A55" s="17" t="s">
        <v>732</v>
      </c>
      <c r="B55" s="17">
        <v>5128245</v>
      </c>
      <c r="D55" s="18">
        <v>0</v>
      </c>
      <c r="E55" s="18">
        <v>0</v>
      </c>
      <c r="F55" s="18">
        <v>0</v>
      </c>
      <c r="G55" s="18">
        <v>0</v>
      </c>
      <c r="H55" s="18">
        <v>0</v>
      </c>
      <c r="I55" s="18">
        <v>0</v>
      </c>
      <c r="J55" s="18">
        <v>0</v>
      </c>
      <c r="K55" s="18">
        <v>0</v>
      </c>
      <c r="O55" s="17">
        <f>IF(ISERROR(VLOOKUP(B55,tblRates,2,FALSE)),0,VLOOKUP(B55,tblRates,2,FALSE))</f>
        <v>11.12</v>
      </c>
      <c r="P55" s="17">
        <f t="shared" si="4"/>
        <v>0</v>
      </c>
      <c r="Q55" s="17">
        <f t="shared" si="5"/>
        <v>0</v>
      </c>
      <c r="R55" s="17">
        <f t="shared" si="6"/>
        <v>0</v>
      </c>
      <c r="S55" s="17">
        <f t="shared" si="7"/>
        <v>0</v>
      </c>
    </row>
    <row r="56" spans="1:19" x14ac:dyDescent="0.3">
      <c r="A56" s="17" t="s">
        <v>733</v>
      </c>
      <c r="B56" s="17">
        <v>5141023</v>
      </c>
      <c r="D56" s="18">
        <v>0</v>
      </c>
      <c r="E56" s="18">
        <v>0</v>
      </c>
      <c r="F56" s="18">
        <v>0</v>
      </c>
      <c r="G56" s="18">
        <v>0</v>
      </c>
      <c r="H56" s="18">
        <v>0</v>
      </c>
      <c r="I56" s="18">
        <v>0</v>
      </c>
      <c r="J56" s="18">
        <v>0</v>
      </c>
      <c r="K56" s="18">
        <v>0</v>
      </c>
      <c r="O56" s="17">
        <f>IF(ISERROR(VLOOKUP(B56,tblRates,2,FALSE)),0,VLOOKUP(B56,tblRates,2,FALSE))</f>
        <v>11.12</v>
      </c>
      <c r="P56" s="17">
        <f t="shared" si="4"/>
        <v>0</v>
      </c>
      <c r="Q56" s="17">
        <f t="shared" si="5"/>
        <v>0</v>
      </c>
      <c r="R56" s="17">
        <f t="shared" si="6"/>
        <v>0</v>
      </c>
      <c r="S56" s="17">
        <f t="shared" si="7"/>
        <v>0</v>
      </c>
    </row>
    <row r="57" spans="1:19" x14ac:dyDescent="0.3">
      <c r="A57" s="17" t="s">
        <v>734</v>
      </c>
      <c r="B57" s="17">
        <v>6036697</v>
      </c>
      <c r="D57" s="18">
        <v>0</v>
      </c>
      <c r="E57" s="18">
        <v>0</v>
      </c>
      <c r="F57" s="18">
        <v>0</v>
      </c>
      <c r="G57" s="18">
        <v>0</v>
      </c>
      <c r="H57" s="18">
        <v>0</v>
      </c>
      <c r="I57" s="18">
        <v>0</v>
      </c>
      <c r="J57" s="18">
        <v>0</v>
      </c>
      <c r="K57" s="18">
        <v>0</v>
      </c>
      <c r="O57" s="17">
        <f>IF(ISERROR(VLOOKUP(B57,tblRates,2,FALSE)),0,VLOOKUP(B57,tblRates,2,FALSE))</f>
        <v>10.3</v>
      </c>
      <c r="P57" s="17">
        <f t="shared" si="4"/>
        <v>0</v>
      </c>
      <c r="Q57" s="17">
        <f t="shared" si="5"/>
        <v>0</v>
      </c>
      <c r="R57" s="17">
        <f t="shared" si="6"/>
        <v>0</v>
      </c>
      <c r="S57" s="17">
        <f t="shared" si="7"/>
        <v>0</v>
      </c>
    </row>
    <row r="58" spans="1:19" x14ac:dyDescent="0.3">
      <c r="A58" s="17" t="s">
        <v>735</v>
      </c>
      <c r="B58" s="17">
        <v>5994631</v>
      </c>
      <c r="D58" s="18">
        <v>0</v>
      </c>
      <c r="E58" s="18">
        <v>0</v>
      </c>
      <c r="F58" s="18">
        <v>0</v>
      </c>
      <c r="G58" s="18">
        <v>0</v>
      </c>
      <c r="H58" s="18">
        <v>0</v>
      </c>
      <c r="I58" s="18">
        <v>0</v>
      </c>
      <c r="J58" s="18">
        <v>0</v>
      </c>
      <c r="K58" s="18">
        <v>0</v>
      </c>
      <c r="O58" s="17">
        <f>IF(ISERROR(VLOOKUP(B58,tblRates,2,FALSE)),0,VLOOKUP(B58,tblRates,2,FALSE))</f>
        <v>10.56</v>
      </c>
      <c r="P58" s="17">
        <f t="shared" si="4"/>
        <v>0</v>
      </c>
      <c r="Q58" s="17">
        <f t="shared" si="5"/>
        <v>0</v>
      </c>
      <c r="R58" s="17">
        <f t="shared" si="6"/>
        <v>0</v>
      </c>
      <c r="S58" s="17">
        <f t="shared" si="7"/>
        <v>0</v>
      </c>
    </row>
    <row r="59" spans="1:19" x14ac:dyDescent="0.3">
      <c r="A59" s="17" t="s">
        <v>736</v>
      </c>
      <c r="B59" s="17">
        <v>5994629</v>
      </c>
      <c r="D59" s="18">
        <v>0</v>
      </c>
      <c r="E59" s="18">
        <v>0</v>
      </c>
      <c r="F59" s="18">
        <v>0</v>
      </c>
      <c r="G59" s="18">
        <v>0</v>
      </c>
      <c r="H59" s="18">
        <v>0</v>
      </c>
      <c r="I59" s="18">
        <v>0</v>
      </c>
      <c r="J59" s="18">
        <v>0</v>
      </c>
      <c r="K59" s="18">
        <v>0</v>
      </c>
      <c r="O59" s="17">
        <f>IF(ISERROR(VLOOKUP(B59,tblRates,2,FALSE)),0,VLOOKUP(B59,tblRates,2,FALSE))</f>
        <v>10.56</v>
      </c>
      <c r="P59" s="17">
        <f t="shared" si="4"/>
        <v>0</v>
      </c>
      <c r="Q59" s="17">
        <f t="shared" si="5"/>
        <v>0</v>
      </c>
      <c r="R59" s="17">
        <f t="shared" si="6"/>
        <v>0</v>
      </c>
      <c r="S59" s="17">
        <f t="shared" si="7"/>
        <v>0</v>
      </c>
    </row>
    <row r="60" spans="1:19" x14ac:dyDescent="0.3">
      <c r="A60" s="17" t="s">
        <v>485</v>
      </c>
      <c r="B60" s="17">
        <v>5039806</v>
      </c>
      <c r="D60" s="18">
        <v>0</v>
      </c>
      <c r="E60" s="18">
        <v>0</v>
      </c>
      <c r="F60" s="18">
        <v>0</v>
      </c>
      <c r="G60" s="18">
        <v>0</v>
      </c>
      <c r="H60" s="18">
        <v>0</v>
      </c>
      <c r="I60" s="18">
        <v>0</v>
      </c>
      <c r="J60" s="18">
        <v>0</v>
      </c>
      <c r="K60" s="18">
        <v>0</v>
      </c>
      <c r="O60" s="17">
        <f>IF(ISERROR(VLOOKUP(B60,tblRates,2,FALSE)),0,VLOOKUP(B60,tblRates,2,FALSE))</f>
        <v>11.28</v>
      </c>
      <c r="P60" s="17">
        <f t="shared" si="4"/>
        <v>0</v>
      </c>
      <c r="Q60" s="17">
        <f t="shared" si="5"/>
        <v>0</v>
      </c>
      <c r="R60" s="17">
        <f t="shared" si="6"/>
        <v>0</v>
      </c>
      <c r="S60" s="17">
        <f t="shared" si="7"/>
        <v>0</v>
      </c>
    </row>
    <row r="61" spans="1:19" x14ac:dyDescent="0.3">
      <c r="A61" s="17" t="s">
        <v>486</v>
      </c>
      <c r="B61" s="17">
        <v>5013675</v>
      </c>
      <c r="D61" s="18">
        <v>0</v>
      </c>
      <c r="E61" s="18">
        <v>0</v>
      </c>
      <c r="F61" s="18">
        <v>0</v>
      </c>
      <c r="G61" s="18">
        <v>0</v>
      </c>
      <c r="H61" s="18">
        <v>0</v>
      </c>
      <c r="I61" s="18">
        <v>0</v>
      </c>
      <c r="J61" s="18">
        <v>0</v>
      </c>
      <c r="K61" s="18">
        <v>0</v>
      </c>
      <c r="O61" s="17">
        <f>IF(ISERROR(VLOOKUP(B61,tblRates,2,FALSE)),0,VLOOKUP(B61,tblRates,2,FALSE))</f>
        <v>11.14</v>
      </c>
      <c r="P61" s="17">
        <f t="shared" si="4"/>
        <v>0</v>
      </c>
      <c r="Q61" s="17">
        <f t="shared" si="5"/>
        <v>0</v>
      </c>
      <c r="R61" s="17">
        <f t="shared" si="6"/>
        <v>0</v>
      </c>
      <c r="S61" s="17">
        <f t="shared" si="7"/>
        <v>0</v>
      </c>
    </row>
    <row r="62" spans="1:19" x14ac:dyDescent="0.3">
      <c r="A62" s="17" t="s">
        <v>487</v>
      </c>
      <c r="B62" s="17">
        <v>5040545</v>
      </c>
      <c r="D62" s="18">
        <v>0</v>
      </c>
      <c r="E62" s="18">
        <v>0</v>
      </c>
      <c r="F62" s="18">
        <v>0</v>
      </c>
      <c r="G62" s="18">
        <v>0</v>
      </c>
      <c r="H62" s="18">
        <v>0</v>
      </c>
      <c r="I62" s="18">
        <v>0</v>
      </c>
      <c r="J62" s="18">
        <v>0</v>
      </c>
      <c r="K62" s="18">
        <v>0</v>
      </c>
      <c r="O62" s="17">
        <f>IF(ISERROR(VLOOKUP(B62,tblRates,2,FALSE)),0,VLOOKUP(B62,tblRates,2,FALSE))</f>
        <v>11.14</v>
      </c>
      <c r="P62" s="17">
        <f t="shared" si="4"/>
        <v>0</v>
      </c>
      <c r="Q62" s="17">
        <f t="shared" si="5"/>
        <v>0</v>
      </c>
      <c r="R62" s="17">
        <f t="shared" si="6"/>
        <v>0</v>
      </c>
      <c r="S62" s="17">
        <f t="shared" si="7"/>
        <v>0</v>
      </c>
    </row>
    <row r="63" spans="1:19" x14ac:dyDescent="0.3">
      <c r="A63" s="17" t="s">
        <v>488</v>
      </c>
      <c r="B63" s="17">
        <v>5098467</v>
      </c>
      <c r="D63" s="18">
        <v>0</v>
      </c>
      <c r="E63" s="18">
        <v>0</v>
      </c>
      <c r="F63" s="18">
        <v>0</v>
      </c>
      <c r="G63" s="18">
        <v>0</v>
      </c>
      <c r="H63" s="18">
        <v>0</v>
      </c>
      <c r="I63" s="18">
        <v>0</v>
      </c>
      <c r="J63" s="18">
        <v>0</v>
      </c>
      <c r="K63" s="18">
        <v>0</v>
      </c>
      <c r="O63" s="17">
        <f>IF(ISERROR(VLOOKUP(B63,tblRates,2,FALSE)),0,VLOOKUP(B63,tblRates,2,FALSE))</f>
        <v>13.38</v>
      </c>
      <c r="P63" s="17">
        <f t="shared" si="4"/>
        <v>0</v>
      </c>
      <c r="Q63" s="17">
        <f t="shared" si="5"/>
        <v>0</v>
      </c>
      <c r="R63" s="17">
        <f t="shared" si="6"/>
        <v>0</v>
      </c>
      <c r="S63" s="17">
        <f t="shared" si="7"/>
        <v>0</v>
      </c>
    </row>
    <row r="64" spans="1:19" x14ac:dyDescent="0.3">
      <c r="A64" s="17" t="s">
        <v>489</v>
      </c>
      <c r="B64" s="17">
        <v>5159581</v>
      </c>
      <c r="D64" s="18">
        <v>0</v>
      </c>
      <c r="E64" s="18">
        <v>0</v>
      </c>
      <c r="F64" s="18">
        <v>0</v>
      </c>
      <c r="G64" s="18">
        <v>0</v>
      </c>
      <c r="H64" s="18">
        <v>0</v>
      </c>
      <c r="I64" s="18">
        <v>0</v>
      </c>
      <c r="J64" s="18">
        <v>0</v>
      </c>
      <c r="K64" s="18">
        <v>0</v>
      </c>
      <c r="O64" s="17">
        <f>IF(ISERROR(VLOOKUP(B64,tblRates,2,FALSE)),0,VLOOKUP(B64,tblRates,2,FALSE))</f>
        <v>11.14</v>
      </c>
      <c r="P64" s="17">
        <f t="shared" si="4"/>
        <v>0</v>
      </c>
      <c r="Q64" s="17">
        <f t="shared" si="5"/>
        <v>0</v>
      </c>
      <c r="R64" s="17">
        <f t="shared" si="6"/>
        <v>0</v>
      </c>
      <c r="S64" s="17">
        <f t="shared" si="7"/>
        <v>0</v>
      </c>
    </row>
    <row r="65" spans="1:19" x14ac:dyDescent="0.3">
      <c r="A65" s="17" t="s">
        <v>490</v>
      </c>
      <c r="B65" s="17">
        <v>5036204</v>
      </c>
      <c r="D65" s="18">
        <v>0</v>
      </c>
      <c r="E65" s="18">
        <v>0</v>
      </c>
      <c r="F65" s="18">
        <v>0</v>
      </c>
      <c r="G65" s="18">
        <v>0</v>
      </c>
      <c r="H65" s="18">
        <v>0</v>
      </c>
      <c r="I65" s="18">
        <v>0</v>
      </c>
      <c r="J65" s="18">
        <v>0</v>
      </c>
      <c r="K65" s="18">
        <v>0</v>
      </c>
      <c r="O65" s="17">
        <f>IF(ISERROR(VLOOKUP(B65,tblRates,2,FALSE)),0,VLOOKUP(B65,tblRates,2,FALSE))</f>
        <v>11.14</v>
      </c>
      <c r="P65" s="17">
        <f t="shared" si="4"/>
        <v>0</v>
      </c>
      <c r="Q65" s="17">
        <f t="shared" si="5"/>
        <v>0</v>
      </c>
      <c r="R65" s="17">
        <f t="shared" si="6"/>
        <v>0</v>
      </c>
      <c r="S65" s="17">
        <f t="shared" si="7"/>
        <v>0</v>
      </c>
    </row>
    <row r="66" spans="1:19" x14ac:dyDescent="0.3">
      <c r="A66" s="17" t="s">
        <v>491</v>
      </c>
      <c r="B66" s="17">
        <v>5040465</v>
      </c>
      <c r="D66" s="18">
        <v>0</v>
      </c>
      <c r="E66" s="18">
        <v>0</v>
      </c>
      <c r="F66" s="18">
        <v>0</v>
      </c>
      <c r="G66" s="18">
        <v>0</v>
      </c>
      <c r="H66" s="18">
        <v>0</v>
      </c>
      <c r="I66" s="18">
        <v>0</v>
      </c>
      <c r="J66" s="18">
        <v>0</v>
      </c>
      <c r="K66" s="18">
        <v>0</v>
      </c>
      <c r="O66" s="17">
        <f>IF(ISERROR(VLOOKUP(B66,tblRates,2,FALSE)),0,VLOOKUP(B66,tblRates,2,FALSE))</f>
        <v>11.25</v>
      </c>
      <c r="P66" s="17">
        <f t="shared" si="4"/>
        <v>0</v>
      </c>
      <c r="Q66" s="17">
        <f t="shared" si="5"/>
        <v>0</v>
      </c>
      <c r="R66" s="17">
        <f t="shared" si="6"/>
        <v>0</v>
      </c>
      <c r="S66" s="17">
        <f t="shared" si="7"/>
        <v>0</v>
      </c>
    </row>
    <row r="67" spans="1:19" x14ac:dyDescent="0.3">
      <c r="A67" s="17" t="s">
        <v>492</v>
      </c>
      <c r="B67" s="17">
        <v>5038990</v>
      </c>
      <c r="D67" s="18">
        <v>0</v>
      </c>
      <c r="E67" s="18">
        <v>0</v>
      </c>
      <c r="F67" s="18">
        <v>0</v>
      </c>
      <c r="G67" s="18">
        <v>0</v>
      </c>
      <c r="H67" s="18">
        <v>0</v>
      </c>
      <c r="I67" s="18">
        <v>0</v>
      </c>
      <c r="J67" s="18">
        <v>0</v>
      </c>
      <c r="K67" s="18">
        <v>0</v>
      </c>
      <c r="O67" s="17">
        <f>IF(ISERROR(VLOOKUP(B67,tblRates,2,FALSE)),0,VLOOKUP(B67,tblRates,2,FALSE))</f>
        <v>12.49</v>
      </c>
      <c r="P67" s="17">
        <f t="shared" si="4"/>
        <v>0</v>
      </c>
      <c r="Q67" s="17">
        <f t="shared" si="5"/>
        <v>0</v>
      </c>
      <c r="R67" s="17">
        <f t="shared" si="6"/>
        <v>0</v>
      </c>
      <c r="S67" s="17">
        <f t="shared" si="7"/>
        <v>0</v>
      </c>
    </row>
    <row r="68" spans="1:19" x14ac:dyDescent="0.3">
      <c r="A68" s="17" t="s">
        <v>493</v>
      </c>
      <c r="B68" s="17">
        <v>6015039</v>
      </c>
      <c r="D68" s="18">
        <v>0</v>
      </c>
      <c r="E68" s="18">
        <v>0</v>
      </c>
      <c r="F68" s="18">
        <v>0</v>
      </c>
      <c r="G68" s="18">
        <v>0</v>
      </c>
      <c r="H68" s="18">
        <v>0</v>
      </c>
      <c r="I68" s="18">
        <v>0</v>
      </c>
      <c r="J68" s="18">
        <v>0</v>
      </c>
      <c r="K68" s="18">
        <v>0</v>
      </c>
      <c r="O68" s="17">
        <f>IF(ISERROR(VLOOKUP(B68,tblRates,2,FALSE)),0,VLOOKUP(B68,tblRates,2,FALSE))</f>
        <v>11.12</v>
      </c>
      <c r="P68" s="17">
        <f t="shared" si="4"/>
        <v>0</v>
      </c>
      <c r="Q68" s="17">
        <f t="shared" si="5"/>
        <v>0</v>
      </c>
      <c r="R68" s="17">
        <f t="shared" si="6"/>
        <v>0</v>
      </c>
      <c r="S68" s="17">
        <f t="shared" si="7"/>
        <v>0</v>
      </c>
    </row>
    <row r="69" spans="1:19" x14ac:dyDescent="0.3">
      <c r="A69" s="17" t="s">
        <v>494</v>
      </c>
      <c r="B69" s="17">
        <v>5038564</v>
      </c>
      <c r="D69" s="18">
        <v>0</v>
      </c>
      <c r="E69" s="18">
        <v>0</v>
      </c>
      <c r="F69" s="18">
        <v>0</v>
      </c>
      <c r="G69" s="18">
        <v>0</v>
      </c>
      <c r="H69" s="18">
        <v>0</v>
      </c>
      <c r="I69" s="18">
        <v>0</v>
      </c>
      <c r="J69" s="18">
        <v>0</v>
      </c>
      <c r="K69" s="18">
        <v>0</v>
      </c>
      <c r="O69" s="17">
        <f>IF(ISERROR(VLOOKUP(B69,tblRates,2,FALSE)),0,VLOOKUP(B69,tblRates,2,FALSE))</f>
        <v>11.24</v>
      </c>
      <c r="P69" s="17">
        <f t="shared" si="4"/>
        <v>0</v>
      </c>
      <c r="Q69" s="17">
        <f t="shared" si="5"/>
        <v>0</v>
      </c>
      <c r="R69" s="17">
        <f t="shared" si="6"/>
        <v>0</v>
      </c>
      <c r="S69" s="17">
        <f t="shared" si="7"/>
        <v>0</v>
      </c>
    </row>
    <row r="70" spans="1:19" x14ac:dyDescent="0.3">
      <c r="A70" s="17" t="s">
        <v>495</v>
      </c>
      <c r="B70" s="17">
        <v>5040650</v>
      </c>
      <c r="D70" s="18">
        <v>0</v>
      </c>
      <c r="E70" s="18">
        <v>0</v>
      </c>
      <c r="F70" s="18">
        <v>0</v>
      </c>
      <c r="G70" s="18">
        <v>0</v>
      </c>
      <c r="H70" s="18">
        <v>0</v>
      </c>
      <c r="I70" s="18">
        <v>0</v>
      </c>
      <c r="J70" s="18">
        <v>0</v>
      </c>
      <c r="K70" s="18">
        <v>0</v>
      </c>
      <c r="O70" s="17">
        <f>IF(ISERROR(VLOOKUP(B70,tblRates,2,FALSE)),0,VLOOKUP(B70,tblRates,2,FALSE))</f>
        <v>11.14</v>
      </c>
      <c r="P70" s="17">
        <f t="shared" si="4"/>
        <v>0</v>
      </c>
      <c r="Q70" s="17">
        <f t="shared" si="5"/>
        <v>0</v>
      </c>
      <c r="R70" s="17">
        <f t="shared" si="6"/>
        <v>0</v>
      </c>
      <c r="S70" s="17">
        <f t="shared" si="7"/>
        <v>0</v>
      </c>
    </row>
    <row r="71" spans="1:19" x14ac:dyDescent="0.3">
      <c r="A71" s="17" t="s">
        <v>496</v>
      </c>
      <c r="B71" s="17">
        <v>5950839</v>
      </c>
      <c r="D71" s="18">
        <v>0</v>
      </c>
      <c r="E71" s="18">
        <v>0</v>
      </c>
      <c r="F71" s="18">
        <v>0</v>
      </c>
      <c r="G71" s="18">
        <v>0</v>
      </c>
      <c r="H71" s="18">
        <v>0</v>
      </c>
      <c r="I71" s="18">
        <v>0</v>
      </c>
      <c r="J71" s="18">
        <v>0</v>
      </c>
      <c r="K71" s="18">
        <v>0</v>
      </c>
      <c r="O71" s="17">
        <f>IF(ISERROR(VLOOKUP(B71,tblRates,2,FALSE)),0,VLOOKUP(B71,tblRates,2,FALSE))</f>
        <v>11.4</v>
      </c>
      <c r="P71" s="17">
        <f t="shared" si="4"/>
        <v>0</v>
      </c>
      <c r="Q71" s="17">
        <f t="shared" si="5"/>
        <v>0</v>
      </c>
      <c r="R71" s="17">
        <f t="shared" si="6"/>
        <v>0</v>
      </c>
      <c r="S71" s="17">
        <f t="shared" si="7"/>
        <v>0</v>
      </c>
    </row>
    <row r="72" spans="1:19" x14ac:dyDescent="0.3">
      <c r="A72" s="17" t="s">
        <v>462</v>
      </c>
      <c r="D72" s="18">
        <v>0</v>
      </c>
      <c r="E72" s="18">
        <v>0</v>
      </c>
      <c r="F72" s="18">
        <v>0</v>
      </c>
      <c r="G72" s="18">
        <v>0</v>
      </c>
      <c r="H72" s="18">
        <v>0</v>
      </c>
      <c r="I72" s="18">
        <v>0</v>
      </c>
      <c r="J72" s="18">
        <v>0</v>
      </c>
      <c r="K72" s="18">
        <v>0</v>
      </c>
      <c r="O72" s="17">
        <f>IF(ISERROR(VLOOKUP(B72,tblRates,2,FALSE)),0,VLOOKUP(B72,tblRates,2,FALSE))</f>
        <v>0</v>
      </c>
      <c r="P72" s="17">
        <f t="shared" si="4"/>
        <v>0</v>
      </c>
      <c r="Q72" s="17">
        <f t="shared" si="5"/>
        <v>0</v>
      </c>
      <c r="R72" s="17">
        <f t="shared" si="6"/>
        <v>0</v>
      </c>
      <c r="S72" s="17">
        <f t="shared" si="7"/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V29"/>
  <sheetViews>
    <sheetView zoomScale="75" zoomScaleNormal="75" workbookViewId="0">
      <selection activeCell="Q4" sqref="Q4"/>
    </sheetView>
  </sheetViews>
  <sheetFormatPr defaultColWidth="15.109375" defaultRowHeight="14.4" x14ac:dyDescent="0.3"/>
  <cols>
    <col min="1" max="1" width="37.88671875" style="17" customWidth="1"/>
    <col min="2" max="2" width="20.109375" style="17" customWidth="1"/>
    <col min="3" max="3" width="22.5546875" style="17" bestFit="1" customWidth="1"/>
    <col min="4" max="10" width="15.6640625" style="17" customWidth="1"/>
    <col min="11" max="11" width="7.109375" style="17" bestFit="1" customWidth="1"/>
    <col min="12" max="12" width="15.6640625" style="17" customWidth="1"/>
    <col min="13" max="13" width="9.5546875" style="17" customWidth="1"/>
    <col min="14" max="16384" width="15.109375" style="17"/>
  </cols>
  <sheetData>
    <row r="1" spans="1:256" x14ac:dyDescent="0.3">
      <c r="A1" s="17" t="s">
        <v>434</v>
      </c>
      <c r="N1" s="17">
        <f>SUM(R1,S1)</f>
        <v>754.8</v>
      </c>
      <c r="R1" s="17">
        <f>SUM(R9:R10000)</f>
        <v>754.8</v>
      </c>
      <c r="S1" s="17">
        <f>SUM(S9:S10000)</f>
        <v>0</v>
      </c>
      <c r="IV1"/>
    </row>
    <row r="2" spans="1:256" x14ac:dyDescent="0.3">
      <c r="A2" s="17" t="s">
        <v>497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498</v>
      </c>
      <c r="B9" s="17">
        <v>5996727</v>
      </c>
      <c r="C9" s="17" t="s">
        <v>484</v>
      </c>
      <c r="D9" s="18">
        <v>8</v>
      </c>
      <c r="E9" s="18">
        <v>8</v>
      </c>
      <c r="F9" s="18">
        <v>8</v>
      </c>
      <c r="G9" s="18">
        <v>8</v>
      </c>
      <c r="H9" s="18">
        <v>8</v>
      </c>
      <c r="I9" s="18">
        <v>0</v>
      </c>
      <c r="J9" s="18">
        <v>0</v>
      </c>
      <c r="K9" s="18">
        <v>40</v>
      </c>
      <c r="N9" s="17" t="s">
        <v>484</v>
      </c>
      <c r="O9" s="17">
        <f>IF(ISERROR(VLOOKUP(B9,tblRates,2,FALSE)),0,VLOOKUP(B9,tblRates,2,FALSE))</f>
        <v>11.12</v>
      </c>
      <c r="P9" s="17">
        <f t="shared" ref="P9:P29" si="0">IF(K9&gt;40,40,K9)</f>
        <v>40</v>
      </c>
      <c r="Q9" s="17">
        <f t="shared" ref="Q9:Q29" si="1">IF(K9&gt;40,K9-40,0)</f>
        <v>0</v>
      </c>
      <c r="R9" s="17">
        <f t="shared" ref="R9:R29" si="2">ROUND((O9*P9),2)</f>
        <v>444.8</v>
      </c>
      <c r="S9" s="17">
        <f t="shared" ref="S9:S29" si="3">ROUND((Q9*(O9*1.5)),2)</f>
        <v>0</v>
      </c>
    </row>
    <row r="10" spans="1:256" x14ac:dyDescent="0.3">
      <c r="A10" s="17" t="s">
        <v>499</v>
      </c>
      <c r="B10" s="17">
        <v>6086084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O10" s="17">
        <f>IF(ISERROR(VLOOKUP(B10,tblRates,2,FALSE)),0,VLOOKUP(B10,tblRates,2,FALSE))</f>
        <v>11.1</v>
      </c>
      <c r="P10" s="17">
        <f t="shared" si="0"/>
        <v>0</v>
      </c>
      <c r="Q10" s="17">
        <f t="shared" si="1"/>
        <v>0</v>
      </c>
      <c r="R10" s="17">
        <f t="shared" si="2"/>
        <v>0</v>
      </c>
      <c r="S10" s="17">
        <f t="shared" si="3"/>
        <v>0</v>
      </c>
    </row>
    <row r="11" spans="1:256" x14ac:dyDescent="0.3">
      <c r="A11" s="17" t="s">
        <v>500</v>
      </c>
      <c r="B11" s="17">
        <v>5932857</v>
      </c>
      <c r="D11" s="18">
        <v>0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O11" s="17">
        <f>IF(ISERROR(VLOOKUP(B11,tblRates,2,FALSE)),0,VLOOKUP(B11,tblRates,2,FALSE))</f>
        <v>13.35</v>
      </c>
      <c r="P11" s="17">
        <f t="shared" si="0"/>
        <v>0</v>
      </c>
      <c r="Q11" s="17">
        <f t="shared" si="1"/>
        <v>0</v>
      </c>
      <c r="R11" s="17">
        <f t="shared" si="2"/>
        <v>0</v>
      </c>
      <c r="S11" s="17">
        <f t="shared" si="3"/>
        <v>0</v>
      </c>
    </row>
    <row r="12" spans="1:256" x14ac:dyDescent="0.3">
      <c r="A12" s="17" t="s">
        <v>501</v>
      </c>
      <c r="B12" s="17">
        <v>6080925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O12" s="17">
        <f>IF(ISERROR(VLOOKUP(B12,tblRates,2,FALSE)),0,VLOOKUP(B12,tblRates,2,FALSE))</f>
        <v>12.5</v>
      </c>
      <c r="P12" s="17">
        <f t="shared" si="0"/>
        <v>0</v>
      </c>
      <c r="Q12" s="17">
        <f t="shared" si="1"/>
        <v>0</v>
      </c>
      <c r="R12" s="17">
        <f t="shared" si="2"/>
        <v>0</v>
      </c>
      <c r="S12" s="17">
        <f t="shared" si="3"/>
        <v>0</v>
      </c>
    </row>
    <row r="13" spans="1:256" x14ac:dyDescent="0.3">
      <c r="A13" s="17" t="s">
        <v>502</v>
      </c>
      <c r="B13" s="17">
        <v>6082806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O13" s="17">
        <f>IF(ISERROR(VLOOKUP(B13,tblRates,2,FALSE)),0,VLOOKUP(B13,tblRates,2,FALSE))</f>
        <v>11.1</v>
      </c>
      <c r="P13" s="17">
        <f t="shared" si="0"/>
        <v>0</v>
      </c>
      <c r="Q13" s="17">
        <f t="shared" si="1"/>
        <v>0</v>
      </c>
      <c r="R13" s="17">
        <f t="shared" si="2"/>
        <v>0</v>
      </c>
      <c r="S13" s="17">
        <f t="shared" si="3"/>
        <v>0</v>
      </c>
    </row>
    <row r="14" spans="1:256" x14ac:dyDescent="0.3">
      <c r="A14" s="17" t="s">
        <v>503</v>
      </c>
      <c r="B14" s="17">
        <v>6042555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O14" s="17">
        <f>IF(ISERROR(VLOOKUP(B14,tblRates,2,FALSE)),0,VLOOKUP(B14,tblRates,2,FALSE))</f>
        <v>13.33</v>
      </c>
      <c r="P14" s="17">
        <f t="shared" si="0"/>
        <v>0</v>
      </c>
      <c r="Q14" s="17">
        <f t="shared" si="1"/>
        <v>0</v>
      </c>
      <c r="R14" s="17">
        <f t="shared" si="2"/>
        <v>0</v>
      </c>
      <c r="S14" s="17">
        <f t="shared" si="3"/>
        <v>0</v>
      </c>
    </row>
    <row r="15" spans="1:256" x14ac:dyDescent="0.3">
      <c r="A15" s="17" t="s">
        <v>504</v>
      </c>
      <c r="B15" s="17">
        <v>6093585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O15" s="17">
        <f>IF(ISERROR(VLOOKUP(B15,tblRates,2,FALSE)),0,VLOOKUP(B15,tblRates,2,FALSE))</f>
        <v>0</v>
      </c>
      <c r="P15" s="17">
        <f t="shared" si="0"/>
        <v>0</v>
      </c>
      <c r="Q15" s="17">
        <f t="shared" si="1"/>
        <v>0</v>
      </c>
      <c r="R15" s="17">
        <f t="shared" si="2"/>
        <v>0</v>
      </c>
      <c r="S15" s="17">
        <f t="shared" si="3"/>
        <v>0</v>
      </c>
    </row>
    <row r="16" spans="1:256" x14ac:dyDescent="0.3">
      <c r="A16" s="17" t="s">
        <v>505</v>
      </c>
      <c r="B16" s="17">
        <v>5038981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O16" s="17">
        <f>IF(ISERROR(VLOOKUP(B16,tblRates,2,FALSE)),0,VLOOKUP(B16,tblRates,2,FALSE))</f>
        <v>11.09</v>
      </c>
      <c r="P16" s="17">
        <f t="shared" si="0"/>
        <v>0</v>
      </c>
      <c r="Q16" s="17">
        <f t="shared" si="1"/>
        <v>0</v>
      </c>
      <c r="R16" s="17">
        <f t="shared" si="2"/>
        <v>0</v>
      </c>
      <c r="S16" s="17">
        <f t="shared" si="3"/>
        <v>0</v>
      </c>
    </row>
    <row r="17" spans="1:19" x14ac:dyDescent="0.3">
      <c r="A17" s="17" t="s">
        <v>506</v>
      </c>
      <c r="B17" s="17">
        <v>6089970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0</v>
      </c>
      <c r="O17" s="17">
        <f>IF(ISERROR(VLOOKUP(B17,tblRates,2,FALSE)),0,VLOOKUP(B17,tblRates,2,FALSE))</f>
        <v>12</v>
      </c>
      <c r="P17" s="17">
        <f t="shared" si="0"/>
        <v>0</v>
      </c>
      <c r="Q17" s="17">
        <f t="shared" si="1"/>
        <v>0</v>
      </c>
      <c r="R17" s="17">
        <f t="shared" si="2"/>
        <v>0</v>
      </c>
      <c r="S17" s="17">
        <f t="shared" si="3"/>
        <v>0</v>
      </c>
    </row>
    <row r="18" spans="1:19" x14ac:dyDescent="0.3">
      <c r="A18" s="17" t="s">
        <v>507</v>
      </c>
      <c r="B18" s="17">
        <v>5040005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O18" s="17">
        <f>IF(ISERROR(VLOOKUP(B18,tblRates,2,FALSE)),0,VLOOKUP(B18,tblRates,2,FALSE))</f>
        <v>11.09</v>
      </c>
      <c r="P18" s="17">
        <f t="shared" si="0"/>
        <v>0</v>
      </c>
      <c r="Q18" s="17">
        <f t="shared" si="1"/>
        <v>0</v>
      </c>
      <c r="R18" s="17">
        <f t="shared" si="2"/>
        <v>0</v>
      </c>
      <c r="S18" s="17">
        <f t="shared" si="3"/>
        <v>0</v>
      </c>
    </row>
    <row r="19" spans="1:19" x14ac:dyDescent="0.3">
      <c r="A19" s="17" t="s">
        <v>508</v>
      </c>
      <c r="B19" s="17">
        <v>5039972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O19" s="17">
        <f>IF(ISERROR(VLOOKUP(B19,tblRates,2,FALSE)),0,VLOOKUP(B19,tblRates,2,FALSE))</f>
        <v>11.09</v>
      </c>
      <c r="P19" s="17">
        <f t="shared" si="0"/>
        <v>0</v>
      </c>
      <c r="Q19" s="17">
        <f t="shared" si="1"/>
        <v>0</v>
      </c>
      <c r="R19" s="17">
        <f t="shared" si="2"/>
        <v>0</v>
      </c>
      <c r="S19" s="17">
        <f t="shared" si="3"/>
        <v>0</v>
      </c>
    </row>
    <row r="20" spans="1:19" x14ac:dyDescent="0.3">
      <c r="A20" s="17" t="s">
        <v>509</v>
      </c>
      <c r="B20" s="17">
        <v>5039539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O20" s="17">
        <f>IF(ISERROR(VLOOKUP(B20,tblRates,2,FALSE)),0,VLOOKUP(B20,tblRates,2,FALSE))</f>
        <v>11.12</v>
      </c>
      <c r="P20" s="17">
        <f t="shared" si="0"/>
        <v>0</v>
      </c>
      <c r="Q20" s="17">
        <f t="shared" si="1"/>
        <v>0</v>
      </c>
      <c r="R20" s="17">
        <f t="shared" si="2"/>
        <v>0</v>
      </c>
      <c r="S20" s="17">
        <f t="shared" si="3"/>
        <v>0</v>
      </c>
    </row>
    <row r="21" spans="1:19" x14ac:dyDescent="0.3">
      <c r="A21" s="17" t="s">
        <v>510</v>
      </c>
      <c r="B21" s="17">
        <v>6047045</v>
      </c>
      <c r="C21" s="17" t="s">
        <v>12</v>
      </c>
      <c r="D21" s="18">
        <v>0</v>
      </c>
      <c r="E21" s="18">
        <v>0</v>
      </c>
      <c r="F21" s="18">
        <v>0</v>
      </c>
      <c r="G21" s="18">
        <v>5</v>
      </c>
      <c r="H21" s="18">
        <v>0</v>
      </c>
      <c r="I21" s="18">
        <v>5</v>
      </c>
      <c r="J21" s="18">
        <v>10</v>
      </c>
      <c r="K21" s="18">
        <v>20</v>
      </c>
      <c r="N21" s="17" t="s">
        <v>738</v>
      </c>
      <c r="O21" s="17">
        <f>IF(ISERROR(VLOOKUP(B21,tblRates,2,FALSE)),0,VLOOKUP(B21,tblRates,2,FALSE))</f>
        <v>15.5</v>
      </c>
      <c r="P21" s="17">
        <f t="shared" si="0"/>
        <v>20</v>
      </c>
      <c r="Q21" s="17">
        <f t="shared" si="1"/>
        <v>0</v>
      </c>
      <c r="R21" s="17">
        <f t="shared" si="2"/>
        <v>310</v>
      </c>
      <c r="S21" s="17">
        <f t="shared" si="3"/>
        <v>0</v>
      </c>
    </row>
    <row r="22" spans="1:19" x14ac:dyDescent="0.3">
      <c r="A22" s="17" t="s">
        <v>511</v>
      </c>
      <c r="B22" s="17">
        <v>6086674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O22" s="17">
        <f>IF(ISERROR(VLOOKUP(B22,tblRates,2,FALSE)),0,VLOOKUP(B22,tblRates,2,FALSE))</f>
        <v>8</v>
      </c>
      <c r="P22" s="17">
        <f t="shared" si="0"/>
        <v>0</v>
      </c>
      <c r="Q22" s="17">
        <f t="shared" si="1"/>
        <v>0</v>
      </c>
      <c r="R22" s="17">
        <f t="shared" si="2"/>
        <v>0</v>
      </c>
      <c r="S22" s="17">
        <f t="shared" si="3"/>
        <v>0</v>
      </c>
    </row>
    <row r="23" spans="1:19" x14ac:dyDescent="0.3">
      <c r="A23" s="17" t="s">
        <v>512</v>
      </c>
      <c r="B23" s="17">
        <v>5997485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O23" s="17">
        <f>IF(ISERROR(VLOOKUP(B23,tblRates,2,FALSE)),0,VLOOKUP(B23,tblRates,2,FALSE))</f>
        <v>11.1</v>
      </c>
      <c r="P23" s="17">
        <f t="shared" si="0"/>
        <v>0</v>
      </c>
      <c r="Q23" s="17">
        <f t="shared" si="1"/>
        <v>0</v>
      </c>
      <c r="R23" s="17">
        <f t="shared" si="2"/>
        <v>0</v>
      </c>
      <c r="S23" s="17">
        <f t="shared" si="3"/>
        <v>0</v>
      </c>
    </row>
    <row r="24" spans="1:19" x14ac:dyDescent="0.3">
      <c r="A24" s="17" t="s">
        <v>513</v>
      </c>
      <c r="B24" s="17">
        <v>6080875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O24" s="17">
        <f>IF(ISERROR(VLOOKUP(B24,tblRates,2,FALSE)),0,VLOOKUP(B24,tblRates,2,FALSE))</f>
        <v>10.75</v>
      </c>
      <c r="P24" s="17">
        <f t="shared" si="0"/>
        <v>0</v>
      </c>
      <c r="Q24" s="17">
        <f t="shared" si="1"/>
        <v>0</v>
      </c>
      <c r="R24" s="17">
        <f t="shared" si="2"/>
        <v>0</v>
      </c>
      <c r="S24" s="17">
        <f t="shared" si="3"/>
        <v>0</v>
      </c>
    </row>
    <row r="25" spans="1:19" x14ac:dyDescent="0.3">
      <c r="A25" s="17" t="s">
        <v>514</v>
      </c>
      <c r="B25" s="17">
        <v>6086101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0</v>
      </c>
      <c r="K25" s="18">
        <v>0</v>
      </c>
      <c r="O25" s="17">
        <f>IF(ISERROR(VLOOKUP(B25,tblRates,2,FALSE)),0,VLOOKUP(B25,tblRates,2,FALSE))</f>
        <v>10.75</v>
      </c>
      <c r="P25" s="17">
        <f t="shared" si="0"/>
        <v>0</v>
      </c>
      <c r="Q25" s="17">
        <f t="shared" si="1"/>
        <v>0</v>
      </c>
      <c r="R25" s="17">
        <f t="shared" si="2"/>
        <v>0</v>
      </c>
      <c r="S25" s="17">
        <f t="shared" si="3"/>
        <v>0</v>
      </c>
    </row>
    <row r="26" spans="1:19" x14ac:dyDescent="0.3">
      <c r="A26" s="17" t="s">
        <v>515</v>
      </c>
      <c r="B26" s="17">
        <v>5052828</v>
      </c>
      <c r="D26" s="18">
        <v>0</v>
      </c>
      <c r="E26" s="18">
        <v>0</v>
      </c>
      <c r="F26" s="18">
        <v>0</v>
      </c>
      <c r="G26" s="18">
        <v>0</v>
      </c>
      <c r="H26" s="18">
        <v>0</v>
      </c>
      <c r="I26" s="18">
        <v>0</v>
      </c>
      <c r="J26" s="18">
        <v>0</v>
      </c>
      <c r="K26" s="18">
        <v>0</v>
      </c>
      <c r="O26" s="17">
        <f>IF(ISERROR(VLOOKUP(B26,tblRates,2,FALSE)),0,VLOOKUP(B26,tblRates,2,FALSE))</f>
        <v>13.08</v>
      </c>
      <c r="P26" s="17">
        <f t="shared" si="0"/>
        <v>0</v>
      </c>
      <c r="Q26" s="17">
        <f t="shared" si="1"/>
        <v>0</v>
      </c>
      <c r="R26" s="17">
        <f t="shared" si="2"/>
        <v>0</v>
      </c>
      <c r="S26" s="17">
        <f t="shared" si="3"/>
        <v>0</v>
      </c>
    </row>
    <row r="27" spans="1:19" x14ac:dyDescent="0.3">
      <c r="A27" s="17" t="s">
        <v>516</v>
      </c>
      <c r="B27" s="17">
        <v>6087527</v>
      </c>
      <c r="D27" s="18">
        <v>0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0</v>
      </c>
      <c r="O27" s="17">
        <f>IF(ISERROR(VLOOKUP(B27,tblRates,2,FALSE)),0,VLOOKUP(B27,tblRates,2,FALSE))</f>
        <v>10.75</v>
      </c>
      <c r="P27" s="17">
        <f t="shared" si="0"/>
        <v>0</v>
      </c>
      <c r="Q27" s="17">
        <f t="shared" si="1"/>
        <v>0</v>
      </c>
      <c r="R27" s="17">
        <f t="shared" si="2"/>
        <v>0</v>
      </c>
      <c r="S27" s="17">
        <f t="shared" si="3"/>
        <v>0</v>
      </c>
    </row>
    <row r="28" spans="1:19" x14ac:dyDescent="0.3">
      <c r="A28" s="17" t="s">
        <v>517</v>
      </c>
      <c r="B28" s="17">
        <v>6086069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O28" s="17">
        <f>IF(ISERROR(VLOOKUP(B28,tblRates,2,FALSE)),0,VLOOKUP(B28,tblRates,2,FALSE))</f>
        <v>10.75</v>
      </c>
      <c r="P28" s="17">
        <f t="shared" si="0"/>
        <v>0</v>
      </c>
      <c r="Q28" s="17">
        <f t="shared" si="1"/>
        <v>0</v>
      </c>
      <c r="R28" s="17">
        <f t="shared" si="2"/>
        <v>0</v>
      </c>
      <c r="S28" s="17">
        <f t="shared" si="3"/>
        <v>0</v>
      </c>
    </row>
    <row r="29" spans="1:19" x14ac:dyDescent="0.3">
      <c r="A29" s="17" t="s">
        <v>462</v>
      </c>
      <c r="D29" s="18">
        <v>0</v>
      </c>
      <c r="E29" s="18">
        <v>0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O29" s="17">
        <f>IF(ISERROR(VLOOKUP(B29,tblRates,2,FALSE)),0,VLOOKUP(B29,tblRates,2,FALSE))</f>
        <v>0</v>
      </c>
      <c r="P29" s="17">
        <f t="shared" si="0"/>
        <v>0</v>
      </c>
      <c r="Q29" s="17">
        <f t="shared" si="1"/>
        <v>0</v>
      </c>
      <c r="R29" s="17">
        <f t="shared" si="2"/>
        <v>0</v>
      </c>
      <c r="S29" s="17">
        <f t="shared" si="3"/>
        <v>0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V86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" width="23.44140625" style="17" bestFit="1" customWidth="1"/>
    <col min="2" max="7" width="15.6640625" style="17" customWidth="1"/>
    <col min="8" max="9" width="12" style="17" bestFit="1" customWidth="1"/>
    <col min="10" max="10" width="20.88671875" style="17" bestFit="1" customWidth="1"/>
    <col min="11" max="11" width="11.33203125" style="17" customWidth="1"/>
    <col min="12" max="12" width="12.6640625" style="17" customWidth="1"/>
    <col min="13" max="13" width="11.33203125" style="17" bestFit="1" customWidth="1"/>
    <col min="14" max="14" width="18.6640625" style="17" bestFit="1" customWidth="1"/>
    <col min="15" max="16384" width="9.109375" style="17"/>
  </cols>
  <sheetData>
    <row r="1" spans="1:256" x14ac:dyDescent="0.3">
      <c r="A1" s="17" t="s">
        <v>434</v>
      </c>
      <c r="N1" s="17">
        <f>SUM(R1,S1)</f>
        <v>8911.41</v>
      </c>
      <c r="R1" s="17">
        <f>SUM(R9:R10000)</f>
        <v>8781.19</v>
      </c>
      <c r="S1" s="17">
        <f>SUM(S9:S10000)</f>
        <v>130.22</v>
      </c>
      <c r="IV1"/>
    </row>
    <row r="2" spans="1:256" x14ac:dyDescent="0.3">
      <c r="A2" s="17" t="s">
        <v>518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519</v>
      </c>
      <c r="B9" s="17">
        <v>5039824</v>
      </c>
      <c r="C9" s="17" t="s">
        <v>484</v>
      </c>
      <c r="D9" s="18">
        <v>8</v>
      </c>
      <c r="E9" s="18">
        <v>0</v>
      </c>
      <c r="F9" s="18">
        <v>0</v>
      </c>
      <c r="G9" s="18">
        <v>8</v>
      </c>
      <c r="H9" s="18">
        <v>4</v>
      </c>
      <c r="I9" s="18">
        <v>0</v>
      </c>
      <c r="J9" s="18">
        <v>0</v>
      </c>
      <c r="K9" s="18">
        <v>20</v>
      </c>
      <c r="N9" s="17" t="s">
        <v>484</v>
      </c>
      <c r="O9" s="17">
        <f>IF(ISERROR(VLOOKUP(B9,tblRates,2,FALSE)),0,VLOOKUP(B9,tblRates,2,FALSE))</f>
        <v>11.14</v>
      </c>
      <c r="P9" s="17">
        <f t="shared" ref="P9:P40" si="0">IF(K9&gt;40,40,K9)</f>
        <v>20</v>
      </c>
      <c r="Q9" s="17">
        <f t="shared" ref="Q9:Q40" si="1">IF(K9&gt;40,K9-40,0)</f>
        <v>0</v>
      </c>
      <c r="R9" s="17">
        <f t="shared" ref="R9:R40" si="2">ROUND((O9*P9),2)</f>
        <v>222.8</v>
      </c>
      <c r="S9" s="17">
        <f t="shared" ref="S9:S40" si="3">ROUND((Q9*(O9*1.5)),2)</f>
        <v>0</v>
      </c>
    </row>
    <row r="10" spans="1:256" x14ac:dyDescent="0.3">
      <c r="A10" s="17" t="s">
        <v>520</v>
      </c>
      <c r="B10" s="17">
        <v>5100978</v>
      </c>
      <c r="C10" s="17" t="s">
        <v>12</v>
      </c>
      <c r="D10" s="18">
        <v>7.75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7.75</v>
      </c>
      <c r="N10" s="17" t="s">
        <v>738</v>
      </c>
      <c r="O10" s="17">
        <f>IF(ISERROR(VLOOKUP(B10,tblRates,2,FALSE)),0,VLOOKUP(B10,tblRates,2,FALSE))</f>
        <v>11.47</v>
      </c>
      <c r="P10" s="17">
        <f t="shared" si="0"/>
        <v>7.75</v>
      </c>
      <c r="Q10" s="17">
        <f t="shared" si="1"/>
        <v>0</v>
      </c>
      <c r="R10" s="17">
        <f t="shared" si="2"/>
        <v>88.89</v>
      </c>
      <c r="S10" s="17">
        <f t="shared" si="3"/>
        <v>0</v>
      </c>
    </row>
    <row r="11" spans="1:256" x14ac:dyDescent="0.3">
      <c r="A11" s="17" t="s">
        <v>521</v>
      </c>
      <c r="B11" s="17">
        <v>6082814</v>
      </c>
      <c r="C11" s="17" t="s">
        <v>12</v>
      </c>
      <c r="D11" s="18">
        <v>5.22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5.22</v>
      </c>
      <c r="N11" s="17" t="s">
        <v>738</v>
      </c>
      <c r="O11" s="17">
        <f>IF(ISERROR(VLOOKUP(B11,tblRates,2,FALSE)),0,VLOOKUP(B11,tblRates,2,FALSE))</f>
        <v>10.3</v>
      </c>
      <c r="P11" s="17">
        <f t="shared" si="0"/>
        <v>5.22</v>
      </c>
      <c r="Q11" s="17">
        <f t="shared" si="1"/>
        <v>0</v>
      </c>
      <c r="R11" s="17">
        <f t="shared" si="2"/>
        <v>53.77</v>
      </c>
      <c r="S11" s="17">
        <f t="shared" si="3"/>
        <v>0</v>
      </c>
    </row>
    <row r="12" spans="1:256" x14ac:dyDescent="0.3">
      <c r="A12" s="17" t="s">
        <v>522</v>
      </c>
      <c r="B12" s="17">
        <v>6092592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O12" s="17">
        <f>IF(ISERROR(VLOOKUP(B12,tblRates,2,FALSE)),0,VLOOKUP(B12,tblRates,2,FALSE))</f>
        <v>11.1</v>
      </c>
      <c r="P12" s="17">
        <f t="shared" si="0"/>
        <v>0</v>
      </c>
      <c r="Q12" s="17">
        <f t="shared" si="1"/>
        <v>0</v>
      </c>
      <c r="R12" s="17">
        <f t="shared" si="2"/>
        <v>0</v>
      </c>
      <c r="S12" s="17">
        <f t="shared" si="3"/>
        <v>0</v>
      </c>
    </row>
    <row r="13" spans="1:256" x14ac:dyDescent="0.3">
      <c r="A13" s="17" t="s">
        <v>523</v>
      </c>
      <c r="B13" s="17">
        <v>6082803</v>
      </c>
      <c r="C13" s="17" t="s">
        <v>12</v>
      </c>
      <c r="D13" s="18">
        <v>7.17</v>
      </c>
      <c r="E13" s="18">
        <v>6.72</v>
      </c>
      <c r="F13" s="18">
        <v>5.52</v>
      </c>
      <c r="G13" s="18">
        <v>5.33</v>
      </c>
      <c r="H13" s="18">
        <v>4.5</v>
      </c>
      <c r="I13" s="18">
        <v>5</v>
      </c>
      <c r="J13" s="18">
        <v>3.75</v>
      </c>
      <c r="K13" s="18">
        <v>37.979999999999997</v>
      </c>
      <c r="N13" s="17" t="s">
        <v>738</v>
      </c>
      <c r="O13" s="17">
        <f>IF(ISERROR(VLOOKUP(B13,tblRates,2,FALSE)),0,VLOOKUP(B13,tblRates,2,FALSE))</f>
        <v>11.1</v>
      </c>
      <c r="P13" s="17">
        <f t="shared" si="0"/>
        <v>37.979999999999997</v>
      </c>
      <c r="Q13" s="17">
        <f t="shared" si="1"/>
        <v>0</v>
      </c>
      <c r="R13" s="17">
        <f t="shared" si="2"/>
        <v>421.58</v>
      </c>
      <c r="S13" s="17">
        <f t="shared" si="3"/>
        <v>0</v>
      </c>
    </row>
    <row r="14" spans="1:256" x14ac:dyDescent="0.3">
      <c r="A14" s="17" t="s">
        <v>524</v>
      </c>
      <c r="B14" s="17">
        <v>5039023</v>
      </c>
      <c r="C14" s="17" t="s">
        <v>12</v>
      </c>
      <c r="D14" s="18">
        <v>12.57</v>
      </c>
      <c r="E14" s="18">
        <v>7.37</v>
      </c>
      <c r="F14" s="18">
        <v>0</v>
      </c>
      <c r="G14" s="18">
        <v>5.07</v>
      </c>
      <c r="H14" s="18">
        <v>0</v>
      </c>
      <c r="I14" s="18">
        <v>3.78</v>
      </c>
      <c r="J14" s="18">
        <v>0</v>
      </c>
      <c r="K14" s="18">
        <v>28.78</v>
      </c>
      <c r="N14" s="17" t="s">
        <v>738</v>
      </c>
      <c r="O14" s="17">
        <f>IF(ISERROR(VLOOKUP(B14,tblRates,2,FALSE)),0,VLOOKUP(B14,tblRates,2,FALSE))</f>
        <v>16.77</v>
      </c>
      <c r="P14" s="17">
        <f t="shared" si="0"/>
        <v>28.78</v>
      </c>
      <c r="Q14" s="17">
        <f t="shared" si="1"/>
        <v>0</v>
      </c>
      <c r="R14" s="17">
        <f t="shared" si="2"/>
        <v>482.64</v>
      </c>
      <c r="S14" s="17">
        <f t="shared" si="3"/>
        <v>0</v>
      </c>
    </row>
    <row r="15" spans="1:256" x14ac:dyDescent="0.3">
      <c r="A15" s="17" t="s">
        <v>525</v>
      </c>
      <c r="B15" s="17">
        <v>5145013</v>
      </c>
      <c r="C15" s="17" t="s">
        <v>12</v>
      </c>
      <c r="D15" s="18">
        <v>7.02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7.02</v>
      </c>
      <c r="N15" s="17" t="s">
        <v>738</v>
      </c>
      <c r="O15" s="17">
        <f>IF(ISERROR(VLOOKUP(B15,tblRates,2,FALSE)),0,VLOOKUP(B15,tblRates,2,FALSE))</f>
        <v>11.14</v>
      </c>
      <c r="P15" s="17">
        <f t="shared" si="0"/>
        <v>7.02</v>
      </c>
      <c r="Q15" s="17">
        <f t="shared" si="1"/>
        <v>0</v>
      </c>
      <c r="R15" s="17">
        <f t="shared" si="2"/>
        <v>78.2</v>
      </c>
      <c r="S15" s="17">
        <f t="shared" si="3"/>
        <v>0</v>
      </c>
    </row>
    <row r="16" spans="1:256" x14ac:dyDescent="0.3">
      <c r="A16" s="17" t="s">
        <v>526</v>
      </c>
      <c r="B16" s="17">
        <v>6092595</v>
      </c>
      <c r="C16" s="17" t="s">
        <v>12</v>
      </c>
      <c r="D16" s="18">
        <v>5.95</v>
      </c>
      <c r="E16" s="18">
        <v>7.02</v>
      </c>
      <c r="F16" s="18">
        <v>5.07</v>
      </c>
      <c r="G16" s="18">
        <v>0</v>
      </c>
      <c r="H16" s="18">
        <v>0</v>
      </c>
      <c r="I16" s="18">
        <v>0</v>
      </c>
      <c r="J16" s="18">
        <v>0</v>
      </c>
      <c r="K16" s="18">
        <v>18.03</v>
      </c>
      <c r="N16" s="17" t="s">
        <v>738</v>
      </c>
      <c r="O16" s="17">
        <f>IF(ISERROR(VLOOKUP(B16,tblRates,2,FALSE)),0,VLOOKUP(B16,tblRates,2,FALSE))</f>
        <v>10.3</v>
      </c>
      <c r="P16" s="17">
        <f t="shared" si="0"/>
        <v>18.03</v>
      </c>
      <c r="Q16" s="17">
        <f t="shared" si="1"/>
        <v>0</v>
      </c>
      <c r="R16" s="17">
        <f t="shared" si="2"/>
        <v>185.71</v>
      </c>
      <c r="S16" s="17">
        <f t="shared" si="3"/>
        <v>0</v>
      </c>
    </row>
    <row r="17" spans="1:19" x14ac:dyDescent="0.3">
      <c r="A17" s="17" t="s">
        <v>528</v>
      </c>
      <c r="B17" s="17">
        <v>6036784</v>
      </c>
      <c r="C17" s="17" t="s">
        <v>12</v>
      </c>
      <c r="D17" s="18">
        <v>7.35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7.35</v>
      </c>
      <c r="N17" s="17" t="s">
        <v>738</v>
      </c>
      <c r="O17" s="17">
        <f>IF(ISERROR(VLOOKUP(B17,tblRates,2,FALSE)),0,VLOOKUP(B17,tblRates,2,FALSE))</f>
        <v>11.1</v>
      </c>
      <c r="P17" s="17">
        <f t="shared" si="0"/>
        <v>7.35</v>
      </c>
      <c r="Q17" s="17">
        <f t="shared" si="1"/>
        <v>0</v>
      </c>
      <c r="R17" s="17">
        <f t="shared" si="2"/>
        <v>81.59</v>
      </c>
      <c r="S17" s="17">
        <f t="shared" si="3"/>
        <v>0</v>
      </c>
    </row>
    <row r="18" spans="1:19" x14ac:dyDescent="0.3">
      <c r="A18" s="17" t="s">
        <v>529</v>
      </c>
      <c r="B18" s="17">
        <v>5032724</v>
      </c>
      <c r="C18" s="17" t="s">
        <v>12</v>
      </c>
      <c r="D18" s="18">
        <v>8.58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8.58</v>
      </c>
      <c r="N18" s="17" t="s">
        <v>738</v>
      </c>
      <c r="O18" s="17">
        <f>IF(ISERROR(VLOOKUP(B18,tblRates,2,FALSE)),0,VLOOKUP(B18,tblRates,2,FALSE))</f>
        <v>11.85</v>
      </c>
      <c r="P18" s="17">
        <f t="shared" si="0"/>
        <v>8.58</v>
      </c>
      <c r="Q18" s="17">
        <f t="shared" si="1"/>
        <v>0</v>
      </c>
      <c r="R18" s="17">
        <f t="shared" si="2"/>
        <v>101.67</v>
      </c>
      <c r="S18" s="17">
        <f t="shared" si="3"/>
        <v>0</v>
      </c>
    </row>
    <row r="19" spans="1:19" x14ac:dyDescent="0.3">
      <c r="A19" s="17" t="s">
        <v>530</v>
      </c>
      <c r="B19" s="17">
        <v>5973272</v>
      </c>
      <c r="C19" s="17" t="s">
        <v>12</v>
      </c>
      <c r="D19" s="18">
        <v>7.17</v>
      </c>
      <c r="E19" s="18">
        <v>6.65</v>
      </c>
      <c r="F19" s="18">
        <v>5.0999999999999996</v>
      </c>
      <c r="G19" s="18">
        <v>0</v>
      </c>
      <c r="H19" s="18">
        <v>0</v>
      </c>
      <c r="I19" s="18">
        <v>0</v>
      </c>
      <c r="J19" s="18">
        <v>0</v>
      </c>
      <c r="K19" s="18">
        <v>18.920000000000002</v>
      </c>
      <c r="N19" s="17" t="s">
        <v>738</v>
      </c>
      <c r="O19" s="17">
        <f>IF(ISERROR(VLOOKUP(B19,tblRates,2,FALSE)),0,VLOOKUP(B19,tblRates,2,FALSE))</f>
        <v>11.12</v>
      </c>
      <c r="P19" s="17">
        <f t="shared" si="0"/>
        <v>18.920000000000002</v>
      </c>
      <c r="Q19" s="17">
        <f t="shared" si="1"/>
        <v>0</v>
      </c>
      <c r="R19" s="17">
        <f t="shared" si="2"/>
        <v>210.39</v>
      </c>
      <c r="S19" s="17">
        <f t="shared" si="3"/>
        <v>0</v>
      </c>
    </row>
    <row r="20" spans="1:19" x14ac:dyDescent="0.3">
      <c r="A20" s="17" t="s">
        <v>531</v>
      </c>
      <c r="B20" s="17">
        <v>5038892</v>
      </c>
      <c r="C20" s="17" t="s">
        <v>12</v>
      </c>
      <c r="D20" s="18">
        <v>8.08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8.08</v>
      </c>
      <c r="N20" s="17" t="s">
        <v>738</v>
      </c>
      <c r="O20" s="17">
        <f>IF(ISERROR(VLOOKUP(B20,tblRates,2,FALSE)),0,VLOOKUP(B20,tblRates,2,FALSE))</f>
        <v>13.38</v>
      </c>
      <c r="P20" s="17">
        <f t="shared" si="0"/>
        <v>8.08</v>
      </c>
      <c r="Q20" s="17">
        <f t="shared" si="1"/>
        <v>0</v>
      </c>
      <c r="R20" s="17">
        <f t="shared" si="2"/>
        <v>108.11</v>
      </c>
      <c r="S20" s="17">
        <f t="shared" si="3"/>
        <v>0</v>
      </c>
    </row>
    <row r="21" spans="1:19" x14ac:dyDescent="0.3">
      <c r="A21" s="17" t="s">
        <v>532</v>
      </c>
      <c r="B21" s="17">
        <v>5977400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O21" s="17">
        <f>IF(ISERROR(VLOOKUP(B21,tblRates,2,FALSE)),0,VLOOKUP(B21,tblRates,2,FALSE))</f>
        <v>11.12</v>
      </c>
      <c r="P21" s="17">
        <f t="shared" si="0"/>
        <v>0</v>
      </c>
      <c r="Q21" s="17">
        <f t="shared" si="1"/>
        <v>0</v>
      </c>
      <c r="R21" s="17">
        <f t="shared" si="2"/>
        <v>0</v>
      </c>
      <c r="S21" s="17">
        <f t="shared" si="3"/>
        <v>0</v>
      </c>
    </row>
    <row r="22" spans="1:19" x14ac:dyDescent="0.3">
      <c r="A22" s="17" t="s">
        <v>533</v>
      </c>
      <c r="B22" s="17">
        <v>5039665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O22" s="17">
        <f>IF(ISERROR(VLOOKUP(B22,tblRates,2,FALSE)),0,VLOOKUP(B22,tblRates,2,FALSE))</f>
        <v>11.14</v>
      </c>
      <c r="P22" s="17">
        <f t="shared" si="0"/>
        <v>0</v>
      </c>
      <c r="Q22" s="17">
        <f t="shared" si="1"/>
        <v>0</v>
      </c>
      <c r="R22" s="17">
        <f t="shared" si="2"/>
        <v>0</v>
      </c>
      <c r="S22" s="17">
        <f t="shared" si="3"/>
        <v>0</v>
      </c>
    </row>
    <row r="23" spans="1:19" x14ac:dyDescent="0.3">
      <c r="A23" s="17" t="s">
        <v>534</v>
      </c>
      <c r="B23" s="17">
        <v>5038937</v>
      </c>
      <c r="C23" s="17" t="s">
        <v>527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N23" s="17" t="s">
        <v>527</v>
      </c>
      <c r="O23" s="17">
        <f>IF(ISERROR(VLOOKUP(B23,tblRates,2,FALSE)),0,VLOOKUP(B23,tblRates,2,FALSE))</f>
        <v>11.14</v>
      </c>
      <c r="P23" s="17">
        <f t="shared" si="0"/>
        <v>0</v>
      </c>
      <c r="Q23" s="17">
        <f t="shared" si="1"/>
        <v>0</v>
      </c>
      <c r="R23" s="17">
        <f t="shared" si="2"/>
        <v>0</v>
      </c>
      <c r="S23" s="17">
        <f t="shared" si="3"/>
        <v>0</v>
      </c>
    </row>
    <row r="24" spans="1:19" x14ac:dyDescent="0.3">
      <c r="A24" s="17" t="s">
        <v>535</v>
      </c>
      <c r="B24" s="17">
        <v>5042963</v>
      </c>
      <c r="C24" s="17" t="s">
        <v>12</v>
      </c>
      <c r="D24" s="18">
        <v>8</v>
      </c>
      <c r="E24" s="18">
        <v>7</v>
      </c>
      <c r="F24" s="18">
        <v>5.53</v>
      </c>
      <c r="G24" s="18">
        <v>6.53</v>
      </c>
      <c r="H24" s="18">
        <v>5.5</v>
      </c>
      <c r="I24" s="18">
        <v>5.5</v>
      </c>
      <c r="J24" s="18">
        <v>0</v>
      </c>
      <c r="K24" s="18">
        <v>38.07</v>
      </c>
      <c r="N24" s="17" t="s">
        <v>738</v>
      </c>
      <c r="O24" s="17">
        <f>IF(ISERROR(VLOOKUP(B24,tblRates,2,FALSE)),0,VLOOKUP(B24,tblRates,2,FALSE))</f>
        <v>13.65</v>
      </c>
      <c r="P24" s="17">
        <f t="shared" si="0"/>
        <v>38.07</v>
      </c>
      <c r="Q24" s="17">
        <f t="shared" si="1"/>
        <v>0</v>
      </c>
      <c r="R24" s="17">
        <f t="shared" si="2"/>
        <v>519.66</v>
      </c>
      <c r="S24" s="17">
        <f t="shared" si="3"/>
        <v>0</v>
      </c>
    </row>
    <row r="25" spans="1:19" x14ac:dyDescent="0.3">
      <c r="A25" s="17" t="s">
        <v>536</v>
      </c>
      <c r="B25" s="17">
        <v>5040006</v>
      </c>
      <c r="C25" s="17" t="s">
        <v>12</v>
      </c>
      <c r="D25" s="18">
        <v>10.82</v>
      </c>
      <c r="E25" s="18">
        <v>3.78</v>
      </c>
      <c r="F25" s="18">
        <v>0</v>
      </c>
      <c r="G25" s="18">
        <v>4.9000000000000004</v>
      </c>
      <c r="H25" s="18">
        <v>0</v>
      </c>
      <c r="I25" s="18">
        <v>0</v>
      </c>
      <c r="J25" s="18">
        <v>0</v>
      </c>
      <c r="K25" s="18">
        <v>19.5</v>
      </c>
      <c r="N25" s="17" t="s">
        <v>738</v>
      </c>
      <c r="O25" s="17">
        <f>IF(ISERROR(VLOOKUP(B25,tblRates,2,FALSE)),0,VLOOKUP(B25,tblRates,2,FALSE))</f>
        <v>11.4</v>
      </c>
      <c r="P25" s="17">
        <f t="shared" si="0"/>
        <v>19.5</v>
      </c>
      <c r="Q25" s="17">
        <f t="shared" si="1"/>
        <v>0</v>
      </c>
      <c r="R25" s="17">
        <f t="shared" si="2"/>
        <v>222.3</v>
      </c>
      <c r="S25" s="17">
        <f t="shared" si="3"/>
        <v>0</v>
      </c>
    </row>
    <row r="26" spans="1:19" x14ac:dyDescent="0.3">
      <c r="A26" s="17" t="s">
        <v>537</v>
      </c>
      <c r="B26" s="17">
        <v>5038683</v>
      </c>
      <c r="C26" s="17" t="s">
        <v>12</v>
      </c>
      <c r="D26" s="18">
        <v>8</v>
      </c>
      <c r="E26" s="18">
        <v>0</v>
      </c>
      <c r="F26" s="18">
        <v>0</v>
      </c>
      <c r="G26" s="18">
        <v>0</v>
      </c>
      <c r="H26" s="18">
        <v>0</v>
      </c>
      <c r="I26" s="18">
        <v>0</v>
      </c>
      <c r="J26" s="18">
        <v>0</v>
      </c>
      <c r="K26" s="18">
        <v>8</v>
      </c>
      <c r="N26" s="17" t="s">
        <v>738</v>
      </c>
      <c r="O26" s="17">
        <f>IF(ISERROR(VLOOKUP(B26,tblRates,2,FALSE)),0,VLOOKUP(B26,tblRates,2,FALSE))</f>
        <v>11.57</v>
      </c>
      <c r="P26" s="17">
        <f t="shared" si="0"/>
        <v>8</v>
      </c>
      <c r="Q26" s="17">
        <f t="shared" si="1"/>
        <v>0</v>
      </c>
      <c r="R26" s="17">
        <f t="shared" si="2"/>
        <v>92.56</v>
      </c>
      <c r="S26" s="17">
        <f t="shared" si="3"/>
        <v>0</v>
      </c>
    </row>
    <row r="27" spans="1:19" x14ac:dyDescent="0.3">
      <c r="A27" s="17" t="s">
        <v>538</v>
      </c>
      <c r="B27" s="17">
        <v>6082780</v>
      </c>
      <c r="C27" s="17" t="s">
        <v>12</v>
      </c>
      <c r="D27" s="18">
        <v>6.05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6.05</v>
      </c>
      <c r="N27" s="17" t="s">
        <v>738</v>
      </c>
      <c r="O27" s="17">
        <f>IF(ISERROR(VLOOKUP(B27,tblRates,2,FALSE)),0,VLOOKUP(B27,tblRates,2,FALSE))</f>
        <v>10.3</v>
      </c>
      <c r="P27" s="17">
        <f t="shared" si="0"/>
        <v>6.05</v>
      </c>
      <c r="Q27" s="17">
        <f t="shared" si="1"/>
        <v>0</v>
      </c>
      <c r="R27" s="17">
        <f t="shared" si="2"/>
        <v>62.32</v>
      </c>
      <c r="S27" s="17">
        <f t="shared" si="3"/>
        <v>0</v>
      </c>
    </row>
    <row r="28" spans="1:19" x14ac:dyDescent="0.3">
      <c r="A28" s="17" t="s">
        <v>539</v>
      </c>
      <c r="B28" s="17">
        <v>6031288</v>
      </c>
      <c r="C28" s="17" t="s">
        <v>12</v>
      </c>
      <c r="D28" s="18">
        <v>6.52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6.52</v>
      </c>
      <c r="N28" s="17" t="s">
        <v>738</v>
      </c>
      <c r="O28" s="17">
        <f>IF(ISERROR(VLOOKUP(B28,tblRates,2,FALSE)),0,VLOOKUP(B28,tblRates,2,FALSE))</f>
        <v>11.1</v>
      </c>
      <c r="P28" s="17">
        <f t="shared" si="0"/>
        <v>6.52</v>
      </c>
      <c r="Q28" s="17">
        <f t="shared" si="1"/>
        <v>0</v>
      </c>
      <c r="R28" s="17">
        <f t="shared" si="2"/>
        <v>72.37</v>
      </c>
      <c r="S28" s="17">
        <f t="shared" si="3"/>
        <v>0</v>
      </c>
    </row>
    <row r="29" spans="1:19" x14ac:dyDescent="0.3">
      <c r="A29" s="17" t="s">
        <v>694</v>
      </c>
      <c r="B29" s="17">
        <v>5040323</v>
      </c>
      <c r="C29" s="17" t="s">
        <v>527</v>
      </c>
      <c r="D29" s="18">
        <v>0</v>
      </c>
      <c r="E29" s="18">
        <v>0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N29" s="17" t="s">
        <v>527</v>
      </c>
      <c r="O29" s="17">
        <f>IF(ISERROR(VLOOKUP(B29,tblRates,2,FALSE)),0,VLOOKUP(B29,tblRates,2,FALSE))</f>
        <v>11.28</v>
      </c>
      <c r="P29" s="17">
        <f t="shared" si="0"/>
        <v>0</v>
      </c>
      <c r="Q29" s="17">
        <f t="shared" si="1"/>
        <v>0</v>
      </c>
      <c r="R29" s="17">
        <f t="shared" si="2"/>
        <v>0</v>
      </c>
      <c r="S29" s="17">
        <f t="shared" si="3"/>
        <v>0</v>
      </c>
    </row>
    <row r="30" spans="1:19" x14ac:dyDescent="0.3">
      <c r="A30" s="17" t="s">
        <v>540</v>
      </c>
      <c r="B30" s="17">
        <v>5038625</v>
      </c>
      <c r="C30" s="17" t="s">
        <v>527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0</v>
      </c>
      <c r="J30" s="18">
        <v>0</v>
      </c>
      <c r="K30" s="18">
        <v>0</v>
      </c>
      <c r="N30" s="17" t="s">
        <v>527</v>
      </c>
      <c r="O30" s="17">
        <f>IF(ISERROR(VLOOKUP(B30,tblRates,2,FALSE)),0,VLOOKUP(B30,tblRates,2,FALSE))</f>
        <v>11.12</v>
      </c>
      <c r="P30" s="17">
        <f t="shared" si="0"/>
        <v>0</v>
      </c>
      <c r="Q30" s="17">
        <f t="shared" si="1"/>
        <v>0</v>
      </c>
      <c r="R30" s="17">
        <f t="shared" si="2"/>
        <v>0</v>
      </c>
      <c r="S30" s="17">
        <f t="shared" si="3"/>
        <v>0</v>
      </c>
    </row>
    <row r="31" spans="1:19" x14ac:dyDescent="0.3">
      <c r="A31" s="17" t="s">
        <v>541</v>
      </c>
      <c r="B31" s="17">
        <v>5040298</v>
      </c>
      <c r="C31" s="17" t="s">
        <v>12</v>
      </c>
      <c r="D31" s="18">
        <v>7.93</v>
      </c>
      <c r="E31" s="18">
        <v>0</v>
      </c>
      <c r="F31" s="18">
        <v>0</v>
      </c>
      <c r="G31" s="18">
        <v>0</v>
      </c>
      <c r="H31" s="18">
        <v>0</v>
      </c>
      <c r="I31" s="18">
        <v>0</v>
      </c>
      <c r="J31" s="18">
        <v>0</v>
      </c>
      <c r="K31" s="18">
        <v>7.93</v>
      </c>
      <c r="N31" s="17" t="s">
        <v>738</v>
      </c>
      <c r="O31" s="17">
        <f>IF(ISERROR(VLOOKUP(B31,tblRates,2,FALSE)),0,VLOOKUP(B31,tblRates,2,FALSE))</f>
        <v>17.84</v>
      </c>
      <c r="P31" s="17">
        <f t="shared" si="0"/>
        <v>7.93</v>
      </c>
      <c r="Q31" s="17">
        <f t="shared" si="1"/>
        <v>0</v>
      </c>
      <c r="R31" s="17">
        <f t="shared" si="2"/>
        <v>141.47</v>
      </c>
      <c r="S31" s="17">
        <f t="shared" si="3"/>
        <v>0</v>
      </c>
    </row>
    <row r="32" spans="1:19" x14ac:dyDescent="0.3">
      <c r="A32" s="17" t="s">
        <v>542</v>
      </c>
      <c r="B32" s="17">
        <v>5122845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>
        <v>0</v>
      </c>
      <c r="K32" s="18">
        <v>0</v>
      </c>
      <c r="O32" s="17">
        <f>IF(ISERROR(VLOOKUP(B32,tblRates,2,FALSE)),0,VLOOKUP(B32,tblRates,2,FALSE))</f>
        <v>11.85</v>
      </c>
      <c r="P32" s="17">
        <f t="shared" si="0"/>
        <v>0</v>
      </c>
      <c r="Q32" s="17">
        <f t="shared" si="1"/>
        <v>0</v>
      </c>
      <c r="R32" s="17">
        <f t="shared" si="2"/>
        <v>0</v>
      </c>
      <c r="S32" s="17">
        <f t="shared" si="3"/>
        <v>0</v>
      </c>
    </row>
    <row r="33" spans="1:19" x14ac:dyDescent="0.3">
      <c r="A33" s="17" t="s">
        <v>543</v>
      </c>
      <c r="B33" s="17">
        <v>5108594</v>
      </c>
      <c r="C33" s="17" t="s">
        <v>12</v>
      </c>
      <c r="D33" s="18">
        <v>7.5</v>
      </c>
      <c r="E33" s="18">
        <v>0</v>
      </c>
      <c r="F33" s="18">
        <v>0</v>
      </c>
      <c r="G33" s="18">
        <v>0</v>
      </c>
      <c r="H33" s="18">
        <v>0</v>
      </c>
      <c r="I33" s="18">
        <v>0</v>
      </c>
      <c r="J33" s="18">
        <v>0</v>
      </c>
      <c r="K33" s="18">
        <v>7.5</v>
      </c>
      <c r="N33" s="17" t="s">
        <v>738</v>
      </c>
      <c r="O33" s="17">
        <f>IF(ISERROR(VLOOKUP(B33,tblRates,2,FALSE)),0,VLOOKUP(B33,tblRates,2,FALSE))</f>
        <v>11.14</v>
      </c>
      <c r="P33" s="17">
        <f t="shared" si="0"/>
        <v>7.5</v>
      </c>
      <c r="Q33" s="17">
        <f t="shared" si="1"/>
        <v>0</v>
      </c>
      <c r="R33" s="17">
        <f t="shared" si="2"/>
        <v>83.55</v>
      </c>
      <c r="S33" s="17">
        <f t="shared" si="3"/>
        <v>0</v>
      </c>
    </row>
    <row r="34" spans="1:19" x14ac:dyDescent="0.3">
      <c r="A34" s="17" t="s">
        <v>544</v>
      </c>
      <c r="B34" s="17">
        <v>5038707</v>
      </c>
      <c r="C34" s="17" t="s">
        <v>527</v>
      </c>
      <c r="D34" s="18">
        <v>0</v>
      </c>
      <c r="E34" s="18">
        <v>0</v>
      </c>
      <c r="F34" s="18">
        <v>0</v>
      </c>
      <c r="G34" s="18">
        <v>0</v>
      </c>
      <c r="H34" s="18">
        <v>0</v>
      </c>
      <c r="I34" s="18">
        <v>0</v>
      </c>
      <c r="J34" s="18">
        <v>0</v>
      </c>
      <c r="K34" s="18">
        <v>0</v>
      </c>
      <c r="N34" s="17" t="s">
        <v>527</v>
      </c>
      <c r="O34" s="17">
        <f>IF(ISERROR(VLOOKUP(B34,tblRates,2,FALSE)),0,VLOOKUP(B34,tblRates,2,FALSE))</f>
        <v>11.14</v>
      </c>
      <c r="P34" s="17">
        <f t="shared" si="0"/>
        <v>0</v>
      </c>
      <c r="Q34" s="17">
        <f t="shared" si="1"/>
        <v>0</v>
      </c>
      <c r="R34" s="17">
        <f t="shared" si="2"/>
        <v>0</v>
      </c>
      <c r="S34" s="17">
        <f t="shared" si="3"/>
        <v>0</v>
      </c>
    </row>
    <row r="35" spans="1:19" x14ac:dyDescent="0.3">
      <c r="A35" s="17" t="s">
        <v>545</v>
      </c>
      <c r="B35" s="17">
        <v>5945186</v>
      </c>
      <c r="C35" s="17" t="s">
        <v>12</v>
      </c>
      <c r="D35" s="18">
        <v>8.8699999999999992</v>
      </c>
      <c r="E35" s="18">
        <v>0</v>
      </c>
      <c r="F35" s="18">
        <v>0</v>
      </c>
      <c r="G35" s="18">
        <v>0</v>
      </c>
      <c r="H35" s="18">
        <v>0</v>
      </c>
      <c r="I35" s="18">
        <v>0</v>
      </c>
      <c r="J35" s="18">
        <v>0</v>
      </c>
      <c r="K35" s="18">
        <v>8.8699999999999992</v>
      </c>
      <c r="N35" s="17" t="s">
        <v>738</v>
      </c>
      <c r="O35" s="17">
        <f>IF(ISERROR(VLOOKUP(B35,tblRates,2,FALSE)),0,VLOOKUP(B35,tblRates,2,FALSE))</f>
        <v>11.12</v>
      </c>
      <c r="P35" s="17">
        <f t="shared" si="0"/>
        <v>8.8699999999999992</v>
      </c>
      <c r="Q35" s="17">
        <f t="shared" si="1"/>
        <v>0</v>
      </c>
      <c r="R35" s="17">
        <f t="shared" si="2"/>
        <v>98.63</v>
      </c>
      <c r="S35" s="17">
        <f t="shared" si="3"/>
        <v>0</v>
      </c>
    </row>
    <row r="36" spans="1:19" x14ac:dyDescent="0.3">
      <c r="A36" s="17" t="s">
        <v>546</v>
      </c>
      <c r="B36" s="17">
        <v>5154678</v>
      </c>
      <c r="C36" s="17" t="s">
        <v>12</v>
      </c>
      <c r="D36" s="18">
        <v>8.4</v>
      </c>
      <c r="E36" s="18">
        <v>0</v>
      </c>
      <c r="F36" s="18">
        <v>0</v>
      </c>
      <c r="G36" s="18">
        <v>0</v>
      </c>
      <c r="H36" s="18">
        <v>0</v>
      </c>
      <c r="I36" s="18">
        <v>0</v>
      </c>
      <c r="J36" s="18">
        <v>0</v>
      </c>
      <c r="K36" s="18">
        <v>8.4</v>
      </c>
      <c r="N36" s="17" t="s">
        <v>738</v>
      </c>
      <c r="O36" s="17">
        <f>IF(ISERROR(VLOOKUP(B36,tblRates,2,FALSE)),0,VLOOKUP(B36,tblRates,2,FALSE))</f>
        <v>12.48</v>
      </c>
      <c r="P36" s="17">
        <f t="shared" si="0"/>
        <v>8.4</v>
      </c>
      <c r="Q36" s="17">
        <f t="shared" si="1"/>
        <v>0</v>
      </c>
      <c r="R36" s="17">
        <f t="shared" si="2"/>
        <v>104.83</v>
      </c>
      <c r="S36" s="17">
        <f t="shared" si="3"/>
        <v>0</v>
      </c>
    </row>
    <row r="37" spans="1:19" x14ac:dyDescent="0.3">
      <c r="A37" s="17" t="s">
        <v>547</v>
      </c>
      <c r="B37" s="17">
        <v>5960201</v>
      </c>
      <c r="C37" s="17" t="s">
        <v>12</v>
      </c>
      <c r="D37" s="18">
        <v>12</v>
      </c>
      <c r="E37" s="18">
        <v>12.02</v>
      </c>
      <c r="F37" s="18">
        <v>3</v>
      </c>
      <c r="G37" s="18">
        <v>5.35</v>
      </c>
      <c r="H37" s="18">
        <v>5</v>
      </c>
      <c r="I37" s="18">
        <v>7</v>
      </c>
      <c r="J37" s="18">
        <v>0</v>
      </c>
      <c r="K37" s="18">
        <v>44.37</v>
      </c>
      <c r="N37" s="17" t="s">
        <v>738</v>
      </c>
      <c r="O37" s="17">
        <f>IF(ISERROR(VLOOKUP(B37,tblRates,2,FALSE)),0,VLOOKUP(B37,tblRates,2,FALSE))</f>
        <v>15.15</v>
      </c>
      <c r="P37" s="17">
        <f t="shared" si="0"/>
        <v>40</v>
      </c>
      <c r="Q37" s="17">
        <f t="shared" si="1"/>
        <v>4.3699999999999974</v>
      </c>
      <c r="R37" s="17">
        <f t="shared" si="2"/>
        <v>606</v>
      </c>
      <c r="S37" s="17">
        <f t="shared" si="3"/>
        <v>99.31</v>
      </c>
    </row>
    <row r="38" spans="1:19" x14ac:dyDescent="0.3">
      <c r="A38" s="17" t="s">
        <v>548</v>
      </c>
      <c r="B38" s="17">
        <v>5994619</v>
      </c>
      <c r="C38" s="17" t="s">
        <v>12</v>
      </c>
      <c r="D38" s="18">
        <v>7.02</v>
      </c>
      <c r="E38" s="18">
        <v>0</v>
      </c>
      <c r="F38" s="18">
        <v>0</v>
      </c>
      <c r="G38" s="18">
        <v>0</v>
      </c>
      <c r="H38" s="18">
        <v>0</v>
      </c>
      <c r="I38" s="18">
        <v>0</v>
      </c>
      <c r="J38" s="18">
        <v>0</v>
      </c>
      <c r="K38" s="18">
        <v>7.02</v>
      </c>
      <c r="N38" s="17" t="s">
        <v>738</v>
      </c>
      <c r="O38" s="17">
        <f>IF(ISERROR(VLOOKUP(B38,tblRates,2,FALSE)),0,VLOOKUP(B38,tblRates,2,FALSE))</f>
        <v>10.3</v>
      </c>
      <c r="P38" s="17">
        <f t="shared" si="0"/>
        <v>7.02</v>
      </c>
      <c r="Q38" s="17">
        <f t="shared" si="1"/>
        <v>0</v>
      </c>
      <c r="R38" s="17">
        <f t="shared" si="2"/>
        <v>72.31</v>
      </c>
      <c r="S38" s="17">
        <f t="shared" si="3"/>
        <v>0</v>
      </c>
    </row>
    <row r="39" spans="1:19" x14ac:dyDescent="0.3">
      <c r="A39" s="17" t="s">
        <v>549</v>
      </c>
      <c r="B39" s="17">
        <v>5923636</v>
      </c>
      <c r="C39" s="17" t="s">
        <v>527</v>
      </c>
      <c r="D39" s="18">
        <v>0</v>
      </c>
      <c r="E39" s="18">
        <v>0</v>
      </c>
      <c r="F39" s="18">
        <v>0</v>
      </c>
      <c r="G39" s="18">
        <v>0</v>
      </c>
      <c r="H39" s="18">
        <v>0</v>
      </c>
      <c r="I39" s="18">
        <v>0</v>
      </c>
      <c r="J39" s="18">
        <v>0</v>
      </c>
      <c r="K39" s="18">
        <v>0</v>
      </c>
      <c r="N39" s="17" t="s">
        <v>527</v>
      </c>
      <c r="O39" s="17">
        <f>IF(ISERROR(VLOOKUP(B39,tblRates,2,FALSE)),0,VLOOKUP(B39,tblRates,2,FALSE))</f>
        <v>11.14</v>
      </c>
      <c r="P39" s="17">
        <f t="shared" si="0"/>
        <v>0</v>
      </c>
      <c r="Q39" s="17">
        <f t="shared" si="1"/>
        <v>0</v>
      </c>
      <c r="R39" s="17">
        <f t="shared" si="2"/>
        <v>0</v>
      </c>
      <c r="S39" s="17">
        <f t="shared" si="3"/>
        <v>0</v>
      </c>
    </row>
    <row r="40" spans="1:19" x14ac:dyDescent="0.3">
      <c r="A40" s="17" t="s">
        <v>550</v>
      </c>
      <c r="B40" s="17">
        <v>6017213</v>
      </c>
      <c r="C40" s="17" t="s">
        <v>12</v>
      </c>
      <c r="D40" s="18">
        <v>5.4</v>
      </c>
      <c r="E40" s="18">
        <v>0</v>
      </c>
      <c r="F40" s="18">
        <v>0</v>
      </c>
      <c r="G40" s="18">
        <v>0</v>
      </c>
      <c r="H40" s="18">
        <v>0</v>
      </c>
      <c r="I40" s="18">
        <v>0</v>
      </c>
      <c r="J40" s="18">
        <v>0</v>
      </c>
      <c r="K40" s="18">
        <v>5.4</v>
      </c>
      <c r="N40" s="17" t="s">
        <v>738</v>
      </c>
      <c r="O40" s="17">
        <f>IF(ISERROR(VLOOKUP(B40,tblRates,2,FALSE)),0,VLOOKUP(B40,tblRates,2,FALSE))</f>
        <v>11.15</v>
      </c>
      <c r="P40" s="17">
        <f t="shared" si="0"/>
        <v>5.4</v>
      </c>
      <c r="Q40" s="17">
        <f t="shared" si="1"/>
        <v>0</v>
      </c>
      <c r="R40" s="17">
        <f t="shared" si="2"/>
        <v>60.21</v>
      </c>
      <c r="S40" s="17">
        <f t="shared" si="3"/>
        <v>0</v>
      </c>
    </row>
    <row r="41" spans="1:19" x14ac:dyDescent="0.3">
      <c r="A41" s="17" t="s">
        <v>551</v>
      </c>
      <c r="B41" s="17">
        <v>5154970</v>
      </c>
      <c r="C41" s="17" t="s">
        <v>12</v>
      </c>
      <c r="D41" s="18">
        <v>6.73</v>
      </c>
      <c r="E41" s="18">
        <v>0</v>
      </c>
      <c r="F41" s="18">
        <v>0</v>
      </c>
      <c r="G41" s="18">
        <v>0</v>
      </c>
      <c r="H41" s="18">
        <v>0</v>
      </c>
      <c r="I41" s="18">
        <v>0</v>
      </c>
      <c r="J41" s="18">
        <v>0</v>
      </c>
      <c r="K41" s="18">
        <v>6.73</v>
      </c>
      <c r="N41" s="17" t="s">
        <v>738</v>
      </c>
      <c r="O41" s="17">
        <f>IF(ISERROR(VLOOKUP(B41,tblRates,2,FALSE)),0,VLOOKUP(B41,tblRates,2,FALSE))</f>
        <v>11.14</v>
      </c>
      <c r="P41" s="17">
        <f t="shared" ref="P41:P72" si="4">IF(K41&gt;40,40,K41)</f>
        <v>6.73</v>
      </c>
      <c r="Q41" s="17">
        <f t="shared" ref="Q41:Q72" si="5">IF(K41&gt;40,K41-40,0)</f>
        <v>0</v>
      </c>
      <c r="R41" s="17">
        <f t="shared" ref="R41:R72" si="6">ROUND((O41*P41),2)</f>
        <v>74.97</v>
      </c>
      <c r="S41" s="17">
        <f t="shared" ref="S41:S72" si="7">ROUND((Q41*(O41*1.5)),2)</f>
        <v>0</v>
      </c>
    </row>
    <row r="42" spans="1:19" x14ac:dyDescent="0.3">
      <c r="A42" s="17" t="s">
        <v>552</v>
      </c>
      <c r="B42" s="17">
        <v>5040139</v>
      </c>
      <c r="C42" s="17" t="s">
        <v>12</v>
      </c>
      <c r="D42" s="18">
        <v>7.73</v>
      </c>
      <c r="E42" s="18">
        <v>0</v>
      </c>
      <c r="F42" s="18">
        <v>0</v>
      </c>
      <c r="G42" s="18">
        <v>0</v>
      </c>
      <c r="H42" s="18">
        <v>0</v>
      </c>
      <c r="I42" s="18">
        <v>0</v>
      </c>
      <c r="J42" s="18">
        <v>0</v>
      </c>
      <c r="K42" s="18">
        <v>7.73</v>
      </c>
      <c r="N42" s="17" t="s">
        <v>738</v>
      </c>
      <c r="O42" s="17">
        <f>IF(ISERROR(VLOOKUP(B42,tblRates,2,FALSE)),0,VLOOKUP(B42,tblRates,2,FALSE))</f>
        <v>11.14</v>
      </c>
      <c r="P42" s="17">
        <f t="shared" si="4"/>
        <v>7.73</v>
      </c>
      <c r="Q42" s="17">
        <f t="shared" si="5"/>
        <v>0</v>
      </c>
      <c r="R42" s="17">
        <f t="shared" si="6"/>
        <v>86.11</v>
      </c>
      <c r="S42" s="17">
        <f t="shared" si="7"/>
        <v>0</v>
      </c>
    </row>
    <row r="43" spans="1:19" x14ac:dyDescent="0.3">
      <c r="A43" s="17" t="s">
        <v>553</v>
      </c>
      <c r="B43" s="17">
        <v>6032314</v>
      </c>
      <c r="C43" s="17" t="s">
        <v>527</v>
      </c>
      <c r="D43" s="18">
        <v>0</v>
      </c>
      <c r="E43" s="18">
        <v>0</v>
      </c>
      <c r="F43" s="18">
        <v>0</v>
      </c>
      <c r="G43" s="18">
        <v>0</v>
      </c>
      <c r="H43" s="18">
        <v>0</v>
      </c>
      <c r="I43" s="18">
        <v>0</v>
      </c>
      <c r="J43" s="18">
        <v>0</v>
      </c>
      <c r="K43" s="18">
        <v>0</v>
      </c>
      <c r="N43" s="17" t="s">
        <v>527</v>
      </c>
      <c r="O43" s="17">
        <f>IF(ISERROR(VLOOKUP(B43,tblRates,2,FALSE)),0,VLOOKUP(B43,tblRates,2,FALSE))</f>
        <v>11.1</v>
      </c>
      <c r="P43" s="17">
        <f t="shared" si="4"/>
        <v>0</v>
      </c>
      <c r="Q43" s="17">
        <f t="shared" si="5"/>
        <v>0</v>
      </c>
      <c r="R43" s="17">
        <f t="shared" si="6"/>
        <v>0</v>
      </c>
      <c r="S43" s="17">
        <f t="shared" si="7"/>
        <v>0</v>
      </c>
    </row>
    <row r="44" spans="1:19" x14ac:dyDescent="0.3">
      <c r="A44" s="17" t="s">
        <v>554</v>
      </c>
      <c r="B44" s="17">
        <v>5939191</v>
      </c>
      <c r="C44" s="17" t="s">
        <v>12</v>
      </c>
      <c r="D44" s="18">
        <v>7.75</v>
      </c>
      <c r="E44" s="18">
        <v>0</v>
      </c>
      <c r="F44" s="18">
        <v>0</v>
      </c>
      <c r="G44" s="18">
        <v>0</v>
      </c>
      <c r="H44" s="18">
        <v>0</v>
      </c>
      <c r="I44" s="18">
        <v>0</v>
      </c>
      <c r="J44" s="18">
        <v>0</v>
      </c>
      <c r="K44" s="18">
        <v>7.75</v>
      </c>
      <c r="N44" s="17" t="s">
        <v>738</v>
      </c>
      <c r="O44" s="17">
        <f>IF(ISERROR(VLOOKUP(B44,tblRates,2,FALSE)),0,VLOOKUP(B44,tblRates,2,FALSE))</f>
        <v>11.12</v>
      </c>
      <c r="P44" s="17">
        <f t="shared" si="4"/>
        <v>7.75</v>
      </c>
      <c r="Q44" s="17">
        <f t="shared" si="5"/>
        <v>0</v>
      </c>
      <c r="R44" s="17">
        <f t="shared" si="6"/>
        <v>86.18</v>
      </c>
      <c r="S44" s="17">
        <f t="shared" si="7"/>
        <v>0</v>
      </c>
    </row>
    <row r="45" spans="1:19" x14ac:dyDescent="0.3">
      <c r="A45" s="17" t="s">
        <v>555</v>
      </c>
      <c r="B45" s="17">
        <v>6092602</v>
      </c>
      <c r="C45" s="17" t="s">
        <v>12</v>
      </c>
      <c r="D45" s="18">
        <v>5.5</v>
      </c>
      <c r="E45" s="18">
        <v>0</v>
      </c>
      <c r="F45" s="18">
        <v>0</v>
      </c>
      <c r="G45" s="18">
        <v>0</v>
      </c>
      <c r="H45" s="18">
        <v>0</v>
      </c>
      <c r="I45" s="18">
        <v>0</v>
      </c>
      <c r="J45" s="18">
        <v>0</v>
      </c>
      <c r="K45" s="18">
        <v>5.5</v>
      </c>
      <c r="N45" s="17" t="s">
        <v>738</v>
      </c>
      <c r="O45" s="17">
        <f>IF(ISERROR(VLOOKUP(B45,tblRates,2,FALSE)),0,VLOOKUP(B45,tblRates,2,FALSE))</f>
        <v>10.3</v>
      </c>
      <c r="P45" s="17">
        <f t="shared" si="4"/>
        <v>5.5</v>
      </c>
      <c r="Q45" s="17">
        <f t="shared" si="5"/>
        <v>0</v>
      </c>
      <c r="R45" s="17">
        <f t="shared" si="6"/>
        <v>56.65</v>
      </c>
      <c r="S45" s="17">
        <f t="shared" si="7"/>
        <v>0</v>
      </c>
    </row>
    <row r="46" spans="1:19" x14ac:dyDescent="0.3">
      <c r="A46" s="17" t="s">
        <v>556</v>
      </c>
      <c r="B46" s="17">
        <v>5939185</v>
      </c>
      <c r="C46" s="17" t="s">
        <v>527</v>
      </c>
      <c r="D46" s="18">
        <v>0</v>
      </c>
      <c r="E46" s="18">
        <v>0</v>
      </c>
      <c r="F46" s="18">
        <v>0</v>
      </c>
      <c r="G46" s="18">
        <v>0</v>
      </c>
      <c r="H46" s="18">
        <v>0</v>
      </c>
      <c r="I46" s="18">
        <v>0</v>
      </c>
      <c r="J46" s="18">
        <v>0</v>
      </c>
      <c r="K46" s="18">
        <v>0</v>
      </c>
      <c r="N46" s="17" t="s">
        <v>527</v>
      </c>
      <c r="O46" s="17">
        <f>IF(ISERROR(VLOOKUP(B46,tblRates,2,FALSE)),0,VLOOKUP(B46,tblRates,2,FALSE))</f>
        <v>11.12</v>
      </c>
      <c r="P46" s="17">
        <f t="shared" si="4"/>
        <v>0</v>
      </c>
      <c r="Q46" s="17">
        <f t="shared" si="5"/>
        <v>0</v>
      </c>
      <c r="R46" s="17">
        <f t="shared" si="6"/>
        <v>0</v>
      </c>
      <c r="S46" s="17">
        <f t="shared" si="7"/>
        <v>0</v>
      </c>
    </row>
    <row r="47" spans="1:19" x14ac:dyDescent="0.3">
      <c r="A47" s="17" t="s">
        <v>557</v>
      </c>
      <c r="B47" s="17">
        <v>5040339</v>
      </c>
      <c r="C47" s="17" t="s">
        <v>12</v>
      </c>
      <c r="D47" s="18">
        <v>8.93</v>
      </c>
      <c r="E47" s="18">
        <v>0</v>
      </c>
      <c r="F47" s="18">
        <v>0</v>
      </c>
      <c r="G47" s="18">
        <v>0</v>
      </c>
      <c r="H47" s="18">
        <v>0</v>
      </c>
      <c r="I47" s="18">
        <v>0</v>
      </c>
      <c r="J47" s="18">
        <v>0</v>
      </c>
      <c r="K47" s="18">
        <v>8.93</v>
      </c>
      <c r="N47" s="17" t="s">
        <v>738</v>
      </c>
      <c r="O47" s="17">
        <f>IF(ISERROR(VLOOKUP(B47,tblRates,2,FALSE)),0,VLOOKUP(B47,tblRates,2,FALSE))</f>
        <v>11.14</v>
      </c>
      <c r="P47" s="17">
        <f t="shared" si="4"/>
        <v>8.93</v>
      </c>
      <c r="Q47" s="17">
        <f t="shared" si="5"/>
        <v>0</v>
      </c>
      <c r="R47" s="17">
        <f t="shared" si="6"/>
        <v>99.48</v>
      </c>
      <c r="S47" s="17">
        <f t="shared" si="7"/>
        <v>0</v>
      </c>
    </row>
    <row r="48" spans="1:19" x14ac:dyDescent="0.3">
      <c r="A48" s="17" t="s">
        <v>558</v>
      </c>
      <c r="B48" s="17">
        <v>5063924</v>
      </c>
      <c r="C48" s="17" t="s">
        <v>12</v>
      </c>
      <c r="D48" s="18">
        <v>6.13</v>
      </c>
      <c r="E48" s="18">
        <v>0</v>
      </c>
      <c r="F48" s="18">
        <v>0</v>
      </c>
      <c r="G48" s="18">
        <v>0</v>
      </c>
      <c r="H48" s="18">
        <v>0</v>
      </c>
      <c r="I48" s="18">
        <v>0</v>
      </c>
      <c r="J48" s="18">
        <v>0</v>
      </c>
      <c r="K48" s="18">
        <v>6.13</v>
      </c>
      <c r="N48" s="17" t="s">
        <v>738</v>
      </c>
      <c r="O48" s="17">
        <f>IF(ISERROR(VLOOKUP(B48,tblRates,2,FALSE)),0,VLOOKUP(B48,tblRates,2,FALSE))</f>
        <v>11.14</v>
      </c>
      <c r="P48" s="17">
        <f t="shared" si="4"/>
        <v>6.13</v>
      </c>
      <c r="Q48" s="17">
        <f t="shared" si="5"/>
        <v>0</v>
      </c>
      <c r="R48" s="17">
        <f t="shared" si="6"/>
        <v>68.290000000000006</v>
      </c>
      <c r="S48" s="17">
        <f t="shared" si="7"/>
        <v>0</v>
      </c>
    </row>
    <row r="49" spans="1:19" x14ac:dyDescent="0.3">
      <c r="A49" s="17" t="s">
        <v>559</v>
      </c>
      <c r="B49" s="17">
        <v>5140905</v>
      </c>
      <c r="C49" s="17" t="s">
        <v>12</v>
      </c>
      <c r="D49" s="18">
        <v>7.78</v>
      </c>
      <c r="E49" s="18">
        <v>11.25</v>
      </c>
      <c r="F49" s="18">
        <v>0</v>
      </c>
      <c r="G49" s="18">
        <v>2.4</v>
      </c>
      <c r="H49" s="18">
        <v>0</v>
      </c>
      <c r="I49" s="18">
        <v>0</v>
      </c>
      <c r="J49" s="18">
        <v>0</v>
      </c>
      <c r="K49" s="18">
        <v>21.43</v>
      </c>
      <c r="N49" s="17" t="s">
        <v>738</v>
      </c>
      <c r="O49" s="17">
        <f>IF(ISERROR(VLOOKUP(B49,tblRates,2,FALSE)),0,VLOOKUP(B49,tblRates,2,FALSE))</f>
        <v>11.85</v>
      </c>
      <c r="P49" s="17">
        <f t="shared" si="4"/>
        <v>21.43</v>
      </c>
      <c r="Q49" s="17">
        <f t="shared" si="5"/>
        <v>0</v>
      </c>
      <c r="R49" s="17">
        <f t="shared" si="6"/>
        <v>253.95</v>
      </c>
      <c r="S49" s="17">
        <f t="shared" si="7"/>
        <v>0</v>
      </c>
    </row>
    <row r="50" spans="1:19" x14ac:dyDescent="0.3">
      <c r="A50" s="17" t="s">
        <v>559</v>
      </c>
      <c r="B50" s="17">
        <v>5140905</v>
      </c>
      <c r="C50" s="17" t="s">
        <v>527</v>
      </c>
      <c r="D50" s="18">
        <v>0</v>
      </c>
      <c r="E50" s="18">
        <v>0</v>
      </c>
      <c r="F50" s="18">
        <v>0</v>
      </c>
      <c r="G50" s="18">
        <v>0</v>
      </c>
      <c r="H50" s="18">
        <v>0</v>
      </c>
      <c r="I50" s="18">
        <v>0</v>
      </c>
      <c r="J50" s="18">
        <v>0</v>
      </c>
      <c r="K50" s="18">
        <v>0</v>
      </c>
      <c r="N50" s="17" t="s">
        <v>527</v>
      </c>
      <c r="O50" s="17">
        <f>IF(ISERROR(VLOOKUP(B50,tblRates,2,FALSE)),0,VLOOKUP(B50,tblRates,2,FALSE))</f>
        <v>11.85</v>
      </c>
      <c r="P50" s="17">
        <f t="shared" si="4"/>
        <v>0</v>
      </c>
      <c r="Q50" s="17">
        <f t="shared" si="5"/>
        <v>0</v>
      </c>
      <c r="R50" s="17">
        <f t="shared" si="6"/>
        <v>0</v>
      </c>
      <c r="S50" s="17">
        <f t="shared" si="7"/>
        <v>0</v>
      </c>
    </row>
    <row r="51" spans="1:19" x14ac:dyDescent="0.3">
      <c r="A51" s="17" t="s">
        <v>560</v>
      </c>
      <c r="B51" s="17">
        <v>5063355</v>
      </c>
      <c r="C51" s="17" t="s">
        <v>12</v>
      </c>
      <c r="D51" s="18">
        <v>11.37</v>
      </c>
      <c r="E51" s="18">
        <v>0</v>
      </c>
      <c r="F51" s="18">
        <v>0</v>
      </c>
      <c r="G51" s="18">
        <v>8.2200000000000006</v>
      </c>
      <c r="H51" s="18">
        <v>0</v>
      </c>
      <c r="I51" s="18">
        <v>0</v>
      </c>
      <c r="J51" s="18">
        <v>0</v>
      </c>
      <c r="K51" s="18">
        <v>19.579999999999998</v>
      </c>
      <c r="N51" s="17" t="s">
        <v>738</v>
      </c>
      <c r="O51" s="17">
        <f>IF(ISERROR(VLOOKUP(B51,tblRates,2,FALSE)),0,VLOOKUP(B51,tblRates,2,FALSE))</f>
        <v>11.28</v>
      </c>
      <c r="P51" s="17">
        <f t="shared" si="4"/>
        <v>19.579999999999998</v>
      </c>
      <c r="Q51" s="17">
        <f t="shared" si="5"/>
        <v>0</v>
      </c>
      <c r="R51" s="17">
        <f t="shared" si="6"/>
        <v>220.86</v>
      </c>
      <c r="S51" s="17">
        <f t="shared" si="7"/>
        <v>0</v>
      </c>
    </row>
    <row r="52" spans="1:19" x14ac:dyDescent="0.3">
      <c r="A52" s="17" t="s">
        <v>561</v>
      </c>
      <c r="B52" s="17">
        <v>5055925</v>
      </c>
      <c r="C52" s="17" t="s">
        <v>12</v>
      </c>
      <c r="D52" s="18">
        <v>7.83</v>
      </c>
      <c r="E52" s="18">
        <v>0</v>
      </c>
      <c r="F52" s="18">
        <v>0</v>
      </c>
      <c r="G52" s="18">
        <v>0</v>
      </c>
      <c r="H52" s="18">
        <v>0</v>
      </c>
      <c r="I52" s="18">
        <v>0</v>
      </c>
      <c r="J52" s="18">
        <v>0</v>
      </c>
      <c r="K52" s="18">
        <v>7.83</v>
      </c>
      <c r="N52" s="17" t="s">
        <v>738</v>
      </c>
      <c r="O52" s="17">
        <f>IF(ISERROR(VLOOKUP(B52,tblRates,2,FALSE)),0,VLOOKUP(B52,tblRates,2,FALSE))</f>
        <v>17.88</v>
      </c>
      <c r="P52" s="17">
        <f t="shared" si="4"/>
        <v>7.83</v>
      </c>
      <c r="Q52" s="17">
        <f t="shared" si="5"/>
        <v>0</v>
      </c>
      <c r="R52" s="17">
        <f t="shared" si="6"/>
        <v>140</v>
      </c>
      <c r="S52" s="17">
        <f t="shared" si="7"/>
        <v>0</v>
      </c>
    </row>
    <row r="53" spans="1:19" x14ac:dyDescent="0.3">
      <c r="A53" s="17" t="s">
        <v>562</v>
      </c>
      <c r="B53" s="17">
        <v>5040082</v>
      </c>
      <c r="C53" s="17" t="s">
        <v>12</v>
      </c>
      <c r="D53" s="18">
        <v>11.58</v>
      </c>
      <c r="E53" s="18">
        <v>0</v>
      </c>
      <c r="F53" s="18">
        <v>0</v>
      </c>
      <c r="G53" s="18">
        <v>8.25</v>
      </c>
      <c r="H53" s="18">
        <v>0</v>
      </c>
      <c r="I53" s="18">
        <v>0</v>
      </c>
      <c r="J53" s="18">
        <v>0</v>
      </c>
      <c r="K53" s="18">
        <v>19.829999999999998</v>
      </c>
      <c r="N53" s="17" t="s">
        <v>738</v>
      </c>
      <c r="O53" s="17">
        <f>IF(ISERROR(VLOOKUP(B53,tblRates,2,FALSE)),0,VLOOKUP(B53,tblRates,2,FALSE))</f>
        <v>16.73</v>
      </c>
      <c r="P53" s="17">
        <f t="shared" si="4"/>
        <v>19.829999999999998</v>
      </c>
      <c r="Q53" s="17">
        <f t="shared" si="5"/>
        <v>0</v>
      </c>
      <c r="R53" s="17">
        <f t="shared" si="6"/>
        <v>331.76</v>
      </c>
      <c r="S53" s="17">
        <f t="shared" si="7"/>
        <v>0</v>
      </c>
    </row>
    <row r="54" spans="1:19" x14ac:dyDescent="0.3">
      <c r="A54" s="17" t="s">
        <v>563</v>
      </c>
      <c r="B54" s="17">
        <v>6082786</v>
      </c>
      <c r="C54" s="17" t="s">
        <v>527</v>
      </c>
      <c r="D54" s="18">
        <v>0</v>
      </c>
      <c r="E54" s="18">
        <v>0</v>
      </c>
      <c r="F54" s="18">
        <v>0</v>
      </c>
      <c r="G54" s="18">
        <v>0</v>
      </c>
      <c r="H54" s="18">
        <v>0</v>
      </c>
      <c r="I54" s="18">
        <v>0</v>
      </c>
      <c r="J54" s="18">
        <v>0</v>
      </c>
      <c r="K54" s="18">
        <v>0</v>
      </c>
      <c r="N54" s="17" t="s">
        <v>527</v>
      </c>
      <c r="O54" s="17">
        <f>IF(ISERROR(VLOOKUP(B54,tblRates,2,FALSE)),0,VLOOKUP(B54,tblRates,2,FALSE))</f>
        <v>11.1</v>
      </c>
      <c r="P54" s="17">
        <f t="shared" si="4"/>
        <v>0</v>
      </c>
      <c r="Q54" s="17">
        <f t="shared" si="5"/>
        <v>0</v>
      </c>
      <c r="R54" s="17">
        <f t="shared" si="6"/>
        <v>0</v>
      </c>
      <c r="S54" s="17">
        <f t="shared" si="7"/>
        <v>0</v>
      </c>
    </row>
    <row r="55" spans="1:19" x14ac:dyDescent="0.3">
      <c r="A55" s="17" t="s">
        <v>564</v>
      </c>
      <c r="B55" s="17">
        <v>6031273</v>
      </c>
      <c r="C55" s="17" t="s">
        <v>527</v>
      </c>
      <c r="D55" s="18">
        <v>0</v>
      </c>
      <c r="E55" s="18">
        <v>0</v>
      </c>
      <c r="F55" s="18">
        <v>0</v>
      </c>
      <c r="G55" s="18">
        <v>0</v>
      </c>
      <c r="H55" s="18">
        <v>0</v>
      </c>
      <c r="I55" s="18">
        <v>0</v>
      </c>
      <c r="J55" s="18">
        <v>0</v>
      </c>
      <c r="K55" s="18">
        <v>0</v>
      </c>
      <c r="N55" s="17" t="s">
        <v>527</v>
      </c>
      <c r="O55" s="17">
        <f>IF(ISERROR(VLOOKUP(B55,tblRates,2,FALSE)),0,VLOOKUP(B55,tblRates,2,FALSE))</f>
        <v>11.1</v>
      </c>
      <c r="P55" s="17">
        <f t="shared" si="4"/>
        <v>0</v>
      </c>
      <c r="Q55" s="17">
        <f t="shared" si="5"/>
        <v>0</v>
      </c>
      <c r="R55" s="17">
        <f t="shared" si="6"/>
        <v>0</v>
      </c>
      <c r="S55" s="17">
        <f t="shared" si="7"/>
        <v>0</v>
      </c>
    </row>
    <row r="56" spans="1:19" x14ac:dyDescent="0.3">
      <c r="A56" s="17" t="s">
        <v>565</v>
      </c>
      <c r="B56" s="17">
        <v>5144835</v>
      </c>
      <c r="C56" s="17" t="s">
        <v>12</v>
      </c>
      <c r="D56" s="18">
        <v>7.85</v>
      </c>
      <c r="E56" s="18">
        <v>8.85</v>
      </c>
      <c r="F56" s="18">
        <v>0</v>
      </c>
      <c r="G56" s="18">
        <v>0</v>
      </c>
      <c r="H56" s="18">
        <v>0</v>
      </c>
      <c r="I56" s="18">
        <v>0</v>
      </c>
      <c r="J56" s="18">
        <v>0</v>
      </c>
      <c r="K56" s="18">
        <v>16.7</v>
      </c>
      <c r="N56" s="17" t="s">
        <v>738</v>
      </c>
      <c r="O56" s="17">
        <f>IF(ISERROR(VLOOKUP(B56,tblRates,2,FALSE)),0,VLOOKUP(B56,tblRates,2,FALSE))</f>
        <v>13.38</v>
      </c>
      <c r="P56" s="17">
        <f t="shared" si="4"/>
        <v>16.7</v>
      </c>
      <c r="Q56" s="17">
        <f t="shared" si="5"/>
        <v>0</v>
      </c>
      <c r="R56" s="17">
        <f t="shared" si="6"/>
        <v>223.45</v>
      </c>
      <c r="S56" s="17">
        <f t="shared" si="7"/>
        <v>0</v>
      </c>
    </row>
    <row r="57" spans="1:19" x14ac:dyDescent="0.3">
      <c r="A57" s="17" t="s">
        <v>566</v>
      </c>
      <c r="B57" s="17">
        <v>5144048</v>
      </c>
      <c r="C57" s="17" t="s">
        <v>12</v>
      </c>
      <c r="D57" s="18">
        <v>7.5</v>
      </c>
      <c r="E57" s="18">
        <v>0</v>
      </c>
      <c r="F57" s="18">
        <v>0</v>
      </c>
      <c r="G57" s="18">
        <v>4.7</v>
      </c>
      <c r="H57" s="18">
        <v>0</v>
      </c>
      <c r="I57" s="18">
        <v>0</v>
      </c>
      <c r="J57" s="18">
        <v>0</v>
      </c>
      <c r="K57" s="18">
        <v>12.2</v>
      </c>
      <c r="N57" s="17" t="s">
        <v>738</v>
      </c>
      <c r="O57" s="17">
        <f>IF(ISERROR(VLOOKUP(B57,tblRates,2,FALSE)),0,VLOOKUP(B57,tblRates,2,FALSE))</f>
        <v>17.940000000000001</v>
      </c>
      <c r="P57" s="17">
        <f t="shared" si="4"/>
        <v>12.2</v>
      </c>
      <c r="Q57" s="17">
        <f t="shared" si="5"/>
        <v>0</v>
      </c>
      <c r="R57" s="17">
        <f t="shared" si="6"/>
        <v>218.87</v>
      </c>
      <c r="S57" s="17">
        <f t="shared" si="7"/>
        <v>0</v>
      </c>
    </row>
    <row r="58" spans="1:19" x14ac:dyDescent="0.3">
      <c r="A58" s="17" t="s">
        <v>566</v>
      </c>
      <c r="B58" s="17">
        <v>5144048</v>
      </c>
      <c r="C58" s="17" t="s">
        <v>527</v>
      </c>
      <c r="D58" s="18">
        <v>0</v>
      </c>
      <c r="E58" s="18">
        <v>0</v>
      </c>
      <c r="F58" s="18">
        <v>0</v>
      </c>
      <c r="G58" s="18">
        <v>0</v>
      </c>
      <c r="H58" s="18">
        <v>0</v>
      </c>
      <c r="I58" s="18">
        <v>0</v>
      </c>
      <c r="J58" s="18">
        <v>0</v>
      </c>
      <c r="K58" s="18">
        <v>0</v>
      </c>
      <c r="N58" s="17" t="s">
        <v>527</v>
      </c>
      <c r="O58" s="17">
        <f>IF(ISERROR(VLOOKUP(B58,tblRates,2,FALSE)),0,VLOOKUP(B58,tblRates,2,FALSE))</f>
        <v>17.940000000000001</v>
      </c>
      <c r="P58" s="17">
        <f t="shared" si="4"/>
        <v>0</v>
      </c>
      <c r="Q58" s="17">
        <f t="shared" si="5"/>
        <v>0</v>
      </c>
      <c r="R58" s="17">
        <f t="shared" si="6"/>
        <v>0</v>
      </c>
      <c r="S58" s="17">
        <f t="shared" si="7"/>
        <v>0</v>
      </c>
    </row>
    <row r="59" spans="1:19" x14ac:dyDescent="0.3">
      <c r="A59" s="17" t="s">
        <v>567</v>
      </c>
      <c r="B59" s="17">
        <v>6086081</v>
      </c>
      <c r="D59" s="18">
        <v>0</v>
      </c>
      <c r="E59" s="18">
        <v>0</v>
      </c>
      <c r="F59" s="18">
        <v>0</v>
      </c>
      <c r="G59" s="18">
        <v>0</v>
      </c>
      <c r="H59" s="18">
        <v>0</v>
      </c>
      <c r="I59" s="18">
        <v>0</v>
      </c>
      <c r="J59" s="18">
        <v>0</v>
      </c>
      <c r="K59" s="18">
        <v>0</v>
      </c>
      <c r="O59" s="17">
        <f>IF(ISERROR(VLOOKUP(B59,tblRates,2,FALSE)),0,VLOOKUP(B59,tblRates,2,FALSE))</f>
        <v>10.3</v>
      </c>
      <c r="P59" s="17">
        <f t="shared" si="4"/>
        <v>0</v>
      </c>
      <c r="Q59" s="17">
        <f t="shared" si="5"/>
        <v>0</v>
      </c>
      <c r="R59" s="17">
        <f t="shared" si="6"/>
        <v>0</v>
      </c>
      <c r="S59" s="17">
        <f t="shared" si="7"/>
        <v>0</v>
      </c>
    </row>
    <row r="60" spans="1:19" x14ac:dyDescent="0.3">
      <c r="A60" s="17" t="s">
        <v>568</v>
      </c>
      <c r="B60" s="17">
        <v>5035989</v>
      </c>
      <c r="C60" s="17" t="s">
        <v>12</v>
      </c>
      <c r="D60" s="18">
        <v>7.83</v>
      </c>
      <c r="E60" s="18">
        <v>0</v>
      </c>
      <c r="F60" s="18">
        <v>0</v>
      </c>
      <c r="G60" s="18">
        <v>0</v>
      </c>
      <c r="H60" s="18">
        <v>0</v>
      </c>
      <c r="I60" s="18">
        <v>0</v>
      </c>
      <c r="J60" s="18">
        <v>0</v>
      </c>
      <c r="K60" s="18">
        <v>7.83</v>
      </c>
      <c r="N60" s="17" t="s">
        <v>738</v>
      </c>
      <c r="O60" s="17">
        <f>IF(ISERROR(VLOOKUP(B60,tblRates,2,FALSE)),0,VLOOKUP(B60,tblRates,2,FALSE))</f>
        <v>14.21</v>
      </c>
      <c r="P60" s="17">
        <f t="shared" si="4"/>
        <v>7.83</v>
      </c>
      <c r="Q60" s="17">
        <f t="shared" si="5"/>
        <v>0</v>
      </c>
      <c r="R60" s="17">
        <f t="shared" si="6"/>
        <v>111.26</v>
      </c>
      <c r="S60" s="17">
        <f t="shared" si="7"/>
        <v>0</v>
      </c>
    </row>
    <row r="61" spans="1:19" x14ac:dyDescent="0.3">
      <c r="A61" s="17" t="s">
        <v>569</v>
      </c>
      <c r="B61" s="17">
        <v>5040786</v>
      </c>
      <c r="D61" s="18">
        <v>0</v>
      </c>
      <c r="E61" s="18">
        <v>0</v>
      </c>
      <c r="F61" s="18">
        <v>0</v>
      </c>
      <c r="G61" s="18">
        <v>0</v>
      </c>
      <c r="H61" s="18">
        <v>0</v>
      </c>
      <c r="I61" s="18">
        <v>0</v>
      </c>
      <c r="J61" s="18">
        <v>0</v>
      </c>
      <c r="K61" s="18">
        <v>0</v>
      </c>
      <c r="O61" s="17">
        <f>IF(ISERROR(VLOOKUP(B61,tblRates,2,FALSE)),0,VLOOKUP(B61,tblRates,2,FALSE))</f>
        <v>11.14</v>
      </c>
      <c r="P61" s="17">
        <f t="shared" si="4"/>
        <v>0</v>
      </c>
      <c r="Q61" s="17">
        <f t="shared" si="5"/>
        <v>0</v>
      </c>
      <c r="R61" s="17">
        <f t="shared" si="6"/>
        <v>0</v>
      </c>
      <c r="S61" s="17">
        <f t="shared" si="7"/>
        <v>0</v>
      </c>
    </row>
    <row r="62" spans="1:19" x14ac:dyDescent="0.3">
      <c r="A62" s="17" t="s">
        <v>570</v>
      </c>
      <c r="B62" s="17">
        <v>5053178</v>
      </c>
      <c r="C62" s="17" t="s">
        <v>12</v>
      </c>
      <c r="D62" s="18">
        <v>7.98</v>
      </c>
      <c r="E62" s="18">
        <v>6.57</v>
      </c>
      <c r="F62" s="18">
        <v>0</v>
      </c>
      <c r="G62" s="18">
        <v>0</v>
      </c>
      <c r="H62" s="18">
        <v>0</v>
      </c>
      <c r="I62" s="18">
        <v>0</v>
      </c>
      <c r="J62" s="18">
        <v>0</v>
      </c>
      <c r="K62" s="18">
        <v>14.55</v>
      </c>
      <c r="N62" s="17" t="s">
        <v>738</v>
      </c>
      <c r="O62" s="17">
        <f>IF(ISERROR(VLOOKUP(B62,tblRates,2,FALSE)),0,VLOOKUP(B62,tblRates,2,FALSE))</f>
        <v>11.98</v>
      </c>
      <c r="P62" s="17">
        <f t="shared" si="4"/>
        <v>14.55</v>
      </c>
      <c r="Q62" s="17">
        <f t="shared" si="5"/>
        <v>0</v>
      </c>
      <c r="R62" s="17">
        <f t="shared" si="6"/>
        <v>174.31</v>
      </c>
      <c r="S62" s="17">
        <f t="shared" si="7"/>
        <v>0</v>
      </c>
    </row>
    <row r="63" spans="1:19" x14ac:dyDescent="0.3">
      <c r="A63" s="17" t="s">
        <v>570</v>
      </c>
      <c r="B63" s="17">
        <v>5053178</v>
      </c>
      <c r="C63" s="17" t="s">
        <v>527</v>
      </c>
      <c r="D63" s="18">
        <v>0</v>
      </c>
      <c r="E63" s="18">
        <v>0</v>
      </c>
      <c r="F63" s="18">
        <v>0</v>
      </c>
      <c r="G63" s="18">
        <v>0</v>
      </c>
      <c r="H63" s="18">
        <v>0</v>
      </c>
      <c r="I63" s="18">
        <v>0</v>
      </c>
      <c r="J63" s="18">
        <v>0</v>
      </c>
      <c r="K63" s="18">
        <v>0</v>
      </c>
      <c r="N63" s="17" t="s">
        <v>527</v>
      </c>
      <c r="O63" s="17">
        <f>IF(ISERROR(VLOOKUP(B63,tblRates,2,FALSE)),0,VLOOKUP(B63,tblRates,2,FALSE))</f>
        <v>11.98</v>
      </c>
      <c r="P63" s="17">
        <f t="shared" si="4"/>
        <v>0</v>
      </c>
      <c r="Q63" s="17">
        <f t="shared" si="5"/>
        <v>0</v>
      </c>
      <c r="R63" s="17">
        <f t="shared" si="6"/>
        <v>0</v>
      </c>
      <c r="S63" s="17">
        <f t="shared" si="7"/>
        <v>0</v>
      </c>
    </row>
    <row r="64" spans="1:19" x14ac:dyDescent="0.3">
      <c r="A64" s="17" t="s">
        <v>510</v>
      </c>
      <c r="B64" s="17">
        <v>6047045</v>
      </c>
      <c r="C64" s="17" t="s">
        <v>12</v>
      </c>
      <c r="D64" s="18">
        <v>8</v>
      </c>
      <c r="E64" s="18">
        <v>0</v>
      </c>
      <c r="F64" s="18">
        <v>0</v>
      </c>
      <c r="G64" s="18">
        <v>0</v>
      </c>
      <c r="H64" s="18">
        <v>0</v>
      </c>
      <c r="I64" s="18">
        <v>0</v>
      </c>
      <c r="J64" s="18">
        <v>0</v>
      </c>
      <c r="K64" s="18">
        <v>8</v>
      </c>
      <c r="L64" s="17" t="s">
        <v>699</v>
      </c>
      <c r="N64" s="17" t="s">
        <v>738</v>
      </c>
      <c r="O64" s="17">
        <f>IF(ISERROR(VLOOKUP(B64,tblRates,2,FALSE)),0,VLOOKUP(B64,tblRates,2,FALSE))</f>
        <v>15.5</v>
      </c>
      <c r="P64" s="17">
        <f t="shared" si="4"/>
        <v>8</v>
      </c>
      <c r="Q64" s="17">
        <f t="shared" si="5"/>
        <v>0</v>
      </c>
      <c r="R64" s="17">
        <f t="shared" si="6"/>
        <v>124</v>
      </c>
      <c r="S64" s="17">
        <f t="shared" si="7"/>
        <v>0</v>
      </c>
    </row>
    <row r="65" spans="1:19" x14ac:dyDescent="0.3">
      <c r="A65" s="17" t="s">
        <v>571</v>
      </c>
      <c r="B65" s="17">
        <v>5945192</v>
      </c>
      <c r="C65" s="17" t="s">
        <v>12</v>
      </c>
      <c r="D65" s="18">
        <v>7.02</v>
      </c>
      <c r="E65" s="18">
        <v>0</v>
      </c>
      <c r="F65" s="18">
        <v>0</v>
      </c>
      <c r="G65" s="18">
        <v>0</v>
      </c>
      <c r="H65" s="18">
        <v>0</v>
      </c>
      <c r="I65" s="18">
        <v>0</v>
      </c>
      <c r="J65" s="18">
        <v>0</v>
      </c>
      <c r="K65" s="18">
        <v>7.02</v>
      </c>
      <c r="N65" s="17" t="s">
        <v>738</v>
      </c>
      <c r="O65" s="17">
        <f>IF(ISERROR(VLOOKUP(B65,tblRates,2,FALSE)),0,VLOOKUP(B65,tblRates,2,FALSE))</f>
        <v>11.12</v>
      </c>
      <c r="P65" s="17">
        <f t="shared" si="4"/>
        <v>7.02</v>
      </c>
      <c r="Q65" s="17">
        <f t="shared" si="5"/>
        <v>0</v>
      </c>
      <c r="R65" s="17">
        <f t="shared" si="6"/>
        <v>78.06</v>
      </c>
      <c r="S65" s="17">
        <f t="shared" si="7"/>
        <v>0</v>
      </c>
    </row>
    <row r="66" spans="1:19" x14ac:dyDescent="0.3">
      <c r="A66" s="17" t="s">
        <v>572</v>
      </c>
      <c r="B66" s="17">
        <v>5973269</v>
      </c>
      <c r="C66" s="17" t="s">
        <v>12</v>
      </c>
      <c r="D66" s="18">
        <v>9.77</v>
      </c>
      <c r="E66" s="18">
        <v>0</v>
      </c>
      <c r="F66" s="18">
        <v>0</v>
      </c>
      <c r="G66" s="18">
        <v>0</v>
      </c>
      <c r="H66" s="18">
        <v>0</v>
      </c>
      <c r="I66" s="18">
        <v>0</v>
      </c>
      <c r="J66" s="18">
        <v>0</v>
      </c>
      <c r="K66" s="18">
        <v>9.77</v>
      </c>
      <c r="N66" s="17" t="s">
        <v>738</v>
      </c>
      <c r="O66" s="17">
        <f>IF(ISERROR(VLOOKUP(B66,tblRates,2,FALSE)),0,VLOOKUP(B66,tblRates,2,FALSE))</f>
        <v>11.12</v>
      </c>
      <c r="P66" s="17">
        <f t="shared" si="4"/>
        <v>9.77</v>
      </c>
      <c r="Q66" s="17">
        <f t="shared" si="5"/>
        <v>0</v>
      </c>
      <c r="R66" s="17">
        <f t="shared" si="6"/>
        <v>108.64</v>
      </c>
      <c r="S66" s="17">
        <f t="shared" si="7"/>
        <v>0</v>
      </c>
    </row>
    <row r="67" spans="1:19" x14ac:dyDescent="0.3">
      <c r="A67" s="17" t="s">
        <v>573</v>
      </c>
      <c r="B67" s="17">
        <v>5994624</v>
      </c>
      <c r="C67" s="17" t="s">
        <v>12</v>
      </c>
      <c r="D67" s="18">
        <v>7.5</v>
      </c>
      <c r="E67" s="18">
        <v>6.58</v>
      </c>
      <c r="F67" s="18">
        <v>0</v>
      </c>
      <c r="G67" s="18">
        <v>0</v>
      </c>
      <c r="H67" s="18">
        <v>0</v>
      </c>
      <c r="I67" s="18">
        <v>0</v>
      </c>
      <c r="J67" s="18">
        <v>0</v>
      </c>
      <c r="K67" s="18">
        <v>14.08</v>
      </c>
      <c r="N67" s="17" t="s">
        <v>738</v>
      </c>
      <c r="O67" s="17">
        <f>IF(ISERROR(VLOOKUP(B67,tblRates,2,FALSE)),0,VLOOKUP(B67,tblRates,2,FALSE))</f>
        <v>11.1</v>
      </c>
      <c r="P67" s="17">
        <f t="shared" si="4"/>
        <v>14.08</v>
      </c>
      <c r="Q67" s="17">
        <f t="shared" si="5"/>
        <v>0</v>
      </c>
      <c r="R67" s="17">
        <f t="shared" si="6"/>
        <v>156.29</v>
      </c>
      <c r="S67" s="17">
        <f t="shared" si="7"/>
        <v>0</v>
      </c>
    </row>
    <row r="68" spans="1:19" x14ac:dyDescent="0.3">
      <c r="A68" s="17" t="s">
        <v>574</v>
      </c>
      <c r="B68" s="17">
        <v>5042165</v>
      </c>
      <c r="C68" s="17" t="s">
        <v>12</v>
      </c>
      <c r="D68" s="18">
        <v>6.97</v>
      </c>
      <c r="E68" s="18">
        <v>0</v>
      </c>
      <c r="F68" s="18">
        <v>0</v>
      </c>
      <c r="G68" s="18">
        <v>0</v>
      </c>
      <c r="H68" s="18">
        <v>0</v>
      </c>
      <c r="I68" s="18">
        <v>0</v>
      </c>
      <c r="J68" s="18">
        <v>0</v>
      </c>
      <c r="K68" s="18">
        <v>6.97</v>
      </c>
      <c r="N68" s="17" t="s">
        <v>738</v>
      </c>
      <c r="O68" s="17">
        <f>IF(ISERROR(VLOOKUP(B68,tblRates,2,FALSE)),0,VLOOKUP(B68,tblRates,2,FALSE))</f>
        <v>11.14</v>
      </c>
      <c r="P68" s="17">
        <f t="shared" si="4"/>
        <v>6.97</v>
      </c>
      <c r="Q68" s="17">
        <f t="shared" si="5"/>
        <v>0</v>
      </c>
      <c r="R68" s="17">
        <f t="shared" si="6"/>
        <v>77.650000000000006</v>
      </c>
      <c r="S68" s="17">
        <f t="shared" si="7"/>
        <v>0</v>
      </c>
    </row>
    <row r="69" spans="1:19" x14ac:dyDescent="0.3">
      <c r="A69" s="17" t="s">
        <v>575</v>
      </c>
      <c r="B69" s="17">
        <v>5041678</v>
      </c>
      <c r="D69" s="18">
        <v>0</v>
      </c>
      <c r="E69" s="18">
        <v>0</v>
      </c>
      <c r="F69" s="18">
        <v>0</v>
      </c>
      <c r="G69" s="18">
        <v>0</v>
      </c>
      <c r="H69" s="18">
        <v>0</v>
      </c>
      <c r="I69" s="18">
        <v>0</v>
      </c>
      <c r="J69" s="18">
        <v>0</v>
      </c>
      <c r="K69" s="18">
        <v>0</v>
      </c>
      <c r="O69" s="17">
        <f>IF(ISERROR(VLOOKUP(B69,tblRates,2,FALSE)),0,VLOOKUP(B69,tblRates,2,FALSE))</f>
        <v>14.78</v>
      </c>
      <c r="P69" s="17">
        <f t="shared" si="4"/>
        <v>0</v>
      </c>
      <c r="Q69" s="17">
        <f t="shared" si="5"/>
        <v>0</v>
      </c>
      <c r="R69" s="17">
        <f t="shared" si="6"/>
        <v>0</v>
      </c>
      <c r="S69" s="17">
        <f t="shared" si="7"/>
        <v>0</v>
      </c>
    </row>
    <row r="70" spans="1:19" x14ac:dyDescent="0.3">
      <c r="A70" s="17" t="s">
        <v>576</v>
      </c>
      <c r="B70" s="17">
        <v>6031774</v>
      </c>
      <c r="C70" s="17" t="s">
        <v>12</v>
      </c>
      <c r="D70" s="18">
        <v>8.52</v>
      </c>
      <c r="E70" s="18">
        <v>7.03</v>
      </c>
      <c r="F70" s="18">
        <v>0</v>
      </c>
      <c r="G70" s="18">
        <v>0</v>
      </c>
      <c r="H70" s="18">
        <v>0</v>
      </c>
      <c r="I70" s="18">
        <v>0</v>
      </c>
      <c r="J70" s="18">
        <v>0</v>
      </c>
      <c r="K70" s="18">
        <v>15.55</v>
      </c>
      <c r="N70" s="17" t="s">
        <v>738</v>
      </c>
      <c r="O70" s="17">
        <f>IF(ISERROR(VLOOKUP(B70,tblRates,2,FALSE)),0,VLOOKUP(B70,tblRates,2,FALSE))</f>
        <v>12.3</v>
      </c>
      <c r="P70" s="17">
        <f t="shared" si="4"/>
        <v>15.55</v>
      </c>
      <c r="Q70" s="17">
        <f t="shared" si="5"/>
        <v>0</v>
      </c>
      <c r="R70" s="17">
        <f t="shared" si="6"/>
        <v>191.27</v>
      </c>
      <c r="S70" s="17">
        <f t="shared" si="7"/>
        <v>0</v>
      </c>
    </row>
    <row r="71" spans="1:19" x14ac:dyDescent="0.3">
      <c r="A71" s="17" t="s">
        <v>695</v>
      </c>
      <c r="B71" s="17">
        <v>6036714</v>
      </c>
      <c r="D71" s="18">
        <v>0</v>
      </c>
      <c r="E71" s="18">
        <v>0</v>
      </c>
      <c r="F71" s="18">
        <v>0</v>
      </c>
      <c r="G71" s="18">
        <v>0</v>
      </c>
      <c r="H71" s="18">
        <v>0</v>
      </c>
      <c r="I71" s="18">
        <v>0</v>
      </c>
      <c r="J71" s="18">
        <v>0</v>
      </c>
      <c r="K71" s="18">
        <v>0</v>
      </c>
      <c r="O71" s="17">
        <f>IF(ISERROR(VLOOKUP(B71,tblRates,2,FALSE)),0,VLOOKUP(B71,tblRates,2,FALSE))</f>
        <v>10.3</v>
      </c>
      <c r="P71" s="17">
        <f t="shared" si="4"/>
        <v>0</v>
      </c>
      <c r="Q71" s="17">
        <f t="shared" si="5"/>
        <v>0</v>
      </c>
      <c r="R71" s="17">
        <f t="shared" si="6"/>
        <v>0</v>
      </c>
      <c r="S71" s="17">
        <f t="shared" si="7"/>
        <v>0</v>
      </c>
    </row>
    <row r="72" spans="1:19" x14ac:dyDescent="0.3">
      <c r="A72" s="17" t="s">
        <v>577</v>
      </c>
      <c r="B72" s="17">
        <v>5039120</v>
      </c>
      <c r="C72" s="17" t="s">
        <v>12</v>
      </c>
      <c r="D72" s="18">
        <v>7.23</v>
      </c>
      <c r="E72" s="18">
        <v>0</v>
      </c>
      <c r="F72" s="18">
        <v>0</v>
      </c>
      <c r="G72" s="18">
        <v>0</v>
      </c>
      <c r="H72" s="18">
        <v>0</v>
      </c>
      <c r="I72" s="18">
        <v>0</v>
      </c>
      <c r="J72" s="18">
        <v>0</v>
      </c>
      <c r="K72" s="18">
        <v>7.23</v>
      </c>
      <c r="N72" s="17" t="s">
        <v>738</v>
      </c>
      <c r="O72" s="17">
        <f>IF(ISERROR(VLOOKUP(B72,tblRates,2,FALSE)),0,VLOOKUP(B72,tblRates,2,FALSE))</f>
        <v>11.14</v>
      </c>
      <c r="P72" s="17">
        <f t="shared" si="4"/>
        <v>7.23</v>
      </c>
      <c r="Q72" s="17">
        <f t="shared" si="5"/>
        <v>0</v>
      </c>
      <c r="R72" s="17">
        <f t="shared" si="6"/>
        <v>80.540000000000006</v>
      </c>
      <c r="S72" s="17">
        <f t="shared" si="7"/>
        <v>0</v>
      </c>
    </row>
    <row r="73" spans="1:19" x14ac:dyDescent="0.3">
      <c r="A73" s="17" t="s">
        <v>578</v>
      </c>
      <c r="B73" s="17">
        <v>6082781</v>
      </c>
      <c r="C73" s="17" t="s">
        <v>12</v>
      </c>
      <c r="D73" s="18">
        <v>5.48</v>
      </c>
      <c r="E73" s="18">
        <v>0</v>
      </c>
      <c r="F73" s="18">
        <v>0</v>
      </c>
      <c r="G73" s="18">
        <v>0</v>
      </c>
      <c r="H73" s="18">
        <v>0</v>
      </c>
      <c r="I73" s="18">
        <v>0</v>
      </c>
      <c r="J73" s="18">
        <v>0</v>
      </c>
      <c r="K73" s="18">
        <v>5.48</v>
      </c>
      <c r="N73" s="17" t="s">
        <v>738</v>
      </c>
      <c r="O73" s="17">
        <f>IF(ISERROR(VLOOKUP(B73,tblRates,2,FALSE)),0,VLOOKUP(B73,tblRates,2,FALSE))</f>
        <v>10.3</v>
      </c>
      <c r="P73" s="17">
        <f t="shared" ref="P73:P86" si="8">IF(K73&gt;40,40,K73)</f>
        <v>5.48</v>
      </c>
      <c r="Q73" s="17">
        <f t="shared" ref="Q73:Q86" si="9">IF(K73&gt;40,K73-40,0)</f>
        <v>0</v>
      </c>
      <c r="R73" s="17">
        <f t="shared" ref="R73:R86" si="10">ROUND((O73*P73),2)</f>
        <v>56.44</v>
      </c>
      <c r="S73" s="17">
        <f t="shared" ref="S73:S86" si="11">ROUND((Q73*(O73*1.5)),2)</f>
        <v>0</v>
      </c>
    </row>
    <row r="74" spans="1:19" x14ac:dyDescent="0.3">
      <c r="A74" s="17" t="s">
        <v>579</v>
      </c>
      <c r="B74" s="17">
        <v>5039605</v>
      </c>
      <c r="C74" s="17" t="s">
        <v>12</v>
      </c>
      <c r="D74" s="18">
        <v>11.45</v>
      </c>
      <c r="E74" s="18">
        <v>0</v>
      </c>
      <c r="F74" s="18">
        <v>0</v>
      </c>
      <c r="G74" s="18">
        <v>8.1</v>
      </c>
      <c r="H74" s="18">
        <v>0</v>
      </c>
      <c r="I74" s="18">
        <v>0</v>
      </c>
      <c r="J74" s="18">
        <v>0</v>
      </c>
      <c r="K74" s="18">
        <v>19.55</v>
      </c>
      <c r="N74" s="17" t="s">
        <v>738</v>
      </c>
      <c r="O74" s="17">
        <f>IF(ISERROR(VLOOKUP(B74,tblRates,2,FALSE)),0,VLOOKUP(B74,tblRates,2,FALSE))</f>
        <v>12.3</v>
      </c>
      <c r="P74" s="17">
        <f t="shared" si="8"/>
        <v>19.55</v>
      </c>
      <c r="Q74" s="17">
        <f t="shared" si="9"/>
        <v>0</v>
      </c>
      <c r="R74" s="17">
        <f t="shared" si="10"/>
        <v>240.47</v>
      </c>
      <c r="S74" s="17">
        <f t="shared" si="11"/>
        <v>0</v>
      </c>
    </row>
    <row r="75" spans="1:19" x14ac:dyDescent="0.3">
      <c r="A75" s="17" t="s">
        <v>580</v>
      </c>
      <c r="B75" s="17">
        <v>5038855</v>
      </c>
      <c r="C75" s="17" t="s">
        <v>527</v>
      </c>
      <c r="D75" s="18">
        <v>0</v>
      </c>
      <c r="E75" s="18">
        <v>0</v>
      </c>
      <c r="F75" s="18">
        <v>0</v>
      </c>
      <c r="G75" s="18">
        <v>0</v>
      </c>
      <c r="H75" s="18">
        <v>0</v>
      </c>
      <c r="I75" s="18">
        <v>0</v>
      </c>
      <c r="J75" s="18">
        <v>0</v>
      </c>
      <c r="K75" s="18">
        <v>0</v>
      </c>
      <c r="N75" s="17" t="s">
        <v>527</v>
      </c>
      <c r="O75" s="17">
        <f>IF(ISERROR(VLOOKUP(B75,tblRates,2,FALSE)),0,VLOOKUP(B75,tblRates,2,FALSE))</f>
        <v>11.14</v>
      </c>
      <c r="P75" s="17">
        <f t="shared" si="8"/>
        <v>0</v>
      </c>
      <c r="Q75" s="17">
        <f t="shared" si="9"/>
        <v>0</v>
      </c>
      <c r="R75" s="17">
        <f t="shared" si="10"/>
        <v>0</v>
      </c>
      <c r="S75" s="17">
        <f t="shared" si="11"/>
        <v>0</v>
      </c>
    </row>
    <row r="76" spans="1:19" x14ac:dyDescent="0.3">
      <c r="A76" s="17" t="s">
        <v>581</v>
      </c>
      <c r="B76" s="17">
        <v>5019734</v>
      </c>
      <c r="C76" s="17" t="s">
        <v>12</v>
      </c>
      <c r="D76" s="18">
        <v>8.0500000000000007</v>
      </c>
      <c r="E76" s="18">
        <v>7</v>
      </c>
      <c r="F76" s="18">
        <v>5.52</v>
      </c>
      <c r="G76" s="18">
        <v>6.53</v>
      </c>
      <c r="H76" s="18">
        <v>5.5</v>
      </c>
      <c r="I76" s="18">
        <v>5.5</v>
      </c>
      <c r="J76" s="18">
        <v>3.75</v>
      </c>
      <c r="K76" s="18">
        <v>41.85</v>
      </c>
      <c r="N76" s="17" t="s">
        <v>738</v>
      </c>
      <c r="O76" s="17">
        <f>IF(ISERROR(VLOOKUP(B76,tblRates,2,FALSE)),0,VLOOKUP(B76,tblRates,2,FALSE))</f>
        <v>11.14</v>
      </c>
      <c r="P76" s="17">
        <f t="shared" si="8"/>
        <v>40</v>
      </c>
      <c r="Q76" s="17">
        <f t="shared" si="9"/>
        <v>1.8500000000000014</v>
      </c>
      <c r="R76" s="17">
        <f t="shared" si="10"/>
        <v>445.6</v>
      </c>
      <c r="S76" s="17">
        <f t="shared" si="11"/>
        <v>30.91</v>
      </c>
    </row>
    <row r="77" spans="1:19" x14ac:dyDescent="0.3">
      <c r="A77" s="17" t="s">
        <v>582</v>
      </c>
      <c r="B77" s="17">
        <v>6031281</v>
      </c>
      <c r="C77" s="17" t="s">
        <v>12</v>
      </c>
      <c r="D77" s="18">
        <v>7</v>
      </c>
      <c r="E77" s="18">
        <v>0</v>
      </c>
      <c r="F77" s="18">
        <v>0</v>
      </c>
      <c r="G77" s="18">
        <v>0</v>
      </c>
      <c r="H77" s="18">
        <v>0</v>
      </c>
      <c r="I77" s="18">
        <v>0</v>
      </c>
      <c r="J77" s="18">
        <v>0</v>
      </c>
      <c r="K77" s="18">
        <v>7</v>
      </c>
      <c r="N77" s="17" t="s">
        <v>738</v>
      </c>
      <c r="O77" s="17">
        <f>IF(ISERROR(VLOOKUP(B77,tblRates,2,FALSE)),0,VLOOKUP(B77,tblRates,2,FALSE))</f>
        <v>10.3</v>
      </c>
      <c r="P77" s="17">
        <f t="shared" si="8"/>
        <v>7</v>
      </c>
      <c r="Q77" s="17">
        <f t="shared" si="9"/>
        <v>0</v>
      </c>
      <c r="R77" s="17">
        <f t="shared" si="10"/>
        <v>72.099999999999994</v>
      </c>
      <c r="S77" s="17">
        <f t="shared" si="11"/>
        <v>0</v>
      </c>
    </row>
    <row r="78" spans="1:19" x14ac:dyDescent="0.3">
      <c r="A78" s="17" t="s">
        <v>583</v>
      </c>
      <c r="B78" s="17">
        <v>6092590</v>
      </c>
      <c r="C78" s="17" t="s">
        <v>12</v>
      </c>
      <c r="D78" s="18">
        <v>5.97</v>
      </c>
      <c r="E78" s="18">
        <v>7</v>
      </c>
      <c r="F78" s="18">
        <v>5.52</v>
      </c>
      <c r="G78" s="18">
        <v>0</v>
      </c>
      <c r="H78" s="18">
        <v>0</v>
      </c>
      <c r="I78" s="18">
        <v>0</v>
      </c>
      <c r="J78" s="18">
        <v>0</v>
      </c>
      <c r="K78" s="18">
        <v>18.48</v>
      </c>
      <c r="N78" s="17" t="s">
        <v>738</v>
      </c>
      <c r="O78" s="17">
        <f>IF(ISERROR(VLOOKUP(B78,tblRates,2,FALSE)),0,VLOOKUP(B78,tblRates,2,FALSE))</f>
        <v>10.3</v>
      </c>
      <c r="P78" s="17">
        <f t="shared" si="8"/>
        <v>18.48</v>
      </c>
      <c r="Q78" s="17">
        <f t="shared" si="9"/>
        <v>0</v>
      </c>
      <c r="R78" s="17">
        <f t="shared" si="10"/>
        <v>190.34</v>
      </c>
      <c r="S78" s="17">
        <f t="shared" si="11"/>
        <v>0</v>
      </c>
    </row>
    <row r="79" spans="1:19" x14ac:dyDescent="0.3">
      <c r="A79" s="17" t="s">
        <v>583</v>
      </c>
      <c r="B79" s="17">
        <v>6092590</v>
      </c>
      <c r="C79" s="17" t="s">
        <v>527</v>
      </c>
      <c r="D79" s="18">
        <v>0</v>
      </c>
      <c r="E79" s="18">
        <v>0</v>
      </c>
      <c r="F79" s="18">
        <v>0</v>
      </c>
      <c r="G79" s="18">
        <v>0</v>
      </c>
      <c r="H79" s="18">
        <v>0</v>
      </c>
      <c r="I79" s="18">
        <v>0</v>
      </c>
      <c r="J79" s="18">
        <v>0</v>
      </c>
      <c r="K79" s="18">
        <v>0</v>
      </c>
      <c r="N79" s="17" t="s">
        <v>527</v>
      </c>
      <c r="O79" s="17">
        <f>IF(ISERROR(VLOOKUP(B79,tblRates,2,FALSE)),0,VLOOKUP(B79,tblRates,2,FALSE))</f>
        <v>10.3</v>
      </c>
      <c r="P79" s="17">
        <f t="shared" si="8"/>
        <v>0</v>
      </c>
      <c r="Q79" s="17">
        <f t="shared" si="9"/>
        <v>0</v>
      </c>
      <c r="R79" s="17">
        <f t="shared" si="10"/>
        <v>0</v>
      </c>
      <c r="S79" s="17">
        <f t="shared" si="11"/>
        <v>0</v>
      </c>
    </row>
    <row r="80" spans="1:19" x14ac:dyDescent="0.3">
      <c r="A80" s="17" t="s">
        <v>584</v>
      </c>
      <c r="B80" s="17">
        <v>5975860</v>
      </c>
      <c r="C80" s="17" t="s">
        <v>12</v>
      </c>
      <c r="D80" s="18">
        <v>7.68</v>
      </c>
      <c r="E80" s="18">
        <v>0</v>
      </c>
      <c r="F80" s="18">
        <v>0</v>
      </c>
      <c r="G80" s="18">
        <v>0</v>
      </c>
      <c r="H80" s="18">
        <v>0</v>
      </c>
      <c r="I80" s="18">
        <v>0</v>
      </c>
      <c r="J80" s="18">
        <v>0</v>
      </c>
      <c r="K80" s="18">
        <v>7.68</v>
      </c>
      <c r="N80" s="17" t="s">
        <v>738</v>
      </c>
      <c r="O80" s="17">
        <f>IF(ISERROR(VLOOKUP(B80,tblRates,2,FALSE)),0,VLOOKUP(B80,tblRates,2,FALSE))</f>
        <v>11.12</v>
      </c>
      <c r="P80" s="17">
        <f t="shared" si="8"/>
        <v>7.68</v>
      </c>
      <c r="Q80" s="17">
        <f t="shared" si="9"/>
        <v>0</v>
      </c>
      <c r="R80" s="17">
        <f t="shared" si="10"/>
        <v>85.4</v>
      </c>
      <c r="S80" s="17">
        <f t="shared" si="11"/>
        <v>0</v>
      </c>
    </row>
    <row r="81" spans="1:19" x14ac:dyDescent="0.3">
      <c r="A81" s="17" t="s">
        <v>585</v>
      </c>
      <c r="B81" s="17">
        <v>5135562</v>
      </c>
      <c r="C81" s="17" t="s">
        <v>12</v>
      </c>
      <c r="D81" s="18">
        <v>6.23</v>
      </c>
      <c r="E81" s="18">
        <v>8</v>
      </c>
      <c r="F81" s="18">
        <v>3.5</v>
      </c>
      <c r="G81" s="18">
        <v>4.67</v>
      </c>
      <c r="H81" s="18">
        <v>0</v>
      </c>
      <c r="I81" s="18">
        <v>0</v>
      </c>
      <c r="J81" s="18">
        <v>0</v>
      </c>
      <c r="K81" s="18">
        <v>22.4</v>
      </c>
      <c r="N81" s="17" t="s">
        <v>738</v>
      </c>
      <c r="O81" s="17">
        <f>IF(ISERROR(VLOOKUP(B81,tblRates,2,FALSE)),0,VLOOKUP(B81,tblRates,2,FALSE))</f>
        <v>12.99</v>
      </c>
      <c r="P81" s="17">
        <f t="shared" si="8"/>
        <v>22.4</v>
      </c>
      <c r="Q81" s="17">
        <f t="shared" si="9"/>
        <v>0</v>
      </c>
      <c r="R81" s="17">
        <f t="shared" si="10"/>
        <v>290.98</v>
      </c>
      <c r="S81" s="17">
        <f t="shared" si="11"/>
        <v>0</v>
      </c>
    </row>
    <row r="82" spans="1:19" x14ac:dyDescent="0.3">
      <c r="A82" s="17" t="s">
        <v>585</v>
      </c>
      <c r="B82" s="17">
        <v>5135562</v>
      </c>
      <c r="C82" s="17" t="s">
        <v>527</v>
      </c>
      <c r="D82" s="18">
        <v>0</v>
      </c>
      <c r="E82" s="18">
        <v>0</v>
      </c>
      <c r="F82" s="18">
        <v>0</v>
      </c>
      <c r="G82" s="18">
        <v>0</v>
      </c>
      <c r="H82" s="18">
        <v>0</v>
      </c>
      <c r="I82" s="18">
        <v>0</v>
      </c>
      <c r="J82" s="18">
        <v>0</v>
      </c>
      <c r="K82" s="18">
        <v>0</v>
      </c>
      <c r="N82" s="17" t="s">
        <v>527</v>
      </c>
      <c r="O82" s="17">
        <f>IF(ISERROR(VLOOKUP(B82,tblRates,2,FALSE)),0,VLOOKUP(B82,tblRates,2,FALSE))</f>
        <v>12.99</v>
      </c>
      <c r="P82" s="17">
        <f t="shared" si="8"/>
        <v>0</v>
      </c>
      <c r="Q82" s="17">
        <f t="shared" si="9"/>
        <v>0</v>
      </c>
      <c r="R82" s="17">
        <f t="shared" si="10"/>
        <v>0</v>
      </c>
      <c r="S82" s="17">
        <f t="shared" si="11"/>
        <v>0</v>
      </c>
    </row>
    <row r="83" spans="1:19" x14ac:dyDescent="0.3">
      <c r="A83" s="17" t="s">
        <v>586</v>
      </c>
      <c r="B83" s="17">
        <v>5039594</v>
      </c>
      <c r="C83" s="17" t="s">
        <v>12</v>
      </c>
      <c r="D83" s="18">
        <v>7.15</v>
      </c>
      <c r="E83" s="18">
        <v>0</v>
      </c>
      <c r="F83" s="18">
        <v>0</v>
      </c>
      <c r="G83" s="18">
        <v>0</v>
      </c>
      <c r="H83" s="18">
        <v>0</v>
      </c>
      <c r="I83" s="18">
        <v>0</v>
      </c>
      <c r="J83" s="18">
        <v>0</v>
      </c>
      <c r="K83" s="18">
        <v>7.15</v>
      </c>
      <c r="N83" s="17" t="s">
        <v>738</v>
      </c>
      <c r="O83" s="17">
        <f>IF(ISERROR(VLOOKUP(B83,tblRates,2,FALSE)),0,VLOOKUP(B83,tblRates,2,FALSE))</f>
        <v>12.2</v>
      </c>
      <c r="P83" s="17">
        <f t="shared" si="8"/>
        <v>7.15</v>
      </c>
      <c r="Q83" s="17">
        <f t="shared" si="9"/>
        <v>0</v>
      </c>
      <c r="R83" s="17">
        <f t="shared" si="10"/>
        <v>87.23</v>
      </c>
      <c r="S83" s="17">
        <f t="shared" si="11"/>
        <v>0</v>
      </c>
    </row>
    <row r="84" spans="1:19" x14ac:dyDescent="0.3">
      <c r="A84" s="17" t="s">
        <v>587</v>
      </c>
      <c r="B84" s="17">
        <v>5973270</v>
      </c>
      <c r="C84" s="17" t="s">
        <v>12</v>
      </c>
      <c r="D84" s="18">
        <v>8.0500000000000007</v>
      </c>
      <c r="E84" s="18">
        <v>0</v>
      </c>
      <c r="F84" s="18">
        <v>0</v>
      </c>
      <c r="G84" s="18">
        <v>0</v>
      </c>
      <c r="H84" s="18">
        <v>0</v>
      </c>
      <c r="I84" s="18">
        <v>0</v>
      </c>
      <c r="J84" s="18">
        <v>0</v>
      </c>
      <c r="K84" s="18">
        <v>8.0500000000000007</v>
      </c>
      <c r="N84" s="17" t="s">
        <v>738</v>
      </c>
      <c r="O84" s="17">
        <f>IF(ISERROR(VLOOKUP(B84,tblRates,2,FALSE)),0,VLOOKUP(B84,tblRates,2,FALSE))</f>
        <v>11.12</v>
      </c>
      <c r="P84" s="17">
        <f t="shared" si="8"/>
        <v>8.0500000000000007</v>
      </c>
      <c r="Q84" s="17">
        <f t="shared" si="9"/>
        <v>0</v>
      </c>
      <c r="R84" s="17">
        <f t="shared" si="10"/>
        <v>89.52</v>
      </c>
      <c r="S84" s="17">
        <f t="shared" si="11"/>
        <v>0</v>
      </c>
    </row>
    <row r="85" spans="1:19" x14ac:dyDescent="0.3">
      <c r="A85" s="17" t="s">
        <v>588</v>
      </c>
      <c r="B85" s="17">
        <v>5941732</v>
      </c>
      <c r="C85" s="17" t="s">
        <v>12</v>
      </c>
      <c r="D85" s="18">
        <v>8</v>
      </c>
      <c r="E85" s="18">
        <v>0</v>
      </c>
      <c r="F85" s="18">
        <v>0</v>
      </c>
      <c r="G85" s="18">
        <v>0</v>
      </c>
      <c r="H85" s="18">
        <v>0</v>
      </c>
      <c r="I85" s="18">
        <v>0</v>
      </c>
      <c r="J85" s="18">
        <v>0</v>
      </c>
      <c r="K85" s="18">
        <v>8</v>
      </c>
      <c r="N85" s="17" t="s">
        <v>738</v>
      </c>
      <c r="O85" s="17">
        <f>IF(ISERROR(VLOOKUP(B85,tblRates,2,FALSE)),0,VLOOKUP(B85,tblRates,2,FALSE))</f>
        <v>11.12</v>
      </c>
      <c r="P85" s="17">
        <f t="shared" si="8"/>
        <v>8</v>
      </c>
      <c r="Q85" s="17">
        <f t="shared" si="9"/>
        <v>0</v>
      </c>
      <c r="R85" s="17">
        <f t="shared" si="10"/>
        <v>88.96</v>
      </c>
      <c r="S85" s="17">
        <f t="shared" si="11"/>
        <v>0</v>
      </c>
    </row>
    <row r="86" spans="1:19" x14ac:dyDescent="0.3">
      <c r="A86" s="17" t="s">
        <v>462</v>
      </c>
      <c r="D86" s="18">
        <v>0</v>
      </c>
      <c r="E86" s="18">
        <v>0</v>
      </c>
      <c r="F86" s="18">
        <v>0</v>
      </c>
      <c r="G86" s="18">
        <v>0</v>
      </c>
      <c r="H86" s="18">
        <v>0</v>
      </c>
      <c r="I86" s="18">
        <v>0</v>
      </c>
      <c r="J86" s="18">
        <v>0</v>
      </c>
      <c r="K86" s="18">
        <v>0</v>
      </c>
      <c r="O86" s="17">
        <f>IF(ISERROR(VLOOKUP(B86,tblRates,2,FALSE)),0,VLOOKUP(B86,tblRates,2,FALSE))</f>
        <v>0</v>
      </c>
      <c r="P86" s="17">
        <f t="shared" si="8"/>
        <v>0</v>
      </c>
      <c r="Q86" s="17">
        <f t="shared" si="9"/>
        <v>0</v>
      </c>
      <c r="R86" s="17">
        <f t="shared" si="10"/>
        <v>0</v>
      </c>
      <c r="S86" s="17">
        <f t="shared" si="11"/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V12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0" width="15.6640625" style="17" customWidth="1"/>
    <col min="11" max="11" width="7.109375" style="17" bestFit="1" customWidth="1"/>
    <col min="12" max="12" width="18" style="17" bestFit="1" customWidth="1"/>
    <col min="13" max="13" width="9.109375" style="17"/>
    <col min="14" max="15" width="10.332031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130.51</v>
      </c>
      <c r="R1" s="17">
        <f>SUM(R9:R10000)</f>
        <v>130.51</v>
      </c>
      <c r="S1" s="17">
        <f>SUM(S9:S10000)</f>
        <v>0</v>
      </c>
      <c r="IV1"/>
    </row>
    <row r="2" spans="1:256" x14ac:dyDescent="0.3">
      <c r="A2" s="17" t="s">
        <v>589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590</v>
      </c>
      <c r="B9" s="17">
        <v>5039869</v>
      </c>
      <c r="C9" s="17" t="s">
        <v>527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N9" s="17" t="s">
        <v>527</v>
      </c>
      <c r="O9" s="17">
        <f>IF(ISERROR(VLOOKUP(B9,tblRates,2,FALSE)),0,VLOOKUP(B9,tblRates,2,FALSE))</f>
        <v>13.33</v>
      </c>
      <c r="P9" s="17">
        <f>IF(K9&gt;40,40,K9)</f>
        <v>0</v>
      </c>
      <c r="Q9" s="17">
        <f>IF(K9&gt;40,K9-40,0)</f>
        <v>0</v>
      </c>
      <c r="R9" s="17">
        <f>ROUND((O9*P9),2)</f>
        <v>0</v>
      </c>
      <c r="S9" s="17">
        <f>ROUND((Q9*(O9*1.5)),2)</f>
        <v>0</v>
      </c>
    </row>
    <row r="10" spans="1:256" x14ac:dyDescent="0.3">
      <c r="A10" s="17" t="s">
        <v>567</v>
      </c>
      <c r="B10" s="17">
        <v>6086081</v>
      </c>
      <c r="C10" s="17" t="s">
        <v>12</v>
      </c>
      <c r="D10" s="18">
        <v>5.2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5.2</v>
      </c>
      <c r="L10" s="17" t="s">
        <v>591</v>
      </c>
      <c r="N10" s="17" t="s">
        <v>738</v>
      </c>
      <c r="O10" s="17">
        <f>IF(ISERROR(VLOOKUP(B10,tblRates,2,FALSE)),0,VLOOKUP(B10,tblRates,2,FALSE))</f>
        <v>10.3</v>
      </c>
      <c r="P10" s="17">
        <f>IF(K10&gt;40,40,K10)</f>
        <v>5.2</v>
      </c>
      <c r="Q10" s="17">
        <f>IF(K10&gt;40,K10-40,0)</f>
        <v>0</v>
      </c>
      <c r="R10" s="17">
        <f>ROUND((O10*P10),2)</f>
        <v>53.56</v>
      </c>
      <c r="S10" s="17">
        <f>ROUND((Q10*(O10*1.5)),2)</f>
        <v>0</v>
      </c>
    </row>
    <row r="11" spans="1:256" x14ac:dyDescent="0.3">
      <c r="A11" s="17" t="s">
        <v>592</v>
      </c>
      <c r="B11" s="17">
        <v>5945196</v>
      </c>
      <c r="C11" s="17" t="s">
        <v>12</v>
      </c>
      <c r="D11" s="18">
        <v>6.92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6.92</v>
      </c>
      <c r="N11" s="17" t="s">
        <v>738</v>
      </c>
      <c r="O11" s="17">
        <f>IF(ISERROR(VLOOKUP(B11,tblRates,2,FALSE)),0,VLOOKUP(B11,tblRates,2,FALSE))</f>
        <v>11.12</v>
      </c>
      <c r="P11" s="17">
        <f>IF(K11&gt;40,40,K11)</f>
        <v>6.92</v>
      </c>
      <c r="Q11" s="17">
        <f>IF(K11&gt;40,K11-40,0)</f>
        <v>0</v>
      </c>
      <c r="R11" s="17">
        <f>ROUND((O11*P11),2)</f>
        <v>76.95</v>
      </c>
      <c r="S11" s="17">
        <f>ROUND((Q11*(O11*1.5)),2)</f>
        <v>0</v>
      </c>
    </row>
    <row r="12" spans="1:256" x14ac:dyDescent="0.3">
      <c r="A12" s="17" t="s">
        <v>462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O12" s="17">
        <f>IF(ISERROR(VLOOKUP(B12,tblRates,2,FALSE)),0,VLOOKUP(B12,tblRates,2,FALSE))</f>
        <v>0</v>
      </c>
      <c r="P12" s="17">
        <f>IF(K12&gt;40,40,K12)</f>
        <v>0</v>
      </c>
      <c r="Q12" s="17">
        <f>IF(K12&gt;40,K12-40,0)</f>
        <v>0</v>
      </c>
      <c r="R12" s="17">
        <f>ROUND((O12*P12),2)</f>
        <v>0</v>
      </c>
      <c r="S12" s="17">
        <f>ROUND((Q12*(O12*1.5)),2)</f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V14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0" width="15.6640625" style="17" customWidth="1"/>
    <col min="11" max="11" width="11.88671875" style="17" customWidth="1"/>
    <col min="12" max="12" width="20.6640625" style="17" bestFit="1" customWidth="1"/>
    <col min="13" max="13" width="9.109375" style="17"/>
    <col min="14" max="15" width="10.332031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456.73</v>
      </c>
      <c r="R1" s="17">
        <f>SUM(R9:R10000)</f>
        <v>456.73</v>
      </c>
      <c r="S1" s="17">
        <f>SUM(S9:S10000)</f>
        <v>0</v>
      </c>
      <c r="IV1"/>
    </row>
    <row r="2" spans="1:256" x14ac:dyDescent="0.3">
      <c r="A2" s="17" t="s">
        <v>593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594</v>
      </c>
      <c r="B9" s="17">
        <v>5973263</v>
      </c>
      <c r="C9" s="17" t="s">
        <v>12</v>
      </c>
      <c r="D9" s="18">
        <v>7.72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7.72</v>
      </c>
      <c r="N9" s="17" t="s">
        <v>738</v>
      </c>
      <c r="O9" s="17">
        <f>IF(ISERROR(VLOOKUP(B9,tblRates,2,FALSE)),0,VLOOKUP(B9,tblRates,2,FALSE))</f>
        <v>11.12</v>
      </c>
      <c r="P9" s="17">
        <f t="shared" ref="P9:P14" si="0">IF(K9&gt;40,40,K9)</f>
        <v>7.72</v>
      </c>
      <c r="Q9" s="17">
        <f t="shared" ref="Q9:Q14" si="1">IF(K9&gt;40,K9-40,0)</f>
        <v>0</v>
      </c>
      <c r="R9" s="17">
        <f t="shared" ref="R9:R14" si="2">ROUND((O9*P9),2)</f>
        <v>85.85</v>
      </c>
      <c r="S9" s="17">
        <f t="shared" ref="S9:S14" si="3">ROUND((Q9*(O9*1.5)),2)</f>
        <v>0</v>
      </c>
    </row>
    <row r="10" spans="1:256" x14ac:dyDescent="0.3">
      <c r="A10" s="17" t="s">
        <v>595</v>
      </c>
      <c r="B10" s="17">
        <v>5039167</v>
      </c>
      <c r="C10" s="17" t="s">
        <v>12</v>
      </c>
      <c r="D10" s="18">
        <v>6.97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6.97</v>
      </c>
      <c r="N10" s="17" t="s">
        <v>738</v>
      </c>
      <c r="O10" s="17">
        <f>IF(ISERROR(VLOOKUP(B10,tblRates,2,FALSE)),0,VLOOKUP(B10,tblRates,2,FALSE))</f>
        <v>11.14</v>
      </c>
      <c r="P10" s="17">
        <f t="shared" si="0"/>
        <v>6.97</v>
      </c>
      <c r="Q10" s="17">
        <f t="shared" si="1"/>
        <v>0</v>
      </c>
      <c r="R10" s="17">
        <f t="shared" si="2"/>
        <v>77.650000000000006</v>
      </c>
      <c r="S10" s="17">
        <f t="shared" si="3"/>
        <v>0</v>
      </c>
    </row>
    <row r="11" spans="1:256" x14ac:dyDescent="0.3">
      <c r="A11" s="17" t="s">
        <v>596</v>
      </c>
      <c r="B11" s="17">
        <v>6040233</v>
      </c>
      <c r="C11" s="17" t="s">
        <v>12</v>
      </c>
      <c r="D11" s="18">
        <v>7.75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7.75</v>
      </c>
      <c r="N11" s="17" t="s">
        <v>738</v>
      </c>
      <c r="O11" s="17">
        <f>IF(ISERROR(VLOOKUP(B11,tblRates,2,FALSE)),0,VLOOKUP(B11,tblRates,2,FALSE))</f>
        <v>11.1</v>
      </c>
      <c r="P11" s="17">
        <f t="shared" si="0"/>
        <v>7.75</v>
      </c>
      <c r="Q11" s="17">
        <f t="shared" si="1"/>
        <v>0</v>
      </c>
      <c r="R11" s="17">
        <f t="shared" si="2"/>
        <v>86.03</v>
      </c>
      <c r="S11" s="17">
        <f t="shared" si="3"/>
        <v>0</v>
      </c>
    </row>
    <row r="12" spans="1:256" x14ac:dyDescent="0.3">
      <c r="A12" s="17" t="s">
        <v>597</v>
      </c>
      <c r="B12" s="17">
        <v>5086439</v>
      </c>
      <c r="C12" s="17" t="s">
        <v>12</v>
      </c>
      <c r="D12" s="18">
        <v>9.02</v>
      </c>
      <c r="E12" s="18">
        <v>9.58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18.600000000000001</v>
      </c>
      <c r="N12" s="17" t="s">
        <v>738</v>
      </c>
      <c r="O12" s="17">
        <f>IF(ISERROR(VLOOKUP(B12,tblRates,2,FALSE)),0,VLOOKUP(B12,tblRates,2,FALSE))</f>
        <v>11.14</v>
      </c>
      <c r="P12" s="17">
        <f t="shared" si="0"/>
        <v>18.600000000000001</v>
      </c>
      <c r="Q12" s="17">
        <f t="shared" si="1"/>
        <v>0</v>
      </c>
      <c r="R12" s="17">
        <f t="shared" si="2"/>
        <v>207.2</v>
      </c>
      <c r="S12" s="17">
        <f t="shared" si="3"/>
        <v>0</v>
      </c>
    </row>
    <row r="13" spans="1:256" x14ac:dyDescent="0.3">
      <c r="A13" s="17" t="s">
        <v>598</v>
      </c>
      <c r="B13" s="17">
        <v>5040011</v>
      </c>
      <c r="C13" s="17" t="s">
        <v>527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N13" s="17" t="s">
        <v>527</v>
      </c>
      <c r="O13" s="17">
        <f>IF(ISERROR(VLOOKUP(B13,tblRates,2,FALSE)),0,VLOOKUP(B13,tblRates,2,FALSE))</f>
        <v>13.03</v>
      </c>
      <c r="P13" s="17">
        <f t="shared" si="0"/>
        <v>0</v>
      </c>
      <c r="Q13" s="17">
        <f t="shared" si="1"/>
        <v>0</v>
      </c>
      <c r="R13" s="17">
        <f t="shared" si="2"/>
        <v>0</v>
      </c>
      <c r="S13" s="17">
        <f t="shared" si="3"/>
        <v>0</v>
      </c>
    </row>
    <row r="14" spans="1:256" x14ac:dyDescent="0.3">
      <c r="A14" s="17" t="s">
        <v>462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O14" s="17">
        <f>IF(ISERROR(VLOOKUP(B14,tblRates,2,FALSE)),0,VLOOKUP(B14,tblRates,2,FALSE))</f>
        <v>0</v>
      </c>
      <c r="P14" s="17">
        <f t="shared" si="0"/>
        <v>0</v>
      </c>
      <c r="Q14" s="17">
        <f t="shared" si="1"/>
        <v>0</v>
      </c>
      <c r="R14" s="17">
        <f t="shared" si="2"/>
        <v>0</v>
      </c>
      <c r="S14" s="17">
        <f t="shared" si="3"/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17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" width="24" style="17" customWidth="1"/>
    <col min="2" max="10" width="15.6640625" style="17" customWidth="1"/>
    <col min="11" max="11" width="7.109375" style="17" bestFit="1" customWidth="1"/>
    <col min="12" max="12" width="15.6640625" style="17" customWidth="1"/>
    <col min="13" max="13" width="9.109375" style="17"/>
    <col min="14" max="14" width="11.44140625" style="17" bestFit="1" customWidth="1"/>
    <col min="15" max="15" width="10.332031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0</v>
      </c>
      <c r="R1" s="17">
        <f>SUM(R9:R10000)</f>
        <v>0</v>
      </c>
      <c r="S1" s="17">
        <f>SUM(S9:S10000)</f>
        <v>0</v>
      </c>
      <c r="IV1"/>
    </row>
    <row r="2" spans="1:256" x14ac:dyDescent="0.3">
      <c r="A2" s="17" t="s">
        <v>599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9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600</v>
      </c>
      <c r="B9" s="17">
        <v>5972789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O9" s="17">
        <f>IF(ISERROR(VLOOKUP(B9,tblRates,2,FALSE)),0,VLOOKUP(B9,tblRates,2,FALSE))</f>
        <v>11.12</v>
      </c>
      <c r="P9" s="17">
        <f t="shared" ref="P9:P17" si="0">IF(K9&gt;40,40,K9)</f>
        <v>0</v>
      </c>
      <c r="Q9" s="17">
        <f t="shared" ref="Q9:Q17" si="1">IF(K9&gt;40,K9-40,0)</f>
        <v>0</v>
      </c>
      <c r="R9" s="17">
        <f t="shared" ref="R9:R17" si="2">ROUND((O9*P9),2)</f>
        <v>0</v>
      </c>
      <c r="S9" s="17">
        <f t="shared" ref="S9:S17" si="3">ROUND((Q9*(O9*1.5)),2)</f>
        <v>0</v>
      </c>
    </row>
    <row r="10" spans="1:256" x14ac:dyDescent="0.3">
      <c r="A10" s="17" t="s">
        <v>601</v>
      </c>
      <c r="B10" s="17">
        <v>6036706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O10" s="17">
        <f>IF(ISERROR(VLOOKUP(B10,tblRates,2,FALSE)),0,VLOOKUP(B10,tblRates,2,FALSE))</f>
        <v>10.3</v>
      </c>
      <c r="P10" s="17">
        <f t="shared" si="0"/>
        <v>0</v>
      </c>
      <c r="Q10" s="17">
        <f t="shared" si="1"/>
        <v>0</v>
      </c>
      <c r="R10" s="17">
        <f t="shared" si="2"/>
        <v>0</v>
      </c>
      <c r="S10" s="17">
        <f t="shared" si="3"/>
        <v>0</v>
      </c>
    </row>
    <row r="11" spans="1:256" x14ac:dyDescent="0.3">
      <c r="A11" s="17" t="s">
        <v>602</v>
      </c>
      <c r="B11" s="17">
        <v>6038820</v>
      </c>
      <c r="D11" s="18">
        <v>0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O11" s="17">
        <f>IF(ISERROR(VLOOKUP(B11,tblRates,2,FALSE)),0,VLOOKUP(B11,tblRates,2,FALSE))</f>
        <v>10.3</v>
      </c>
      <c r="P11" s="17">
        <f t="shared" si="0"/>
        <v>0</v>
      </c>
      <c r="Q11" s="17">
        <f t="shared" si="1"/>
        <v>0</v>
      </c>
      <c r="R11" s="17">
        <f t="shared" si="2"/>
        <v>0</v>
      </c>
      <c r="S11" s="17">
        <f t="shared" si="3"/>
        <v>0</v>
      </c>
    </row>
    <row r="12" spans="1:256" x14ac:dyDescent="0.3">
      <c r="A12" s="17" t="s">
        <v>603</v>
      </c>
      <c r="B12" s="17">
        <v>5039904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O12" s="17">
        <f>IF(ISERROR(VLOOKUP(B12,tblRates,2,FALSE)),0,VLOOKUP(B12,tblRates,2,FALSE))</f>
        <v>11.94</v>
      </c>
      <c r="P12" s="17">
        <f t="shared" si="0"/>
        <v>0</v>
      </c>
      <c r="Q12" s="17">
        <f t="shared" si="1"/>
        <v>0</v>
      </c>
      <c r="R12" s="17">
        <f t="shared" si="2"/>
        <v>0</v>
      </c>
      <c r="S12" s="17">
        <f t="shared" si="3"/>
        <v>0</v>
      </c>
    </row>
    <row r="13" spans="1:256" x14ac:dyDescent="0.3">
      <c r="A13" s="17" t="s">
        <v>604</v>
      </c>
      <c r="B13" s="17">
        <v>5051286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O13" s="17">
        <f>IF(ISERROR(VLOOKUP(B13,tblRates,2,FALSE)),0,VLOOKUP(B13,tblRates,2,FALSE))</f>
        <v>12.15</v>
      </c>
      <c r="P13" s="17">
        <f t="shared" si="0"/>
        <v>0</v>
      </c>
      <c r="Q13" s="17">
        <f t="shared" si="1"/>
        <v>0</v>
      </c>
      <c r="R13" s="17">
        <f t="shared" si="2"/>
        <v>0</v>
      </c>
      <c r="S13" s="17">
        <f t="shared" si="3"/>
        <v>0</v>
      </c>
    </row>
    <row r="14" spans="1:256" x14ac:dyDescent="0.3">
      <c r="A14" s="17" t="s">
        <v>605</v>
      </c>
      <c r="B14" s="17">
        <v>6090300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O14" s="17">
        <f>IF(ISERROR(VLOOKUP(B14,tblRates,2,FALSE)),0,VLOOKUP(B14,tblRates,2,FALSE))</f>
        <v>10.3</v>
      </c>
      <c r="P14" s="17">
        <f t="shared" si="0"/>
        <v>0</v>
      </c>
      <c r="Q14" s="17">
        <f t="shared" si="1"/>
        <v>0</v>
      </c>
      <c r="R14" s="17">
        <f t="shared" si="2"/>
        <v>0</v>
      </c>
      <c r="S14" s="17">
        <f t="shared" si="3"/>
        <v>0</v>
      </c>
    </row>
    <row r="15" spans="1:256" x14ac:dyDescent="0.3">
      <c r="A15" s="17" t="s">
        <v>606</v>
      </c>
      <c r="B15" s="17">
        <v>5041146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O15" s="17">
        <f>IF(ISERROR(VLOOKUP(B15,tblRates,2,FALSE)),0,VLOOKUP(B15,tblRates,2,FALSE))</f>
        <v>11.36</v>
      </c>
      <c r="P15" s="17">
        <f t="shared" si="0"/>
        <v>0</v>
      </c>
      <c r="Q15" s="17">
        <f t="shared" si="1"/>
        <v>0</v>
      </c>
      <c r="R15" s="17">
        <f t="shared" si="2"/>
        <v>0</v>
      </c>
      <c r="S15" s="17">
        <f t="shared" si="3"/>
        <v>0</v>
      </c>
    </row>
    <row r="16" spans="1:256" x14ac:dyDescent="0.3">
      <c r="A16" s="17" t="s">
        <v>607</v>
      </c>
      <c r="B16" s="17">
        <v>5994623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O16" s="17">
        <f>IF(ISERROR(VLOOKUP(B16,tblRates,2,FALSE)),0,VLOOKUP(B16,tblRates,2,FALSE))</f>
        <v>10.56</v>
      </c>
      <c r="P16" s="17">
        <f t="shared" si="0"/>
        <v>0</v>
      </c>
      <c r="Q16" s="17">
        <f t="shared" si="1"/>
        <v>0</v>
      </c>
      <c r="R16" s="17">
        <f t="shared" si="2"/>
        <v>0</v>
      </c>
      <c r="S16" s="17">
        <f t="shared" si="3"/>
        <v>0</v>
      </c>
    </row>
    <row r="17" spans="1:19" x14ac:dyDescent="0.3">
      <c r="A17" s="17" t="s">
        <v>462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0</v>
      </c>
      <c r="O17" s="17">
        <f>IF(ISERROR(VLOOKUP(B17,tblRates,2,FALSE)),0,VLOOKUP(B17,tblRates,2,FALSE))</f>
        <v>0</v>
      </c>
      <c r="P17" s="17">
        <f t="shared" si="0"/>
        <v>0</v>
      </c>
      <c r="Q17" s="17">
        <f t="shared" si="1"/>
        <v>0</v>
      </c>
      <c r="R17" s="17">
        <f t="shared" si="2"/>
        <v>0</v>
      </c>
      <c r="S17" s="17">
        <f t="shared" si="3"/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V24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2" width="15.6640625" style="17" customWidth="1"/>
    <col min="3" max="3" width="23.44140625" style="17" bestFit="1" customWidth="1"/>
    <col min="4" max="10" width="15.6640625" style="17" customWidth="1"/>
    <col min="11" max="11" width="7.5546875" style="17" bestFit="1" customWidth="1"/>
    <col min="12" max="12" width="15.6640625" style="17" customWidth="1"/>
    <col min="13" max="13" width="9.109375" style="17"/>
    <col min="14" max="14" width="10.33203125" style="17" bestFit="1" customWidth="1"/>
    <col min="15" max="15" width="11.5546875" style="17" customWidth="1"/>
    <col min="16" max="16384" width="9.109375" style="17"/>
  </cols>
  <sheetData>
    <row r="1" spans="1:256" x14ac:dyDescent="0.3">
      <c r="A1" s="17" t="s">
        <v>434</v>
      </c>
      <c r="N1" s="17">
        <f>SUM(R1,S1)</f>
        <v>5068.91</v>
      </c>
      <c r="R1" s="17">
        <f>SUM(R9:R10000)</f>
        <v>4966.42</v>
      </c>
      <c r="S1" s="17">
        <f>SUM(S9:S10000)</f>
        <v>102.49</v>
      </c>
      <c r="IV1"/>
    </row>
    <row r="2" spans="1:256" x14ac:dyDescent="0.3">
      <c r="A2" s="17" t="s">
        <v>608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609</v>
      </c>
      <c r="B9" s="17">
        <v>5939189</v>
      </c>
      <c r="C9" s="17" t="s">
        <v>12</v>
      </c>
      <c r="D9" s="18">
        <v>10.4</v>
      </c>
      <c r="E9" s="18">
        <v>11.9</v>
      </c>
      <c r="F9" s="18">
        <v>0</v>
      </c>
      <c r="G9" s="18">
        <v>7.28</v>
      </c>
      <c r="H9" s="18">
        <v>3.68</v>
      </c>
      <c r="I9" s="18">
        <v>0</v>
      </c>
      <c r="J9" s="18">
        <v>0</v>
      </c>
      <c r="K9" s="18">
        <v>33.270000000000003</v>
      </c>
      <c r="N9" s="17" t="s">
        <v>738</v>
      </c>
      <c r="O9" s="17">
        <f>IF(ISERROR(VLOOKUP(B9,tblRates,2,FALSE)),0,VLOOKUP(B9,tblRates,2,FALSE))</f>
        <v>11.91</v>
      </c>
      <c r="P9" s="17">
        <f t="shared" ref="P9:P24" si="0">IF(K9&gt;40,40,K9)</f>
        <v>33.270000000000003</v>
      </c>
      <c r="Q9" s="17">
        <f t="shared" ref="Q9:Q24" si="1">IF(K9&gt;40,K9-40,0)</f>
        <v>0</v>
      </c>
      <c r="R9" s="17">
        <f t="shared" ref="R9:R24" si="2">ROUND((O9*P9),2)</f>
        <v>396.25</v>
      </c>
      <c r="S9" s="17">
        <f t="shared" ref="S9:S24" si="3">ROUND((Q9*(O9*1.5)),2)</f>
        <v>0</v>
      </c>
    </row>
    <row r="10" spans="1:256" x14ac:dyDescent="0.3">
      <c r="A10" s="17" t="s">
        <v>609</v>
      </c>
      <c r="B10" s="17">
        <v>5939189</v>
      </c>
      <c r="C10" s="17" t="s">
        <v>14</v>
      </c>
      <c r="D10" s="18">
        <v>0</v>
      </c>
      <c r="E10" s="18">
        <v>0</v>
      </c>
      <c r="F10" s="18">
        <v>6</v>
      </c>
      <c r="G10" s="18">
        <v>0</v>
      </c>
      <c r="H10" s="18">
        <v>0</v>
      </c>
      <c r="I10" s="18">
        <v>0</v>
      </c>
      <c r="J10" s="18">
        <v>0</v>
      </c>
      <c r="K10" s="18">
        <v>6</v>
      </c>
      <c r="N10" s="17" t="s">
        <v>14</v>
      </c>
      <c r="O10" s="17">
        <f>IF(ISERROR(VLOOKUP(B10,tblRates,2,FALSE)),0,VLOOKUP(B10,tblRates,2,FALSE))</f>
        <v>11.91</v>
      </c>
      <c r="P10" s="17">
        <f t="shared" si="0"/>
        <v>6</v>
      </c>
      <c r="Q10" s="17">
        <f t="shared" si="1"/>
        <v>0</v>
      </c>
      <c r="R10" s="17">
        <f t="shared" si="2"/>
        <v>71.459999999999994</v>
      </c>
      <c r="S10" s="17">
        <f t="shared" si="3"/>
        <v>0</v>
      </c>
    </row>
    <row r="11" spans="1:256" x14ac:dyDescent="0.3">
      <c r="A11" s="17" t="s">
        <v>610</v>
      </c>
      <c r="B11" s="17">
        <v>6093420</v>
      </c>
      <c r="C11" s="17" t="s">
        <v>12</v>
      </c>
      <c r="D11" s="18">
        <v>7.78</v>
      </c>
      <c r="E11" s="18">
        <v>0</v>
      </c>
      <c r="F11" s="18">
        <v>0</v>
      </c>
      <c r="G11" s="18">
        <v>7.92</v>
      </c>
      <c r="H11" s="18">
        <v>7.02</v>
      </c>
      <c r="I11" s="18">
        <v>8.15</v>
      </c>
      <c r="J11" s="18">
        <v>0</v>
      </c>
      <c r="K11" s="18">
        <v>30.87</v>
      </c>
      <c r="N11" s="17" t="s">
        <v>738</v>
      </c>
      <c r="O11" s="17">
        <f>IF(ISERROR(VLOOKUP(B11,tblRates,2,FALSE)),0,VLOOKUP(B11,tblRates,2,FALSE))</f>
        <v>24.04</v>
      </c>
      <c r="P11" s="17">
        <f t="shared" si="0"/>
        <v>30.87</v>
      </c>
      <c r="Q11" s="17">
        <f t="shared" si="1"/>
        <v>0</v>
      </c>
      <c r="R11" s="17">
        <f t="shared" si="2"/>
        <v>742.11</v>
      </c>
      <c r="S11" s="17">
        <f t="shared" si="3"/>
        <v>0</v>
      </c>
    </row>
    <row r="12" spans="1:256" x14ac:dyDescent="0.3">
      <c r="A12" s="17" t="s">
        <v>611</v>
      </c>
      <c r="B12" s="17">
        <v>5966108</v>
      </c>
      <c r="C12" s="17" t="s">
        <v>12</v>
      </c>
      <c r="D12" s="18">
        <v>8.07</v>
      </c>
      <c r="E12" s="18">
        <v>0</v>
      </c>
      <c r="F12" s="18">
        <v>0</v>
      </c>
      <c r="G12" s="18">
        <v>8.2200000000000006</v>
      </c>
      <c r="H12" s="18">
        <v>0</v>
      </c>
      <c r="I12" s="18">
        <v>8.15</v>
      </c>
      <c r="J12" s="18">
        <v>0</v>
      </c>
      <c r="K12" s="18">
        <v>24.43</v>
      </c>
      <c r="N12" s="17" t="s">
        <v>738</v>
      </c>
      <c r="O12" s="17">
        <f>IF(ISERROR(VLOOKUP(B12,tblRates,2,FALSE)),0,VLOOKUP(B12,tblRates,2,FALSE))</f>
        <v>15.29</v>
      </c>
      <c r="P12" s="17">
        <f t="shared" si="0"/>
        <v>24.43</v>
      </c>
      <c r="Q12" s="17">
        <f t="shared" si="1"/>
        <v>0</v>
      </c>
      <c r="R12" s="17">
        <f t="shared" si="2"/>
        <v>373.53</v>
      </c>
      <c r="S12" s="17">
        <f t="shared" si="3"/>
        <v>0</v>
      </c>
    </row>
    <row r="13" spans="1:256" x14ac:dyDescent="0.3">
      <c r="A13" s="17" t="s">
        <v>612</v>
      </c>
      <c r="B13" s="17">
        <v>5037806</v>
      </c>
      <c r="C13" s="17" t="s">
        <v>12</v>
      </c>
      <c r="D13" s="18">
        <v>8.0299999999999994</v>
      </c>
      <c r="E13" s="18">
        <v>10.9</v>
      </c>
      <c r="F13" s="18">
        <v>0</v>
      </c>
      <c r="G13" s="18">
        <v>7.58</v>
      </c>
      <c r="H13" s="18">
        <v>3.92</v>
      </c>
      <c r="I13" s="18">
        <v>0</v>
      </c>
      <c r="J13" s="18">
        <v>0</v>
      </c>
      <c r="K13" s="18">
        <v>30.43</v>
      </c>
      <c r="N13" s="17" t="s">
        <v>738</v>
      </c>
      <c r="O13" s="17">
        <f>IF(ISERROR(VLOOKUP(B13,tblRates,2,FALSE)),0,VLOOKUP(B13,tblRates,2,FALSE))</f>
        <v>14.27</v>
      </c>
      <c r="P13" s="17">
        <f t="shared" si="0"/>
        <v>30.43</v>
      </c>
      <c r="Q13" s="17">
        <f t="shared" si="1"/>
        <v>0</v>
      </c>
      <c r="R13" s="17">
        <f t="shared" si="2"/>
        <v>434.24</v>
      </c>
      <c r="S13" s="17">
        <f t="shared" si="3"/>
        <v>0</v>
      </c>
    </row>
    <row r="14" spans="1:256" x14ac:dyDescent="0.3">
      <c r="A14" s="17" t="s">
        <v>501</v>
      </c>
      <c r="B14" s="17">
        <v>6080925</v>
      </c>
      <c r="C14" s="17" t="s">
        <v>12</v>
      </c>
      <c r="D14" s="18">
        <v>0</v>
      </c>
      <c r="E14" s="18">
        <v>0</v>
      </c>
      <c r="F14" s="18">
        <v>7.75</v>
      </c>
      <c r="G14" s="18">
        <v>0</v>
      </c>
      <c r="H14" s="18">
        <v>0</v>
      </c>
      <c r="I14" s="18">
        <v>0</v>
      </c>
      <c r="J14" s="18">
        <v>0</v>
      </c>
      <c r="K14" s="18">
        <v>7.75</v>
      </c>
      <c r="L14" s="17" t="s">
        <v>699</v>
      </c>
      <c r="N14" s="17" t="s">
        <v>738</v>
      </c>
      <c r="O14" s="17">
        <f>IF(ISERROR(VLOOKUP(B14,tblRates,2,FALSE)),0,VLOOKUP(B14,tblRates,2,FALSE))</f>
        <v>12.5</v>
      </c>
      <c r="P14" s="17">
        <f t="shared" si="0"/>
        <v>7.75</v>
      </c>
      <c r="Q14" s="17">
        <f t="shared" si="1"/>
        <v>0</v>
      </c>
      <c r="R14" s="17">
        <f t="shared" si="2"/>
        <v>96.88</v>
      </c>
      <c r="S14" s="17">
        <f t="shared" si="3"/>
        <v>0</v>
      </c>
    </row>
    <row r="15" spans="1:256" x14ac:dyDescent="0.3">
      <c r="A15" s="17" t="s">
        <v>613</v>
      </c>
      <c r="B15" s="17">
        <v>6034165</v>
      </c>
      <c r="C15" s="17" t="s">
        <v>12</v>
      </c>
      <c r="D15" s="18">
        <v>8.32</v>
      </c>
      <c r="E15" s="18">
        <v>12.07</v>
      </c>
      <c r="F15" s="18">
        <v>4.43</v>
      </c>
      <c r="G15" s="18">
        <v>7.37</v>
      </c>
      <c r="H15" s="18">
        <v>3.73</v>
      </c>
      <c r="I15" s="18">
        <v>8.3800000000000008</v>
      </c>
      <c r="J15" s="18">
        <v>0</v>
      </c>
      <c r="K15" s="18">
        <v>44.3</v>
      </c>
      <c r="N15" s="17" t="s">
        <v>738</v>
      </c>
      <c r="O15" s="17">
        <f>IF(ISERROR(VLOOKUP(B15,tblRates,2,FALSE)),0,VLOOKUP(B15,tblRates,2,FALSE))</f>
        <v>15.89</v>
      </c>
      <c r="P15" s="17">
        <f t="shared" si="0"/>
        <v>40</v>
      </c>
      <c r="Q15" s="17">
        <f t="shared" si="1"/>
        <v>4.2999999999999972</v>
      </c>
      <c r="R15" s="17">
        <f t="shared" si="2"/>
        <v>635.6</v>
      </c>
      <c r="S15" s="17">
        <f t="shared" si="3"/>
        <v>102.49</v>
      </c>
    </row>
    <row r="16" spans="1:256" x14ac:dyDescent="0.3">
      <c r="A16" s="17" t="s">
        <v>614</v>
      </c>
      <c r="B16" s="17">
        <v>5038783</v>
      </c>
      <c r="C16" s="17" t="s">
        <v>12</v>
      </c>
      <c r="D16" s="18">
        <v>11.73</v>
      </c>
      <c r="E16" s="18">
        <v>6.27</v>
      </c>
      <c r="F16" s="18">
        <v>7.52</v>
      </c>
      <c r="G16" s="18">
        <v>9.0500000000000007</v>
      </c>
      <c r="H16" s="18">
        <v>3.33</v>
      </c>
      <c r="I16" s="18">
        <v>0</v>
      </c>
      <c r="J16" s="18">
        <v>0</v>
      </c>
      <c r="K16" s="18">
        <v>37.9</v>
      </c>
      <c r="N16" s="17" t="s">
        <v>738</v>
      </c>
      <c r="O16" s="17">
        <f>IF(ISERROR(VLOOKUP(B16,tblRates,2,FALSE)),0,VLOOKUP(B16,tblRates,2,FALSE))</f>
        <v>14.08</v>
      </c>
      <c r="P16" s="17">
        <f t="shared" si="0"/>
        <v>37.9</v>
      </c>
      <c r="Q16" s="17">
        <f t="shared" si="1"/>
        <v>0</v>
      </c>
      <c r="R16" s="17">
        <f t="shared" si="2"/>
        <v>533.63</v>
      </c>
      <c r="S16" s="17">
        <f t="shared" si="3"/>
        <v>0</v>
      </c>
    </row>
    <row r="17" spans="1:19" x14ac:dyDescent="0.3">
      <c r="A17" s="17" t="s">
        <v>615</v>
      </c>
      <c r="B17" s="17">
        <v>6090062</v>
      </c>
      <c r="C17" s="17" t="s">
        <v>12</v>
      </c>
      <c r="D17" s="18">
        <v>8</v>
      </c>
      <c r="E17" s="18">
        <v>11.78</v>
      </c>
      <c r="F17" s="18">
        <v>0</v>
      </c>
      <c r="G17" s="18">
        <v>7.57</v>
      </c>
      <c r="H17" s="18">
        <v>3.68</v>
      </c>
      <c r="I17" s="18">
        <v>0</v>
      </c>
      <c r="J17" s="18">
        <v>0</v>
      </c>
      <c r="K17" s="18">
        <v>31.03</v>
      </c>
      <c r="N17" s="17" t="s">
        <v>738</v>
      </c>
      <c r="O17" s="17">
        <f>IF(ISERROR(VLOOKUP(B17,tblRates,2,FALSE)),0,VLOOKUP(B17,tblRates,2,FALSE))</f>
        <v>11.5</v>
      </c>
      <c r="P17" s="17">
        <f t="shared" si="0"/>
        <v>31.03</v>
      </c>
      <c r="Q17" s="17">
        <f t="shared" si="1"/>
        <v>0</v>
      </c>
      <c r="R17" s="17">
        <f t="shared" si="2"/>
        <v>356.85</v>
      </c>
      <c r="S17" s="17">
        <f t="shared" si="3"/>
        <v>0</v>
      </c>
    </row>
    <row r="18" spans="1:19" x14ac:dyDescent="0.3">
      <c r="A18" s="17" t="s">
        <v>616</v>
      </c>
      <c r="B18" s="17">
        <v>6090080</v>
      </c>
      <c r="C18" s="17" t="s">
        <v>12</v>
      </c>
      <c r="D18" s="18">
        <v>8.15</v>
      </c>
      <c r="E18" s="18">
        <v>11.12</v>
      </c>
      <c r="F18" s="18">
        <v>0</v>
      </c>
      <c r="G18" s="18">
        <v>7.37</v>
      </c>
      <c r="H18" s="18">
        <v>3.68</v>
      </c>
      <c r="I18" s="18">
        <v>0</v>
      </c>
      <c r="J18" s="18">
        <v>0</v>
      </c>
      <c r="K18" s="18">
        <v>30.32</v>
      </c>
      <c r="N18" s="17" t="s">
        <v>738</v>
      </c>
      <c r="O18" s="17">
        <f>IF(ISERROR(VLOOKUP(B18,tblRates,2,FALSE)),0,VLOOKUP(B18,tblRates,2,FALSE))</f>
        <v>11.5</v>
      </c>
      <c r="P18" s="17">
        <f t="shared" si="0"/>
        <v>30.32</v>
      </c>
      <c r="Q18" s="17">
        <f t="shared" si="1"/>
        <v>0</v>
      </c>
      <c r="R18" s="17">
        <f t="shared" si="2"/>
        <v>348.68</v>
      </c>
      <c r="S18" s="17">
        <f t="shared" si="3"/>
        <v>0</v>
      </c>
    </row>
    <row r="19" spans="1:19" x14ac:dyDescent="0.3">
      <c r="A19" s="17" t="s">
        <v>617</v>
      </c>
      <c r="B19" s="17">
        <v>5039560</v>
      </c>
      <c r="C19" s="17" t="s">
        <v>12</v>
      </c>
      <c r="D19" s="18">
        <v>6.02</v>
      </c>
      <c r="E19" s="18">
        <v>0</v>
      </c>
      <c r="F19" s="18">
        <v>5.38</v>
      </c>
      <c r="G19" s="18">
        <v>0</v>
      </c>
      <c r="H19" s="18">
        <v>0</v>
      </c>
      <c r="I19" s="18">
        <v>0</v>
      </c>
      <c r="J19" s="18">
        <v>0</v>
      </c>
      <c r="K19" s="18">
        <v>11.4</v>
      </c>
      <c r="N19" s="17" t="s">
        <v>738</v>
      </c>
      <c r="O19" s="17">
        <f>IF(ISERROR(VLOOKUP(B19,tblRates,2,FALSE)),0,VLOOKUP(B19,tblRates,2,FALSE))</f>
        <v>13.21</v>
      </c>
      <c r="P19" s="17">
        <f t="shared" si="0"/>
        <v>11.4</v>
      </c>
      <c r="Q19" s="17">
        <f t="shared" si="1"/>
        <v>0</v>
      </c>
      <c r="R19" s="17">
        <f t="shared" si="2"/>
        <v>150.59</v>
      </c>
      <c r="S19" s="17">
        <f t="shared" si="3"/>
        <v>0</v>
      </c>
    </row>
    <row r="20" spans="1:19" x14ac:dyDescent="0.3">
      <c r="A20" s="17" t="s">
        <v>618</v>
      </c>
      <c r="B20" s="17">
        <v>6086114</v>
      </c>
      <c r="C20" s="17" t="s">
        <v>12</v>
      </c>
      <c r="D20" s="18">
        <v>8.0500000000000007</v>
      </c>
      <c r="E20" s="18">
        <v>0</v>
      </c>
      <c r="F20" s="18">
        <v>0</v>
      </c>
      <c r="G20" s="18">
        <v>6.73</v>
      </c>
      <c r="H20" s="18">
        <v>3.65</v>
      </c>
      <c r="I20" s="18">
        <v>0</v>
      </c>
      <c r="J20" s="18">
        <v>0</v>
      </c>
      <c r="K20" s="18">
        <v>18.43</v>
      </c>
      <c r="N20" s="17" t="s">
        <v>738</v>
      </c>
      <c r="O20" s="17">
        <f>IF(ISERROR(VLOOKUP(B20,tblRates,2,FALSE)),0,VLOOKUP(B20,tblRates,2,FALSE))</f>
        <v>14</v>
      </c>
      <c r="P20" s="17">
        <f t="shared" si="0"/>
        <v>18.43</v>
      </c>
      <c r="Q20" s="17">
        <f t="shared" si="1"/>
        <v>0</v>
      </c>
      <c r="R20" s="17">
        <f t="shared" si="2"/>
        <v>258.02</v>
      </c>
      <c r="S20" s="17">
        <f t="shared" si="3"/>
        <v>0</v>
      </c>
    </row>
    <row r="21" spans="1:19" x14ac:dyDescent="0.3">
      <c r="A21" s="17" t="s">
        <v>619</v>
      </c>
      <c r="B21" s="17">
        <v>5039280</v>
      </c>
      <c r="C21" s="17" t="s">
        <v>12</v>
      </c>
      <c r="D21" s="18">
        <v>9.0299999999999994</v>
      </c>
      <c r="E21" s="18">
        <v>12.07</v>
      </c>
      <c r="F21" s="18">
        <v>0</v>
      </c>
      <c r="G21" s="18">
        <v>0</v>
      </c>
      <c r="H21" s="18">
        <v>3.47</v>
      </c>
      <c r="I21" s="18">
        <v>4.97</v>
      </c>
      <c r="J21" s="18">
        <v>0</v>
      </c>
      <c r="K21" s="18">
        <v>29.53</v>
      </c>
      <c r="N21" s="17" t="s">
        <v>738</v>
      </c>
      <c r="O21" s="17">
        <f>IF(ISERROR(VLOOKUP(B21,tblRates,2,FALSE)),0,VLOOKUP(B21,tblRates,2,FALSE))</f>
        <v>15.15</v>
      </c>
      <c r="P21" s="17">
        <f t="shared" si="0"/>
        <v>29.53</v>
      </c>
      <c r="Q21" s="17">
        <f t="shared" si="1"/>
        <v>0</v>
      </c>
      <c r="R21" s="17">
        <f t="shared" si="2"/>
        <v>447.38</v>
      </c>
      <c r="S21" s="17">
        <f t="shared" si="3"/>
        <v>0</v>
      </c>
    </row>
    <row r="22" spans="1:19" x14ac:dyDescent="0.3">
      <c r="A22" s="17" t="s">
        <v>619</v>
      </c>
      <c r="B22" s="17">
        <v>5039280</v>
      </c>
      <c r="C22" s="17" t="s">
        <v>14</v>
      </c>
      <c r="D22" s="18">
        <v>0</v>
      </c>
      <c r="E22" s="18">
        <v>0</v>
      </c>
      <c r="F22" s="18">
        <v>0</v>
      </c>
      <c r="G22" s="18">
        <v>8</v>
      </c>
      <c r="H22" s="18">
        <v>0</v>
      </c>
      <c r="I22" s="18">
        <v>0</v>
      </c>
      <c r="J22" s="18">
        <v>0</v>
      </c>
      <c r="K22" s="18">
        <v>8</v>
      </c>
      <c r="N22" s="17" t="s">
        <v>14</v>
      </c>
      <c r="O22" s="17">
        <f>IF(ISERROR(VLOOKUP(B22,tblRates,2,FALSE)),0,VLOOKUP(B22,tblRates,2,FALSE))</f>
        <v>15.15</v>
      </c>
      <c r="P22" s="17">
        <f t="shared" si="0"/>
        <v>8</v>
      </c>
      <c r="Q22" s="17">
        <f t="shared" si="1"/>
        <v>0</v>
      </c>
      <c r="R22" s="17">
        <f t="shared" si="2"/>
        <v>121.2</v>
      </c>
      <c r="S22" s="17">
        <f t="shared" si="3"/>
        <v>0</v>
      </c>
    </row>
    <row r="23" spans="1:19" x14ac:dyDescent="0.3">
      <c r="A23" s="17" t="s">
        <v>620</v>
      </c>
      <c r="B23" s="17">
        <v>6015705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O23" s="17">
        <f>IF(ISERROR(VLOOKUP(B23,tblRates,2,FALSE)),0,VLOOKUP(B23,tblRates,2,FALSE))</f>
        <v>10.5</v>
      </c>
      <c r="P23" s="17">
        <f t="shared" si="0"/>
        <v>0</v>
      </c>
      <c r="Q23" s="17">
        <f t="shared" si="1"/>
        <v>0</v>
      </c>
      <c r="R23" s="17">
        <f t="shared" si="2"/>
        <v>0</v>
      </c>
      <c r="S23" s="17">
        <f t="shared" si="3"/>
        <v>0</v>
      </c>
    </row>
    <row r="24" spans="1:19" x14ac:dyDescent="0.3">
      <c r="A24" s="17" t="s">
        <v>462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O24" s="17">
        <f>IF(ISERROR(VLOOKUP(B24,tblRates,2,FALSE)),0,VLOOKUP(B24,tblRates,2,FALSE))</f>
        <v>0</v>
      </c>
      <c r="P24" s="17">
        <f t="shared" si="0"/>
        <v>0</v>
      </c>
      <c r="Q24" s="17">
        <f t="shared" si="1"/>
        <v>0</v>
      </c>
      <c r="R24" s="17">
        <f t="shared" si="2"/>
        <v>0</v>
      </c>
      <c r="S24" s="17">
        <f t="shared" si="3"/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V14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" width="25.88671875" style="17" customWidth="1"/>
    <col min="2" max="10" width="15.6640625" style="17" customWidth="1"/>
    <col min="11" max="11" width="7.109375" style="17" bestFit="1" customWidth="1"/>
    <col min="12" max="12" width="15.6640625" style="17" customWidth="1"/>
    <col min="13" max="13" width="9.109375" style="17"/>
    <col min="14" max="15" width="10.332031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0</v>
      </c>
      <c r="R1" s="17">
        <f>SUM(R9:R10000)</f>
        <v>0</v>
      </c>
      <c r="S1" s="17">
        <f>SUM(S9:S10000)</f>
        <v>0</v>
      </c>
      <c r="IV1"/>
    </row>
    <row r="2" spans="1:256" x14ac:dyDescent="0.3">
      <c r="A2" s="17" t="s">
        <v>621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622</v>
      </c>
      <c r="B9" s="17">
        <v>6036679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O9" s="17">
        <f>IF(ISERROR(VLOOKUP(B9,tblRates,2,FALSE)),0,VLOOKUP(B9,tblRates,2,FALSE))</f>
        <v>10.3</v>
      </c>
      <c r="P9" s="17">
        <f t="shared" ref="P9:P14" si="0">IF(K9&gt;40,40,K9)</f>
        <v>0</v>
      </c>
      <c r="Q9" s="17">
        <f t="shared" ref="Q9:Q14" si="1">IF(K9&gt;40,K9-40,0)</f>
        <v>0</v>
      </c>
      <c r="R9" s="17">
        <f t="shared" ref="R9:R14" si="2">ROUND((O9*P9),2)</f>
        <v>0</v>
      </c>
      <c r="S9" s="17">
        <f t="shared" ref="S9:S14" si="3">ROUND((Q9*(O9*1.5)),2)</f>
        <v>0</v>
      </c>
    </row>
    <row r="10" spans="1:256" x14ac:dyDescent="0.3">
      <c r="A10" s="17" t="s">
        <v>623</v>
      </c>
      <c r="B10" s="17">
        <v>5014063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O10" s="17">
        <f>IF(ISERROR(VLOOKUP(B10,tblRates,2,FALSE)),0,VLOOKUP(B10,tblRates,2,FALSE))</f>
        <v>11.14</v>
      </c>
      <c r="P10" s="17">
        <f t="shared" si="0"/>
        <v>0</v>
      </c>
      <c r="Q10" s="17">
        <f t="shared" si="1"/>
        <v>0</v>
      </c>
      <c r="R10" s="17">
        <f t="shared" si="2"/>
        <v>0</v>
      </c>
      <c r="S10" s="17">
        <f t="shared" si="3"/>
        <v>0</v>
      </c>
    </row>
    <row r="11" spans="1:256" x14ac:dyDescent="0.3">
      <c r="A11" s="17" t="s">
        <v>624</v>
      </c>
      <c r="B11" s="17">
        <v>5037770</v>
      </c>
      <c r="D11" s="18">
        <v>0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O11" s="17">
        <f>IF(ISERROR(VLOOKUP(B11,tblRates,2,FALSE)),0,VLOOKUP(B11,tblRates,2,FALSE))</f>
        <v>14.77</v>
      </c>
      <c r="P11" s="17">
        <f t="shared" si="0"/>
        <v>0</v>
      </c>
      <c r="Q11" s="17">
        <f t="shared" si="1"/>
        <v>0</v>
      </c>
      <c r="R11" s="17">
        <f t="shared" si="2"/>
        <v>0</v>
      </c>
      <c r="S11" s="17">
        <f t="shared" si="3"/>
        <v>0</v>
      </c>
    </row>
    <row r="12" spans="1:256" x14ac:dyDescent="0.3">
      <c r="A12" s="17" t="s">
        <v>625</v>
      </c>
      <c r="B12" s="17">
        <v>5180528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O12" s="17">
        <f>IF(ISERROR(VLOOKUP(B12,tblRates,2,FALSE)),0,VLOOKUP(B12,tblRates,2,FALSE))</f>
        <v>11.14</v>
      </c>
      <c r="P12" s="17">
        <f t="shared" si="0"/>
        <v>0</v>
      </c>
      <c r="Q12" s="17">
        <f t="shared" si="1"/>
        <v>0</v>
      </c>
      <c r="R12" s="17">
        <f t="shared" si="2"/>
        <v>0</v>
      </c>
      <c r="S12" s="17">
        <f t="shared" si="3"/>
        <v>0</v>
      </c>
    </row>
    <row r="13" spans="1:256" x14ac:dyDescent="0.3">
      <c r="A13" s="17" t="s">
        <v>626</v>
      </c>
      <c r="B13" s="17">
        <v>6036690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O13" s="17">
        <f>IF(ISERROR(VLOOKUP(B13,tblRates,2,FALSE)),0,VLOOKUP(B13,tblRates,2,FALSE))</f>
        <v>10.3</v>
      </c>
      <c r="P13" s="17">
        <f t="shared" si="0"/>
        <v>0</v>
      </c>
      <c r="Q13" s="17">
        <f t="shared" si="1"/>
        <v>0</v>
      </c>
      <c r="R13" s="17">
        <f t="shared" si="2"/>
        <v>0</v>
      </c>
      <c r="S13" s="17">
        <f t="shared" si="3"/>
        <v>0</v>
      </c>
    </row>
    <row r="14" spans="1:256" x14ac:dyDescent="0.3">
      <c r="A14" s="17" t="s">
        <v>462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O14" s="17">
        <f>IF(ISERROR(VLOOKUP(B14,tblRates,2,FALSE)),0,VLOOKUP(B14,tblRates,2,FALSE))</f>
        <v>0</v>
      </c>
      <c r="P14" s="17">
        <f t="shared" si="0"/>
        <v>0</v>
      </c>
      <c r="Q14" s="17">
        <f t="shared" si="1"/>
        <v>0</v>
      </c>
      <c r="R14" s="17">
        <f t="shared" si="2"/>
        <v>0</v>
      </c>
      <c r="S14" s="17">
        <f t="shared" si="3"/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V11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0" width="15.6640625" style="17" customWidth="1"/>
    <col min="11" max="11" width="7.109375" style="17" bestFit="1" customWidth="1"/>
    <col min="12" max="12" width="15.6640625" style="17" customWidth="1"/>
    <col min="13" max="13" width="9.109375" style="17"/>
    <col min="14" max="14" width="11.44140625" style="17" bestFit="1" customWidth="1"/>
    <col min="15" max="15" width="10.332031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347.2</v>
      </c>
      <c r="R1" s="17">
        <f>SUM(R9:R10000)</f>
        <v>347.2</v>
      </c>
      <c r="S1" s="17">
        <f>SUM(S9:S10000)</f>
        <v>0</v>
      </c>
      <c r="IV1"/>
    </row>
    <row r="2" spans="1:256" x14ac:dyDescent="0.3">
      <c r="A2" s="17" t="s">
        <v>627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628</v>
      </c>
      <c r="B9" s="17">
        <v>6036729</v>
      </c>
      <c r="C9" s="17" t="s">
        <v>484</v>
      </c>
      <c r="D9" s="18">
        <v>0</v>
      </c>
      <c r="E9" s="18">
        <v>0</v>
      </c>
      <c r="F9" s="18">
        <v>0</v>
      </c>
      <c r="G9" s="18">
        <v>8</v>
      </c>
      <c r="H9" s="18">
        <v>8</v>
      </c>
      <c r="I9" s="18">
        <v>8</v>
      </c>
      <c r="J9" s="18">
        <v>4</v>
      </c>
      <c r="K9" s="18">
        <v>28</v>
      </c>
      <c r="N9" s="17" t="s">
        <v>484</v>
      </c>
      <c r="O9" s="17">
        <f>IF(ISERROR(VLOOKUP(B9,tblRates,2,FALSE)),0,VLOOKUP(B9,tblRates,2,FALSE))</f>
        <v>12.4</v>
      </c>
      <c r="P9" s="17">
        <f>IF(K9&gt;40,40,K9)</f>
        <v>28</v>
      </c>
      <c r="Q9" s="17">
        <f>IF(K9&gt;40,K9-40,0)</f>
        <v>0</v>
      </c>
      <c r="R9" s="17">
        <f>ROUND((O9*P9),2)</f>
        <v>347.2</v>
      </c>
      <c r="S9" s="17">
        <f>ROUND((Q9*(O9*1.5)),2)</f>
        <v>0</v>
      </c>
    </row>
    <row r="10" spans="1:256" x14ac:dyDescent="0.3">
      <c r="A10" s="17" t="s">
        <v>629</v>
      </c>
      <c r="B10" s="17">
        <v>5040237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O10" s="17">
        <f>IF(ISERROR(VLOOKUP(B10,tblRates,2,FALSE)),0,VLOOKUP(B10,tblRates,2,FALSE))</f>
        <v>14.82</v>
      </c>
      <c r="P10" s="17">
        <f>IF(K10&gt;40,40,K10)</f>
        <v>0</v>
      </c>
      <c r="Q10" s="17">
        <f>IF(K10&gt;40,K10-40,0)</f>
        <v>0</v>
      </c>
      <c r="R10" s="17">
        <f>ROUND((O10*P10),2)</f>
        <v>0</v>
      </c>
      <c r="S10" s="17">
        <f>ROUND((Q10*(O10*1.5)),2)</f>
        <v>0</v>
      </c>
    </row>
    <row r="11" spans="1:256" x14ac:dyDescent="0.3">
      <c r="A11" s="17" t="s">
        <v>462</v>
      </c>
      <c r="D11" s="18">
        <v>0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O11" s="17">
        <f>IF(ISERROR(VLOOKUP(B11,tblRates,2,FALSE)),0,VLOOKUP(B11,tblRates,2,FALSE))</f>
        <v>0</v>
      </c>
      <c r="P11" s="17">
        <f>IF(K11&gt;40,40,K11)</f>
        <v>0</v>
      </c>
      <c r="Q11" s="17">
        <f>IF(K11&gt;40,K11-40,0)</f>
        <v>0</v>
      </c>
      <c r="R11" s="17">
        <f>ROUND((O11*P11),2)</f>
        <v>0</v>
      </c>
      <c r="S11" s="17">
        <f>ROUND((Q11*(O11*1.5)),2)</f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V18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" width="65.6640625" style="17" bestFit="1" customWidth="1"/>
    <col min="2" max="10" width="15.6640625" style="17" customWidth="1"/>
    <col min="11" max="11" width="7.109375" style="17" bestFit="1" customWidth="1"/>
    <col min="12" max="12" width="15.6640625" style="17" customWidth="1"/>
    <col min="13" max="13" width="9.109375" style="17"/>
    <col min="14" max="14" width="11.44140625" style="17" bestFit="1" customWidth="1"/>
    <col min="15" max="15" width="10.332031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114.65</v>
      </c>
      <c r="R1" s="17">
        <f>SUM(R9:R10000)</f>
        <v>114.65</v>
      </c>
      <c r="S1" s="17">
        <f>SUM(S9:S10000)</f>
        <v>0</v>
      </c>
      <c r="IV1"/>
    </row>
    <row r="2" spans="1:256" x14ac:dyDescent="0.3">
      <c r="A2" s="17" t="s">
        <v>630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631</v>
      </c>
      <c r="B9" s="17">
        <v>5040766</v>
      </c>
      <c r="C9" s="17" t="s">
        <v>12</v>
      </c>
      <c r="D9" s="18">
        <v>7.75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7.75</v>
      </c>
      <c r="N9" s="17" t="s">
        <v>738</v>
      </c>
      <c r="O9" s="17">
        <f>IF(ISERROR(VLOOKUP(B9,tblRates,2,FALSE)),0,VLOOKUP(B9,tblRates,2,FALSE))</f>
        <v>11.14</v>
      </c>
      <c r="P9" s="17">
        <f t="shared" ref="P9:P18" si="0">IF(K9&gt;40,40,K9)</f>
        <v>7.75</v>
      </c>
      <c r="Q9" s="17">
        <f t="shared" ref="Q9:Q18" si="1">IF(K9&gt;40,K9-40,0)</f>
        <v>0</v>
      </c>
      <c r="R9" s="17">
        <f t="shared" ref="R9:R18" si="2">ROUND((O9*P9),2)</f>
        <v>86.34</v>
      </c>
      <c r="S9" s="17">
        <f t="shared" ref="S9:S18" si="3">ROUND((Q9*(O9*1.5)),2)</f>
        <v>0</v>
      </c>
    </row>
    <row r="10" spans="1:256" x14ac:dyDescent="0.3">
      <c r="A10" s="17" t="s">
        <v>633</v>
      </c>
      <c r="B10" s="17">
        <v>5923634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O10" s="17">
        <f>IF(ISERROR(VLOOKUP(B10,tblRates,2,FALSE)),0,VLOOKUP(B10,tblRates,2,FALSE))</f>
        <v>11.12</v>
      </c>
      <c r="P10" s="17">
        <f t="shared" si="0"/>
        <v>0</v>
      </c>
      <c r="Q10" s="17">
        <f t="shared" si="1"/>
        <v>0</v>
      </c>
      <c r="R10" s="17">
        <f t="shared" si="2"/>
        <v>0</v>
      </c>
      <c r="S10" s="17">
        <f t="shared" si="3"/>
        <v>0</v>
      </c>
    </row>
    <row r="11" spans="1:256" x14ac:dyDescent="0.3">
      <c r="A11" s="17" t="s">
        <v>634</v>
      </c>
      <c r="B11" s="17">
        <v>5040417</v>
      </c>
      <c r="C11" s="17" t="s">
        <v>12</v>
      </c>
      <c r="D11" s="18">
        <v>2.0499999999999998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2.0499999999999998</v>
      </c>
      <c r="N11" s="17" t="s">
        <v>738</v>
      </c>
      <c r="O11" s="17">
        <f>IF(ISERROR(VLOOKUP(B11,tblRates,2,FALSE)),0,VLOOKUP(B11,tblRates,2,FALSE))</f>
        <v>13.81</v>
      </c>
      <c r="P11" s="17">
        <f t="shared" si="0"/>
        <v>2.0499999999999998</v>
      </c>
      <c r="Q11" s="17">
        <f t="shared" si="1"/>
        <v>0</v>
      </c>
      <c r="R11" s="17">
        <f t="shared" si="2"/>
        <v>28.31</v>
      </c>
      <c r="S11" s="17">
        <f t="shared" si="3"/>
        <v>0</v>
      </c>
    </row>
    <row r="12" spans="1:256" x14ac:dyDescent="0.3">
      <c r="A12" s="17" t="s">
        <v>635</v>
      </c>
      <c r="B12" s="17">
        <v>6092599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O12" s="17">
        <f>IF(ISERROR(VLOOKUP(B12,tblRates,2,FALSE)),0,VLOOKUP(B12,tblRates,2,FALSE))</f>
        <v>11.1</v>
      </c>
      <c r="P12" s="17">
        <f t="shared" si="0"/>
        <v>0</v>
      </c>
      <c r="Q12" s="17">
        <f t="shared" si="1"/>
        <v>0</v>
      </c>
      <c r="R12" s="17">
        <f t="shared" si="2"/>
        <v>0</v>
      </c>
      <c r="S12" s="17">
        <f t="shared" si="3"/>
        <v>0</v>
      </c>
    </row>
    <row r="13" spans="1:256" x14ac:dyDescent="0.3">
      <c r="A13" s="17" t="s">
        <v>636</v>
      </c>
      <c r="B13" s="17">
        <v>5020229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O13" s="17">
        <f>IF(ISERROR(VLOOKUP(B13,tblRates,2,FALSE)),0,VLOOKUP(B13,tblRates,2,FALSE))</f>
        <v>11.14</v>
      </c>
      <c r="P13" s="17">
        <f t="shared" si="0"/>
        <v>0</v>
      </c>
      <c r="Q13" s="17">
        <f t="shared" si="1"/>
        <v>0</v>
      </c>
      <c r="R13" s="17">
        <f t="shared" si="2"/>
        <v>0</v>
      </c>
      <c r="S13" s="17">
        <f t="shared" si="3"/>
        <v>0</v>
      </c>
    </row>
    <row r="14" spans="1:256" x14ac:dyDescent="0.3">
      <c r="A14" s="17" t="s">
        <v>637</v>
      </c>
      <c r="B14" s="17">
        <v>6018281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O14" s="17">
        <f>IF(ISERROR(VLOOKUP(B14,tblRates,2,FALSE)),0,VLOOKUP(B14,tblRates,2,FALSE))</f>
        <v>10.38</v>
      </c>
      <c r="P14" s="17">
        <f t="shared" si="0"/>
        <v>0</v>
      </c>
      <c r="Q14" s="17">
        <f t="shared" si="1"/>
        <v>0</v>
      </c>
      <c r="R14" s="17">
        <f t="shared" si="2"/>
        <v>0</v>
      </c>
      <c r="S14" s="17">
        <f t="shared" si="3"/>
        <v>0</v>
      </c>
    </row>
    <row r="15" spans="1:256" x14ac:dyDescent="0.3">
      <c r="A15" s="17" t="s">
        <v>639</v>
      </c>
      <c r="B15" s="17">
        <v>5936770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O15" s="17">
        <f>IF(ISERROR(VLOOKUP(B15,tblRates,2,FALSE)),0,VLOOKUP(B15,tblRates,2,FALSE))</f>
        <v>12.3</v>
      </c>
      <c r="P15" s="17">
        <f t="shared" si="0"/>
        <v>0</v>
      </c>
      <c r="Q15" s="17">
        <f t="shared" si="1"/>
        <v>0</v>
      </c>
      <c r="R15" s="17">
        <f t="shared" si="2"/>
        <v>0</v>
      </c>
      <c r="S15" s="17">
        <f t="shared" si="3"/>
        <v>0</v>
      </c>
    </row>
    <row r="16" spans="1:256" x14ac:dyDescent="0.3">
      <c r="A16" s="17" t="s">
        <v>640</v>
      </c>
      <c r="B16" s="17">
        <v>5039128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O16" s="17">
        <f>IF(ISERROR(VLOOKUP(B16,tblRates,2,FALSE)),0,VLOOKUP(B16,tblRates,2,FALSE))</f>
        <v>11.24</v>
      </c>
      <c r="P16" s="17">
        <f t="shared" si="0"/>
        <v>0</v>
      </c>
      <c r="Q16" s="17">
        <f t="shared" si="1"/>
        <v>0</v>
      </c>
      <c r="R16" s="17">
        <f t="shared" si="2"/>
        <v>0</v>
      </c>
      <c r="S16" s="17">
        <f t="shared" si="3"/>
        <v>0</v>
      </c>
    </row>
    <row r="17" spans="1:19" x14ac:dyDescent="0.3">
      <c r="A17" s="17" t="s">
        <v>641</v>
      </c>
      <c r="B17" s="17">
        <v>5040225</v>
      </c>
      <c r="C17" s="17" t="s">
        <v>527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0</v>
      </c>
      <c r="N17" s="17" t="s">
        <v>527</v>
      </c>
      <c r="O17" s="17">
        <f>IF(ISERROR(VLOOKUP(B17,tblRates,2,FALSE)),0,VLOOKUP(B17,tblRates,2,FALSE))</f>
        <v>0</v>
      </c>
      <c r="P17" s="17">
        <f t="shared" si="0"/>
        <v>0</v>
      </c>
      <c r="Q17" s="17">
        <f t="shared" si="1"/>
        <v>0</v>
      </c>
      <c r="R17" s="17">
        <f t="shared" si="2"/>
        <v>0</v>
      </c>
      <c r="S17" s="17">
        <f t="shared" si="3"/>
        <v>0</v>
      </c>
    </row>
    <row r="18" spans="1:19" x14ac:dyDescent="0.3">
      <c r="A18" s="17" t="s">
        <v>462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O18" s="17">
        <f>IF(ISERROR(VLOOKUP(B18,tblRates,2,FALSE)),0,VLOOKUP(B18,tblRates,2,FALSE))</f>
        <v>0</v>
      </c>
      <c r="P18" s="17">
        <f t="shared" si="0"/>
        <v>0</v>
      </c>
      <c r="Q18" s="17">
        <f t="shared" si="1"/>
        <v>0</v>
      </c>
      <c r="R18" s="17">
        <f t="shared" si="2"/>
        <v>0</v>
      </c>
      <c r="S18" s="17">
        <f t="shared" si="3"/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V15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0" width="15.6640625" style="17" customWidth="1"/>
    <col min="11" max="11" width="7.109375" style="17" bestFit="1" customWidth="1"/>
    <col min="12" max="12" width="20.6640625" style="17" bestFit="1" customWidth="1"/>
    <col min="13" max="13" width="9.109375" style="17"/>
    <col min="14" max="14" width="11.44140625" style="17" bestFit="1" customWidth="1"/>
    <col min="15" max="15" width="10.332031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588.23</v>
      </c>
      <c r="R1" s="17">
        <f>SUM(R9:R10000)</f>
        <v>588.23</v>
      </c>
      <c r="S1" s="17">
        <f>SUM(S9:S10000)</f>
        <v>0</v>
      </c>
      <c r="IV1"/>
    </row>
    <row r="2" spans="1:256" x14ac:dyDescent="0.3">
      <c r="A2" s="17" t="s">
        <v>642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643</v>
      </c>
      <c r="B9" s="17">
        <v>5039390</v>
      </c>
      <c r="C9" s="17" t="s">
        <v>12</v>
      </c>
      <c r="D9" s="18">
        <v>6.65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6.65</v>
      </c>
      <c r="N9" s="17" t="s">
        <v>738</v>
      </c>
      <c r="O9" s="17">
        <f>IF(ISERROR(VLOOKUP(B9,tblRates,2,FALSE)),0,VLOOKUP(B9,tblRates,2,FALSE))</f>
        <v>13.72</v>
      </c>
      <c r="P9" s="17">
        <f t="shared" ref="P9:P15" si="0">IF(K9&gt;40,40,K9)</f>
        <v>6.65</v>
      </c>
      <c r="Q9" s="17">
        <f t="shared" ref="Q9:Q15" si="1">IF(K9&gt;40,K9-40,0)</f>
        <v>0</v>
      </c>
      <c r="R9" s="17">
        <f t="shared" ref="R9:R15" si="2">ROUND((O9*P9),2)</f>
        <v>91.24</v>
      </c>
      <c r="S9" s="17">
        <f t="shared" ref="S9:S15" si="3">ROUND((Q9*(O9*1.5)),2)</f>
        <v>0</v>
      </c>
    </row>
    <row r="10" spans="1:256" x14ac:dyDescent="0.3">
      <c r="A10" s="17" t="s">
        <v>522</v>
      </c>
      <c r="B10" s="17">
        <v>6092592</v>
      </c>
      <c r="C10" s="17" t="s">
        <v>12</v>
      </c>
      <c r="D10" s="18">
        <v>6.7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6.7</v>
      </c>
      <c r="L10" s="17" t="s">
        <v>591</v>
      </c>
      <c r="N10" s="17" t="s">
        <v>738</v>
      </c>
      <c r="O10" s="17">
        <f>IF(ISERROR(VLOOKUP(B10,tblRates,2,FALSE)),0,VLOOKUP(B10,tblRates,2,FALSE))</f>
        <v>11.1</v>
      </c>
      <c r="P10" s="17">
        <f t="shared" si="0"/>
        <v>6.7</v>
      </c>
      <c r="Q10" s="17">
        <f t="shared" si="1"/>
        <v>0</v>
      </c>
      <c r="R10" s="17">
        <f t="shared" si="2"/>
        <v>74.37</v>
      </c>
      <c r="S10" s="17">
        <f t="shared" si="3"/>
        <v>0</v>
      </c>
    </row>
    <row r="11" spans="1:256" x14ac:dyDescent="0.3">
      <c r="A11" s="17" t="s">
        <v>644</v>
      </c>
      <c r="B11" s="17">
        <v>5039487</v>
      </c>
      <c r="C11" s="17" t="s">
        <v>12</v>
      </c>
      <c r="D11" s="18">
        <v>7.92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7.92</v>
      </c>
      <c r="N11" s="17" t="s">
        <v>738</v>
      </c>
      <c r="O11" s="17">
        <f>IF(ISERROR(VLOOKUP(B11,tblRates,2,FALSE)),0,VLOOKUP(B11,tblRates,2,FALSE))</f>
        <v>11.14</v>
      </c>
      <c r="P11" s="17">
        <f t="shared" si="0"/>
        <v>7.92</v>
      </c>
      <c r="Q11" s="17">
        <f t="shared" si="1"/>
        <v>0</v>
      </c>
      <c r="R11" s="17">
        <f t="shared" si="2"/>
        <v>88.23</v>
      </c>
      <c r="S11" s="17">
        <f t="shared" si="3"/>
        <v>0</v>
      </c>
    </row>
    <row r="12" spans="1:256" x14ac:dyDescent="0.3">
      <c r="A12" s="17" t="s">
        <v>632</v>
      </c>
      <c r="B12" s="17">
        <v>5038822</v>
      </c>
      <c r="C12" s="17" t="s">
        <v>12</v>
      </c>
      <c r="D12" s="18">
        <v>7.28</v>
      </c>
      <c r="E12" s="18">
        <v>0</v>
      </c>
      <c r="F12" s="18">
        <v>0</v>
      </c>
      <c r="G12" s="18">
        <v>0</v>
      </c>
      <c r="H12" s="18">
        <v>0</v>
      </c>
      <c r="I12" s="18">
        <v>7.13</v>
      </c>
      <c r="J12" s="18">
        <v>7.5</v>
      </c>
      <c r="K12" s="18">
        <v>21.92</v>
      </c>
      <c r="N12" s="17" t="s">
        <v>738</v>
      </c>
      <c r="O12" s="17">
        <f>IF(ISERROR(VLOOKUP(B12,tblRates,2,FALSE)),0,VLOOKUP(B12,tblRates,2,FALSE))</f>
        <v>11.24</v>
      </c>
      <c r="P12" s="17">
        <f t="shared" si="0"/>
        <v>21.92</v>
      </c>
      <c r="Q12" s="17">
        <f t="shared" si="1"/>
        <v>0</v>
      </c>
      <c r="R12" s="17">
        <f t="shared" si="2"/>
        <v>246.38</v>
      </c>
      <c r="S12" s="17">
        <f t="shared" si="3"/>
        <v>0</v>
      </c>
    </row>
    <row r="13" spans="1:256" x14ac:dyDescent="0.3">
      <c r="A13" s="17" t="s">
        <v>638</v>
      </c>
      <c r="B13" s="17">
        <v>5052945</v>
      </c>
      <c r="C13" s="17" t="s">
        <v>12</v>
      </c>
      <c r="D13" s="18">
        <v>7.9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7.9</v>
      </c>
      <c r="N13" s="17" t="s">
        <v>738</v>
      </c>
      <c r="O13" s="17">
        <f>IF(ISERROR(VLOOKUP(B13,tblRates,2,FALSE)),0,VLOOKUP(B13,tblRates,2,FALSE))</f>
        <v>11.14</v>
      </c>
      <c r="P13" s="17">
        <f t="shared" si="0"/>
        <v>7.9</v>
      </c>
      <c r="Q13" s="17">
        <f t="shared" si="1"/>
        <v>0</v>
      </c>
      <c r="R13" s="17">
        <f t="shared" si="2"/>
        <v>88.01</v>
      </c>
      <c r="S13" s="17">
        <f t="shared" si="3"/>
        <v>0</v>
      </c>
    </row>
    <row r="14" spans="1:256" x14ac:dyDescent="0.3">
      <c r="A14" s="17" t="s">
        <v>645</v>
      </c>
      <c r="B14" s="17">
        <v>5038675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O14" s="17">
        <f>IF(ISERROR(VLOOKUP(B14,tblRates,2,FALSE)),0,VLOOKUP(B14,tblRates,2,FALSE))</f>
        <v>11.14</v>
      </c>
      <c r="P14" s="17">
        <f t="shared" si="0"/>
        <v>0</v>
      </c>
      <c r="Q14" s="17">
        <f t="shared" si="1"/>
        <v>0</v>
      </c>
      <c r="R14" s="17">
        <f t="shared" si="2"/>
        <v>0</v>
      </c>
      <c r="S14" s="17">
        <f t="shared" si="3"/>
        <v>0</v>
      </c>
    </row>
    <row r="15" spans="1:256" x14ac:dyDescent="0.3">
      <c r="A15" s="17" t="s">
        <v>462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O15" s="17">
        <f>IF(ISERROR(VLOOKUP(B15,tblRates,2,FALSE)),0,VLOOKUP(B15,tblRates,2,FALSE))</f>
        <v>0</v>
      </c>
      <c r="P15" s="17">
        <f t="shared" si="0"/>
        <v>0</v>
      </c>
      <c r="Q15" s="17">
        <f t="shared" si="1"/>
        <v>0</v>
      </c>
      <c r="R15" s="17">
        <f t="shared" si="2"/>
        <v>0</v>
      </c>
      <c r="S15" s="17">
        <f t="shared" si="3"/>
        <v>0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V18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0" width="15.6640625" style="17" customWidth="1"/>
    <col min="11" max="11" width="1.6640625" style="17" customWidth="1"/>
    <col min="12" max="12" width="15.6640625" style="17" customWidth="1"/>
    <col min="13" max="13" width="9.109375" style="17"/>
    <col min="14" max="14" width="11.44140625" style="17" bestFit="1" customWidth="1"/>
    <col min="15" max="15" width="10.332031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788.98</v>
      </c>
      <c r="R1" s="17">
        <f>SUM(R9:R10000)</f>
        <v>788.98</v>
      </c>
      <c r="S1" s="17">
        <f>SUM(S9:S10000)</f>
        <v>0</v>
      </c>
      <c r="IV1"/>
    </row>
    <row r="2" spans="1:256" x14ac:dyDescent="0.3">
      <c r="A2" s="17" t="s">
        <v>646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647</v>
      </c>
      <c r="B9" s="17">
        <v>5040342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O9" s="17">
        <f>IF(ISERROR(VLOOKUP(B9,tblRates,2,FALSE)),0,VLOOKUP(B9,tblRates,2,FALSE))</f>
        <v>11.41</v>
      </c>
      <c r="P9" s="17">
        <f t="shared" ref="P9:P18" si="0">IF(K9&gt;40,40,K9)</f>
        <v>0</v>
      </c>
      <c r="Q9" s="17">
        <f t="shared" ref="Q9:Q18" si="1">IF(K9&gt;40,K9-40,0)</f>
        <v>0</v>
      </c>
      <c r="R9" s="17">
        <f t="shared" ref="R9:R18" si="2">ROUND((O9*P9),2)</f>
        <v>0</v>
      </c>
      <c r="S9" s="17">
        <f t="shared" ref="S9:S18" si="3">ROUND((Q9*(O9*1.5)),2)</f>
        <v>0</v>
      </c>
    </row>
    <row r="10" spans="1:256" x14ac:dyDescent="0.3">
      <c r="A10" s="17" t="s">
        <v>648</v>
      </c>
      <c r="B10" s="17">
        <v>5039423</v>
      </c>
      <c r="C10" s="17" t="s">
        <v>12</v>
      </c>
      <c r="D10" s="18">
        <v>4.43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4.43</v>
      </c>
      <c r="N10" s="17" t="s">
        <v>738</v>
      </c>
      <c r="O10" s="17">
        <f>IF(ISERROR(VLOOKUP(B10,tblRates,2,FALSE)),0,VLOOKUP(B10,tblRates,2,FALSE))</f>
        <v>12.15</v>
      </c>
      <c r="P10" s="17">
        <f t="shared" si="0"/>
        <v>4.43</v>
      </c>
      <c r="Q10" s="17">
        <f t="shared" si="1"/>
        <v>0</v>
      </c>
      <c r="R10" s="17">
        <f t="shared" si="2"/>
        <v>53.82</v>
      </c>
      <c r="S10" s="17">
        <f t="shared" si="3"/>
        <v>0</v>
      </c>
    </row>
    <row r="11" spans="1:256" x14ac:dyDescent="0.3">
      <c r="A11" s="17" t="s">
        <v>648</v>
      </c>
      <c r="B11" s="17">
        <v>5039423</v>
      </c>
      <c r="C11" s="17" t="s">
        <v>14</v>
      </c>
      <c r="D11" s="18">
        <v>0</v>
      </c>
      <c r="E11" s="18">
        <v>0</v>
      </c>
      <c r="F11" s="18">
        <v>0</v>
      </c>
      <c r="G11" s="18">
        <v>7.5</v>
      </c>
      <c r="H11" s="18">
        <v>7.5</v>
      </c>
      <c r="I11" s="18">
        <v>0</v>
      </c>
      <c r="J11" s="18">
        <v>7.5</v>
      </c>
      <c r="K11" s="18">
        <v>22.5</v>
      </c>
      <c r="N11" s="17" t="s">
        <v>14</v>
      </c>
      <c r="O11" s="17">
        <f>IF(ISERROR(VLOOKUP(B11,tblRates,2,FALSE)),0,VLOOKUP(B11,tblRates,2,FALSE))</f>
        <v>12.15</v>
      </c>
      <c r="P11" s="17">
        <f t="shared" si="0"/>
        <v>22.5</v>
      </c>
      <c r="Q11" s="17">
        <f t="shared" si="1"/>
        <v>0</v>
      </c>
      <c r="R11" s="17">
        <f t="shared" si="2"/>
        <v>273.38</v>
      </c>
      <c r="S11" s="17">
        <f t="shared" si="3"/>
        <v>0</v>
      </c>
    </row>
    <row r="12" spans="1:256" x14ac:dyDescent="0.3">
      <c r="A12" s="17" t="s">
        <v>649</v>
      </c>
      <c r="B12" s="17">
        <v>5945190</v>
      </c>
      <c r="C12" s="17" t="s">
        <v>12</v>
      </c>
      <c r="D12" s="18">
        <v>4.5199999999999996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4.5199999999999996</v>
      </c>
      <c r="N12" s="17" t="s">
        <v>738</v>
      </c>
      <c r="O12" s="17">
        <f>IF(ISERROR(VLOOKUP(B12,tblRates,2,FALSE)),0,VLOOKUP(B12,tblRates,2,FALSE))</f>
        <v>11.12</v>
      </c>
      <c r="P12" s="17">
        <f t="shared" si="0"/>
        <v>4.5199999999999996</v>
      </c>
      <c r="Q12" s="17">
        <f t="shared" si="1"/>
        <v>0</v>
      </c>
      <c r="R12" s="17">
        <f t="shared" si="2"/>
        <v>50.26</v>
      </c>
      <c r="S12" s="17">
        <f t="shared" si="3"/>
        <v>0</v>
      </c>
    </row>
    <row r="13" spans="1:256" x14ac:dyDescent="0.3">
      <c r="A13" s="17" t="s">
        <v>650</v>
      </c>
      <c r="B13" s="17">
        <v>5939174</v>
      </c>
      <c r="C13" s="17" t="s">
        <v>12</v>
      </c>
      <c r="D13" s="18">
        <v>4.07</v>
      </c>
      <c r="E13" s="18">
        <v>0</v>
      </c>
      <c r="F13" s="18">
        <v>0</v>
      </c>
      <c r="G13" s="18">
        <v>0</v>
      </c>
      <c r="H13" s="18">
        <v>0</v>
      </c>
      <c r="I13" s="18">
        <v>7.5</v>
      </c>
      <c r="J13" s="18">
        <v>7.5</v>
      </c>
      <c r="K13" s="18">
        <v>19.07</v>
      </c>
      <c r="N13" s="17" t="s">
        <v>738</v>
      </c>
      <c r="O13" s="17">
        <f>IF(ISERROR(VLOOKUP(B13,tblRates,2,FALSE)),0,VLOOKUP(B13,tblRates,2,FALSE))</f>
        <v>15.38</v>
      </c>
      <c r="P13" s="17">
        <f t="shared" si="0"/>
        <v>19.07</v>
      </c>
      <c r="Q13" s="17">
        <f t="shared" si="1"/>
        <v>0</v>
      </c>
      <c r="R13" s="17">
        <f t="shared" si="2"/>
        <v>293.3</v>
      </c>
      <c r="S13" s="17">
        <f t="shared" si="3"/>
        <v>0</v>
      </c>
    </row>
    <row r="14" spans="1:256" x14ac:dyDescent="0.3">
      <c r="A14" s="17" t="s">
        <v>651</v>
      </c>
      <c r="B14" s="17">
        <v>5178627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O14" s="17">
        <f>IF(ISERROR(VLOOKUP(B14,tblRates,2,FALSE)),0,VLOOKUP(B14,tblRates,2,FALSE))</f>
        <v>11.14</v>
      </c>
      <c r="P14" s="17">
        <f t="shared" si="0"/>
        <v>0</v>
      </c>
      <c r="Q14" s="17">
        <f t="shared" si="1"/>
        <v>0</v>
      </c>
      <c r="R14" s="17">
        <f t="shared" si="2"/>
        <v>0</v>
      </c>
      <c r="S14" s="17">
        <f t="shared" si="3"/>
        <v>0</v>
      </c>
    </row>
    <row r="15" spans="1:256" x14ac:dyDescent="0.3">
      <c r="A15" s="17" t="s">
        <v>652</v>
      </c>
      <c r="B15" s="17">
        <v>5040663</v>
      </c>
      <c r="C15" s="17" t="s">
        <v>12</v>
      </c>
      <c r="D15" s="18">
        <v>0</v>
      </c>
      <c r="E15" s="18">
        <v>0</v>
      </c>
      <c r="F15" s="18">
        <v>0</v>
      </c>
      <c r="G15" s="18">
        <v>4</v>
      </c>
      <c r="H15" s="18">
        <v>0</v>
      </c>
      <c r="I15" s="18">
        <v>0</v>
      </c>
      <c r="J15" s="18">
        <v>0</v>
      </c>
      <c r="K15" s="18">
        <v>4</v>
      </c>
      <c r="N15" s="17" t="s">
        <v>738</v>
      </c>
      <c r="O15" s="17">
        <f>IF(ISERROR(VLOOKUP(B15,tblRates,2,FALSE)),0,VLOOKUP(B15,tblRates,2,FALSE))</f>
        <v>13.07</v>
      </c>
      <c r="P15" s="17">
        <f t="shared" si="0"/>
        <v>4</v>
      </c>
      <c r="Q15" s="17">
        <f t="shared" si="1"/>
        <v>0</v>
      </c>
      <c r="R15" s="17">
        <f t="shared" si="2"/>
        <v>52.28</v>
      </c>
      <c r="S15" s="17">
        <f t="shared" si="3"/>
        <v>0</v>
      </c>
    </row>
    <row r="16" spans="1:256" x14ac:dyDescent="0.3">
      <c r="A16" s="17" t="s">
        <v>653</v>
      </c>
      <c r="B16" s="17">
        <v>5972133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O16" s="17">
        <f>IF(ISERROR(VLOOKUP(B16,tblRates,2,FALSE)),0,VLOOKUP(B16,tblRates,2,FALSE))</f>
        <v>11.12</v>
      </c>
      <c r="P16" s="17">
        <f t="shared" si="0"/>
        <v>0</v>
      </c>
      <c r="Q16" s="17">
        <f t="shared" si="1"/>
        <v>0</v>
      </c>
      <c r="R16" s="17">
        <f t="shared" si="2"/>
        <v>0</v>
      </c>
      <c r="S16" s="17">
        <f t="shared" si="3"/>
        <v>0</v>
      </c>
    </row>
    <row r="17" spans="1:19" x14ac:dyDescent="0.3">
      <c r="A17" s="17" t="s">
        <v>654</v>
      </c>
      <c r="B17" s="17">
        <v>5039175</v>
      </c>
      <c r="C17" s="17" t="s">
        <v>12</v>
      </c>
      <c r="D17" s="18">
        <v>5.93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5.93</v>
      </c>
      <c r="N17" s="17" t="s">
        <v>738</v>
      </c>
      <c r="O17" s="17">
        <f>IF(ISERROR(VLOOKUP(B17,tblRates,2,FALSE)),0,VLOOKUP(B17,tblRates,2,FALSE))</f>
        <v>11.12</v>
      </c>
      <c r="P17" s="17">
        <f t="shared" si="0"/>
        <v>5.93</v>
      </c>
      <c r="Q17" s="17">
        <f t="shared" si="1"/>
        <v>0</v>
      </c>
      <c r="R17" s="17">
        <f t="shared" si="2"/>
        <v>65.94</v>
      </c>
      <c r="S17" s="17">
        <f t="shared" si="3"/>
        <v>0</v>
      </c>
    </row>
    <row r="18" spans="1:19" x14ac:dyDescent="0.3">
      <c r="A18" s="17" t="s">
        <v>462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O18" s="17">
        <f>IF(ISERROR(VLOOKUP(B18,tblRates,2,FALSE)),0,VLOOKUP(B18,tblRates,2,FALSE))</f>
        <v>0</v>
      </c>
      <c r="P18" s="17">
        <f t="shared" si="0"/>
        <v>0</v>
      </c>
      <c r="Q18" s="17">
        <f t="shared" si="1"/>
        <v>0</v>
      </c>
      <c r="R18" s="17">
        <f t="shared" si="2"/>
        <v>0</v>
      </c>
      <c r="S18" s="17">
        <f t="shared" si="3"/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V20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2" width="15.6640625" style="17" customWidth="1"/>
    <col min="3" max="3" width="26.88671875" style="17" bestFit="1" customWidth="1"/>
    <col min="4" max="10" width="15.6640625" style="17" customWidth="1"/>
    <col min="11" max="11" width="7.109375" style="17" bestFit="1" customWidth="1"/>
    <col min="12" max="12" width="15.6640625" style="17" customWidth="1"/>
    <col min="13" max="13" width="9.109375" style="17"/>
    <col min="14" max="14" width="11.44140625" style="17" bestFit="1" customWidth="1"/>
    <col min="15" max="15" width="10.332031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1782.6000000000001</v>
      </c>
      <c r="R1" s="17">
        <f>SUM(R9:R10000)</f>
        <v>1764.0800000000002</v>
      </c>
      <c r="S1" s="17">
        <f>SUM(S9:S10000)</f>
        <v>18.52</v>
      </c>
      <c r="IV1"/>
    </row>
    <row r="2" spans="1:256" x14ac:dyDescent="0.3">
      <c r="A2" s="17" t="s">
        <v>655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656</v>
      </c>
      <c r="B9" s="17">
        <v>5040012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O9" s="17">
        <f>IF(ISERROR(VLOOKUP(B9,tblRates,2,FALSE)),0,VLOOKUP(B9,tblRates,2,FALSE))</f>
        <v>15.84</v>
      </c>
      <c r="P9" s="17">
        <f t="shared" ref="P9:P20" si="0">IF(K9&gt;40,40,K9)</f>
        <v>0</v>
      </c>
      <c r="Q9" s="17">
        <f t="shared" ref="Q9:Q20" si="1">IF(K9&gt;40,K9-40,0)</f>
        <v>0</v>
      </c>
      <c r="R9" s="17">
        <f t="shared" ref="R9:R20" si="2">ROUND((O9*P9),2)</f>
        <v>0</v>
      </c>
      <c r="S9" s="17">
        <f t="shared" ref="S9:S20" si="3">ROUND((Q9*(O9*1.5)),2)</f>
        <v>0</v>
      </c>
    </row>
    <row r="10" spans="1:256" x14ac:dyDescent="0.3">
      <c r="A10" s="17" t="s">
        <v>657</v>
      </c>
      <c r="B10" s="17">
        <v>5038601</v>
      </c>
      <c r="C10" s="17" t="s">
        <v>12</v>
      </c>
      <c r="D10" s="18">
        <v>8.82</v>
      </c>
      <c r="E10" s="18">
        <v>0</v>
      </c>
      <c r="F10" s="18">
        <v>0</v>
      </c>
      <c r="G10" s="18">
        <v>8</v>
      </c>
      <c r="H10" s="18">
        <v>7.78</v>
      </c>
      <c r="I10" s="18">
        <v>8</v>
      </c>
      <c r="J10" s="18">
        <v>8.1999999999999993</v>
      </c>
      <c r="K10" s="18">
        <v>40.799999999999997</v>
      </c>
      <c r="N10" s="17" t="s">
        <v>738</v>
      </c>
      <c r="O10" s="17">
        <f>IF(ISERROR(VLOOKUP(B10,tblRates,2,FALSE)),0,VLOOKUP(B10,tblRates,2,FALSE))</f>
        <v>15.43</v>
      </c>
      <c r="P10" s="17">
        <f t="shared" si="0"/>
        <v>40</v>
      </c>
      <c r="Q10" s="17">
        <f t="shared" si="1"/>
        <v>0.79999999999999716</v>
      </c>
      <c r="R10" s="17">
        <f t="shared" si="2"/>
        <v>617.20000000000005</v>
      </c>
      <c r="S10" s="17">
        <f t="shared" si="3"/>
        <v>18.52</v>
      </c>
    </row>
    <row r="11" spans="1:256" x14ac:dyDescent="0.3">
      <c r="A11" s="17" t="s">
        <v>658</v>
      </c>
      <c r="B11" s="17">
        <v>6002817</v>
      </c>
      <c r="C11" s="17" t="s">
        <v>12</v>
      </c>
      <c r="D11" s="18">
        <v>0</v>
      </c>
      <c r="E11" s="18">
        <v>0</v>
      </c>
      <c r="F11" s="18">
        <v>0</v>
      </c>
      <c r="G11" s="18">
        <v>7.35</v>
      </c>
      <c r="H11" s="18">
        <v>7.33</v>
      </c>
      <c r="I11" s="18">
        <v>7.6</v>
      </c>
      <c r="J11" s="18">
        <v>7.7</v>
      </c>
      <c r="K11" s="18">
        <v>29.98</v>
      </c>
      <c r="N11" s="17" t="s">
        <v>738</v>
      </c>
      <c r="O11" s="17">
        <f>IF(ISERROR(VLOOKUP(B11,tblRates,2,FALSE)),0,VLOOKUP(B11,tblRates,2,FALSE))</f>
        <v>11.85</v>
      </c>
      <c r="P11" s="17">
        <f t="shared" si="0"/>
        <v>29.98</v>
      </c>
      <c r="Q11" s="17">
        <f t="shared" si="1"/>
        <v>0</v>
      </c>
      <c r="R11" s="17">
        <f t="shared" si="2"/>
        <v>355.26</v>
      </c>
      <c r="S11" s="17">
        <f t="shared" si="3"/>
        <v>0</v>
      </c>
    </row>
    <row r="12" spans="1:256" x14ac:dyDescent="0.3">
      <c r="A12" s="17" t="s">
        <v>659</v>
      </c>
      <c r="B12" s="17">
        <v>6000501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O12" s="17">
        <f>IF(ISERROR(VLOOKUP(B12,tblRates,2,FALSE)),0,VLOOKUP(B12,tblRates,2,FALSE))</f>
        <v>11.1</v>
      </c>
      <c r="P12" s="17">
        <f t="shared" si="0"/>
        <v>0</v>
      </c>
      <c r="Q12" s="17">
        <f t="shared" si="1"/>
        <v>0</v>
      </c>
      <c r="R12" s="17">
        <f t="shared" si="2"/>
        <v>0</v>
      </c>
      <c r="S12" s="17">
        <f t="shared" si="3"/>
        <v>0</v>
      </c>
    </row>
    <row r="13" spans="1:256" x14ac:dyDescent="0.3">
      <c r="A13" s="17" t="s">
        <v>650</v>
      </c>
      <c r="B13" s="17">
        <v>5939174</v>
      </c>
      <c r="C13" s="17" t="s">
        <v>12</v>
      </c>
      <c r="D13" s="18">
        <v>0</v>
      </c>
      <c r="E13" s="18">
        <v>0</v>
      </c>
      <c r="F13" s="18">
        <v>0</v>
      </c>
      <c r="G13" s="18">
        <v>7.5</v>
      </c>
      <c r="H13" s="18">
        <v>7.5</v>
      </c>
      <c r="I13" s="18">
        <v>0</v>
      </c>
      <c r="J13" s="18">
        <v>0</v>
      </c>
      <c r="K13" s="18">
        <v>15</v>
      </c>
      <c r="L13" s="17" t="s">
        <v>700</v>
      </c>
      <c r="N13" s="17" t="s">
        <v>738</v>
      </c>
      <c r="O13" s="17">
        <f>IF(ISERROR(VLOOKUP(B13,tblRates,2,FALSE)),0,VLOOKUP(B13,tblRates,2,FALSE))</f>
        <v>15.38</v>
      </c>
      <c r="P13" s="17">
        <f t="shared" si="0"/>
        <v>15</v>
      </c>
      <c r="Q13" s="17">
        <f t="shared" si="1"/>
        <v>0</v>
      </c>
      <c r="R13" s="17">
        <f t="shared" si="2"/>
        <v>230.7</v>
      </c>
      <c r="S13" s="17">
        <f t="shared" si="3"/>
        <v>0</v>
      </c>
    </row>
    <row r="14" spans="1:256" x14ac:dyDescent="0.3">
      <c r="A14" s="17" t="s">
        <v>660</v>
      </c>
      <c r="B14" s="17">
        <v>5039071</v>
      </c>
      <c r="C14" s="17" t="s">
        <v>12</v>
      </c>
      <c r="D14" s="18">
        <v>7.7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7.7</v>
      </c>
      <c r="N14" s="17" t="s">
        <v>738</v>
      </c>
      <c r="O14" s="17">
        <f>IF(ISERROR(VLOOKUP(B14,tblRates,2,FALSE)),0,VLOOKUP(B14,tblRates,2,FALSE))</f>
        <v>11.14</v>
      </c>
      <c r="P14" s="17">
        <f t="shared" si="0"/>
        <v>7.7</v>
      </c>
      <c r="Q14" s="17">
        <f t="shared" si="1"/>
        <v>0</v>
      </c>
      <c r="R14" s="17">
        <f t="shared" si="2"/>
        <v>85.78</v>
      </c>
      <c r="S14" s="17">
        <f t="shared" si="3"/>
        <v>0</v>
      </c>
    </row>
    <row r="15" spans="1:256" x14ac:dyDescent="0.3">
      <c r="A15" s="17" t="s">
        <v>661</v>
      </c>
      <c r="B15" s="17">
        <v>5994625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O15" s="17">
        <f>IF(ISERROR(VLOOKUP(B15,tblRates,2,FALSE)),0,VLOOKUP(B15,tblRates,2,FALSE))</f>
        <v>11.1</v>
      </c>
      <c r="P15" s="17">
        <f t="shared" si="0"/>
        <v>0</v>
      </c>
      <c r="Q15" s="17">
        <f t="shared" si="1"/>
        <v>0</v>
      </c>
      <c r="R15" s="17">
        <f t="shared" si="2"/>
        <v>0</v>
      </c>
      <c r="S15" s="17">
        <f t="shared" si="3"/>
        <v>0</v>
      </c>
    </row>
    <row r="16" spans="1:256" x14ac:dyDescent="0.3">
      <c r="A16" s="17" t="s">
        <v>662</v>
      </c>
      <c r="B16" s="17">
        <v>5039969</v>
      </c>
      <c r="C16" s="17" t="s">
        <v>12</v>
      </c>
      <c r="D16" s="18">
        <v>8.0500000000000007</v>
      </c>
      <c r="E16" s="18">
        <v>0</v>
      </c>
      <c r="F16" s="18">
        <v>0</v>
      </c>
      <c r="G16" s="18">
        <v>7.42</v>
      </c>
      <c r="H16" s="18">
        <v>6.3</v>
      </c>
      <c r="I16" s="18">
        <v>6.52</v>
      </c>
      <c r="J16" s="18">
        <v>6.58</v>
      </c>
      <c r="K16" s="18">
        <v>34.869999999999997</v>
      </c>
      <c r="N16" s="17" t="s">
        <v>738</v>
      </c>
      <c r="O16" s="17">
        <f>IF(ISERROR(VLOOKUP(B16,tblRates,2,FALSE)),0,VLOOKUP(B16,tblRates,2,FALSE))</f>
        <v>12.15</v>
      </c>
      <c r="P16" s="17">
        <f t="shared" si="0"/>
        <v>34.869999999999997</v>
      </c>
      <c r="Q16" s="17">
        <f t="shared" si="1"/>
        <v>0</v>
      </c>
      <c r="R16" s="17">
        <f t="shared" si="2"/>
        <v>423.67</v>
      </c>
      <c r="S16" s="17">
        <f t="shared" si="3"/>
        <v>0</v>
      </c>
    </row>
    <row r="17" spans="1:19" x14ac:dyDescent="0.3">
      <c r="A17" s="17" t="s">
        <v>663</v>
      </c>
      <c r="B17" s="17">
        <v>5038785</v>
      </c>
      <c r="C17" s="17" t="s">
        <v>12</v>
      </c>
      <c r="D17" s="18">
        <v>4.62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4.62</v>
      </c>
      <c r="N17" s="17" t="s">
        <v>738</v>
      </c>
      <c r="O17" s="17">
        <f>IF(ISERROR(VLOOKUP(B17,tblRates,2,FALSE)),0,VLOOKUP(B17,tblRates,2,FALSE))</f>
        <v>11.14</v>
      </c>
      <c r="P17" s="17">
        <f t="shared" si="0"/>
        <v>4.62</v>
      </c>
      <c r="Q17" s="17">
        <f t="shared" si="1"/>
        <v>0</v>
      </c>
      <c r="R17" s="17">
        <f t="shared" si="2"/>
        <v>51.47</v>
      </c>
      <c r="S17" s="17">
        <f t="shared" si="3"/>
        <v>0</v>
      </c>
    </row>
    <row r="18" spans="1:19" x14ac:dyDescent="0.3">
      <c r="A18" s="17" t="s">
        <v>664</v>
      </c>
      <c r="B18" s="17">
        <v>5038631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O18" s="17">
        <f>IF(ISERROR(VLOOKUP(B18,tblRates,2,FALSE)),0,VLOOKUP(B18,tblRates,2,FALSE))</f>
        <v>11.24</v>
      </c>
      <c r="P18" s="17">
        <f t="shared" si="0"/>
        <v>0</v>
      </c>
      <c r="Q18" s="17">
        <f t="shared" si="1"/>
        <v>0</v>
      </c>
      <c r="R18" s="17">
        <f t="shared" si="2"/>
        <v>0</v>
      </c>
      <c r="S18" s="17">
        <f t="shared" si="3"/>
        <v>0</v>
      </c>
    </row>
    <row r="19" spans="1:19" x14ac:dyDescent="0.3">
      <c r="A19" s="17" t="s">
        <v>665</v>
      </c>
      <c r="B19" s="17">
        <v>5144884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O19" s="17">
        <f>IF(ISERROR(VLOOKUP(B19,tblRates,2,FALSE)),0,VLOOKUP(B19,tblRates,2,FALSE))</f>
        <v>11.14</v>
      </c>
      <c r="P19" s="17">
        <f t="shared" si="0"/>
        <v>0</v>
      </c>
      <c r="Q19" s="17">
        <f t="shared" si="1"/>
        <v>0</v>
      </c>
      <c r="R19" s="17">
        <f t="shared" si="2"/>
        <v>0</v>
      </c>
      <c r="S19" s="17">
        <f t="shared" si="3"/>
        <v>0</v>
      </c>
    </row>
    <row r="20" spans="1:19" x14ac:dyDescent="0.3">
      <c r="A20" s="17" t="s">
        <v>462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O20" s="17">
        <f>IF(ISERROR(VLOOKUP(B20,tblRates,2,FALSE)),0,VLOOKUP(B20,tblRates,2,FALSE))</f>
        <v>0</v>
      </c>
      <c r="P20" s="17">
        <f t="shared" si="0"/>
        <v>0</v>
      </c>
      <c r="Q20" s="17">
        <f t="shared" si="1"/>
        <v>0</v>
      </c>
      <c r="R20" s="17">
        <f t="shared" si="2"/>
        <v>0</v>
      </c>
      <c r="S20" s="17">
        <f t="shared" si="3"/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V16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0" width="15.6640625" style="17" customWidth="1"/>
    <col min="11" max="11" width="1.6640625" style="17" customWidth="1"/>
    <col min="12" max="12" width="15.6640625" style="17" customWidth="1"/>
    <col min="13" max="13" width="9.109375" style="17"/>
    <col min="14" max="14" width="11.44140625" style="17" bestFit="1" customWidth="1"/>
    <col min="15" max="15" width="8.6640625" style="17" bestFit="1" customWidth="1"/>
    <col min="16" max="16384" width="9.109375" style="17"/>
  </cols>
  <sheetData>
    <row r="1" spans="1:256" x14ac:dyDescent="0.3">
      <c r="A1" s="21" t="s">
        <v>434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>
        <f>SUM(R1,S1)</f>
        <v>355.84</v>
      </c>
      <c r="O1" s="21"/>
      <c r="P1" s="21"/>
      <c r="Q1" s="21"/>
      <c r="R1" s="21">
        <f>SUM(R9:R10000)</f>
        <v>355.84</v>
      </c>
      <c r="S1" s="17">
        <f>SUM(S9:S10000)</f>
        <v>0</v>
      </c>
      <c r="IV1"/>
    </row>
    <row r="2" spans="1:256" x14ac:dyDescent="0.3">
      <c r="A2" s="21" t="s">
        <v>666</v>
      </c>
      <c r="B2" s="21"/>
      <c r="C2" s="21"/>
      <c r="D2" s="21"/>
      <c r="E2" s="21"/>
      <c r="F2" s="21"/>
      <c r="G2" s="21"/>
      <c r="H2" s="21"/>
      <c r="I2" s="21" t="s">
        <v>737</v>
      </c>
      <c r="J2" s="21"/>
      <c r="K2" s="21"/>
      <c r="L2" s="21"/>
      <c r="M2" s="21"/>
      <c r="N2" s="21"/>
      <c r="O2" s="21"/>
      <c r="P2" s="21"/>
      <c r="Q2" s="21"/>
      <c r="R2" s="21"/>
    </row>
    <row r="3" spans="1:256" x14ac:dyDescent="0.3">
      <c r="A3" s="21" t="s">
        <v>436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</row>
    <row r="4" spans="1:256" x14ac:dyDescent="0.3">
      <c r="A4" s="21" t="s">
        <v>437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</row>
    <row r="5" spans="1:256" x14ac:dyDescent="0.3">
      <c r="A5" s="21" t="s">
        <v>438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</row>
    <row r="6" spans="1:256" x14ac:dyDescent="0.3">
      <c r="A6" s="21" t="s">
        <v>696</v>
      </c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</row>
    <row r="7" spans="1:256" x14ac:dyDescent="0.3">
      <c r="A7" s="21" t="s">
        <v>0</v>
      </c>
      <c r="B7" s="21" t="s">
        <v>439</v>
      </c>
      <c r="C7" s="21" t="s">
        <v>440</v>
      </c>
      <c r="D7" s="21" t="s">
        <v>441</v>
      </c>
      <c r="E7" s="21" t="s">
        <v>442</v>
      </c>
      <c r="F7" s="21" t="s">
        <v>443</v>
      </c>
      <c r="G7" s="21" t="s">
        <v>444</v>
      </c>
      <c r="H7" s="21" t="s">
        <v>445</v>
      </c>
      <c r="I7" s="21" t="s">
        <v>446</v>
      </c>
      <c r="J7" s="21" t="s">
        <v>1</v>
      </c>
      <c r="K7" s="21" t="s">
        <v>447</v>
      </c>
      <c r="L7" s="21" t="s">
        <v>11</v>
      </c>
      <c r="M7" s="21"/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A8" s="21"/>
      <c r="B8" s="21"/>
      <c r="C8" s="21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  <c r="L8" s="21"/>
      <c r="M8" s="21"/>
      <c r="N8" s="21"/>
      <c r="O8" s="21"/>
      <c r="P8" s="21"/>
      <c r="Q8" s="21"/>
      <c r="R8" s="21"/>
    </row>
    <row r="9" spans="1:256" x14ac:dyDescent="0.3">
      <c r="A9" s="21" t="s">
        <v>667</v>
      </c>
      <c r="B9" s="21">
        <v>5999279</v>
      </c>
      <c r="C9" s="21" t="s">
        <v>484</v>
      </c>
      <c r="D9" s="18">
        <v>8</v>
      </c>
      <c r="E9" s="18">
        <v>0</v>
      </c>
      <c r="F9" s="18">
        <v>0</v>
      </c>
      <c r="G9" s="18">
        <v>8</v>
      </c>
      <c r="H9" s="18">
        <v>8</v>
      </c>
      <c r="I9" s="18">
        <v>8</v>
      </c>
      <c r="J9" s="18">
        <v>0</v>
      </c>
      <c r="K9" s="18">
        <v>32</v>
      </c>
      <c r="L9" s="21"/>
      <c r="M9" s="21"/>
      <c r="N9" s="21" t="s">
        <v>484</v>
      </c>
      <c r="O9" s="21">
        <f>IF(ISERROR(VLOOKUP(B9,tblRates,2,FALSE)),0,VLOOKUP(B9,tblRates,2,FALSE))</f>
        <v>11.12</v>
      </c>
      <c r="P9" s="21">
        <f>IF(K9&gt;40,40,K9)</f>
        <v>32</v>
      </c>
      <c r="Q9" s="21">
        <f>IF(K9&gt;40,K9-40,0)</f>
        <v>0</v>
      </c>
      <c r="R9" s="21">
        <f>ROUND((O9*P9),2)</f>
        <v>355.84</v>
      </c>
      <c r="S9" s="17">
        <f>ROUND((Q9*(O9*1.5)),2)</f>
        <v>0</v>
      </c>
    </row>
    <row r="10" spans="1:256" x14ac:dyDescent="0.3">
      <c r="A10" s="17" t="s">
        <v>462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O10" s="17">
        <f>IF(ISERROR(VLOOKUP(B10,tblRates,2,FALSE)),0,VLOOKUP(B10,tblRates,2,FALSE))</f>
        <v>0</v>
      </c>
      <c r="P10" s="17">
        <f>IF(K10&gt;40,40,K10)</f>
        <v>0</v>
      </c>
      <c r="Q10" s="17">
        <f>IF(K10&gt;40,K10-40,0)</f>
        <v>0</v>
      </c>
      <c r="R10" s="17">
        <f>ROUND((O10*P10),2)</f>
        <v>0</v>
      </c>
      <c r="S10" s="17">
        <f>ROUND((Q10*(O10*1.5)),2)</f>
        <v>0</v>
      </c>
    </row>
    <row r="11" spans="1:256" x14ac:dyDescent="0.3">
      <c r="D11" s="18"/>
      <c r="E11" s="18"/>
      <c r="F11" s="18"/>
      <c r="G11" s="18"/>
      <c r="H11" s="18"/>
      <c r="I11" s="18"/>
      <c r="J11" s="18"/>
      <c r="K11" s="18"/>
    </row>
    <row r="12" spans="1:256" x14ac:dyDescent="0.3">
      <c r="D12" s="18"/>
      <c r="E12" s="18"/>
      <c r="F12" s="18"/>
      <c r="G12" s="18"/>
      <c r="H12" s="18"/>
      <c r="I12" s="18"/>
      <c r="J12" s="18"/>
      <c r="K12" s="18"/>
    </row>
    <row r="13" spans="1:256" x14ac:dyDescent="0.3">
      <c r="D13" s="18"/>
      <c r="E13" s="18"/>
      <c r="F13" s="18"/>
      <c r="G13" s="18"/>
      <c r="H13" s="18"/>
      <c r="I13" s="18"/>
      <c r="J13" s="18"/>
      <c r="K13" s="18"/>
    </row>
    <row r="14" spans="1:256" x14ac:dyDescent="0.3">
      <c r="D14" s="18"/>
      <c r="E14" s="18"/>
      <c r="F14" s="18"/>
      <c r="G14" s="18"/>
      <c r="H14" s="18"/>
      <c r="I14" s="18"/>
      <c r="J14" s="18"/>
      <c r="K14" s="18"/>
    </row>
    <row r="15" spans="1:256" x14ac:dyDescent="0.3">
      <c r="D15" s="18"/>
      <c r="E15" s="18"/>
      <c r="F15" s="18"/>
      <c r="G15" s="18"/>
      <c r="H15" s="18"/>
      <c r="I15" s="18"/>
      <c r="J15" s="18"/>
      <c r="K15" s="18"/>
    </row>
    <row r="16" spans="1:256" x14ac:dyDescent="0.3">
      <c r="D16" s="18"/>
      <c r="E16" s="18"/>
      <c r="F16" s="18"/>
      <c r="G16" s="18"/>
      <c r="H16" s="18"/>
      <c r="I16" s="18"/>
      <c r="J16" s="18"/>
      <c r="K16" s="18"/>
    </row>
  </sheetData>
  <phoneticPr fontId="2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V21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0" width="15.6640625" style="17" customWidth="1"/>
    <col min="11" max="11" width="1.6640625" style="17" customWidth="1"/>
    <col min="12" max="12" width="15.6640625" style="17" customWidth="1"/>
    <col min="13" max="13" width="9.109375" style="17"/>
    <col min="14" max="14" width="11.44140625" style="17" bestFit="1" customWidth="1"/>
    <col min="15" max="15" width="10.332031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3166.48</v>
      </c>
      <c r="R1" s="17">
        <f>SUM(R9:R10000)</f>
        <v>3087.58</v>
      </c>
      <c r="S1" s="17">
        <f>SUM(S9:S10000)</f>
        <v>78.900000000000006</v>
      </c>
      <c r="IV1"/>
    </row>
    <row r="2" spans="1:256" x14ac:dyDescent="0.3">
      <c r="A2" s="17" t="s">
        <v>668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669</v>
      </c>
      <c r="B9" s="17">
        <v>6090077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O9" s="17">
        <f>IF(ISERROR(VLOOKUP(B9,tblRates,2,FALSE)),0,VLOOKUP(B9,tblRates,2,FALSE))</f>
        <v>10.3</v>
      </c>
      <c r="P9" s="17">
        <f t="shared" ref="P9:P21" si="0">IF(K9&gt;40,40,K9)</f>
        <v>0</v>
      </c>
      <c r="Q9" s="17">
        <f t="shared" ref="Q9:Q21" si="1">IF(K9&gt;40,K9-40,0)</f>
        <v>0</v>
      </c>
      <c r="R9" s="17">
        <f t="shared" ref="R9:R21" si="2">ROUND((O9*P9),2)</f>
        <v>0</v>
      </c>
      <c r="S9" s="17">
        <f t="shared" ref="S9:S21" si="3">ROUND((Q9*(O9*1.5)),2)</f>
        <v>0</v>
      </c>
    </row>
    <row r="10" spans="1:256" x14ac:dyDescent="0.3">
      <c r="A10" s="17" t="s">
        <v>670</v>
      </c>
      <c r="B10" s="17">
        <v>5973266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O10" s="17">
        <f>IF(ISERROR(VLOOKUP(B10,tblRates,2,FALSE)),0,VLOOKUP(B10,tblRates,2,FALSE))</f>
        <v>11.12</v>
      </c>
      <c r="P10" s="17">
        <f t="shared" si="0"/>
        <v>0</v>
      </c>
      <c r="Q10" s="17">
        <f t="shared" si="1"/>
        <v>0</v>
      </c>
      <c r="R10" s="17">
        <f t="shared" si="2"/>
        <v>0</v>
      </c>
      <c r="S10" s="17">
        <f t="shared" si="3"/>
        <v>0</v>
      </c>
    </row>
    <row r="11" spans="1:256" x14ac:dyDescent="0.3">
      <c r="A11" s="17" t="s">
        <v>671</v>
      </c>
      <c r="B11" s="17">
        <v>6023598</v>
      </c>
      <c r="C11" s="17" t="s">
        <v>12</v>
      </c>
      <c r="D11" s="18">
        <v>7.72</v>
      </c>
      <c r="E11" s="18">
        <v>6.83</v>
      </c>
      <c r="F11" s="18">
        <v>7</v>
      </c>
      <c r="G11" s="18">
        <v>0</v>
      </c>
      <c r="H11" s="18">
        <v>0</v>
      </c>
      <c r="I11" s="18">
        <v>6.83</v>
      </c>
      <c r="J11" s="18">
        <v>6.68</v>
      </c>
      <c r="K11" s="18">
        <v>35.07</v>
      </c>
      <c r="N11" s="17" t="s">
        <v>738</v>
      </c>
      <c r="O11" s="17">
        <f>IF(ISERROR(VLOOKUP(B11,tblRates,2,FALSE)),0,VLOOKUP(B11,tblRates,2,FALSE))</f>
        <v>11.85</v>
      </c>
      <c r="P11" s="17">
        <f t="shared" si="0"/>
        <v>35.07</v>
      </c>
      <c r="Q11" s="17">
        <f t="shared" si="1"/>
        <v>0</v>
      </c>
      <c r="R11" s="17">
        <f t="shared" si="2"/>
        <v>415.58</v>
      </c>
      <c r="S11" s="17">
        <f t="shared" si="3"/>
        <v>0</v>
      </c>
    </row>
    <row r="12" spans="1:256" x14ac:dyDescent="0.3">
      <c r="A12" s="17" t="s">
        <v>672</v>
      </c>
      <c r="B12" s="17">
        <v>6023599</v>
      </c>
      <c r="C12" s="17" t="s">
        <v>12</v>
      </c>
      <c r="D12" s="18">
        <v>8.77</v>
      </c>
      <c r="E12" s="18">
        <v>0</v>
      </c>
      <c r="F12" s="18">
        <v>0</v>
      </c>
      <c r="G12" s="18">
        <v>7.72</v>
      </c>
      <c r="H12" s="18">
        <v>7.42</v>
      </c>
      <c r="I12" s="18">
        <v>9.27</v>
      </c>
      <c r="J12" s="18">
        <v>10.25</v>
      </c>
      <c r="K12" s="18">
        <v>43.42</v>
      </c>
      <c r="N12" s="17" t="s">
        <v>738</v>
      </c>
      <c r="O12" s="17">
        <f>IF(ISERROR(VLOOKUP(B12,tblRates,2,FALSE)),0,VLOOKUP(B12,tblRates,2,FALSE))</f>
        <v>15.38</v>
      </c>
      <c r="P12" s="17">
        <f t="shared" si="0"/>
        <v>40</v>
      </c>
      <c r="Q12" s="17">
        <f t="shared" si="1"/>
        <v>3.4200000000000017</v>
      </c>
      <c r="R12" s="17">
        <f t="shared" si="2"/>
        <v>615.20000000000005</v>
      </c>
      <c r="S12" s="17">
        <f t="shared" si="3"/>
        <v>78.900000000000006</v>
      </c>
    </row>
    <row r="13" spans="1:256" x14ac:dyDescent="0.3">
      <c r="A13" s="17" t="s">
        <v>673</v>
      </c>
      <c r="B13" s="17">
        <v>5994615</v>
      </c>
      <c r="C13" s="17" t="s">
        <v>12</v>
      </c>
      <c r="D13" s="18">
        <v>0</v>
      </c>
      <c r="E13" s="18">
        <v>7.5</v>
      </c>
      <c r="F13" s="18">
        <v>7.38</v>
      </c>
      <c r="G13" s="18">
        <v>6.4</v>
      </c>
      <c r="H13" s="18">
        <v>6.47</v>
      </c>
      <c r="I13" s="18">
        <v>6.85</v>
      </c>
      <c r="J13" s="18">
        <v>0</v>
      </c>
      <c r="K13" s="18">
        <v>34.6</v>
      </c>
      <c r="N13" s="17" t="s">
        <v>738</v>
      </c>
      <c r="O13" s="17">
        <f>IF(ISERROR(VLOOKUP(B13,tblRates,2,FALSE)),0,VLOOKUP(B13,tblRates,2,FALSE))</f>
        <v>11.12</v>
      </c>
      <c r="P13" s="17">
        <f t="shared" si="0"/>
        <v>34.6</v>
      </c>
      <c r="Q13" s="17">
        <f t="shared" si="1"/>
        <v>0</v>
      </c>
      <c r="R13" s="17">
        <f t="shared" si="2"/>
        <v>384.75</v>
      </c>
      <c r="S13" s="17">
        <f t="shared" si="3"/>
        <v>0</v>
      </c>
    </row>
    <row r="14" spans="1:256" x14ac:dyDescent="0.3">
      <c r="A14" s="17" t="s">
        <v>674</v>
      </c>
      <c r="B14" s="17">
        <v>5973162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O14" s="17">
        <f>IF(ISERROR(VLOOKUP(B14,tblRates,2,FALSE)),0,VLOOKUP(B14,tblRates,2,FALSE))</f>
        <v>11.12</v>
      </c>
      <c r="P14" s="17">
        <f t="shared" si="0"/>
        <v>0</v>
      </c>
      <c r="Q14" s="17">
        <f t="shared" si="1"/>
        <v>0</v>
      </c>
      <c r="R14" s="17">
        <f t="shared" si="2"/>
        <v>0</v>
      </c>
      <c r="S14" s="17">
        <f t="shared" si="3"/>
        <v>0</v>
      </c>
    </row>
    <row r="15" spans="1:256" x14ac:dyDescent="0.3">
      <c r="A15" s="17" t="s">
        <v>67</v>
      </c>
      <c r="B15" s="17">
        <v>6089987</v>
      </c>
      <c r="C15" s="17" t="s">
        <v>12</v>
      </c>
      <c r="D15" s="18">
        <v>7.48</v>
      </c>
      <c r="E15" s="18">
        <v>0</v>
      </c>
      <c r="F15" s="18">
        <v>7</v>
      </c>
      <c r="G15" s="18">
        <v>0</v>
      </c>
      <c r="H15" s="18">
        <v>6.68</v>
      </c>
      <c r="I15" s="18">
        <v>0</v>
      </c>
      <c r="J15" s="18">
        <v>0</v>
      </c>
      <c r="K15" s="18">
        <v>21.17</v>
      </c>
      <c r="N15" s="17" t="s">
        <v>738</v>
      </c>
      <c r="O15" s="17">
        <f>IF(ISERROR(VLOOKUP(B15,tblRates,2,FALSE)),0,VLOOKUP(B15,tblRates,2,FALSE))</f>
        <v>11.1</v>
      </c>
      <c r="P15" s="17">
        <f t="shared" si="0"/>
        <v>21.17</v>
      </c>
      <c r="Q15" s="17">
        <f t="shared" si="1"/>
        <v>0</v>
      </c>
      <c r="R15" s="17">
        <f t="shared" si="2"/>
        <v>234.99</v>
      </c>
      <c r="S15" s="17">
        <f t="shared" si="3"/>
        <v>0</v>
      </c>
    </row>
    <row r="16" spans="1:256" x14ac:dyDescent="0.3">
      <c r="A16" s="17" t="s">
        <v>675</v>
      </c>
      <c r="B16" s="17">
        <v>6023600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O16" s="17">
        <f>IF(ISERROR(VLOOKUP(B16,tblRates,2,FALSE)),0,VLOOKUP(B16,tblRates,2,FALSE))</f>
        <v>11.1</v>
      </c>
      <c r="P16" s="17">
        <f t="shared" si="0"/>
        <v>0</v>
      </c>
      <c r="Q16" s="17">
        <f t="shared" si="1"/>
        <v>0</v>
      </c>
      <c r="R16" s="17">
        <f t="shared" si="2"/>
        <v>0</v>
      </c>
      <c r="S16" s="17">
        <f t="shared" si="3"/>
        <v>0</v>
      </c>
    </row>
    <row r="17" spans="1:19" x14ac:dyDescent="0.3">
      <c r="A17" s="17" t="s">
        <v>676</v>
      </c>
      <c r="B17" s="17">
        <v>5108687</v>
      </c>
      <c r="C17" s="17" t="s">
        <v>12</v>
      </c>
      <c r="D17" s="18">
        <v>7.5</v>
      </c>
      <c r="E17" s="18">
        <v>0</v>
      </c>
      <c r="F17" s="18">
        <v>0</v>
      </c>
      <c r="G17" s="18">
        <v>7</v>
      </c>
      <c r="H17" s="18">
        <v>6.88</v>
      </c>
      <c r="I17" s="18">
        <v>7</v>
      </c>
      <c r="J17" s="18">
        <v>6.98</v>
      </c>
      <c r="K17" s="18">
        <v>35.369999999999997</v>
      </c>
      <c r="N17" s="17" t="s">
        <v>738</v>
      </c>
      <c r="O17" s="17">
        <f>IF(ISERROR(VLOOKUP(B17,tblRates,2,FALSE)),0,VLOOKUP(B17,tblRates,2,FALSE))</f>
        <v>11.24</v>
      </c>
      <c r="P17" s="17">
        <f t="shared" si="0"/>
        <v>35.369999999999997</v>
      </c>
      <c r="Q17" s="17">
        <f t="shared" si="1"/>
        <v>0</v>
      </c>
      <c r="R17" s="17">
        <f t="shared" si="2"/>
        <v>397.56</v>
      </c>
      <c r="S17" s="17">
        <f t="shared" si="3"/>
        <v>0</v>
      </c>
    </row>
    <row r="18" spans="1:19" x14ac:dyDescent="0.3">
      <c r="A18" s="17" t="s">
        <v>677</v>
      </c>
      <c r="B18" s="17">
        <v>5939188</v>
      </c>
      <c r="C18" s="17" t="s">
        <v>12</v>
      </c>
      <c r="D18" s="18">
        <v>7.92</v>
      </c>
      <c r="E18" s="18">
        <v>0</v>
      </c>
      <c r="F18" s="18">
        <v>6.33</v>
      </c>
      <c r="G18" s="18">
        <v>6.58</v>
      </c>
      <c r="H18" s="18">
        <v>0</v>
      </c>
      <c r="I18" s="18">
        <v>7.02</v>
      </c>
      <c r="J18" s="18">
        <v>3.82</v>
      </c>
      <c r="K18" s="18">
        <v>31.67</v>
      </c>
      <c r="N18" s="17" t="s">
        <v>738</v>
      </c>
      <c r="O18" s="17">
        <f>IF(ISERROR(VLOOKUP(B18,tblRates,2,FALSE)),0,VLOOKUP(B18,tblRates,2,FALSE))</f>
        <v>11.12</v>
      </c>
      <c r="P18" s="17">
        <f t="shared" si="0"/>
        <v>31.67</v>
      </c>
      <c r="Q18" s="17">
        <f t="shared" si="1"/>
        <v>0</v>
      </c>
      <c r="R18" s="17">
        <f t="shared" si="2"/>
        <v>352.17</v>
      </c>
      <c r="S18" s="17">
        <f t="shared" si="3"/>
        <v>0</v>
      </c>
    </row>
    <row r="19" spans="1:19" x14ac:dyDescent="0.3">
      <c r="A19" s="17" t="s">
        <v>678</v>
      </c>
      <c r="B19" s="17">
        <v>6048771</v>
      </c>
      <c r="C19" s="17" t="s">
        <v>12</v>
      </c>
      <c r="D19" s="18">
        <v>6.95</v>
      </c>
      <c r="E19" s="18">
        <v>7.57</v>
      </c>
      <c r="F19" s="18">
        <v>6.65</v>
      </c>
      <c r="G19" s="18">
        <v>0</v>
      </c>
      <c r="H19" s="18">
        <v>7.08</v>
      </c>
      <c r="I19" s="18">
        <v>0</v>
      </c>
      <c r="J19" s="18">
        <v>8.5</v>
      </c>
      <c r="K19" s="18">
        <v>36.75</v>
      </c>
      <c r="N19" s="17" t="s">
        <v>738</v>
      </c>
      <c r="O19" s="17">
        <f>IF(ISERROR(VLOOKUP(B19,tblRates,2,FALSE)),0,VLOOKUP(B19,tblRates,2,FALSE))</f>
        <v>11.85</v>
      </c>
      <c r="P19" s="17">
        <f t="shared" si="0"/>
        <v>36.75</v>
      </c>
      <c r="Q19" s="17">
        <f t="shared" si="1"/>
        <v>0</v>
      </c>
      <c r="R19" s="17">
        <f t="shared" si="2"/>
        <v>435.49</v>
      </c>
      <c r="S19" s="17">
        <f t="shared" si="3"/>
        <v>0</v>
      </c>
    </row>
    <row r="20" spans="1:19" x14ac:dyDescent="0.3">
      <c r="A20" s="17" t="s">
        <v>679</v>
      </c>
      <c r="B20" s="17">
        <v>6091967</v>
      </c>
      <c r="C20" s="17" t="s">
        <v>12</v>
      </c>
      <c r="D20" s="18">
        <v>6.5</v>
      </c>
      <c r="E20" s="18">
        <v>6.48</v>
      </c>
      <c r="F20" s="18">
        <v>6</v>
      </c>
      <c r="G20" s="18">
        <v>0</v>
      </c>
      <c r="H20" s="18">
        <v>0</v>
      </c>
      <c r="I20" s="18">
        <v>0</v>
      </c>
      <c r="J20" s="18">
        <v>5.47</v>
      </c>
      <c r="K20" s="18">
        <v>24.45</v>
      </c>
      <c r="N20" s="17" t="s">
        <v>738</v>
      </c>
      <c r="O20" s="17">
        <f>IF(ISERROR(VLOOKUP(B20,tblRates,2,FALSE)),0,VLOOKUP(B20,tblRates,2,FALSE))</f>
        <v>10.3</v>
      </c>
      <c r="P20" s="17">
        <f t="shared" si="0"/>
        <v>24.45</v>
      </c>
      <c r="Q20" s="17">
        <f t="shared" si="1"/>
        <v>0</v>
      </c>
      <c r="R20" s="17">
        <f t="shared" si="2"/>
        <v>251.84</v>
      </c>
      <c r="S20" s="17">
        <f t="shared" si="3"/>
        <v>0</v>
      </c>
    </row>
    <row r="21" spans="1:19" x14ac:dyDescent="0.3">
      <c r="A21" s="17" t="s">
        <v>462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O21" s="17">
        <f>IF(ISERROR(VLOOKUP(B21,tblRates,2,FALSE)),0,VLOOKUP(B21,tblRates,2,FALSE))</f>
        <v>0</v>
      </c>
      <c r="P21" s="17">
        <f t="shared" si="0"/>
        <v>0</v>
      </c>
      <c r="Q21" s="17">
        <f t="shared" si="1"/>
        <v>0</v>
      </c>
      <c r="R21" s="17">
        <f t="shared" si="2"/>
        <v>0</v>
      </c>
      <c r="S21" s="17">
        <f t="shared" si="3"/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V12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0" width="15.6640625" style="17" customWidth="1"/>
    <col min="11" max="11" width="1.6640625" style="17" customWidth="1"/>
    <col min="12" max="12" width="15.6640625" style="17" customWidth="1"/>
    <col min="13" max="13" width="9.109375" style="17"/>
    <col min="14" max="14" width="11.44140625" style="17" bestFit="1" customWidth="1"/>
    <col min="15" max="15" width="8.66406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313.01</v>
      </c>
      <c r="R1" s="17">
        <f>SUM(R9:R10000)</f>
        <v>313.01</v>
      </c>
      <c r="S1" s="17">
        <f>SUM(S9:S10000)</f>
        <v>0</v>
      </c>
      <c r="IV1"/>
    </row>
    <row r="2" spans="1:256" x14ac:dyDescent="0.3">
      <c r="A2" s="17" t="s">
        <v>680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681</v>
      </c>
      <c r="B9" s="17">
        <v>5038626</v>
      </c>
      <c r="C9" s="17" t="s">
        <v>12</v>
      </c>
      <c r="D9" s="18">
        <v>5.83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5.83</v>
      </c>
      <c r="N9" s="17" t="s">
        <v>738</v>
      </c>
      <c r="O9" s="17">
        <f>IF(ISERROR(VLOOKUP(B9,tblRates,2,FALSE)),0,VLOOKUP(B9,tblRates,2,FALSE))</f>
        <v>11.14</v>
      </c>
      <c r="P9" s="17">
        <f>IF(K9&gt;40,40,K9)</f>
        <v>5.83</v>
      </c>
      <c r="Q9" s="17">
        <f>IF(K9&gt;40,K9-40,0)</f>
        <v>0</v>
      </c>
      <c r="R9" s="17">
        <f>ROUND((O9*P9),2)</f>
        <v>64.95</v>
      </c>
      <c r="S9" s="17">
        <f>ROUND((Q9*(O9*1.5)),2)</f>
        <v>0</v>
      </c>
    </row>
    <row r="10" spans="1:256" x14ac:dyDescent="0.3">
      <c r="A10" s="17" t="s">
        <v>682</v>
      </c>
      <c r="B10" s="17">
        <v>5039878</v>
      </c>
      <c r="C10" s="17" t="s">
        <v>12</v>
      </c>
      <c r="D10" s="18">
        <v>8</v>
      </c>
      <c r="E10" s="18">
        <v>4.62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12.62</v>
      </c>
      <c r="N10" s="17" t="s">
        <v>738</v>
      </c>
      <c r="O10" s="17">
        <f>IF(ISERROR(VLOOKUP(B10,tblRates,2,FALSE)),0,VLOOKUP(B10,tblRates,2,FALSE))</f>
        <v>12.03</v>
      </c>
      <c r="P10" s="17">
        <f>IF(K10&gt;40,40,K10)</f>
        <v>12.62</v>
      </c>
      <c r="Q10" s="17">
        <f>IF(K10&gt;40,K10-40,0)</f>
        <v>0</v>
      </c>
      <c r="R10" s="17">
        <f>ROUND((O10*P10),2)</f>
        <v>151.82</v>
      </c>
      <c r="S10" s="17">
        <f>ROUND((Q10*(O10*1.5)),2)</f>
        <v>0</v>
      </c>
    </row>
    <row r="11" spans="1:256" x14ac:dyDescent="0.3">
      <c r="A11" s="17" t="s">
        <v>682</v>
      </c>
      <c r="B11" s="17">
        <v>5039878</v>
      </c>
      <c r="C11" s="17" t="s">
        <v>701</v>
      </c>
      <c r="D11" s="18">
        <v>0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8</v>
      </c>
      <c r="K11" s="18">
        <v>8</v>
      </c>
      <c r="N11" s="17" t="s">
        <v>738</v>
      </c>
      <c r="O11" s="17">
        <f>IF(ISERROR(VLOOKUP(B11,tblRates,2,FALSE)),0,VLOOKUP(B11,tblRates,2,FALSE))</f>
        <v>12.03</v>
      </c>
      <c r="P11" s="17">
        <f>IF(K11&gt;40,40,K11)</f>
        <v>8</v>
      </c>
      <c r="Q11" s="17">
        <f>IF(K11&gt;40,K11-40,0)</f>
        <v>0</v>
      </c>
      <c r="R11" s="17">
        <f>ROUND((O11*P11),2)</f>
        <v>96.24</v>
      </c>
      <c r="S11" s="17">
        <f>ROUND((Q11*(O11*1.5)),2)</f>
        <v>0</v>
      </c>
    </row>
    <row r="12" spans="1:256" x14ac:dyDescent="0.3">
      <c r="A12" s="17" t="s">
        <v>462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O12" s="17">
        <f>IF(ISERROR(VLOOKUP(B12,tblRates,2,FALSE)),0,VLOOKUP(B12,tblRates,2,FALSE))</f>
        <v>0</v>
      </c>
      <c r="P12" s="17">
        <f>IF(K12&gt;40,40,K12)</f>
        <v>0</v>
      </c>
      <c r="Q12" s="17">
        <f>IF(K12&gt;40,K12-40,0)</f>
        <v>0</v>
      </c>
      <c r="R12" s="17">
        <f>ROUND((O12*P12),2)</f>
        <v>0</v>
      </c>
      <c r="S12" s="17">
        <f>ROUND((Q12*(O12*1.5)),2)</f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V10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0" width="15.6640625" style="17" customWidth="1"/>
    <col min="11" max="11" width="1.6640625" style="17" customWidth="1"/>
    <col min="12" max="12" width="15.6640625" style="17" customWidth="1"/>
    <col min="13" max="13" width="9.109375" style="17"/>
    <col min="14" max="14" width="11.44140625" style="17" bestFit="1" customWidth="1"/>
    <col min="15" max="15" width="8.66406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135.1</v>
      </c>
      <c r="R1" s="17">
        <f>SUM(R9:R10000)</f>
        <v>135.1</v>
      </c>
      <c r="S1" s="17">
        <f>SUM(S9:S10000)</f>
        <v>0</v>
      </c>
      <c r="IV1"/>
    </row>
    <row r="2" spans="1:256" x14ac:dyDescent="0.3">
      <c r="A2" s="17" t="s">
        <v>702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632</v>
      </c>
      <c r="B9" s="17">
        <v>5038822</v>
      </c>
      <c r="C9" s="17" t="s">
        <v>12</v>
      </c>
      <c r="D9" s="18">
        <v>0</v>
      </c>
      <c r="E9" s="18">
        <v>0</v>
      </c>
      <c r="F9" s="18">
        <v>0</v>
      </c>
      <c r="G9" s="18">
        <v>6.08</v>
      </c>
      <c r="H9" s="18">
        <v>5.93</v>
      </c>
      <c r="I9" s="18">
        <v>0</v>
      </c>
      <c r="J9" s="18">
        <v>0</v>
      </c>
      <c r="K9" s="18">
        <v>12.02</v>
      </c>
      <c r="L9" s="17" t="s">
        <v>703</v>
      </c>
      <c r="N9" s="17" t="s">
        <v>738</v>
      </c>
      <c r="O9" s="17">
        <f>IF(ISERROR(VLOOKUP(B9,tblRates,2,FALSE)),0,VLOOKUP(B9,tblRates,2,FALSE))</f>
        <v>11.24</v>
      </c>
      <c r="P9" s="17">
        <f>IF(K9&gt;40,40,K9)</f>
        <v>12.02</v>
      </c>
      <c r="Q9" s="17">
        <f>IF(K9&gt;40,K9-40,0)</f>
        <v>0</v>
      </c>
      <c r="R9" s="17">
        <f>ROUND((O9*P9),2)</f>
        <v>135.1</v>
      </c>
      <c r="S9" s="17">
        <f>ROUND((Q9*(O9*1.5)),2)</f>
        <v>0</v>
      </c>
    </row>
    <row r="10" spans="1:256" x14ac:dyDescent="0.3">
      <c r="A10" s="17" t="s">
        <v>462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O10" s="17">
        <f>IF(ISERROR(VLOOKUP(B10,tblRates,2,FALSE)),0,VLOOKUP(B10,tblRates,2,FALSE))</f>
        <v>0</v>
      </c>
      <c r="P10" s="17">
        <f>IF(K10&gt;40,40,K10)</f>
        <v>0</v>
      </c>
      <c r="Q10" s="17">
        <f>IF(K10&gt;40,K10-40,0)</f>
        <v>0</v>
      </c>
      <c r="R10" s="17">
        <f>ROUND((O10*P10),2)</f>
        <v>0</v>
      </c>
      <c r="S10" s="17">
        <f>ROUND((Q10*(O10*1.5)),2)</f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V14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0" width="15.6640625" style="17" customWidth="1"/>
    <col min="11" max="11" width="1.6640625" style="17" customWidth="1"/>
    <col min="12" max="12" width="15.6640625" style="17" customWidth="1"/>
    <col min="13" max="13" width="9.109375" style="17"/>
    <col min="14" max="14" width="11.44140625" style="17" bestFit="1" customWidth="1"/>
    <col min="15" max="15" width="10.332031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2308.7600000000002</v>
      </c>
      <c r="R1" s="17">
        <f>SUM(R9:R10000)</f>
        <v>2201.5500000000002</v>
      </c>
      <c r="S1" s="17">
        <f>SUM(S9:S10000)</f>
        <v>107.21</v>
      </c>
      <c r="IV1"/>
    </row>
    <row r="2" spans="1:256" x14ac:dyDescent="0.3">
      <c r="A2" s="17" t="s">
        <v>683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684</v>
      </c>
      <c r="B9" s="17">
        <v>5181402</v>
      </c>
      <c r="C9" s="17" t="s">
        <v>12</v>
      </c>
      <c r="D9" s="18">
        <v>7.43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7.43</v>
      </c>
      <c r="N9" s="17" t="s">
        <v>738</v>
      </c>
      <c r="O9" s="17">
        <f>IF(ISERROR(VLOOKUP(B9,tblRates,2,FALSE)),0,VLOOKUP(B9,tblRates,2,FALSE))</f>
        <v>11.12</v>
      </c>
      <c r="P9" s="17">
        <f t="shared" ref="P9:P14" si="0">IF(K9&gt;40,40,K9)</f>
        <v>7.43</v>
      </c>
      <c r="Q9" s="17">
        <f t="shared" ref="Q9:Q14" si="1">IF(K9&gt;40,K9-40,0)</f>
        <v>0</v>
      </c>
      <c r="R9" s="17">
        <f t="shared" ref="R9:R14" si="2">ROUND((O9*P9),2)</f>
        <v>82.62</v>
      </c>
      <c r="S9" s="17">
        <f t="shared" ref="S9:S14" si="3">ROUND((Q9*(O9*1.5)),2)</f>
        <v>0</v>
      </c>
    </row>
    <row r="10" spans="1:256" x14ac:dyDescent="0.3">
      <c r="A10" s="17" t="s">
        <v>529</v>
      </c>
      <c r="B10" s="17">
        <v>5032724</v>
      </c>
      <c r="C10" s="17" t="s">
        <v>12</v>
      </c>
      <c r="D10" s="18">
        <v>0</v>
      </c>
      <c r="E10" s="18">
        <v>0</v>
      </c>
      <c r="F10" s="18">
        <v>0</v>
      </c>
      <c r="G10" s="18">
        <v>8</v>
      </c>
      <c r="H10" s="18">
        <v>8</v>
      </c>
      <c r="I10" s="18">
        <v>8</v>
      </c>
      <c r="J10" s="18">
        <v>8</v>
      </c>
      <c r="K10" s="18">
        <v>32</v>
      </c>
      <c r="L10" s="17" t="s">
        <v>591</v>
      </c>
      <c r="N10" s="17" t="s">
        <v>738</v>
      </c>
      <c r="O10" s="17">
        <f>IF(ISERROR(VLOOKUP(B10,tblRates,2,FALSE)),0,VLOOKUP(B10,tblRates,2,FALSE))</f>
        <v>11.85</v>
      </c>
      <c r="P10" s="17">
        <f t="shared" si="0"/>
        <v>32</v>
      </c>
      <c r="Q10" s="17">
        <f t="shared" si="1"/>
        <v>0</v>
      </c>
      <c r="R10" s="17">
        <f t="shared" si="2"/>
        <v>379.2</v>
      </c>
      <c r="S10" s="17">
        <f t="shared" si="3"/>
        <v>0</v>
      </c>
    </row>
    <row r="11" spans="1:256" x14ac:dyDescent="0.3">
      <c r="A11" s="17" t="s">
        <v>685</v>
      </c>
      <c r="B11" s="17">
        <v>5039076</v>
      </c>
      <c r="C11" s="17" t="s">
        <v>12</v>
      </c>
      <c r="D11" s="18">
        <v>8.7200000000000006</v>
      </c>
      <c r="E11" s="18">
        <v>0</v>
      </c>
      <c r="F11" s="18">
        <v>0</v>
      </c>
      <c r="G11" s="18">
        <v>8.6199999999999992</v>
      </c>
      <c r="H11" s="18">
        <v>8.5</v>
      </c>
      <c r="I11" s="18">
        <v>8.8000000000000007</v>
      </c>
      <c r="J11" s="18">
        <v>9.83</v>
      </c>
      <c r="K11" s="18">
        <v>44.47</v>
      </c>
      <c r="N11" s="17" t="s">
        <v>738</v>
      </c>
      <c r="O11" s="17">
        <f>IF(ISERROR(VLOOKUP(B11,tblRates,2,FALSE)),0,VLOOKUP(B11,tblRates,2,FALSE))</f>
        <v>15.99</v>
      </c>
      <c r="P11" s="17">
        <f t="shared" si="0"/>
        <v>40</v>
      </c>
      <c r="Q11" s="17">
        <f t="shared" si="1"/>
        <v>4.4699999999999989</v>
      </c>
      <c r="R11" s="17">
        <f t="shared" si="2"/>
        <v>639.6</v>
      </c>
      <c r="S11" s="17">
        <f t="shared" si="3"/>
        <v>107.21</v>
      </c>
    </row>
    <row r="12" spans="1:256" x14ac:dyDescent="0.3">
      <c r="A12" s="17" t="s">
        <v>689</v>
      </c>
      <c r="B12" s="17">
        <v>5039859</v>
      </c>
      <c r="C12" s="17" t="s">
        <v>12</v>
      </c>
      <c r="D12" s="18">
        <v>0</v>
      </c>
      <c r="E12" s="18">
        <v>0</v>
      </c>
      <c r="F12" s="18">
        <v>0</v>
      </c>
      <c r="G12" s="18">
        <v>8.6999999999999993</v>
      </c>
      <c r="H12" s="18">
        <v>8.5</v>
      </c>
      <c r="I12" s="18">
        <v>8.5299999999999994</v>
      </c>
      <c r="J12" s="18">
        <v>8.73</v>
      </c>
      <c r="K12" s="18">
        <v>34.47</v>
      </c>
      <c r="L12" s="17" t="s">
        <v>704</v>
      </c>
      <c r="N12" s="17" t="s">
        <v>738</v>
      </c>
      <c r="O12" s="17">
        <f>IF(ISERROR(VLOOKUP(B12,tblRates,2,FALSE)),0,VLOOKUP(B12,tblRates,2,FALSE))</f>
        <v>14.48</v>
      </c>
      <c r="P12" s="17">
        <f t="shared" si="0"/>
        <v>34.47</v>
      </c>
      <c r="Q12" s="17">
        <f t="shared" si="1"/>
        <v>0</v>
      </c>
      <c r="R12" s="17">
        <f t="shared" si="2"/>
        <v>499.13</v>
      </c>
      <c r="S12" s="17">
        <f t="shared" si="3"/>
        <v>0</v>
      </c>
    </row>
    <row r="13" spans="1:256" x14ac:dyDescent="0.3">
      <c r="A13" s="17" t="s">
        <v>686</v>
      </c>
      <c r="B13" s="17">
        <v>5039451</v>
      </c>
      <c r="C13" s="17" t="s">
        <v>12</v>
      </c>
      <c r="D13" s="18">
        <v>8</v>
      </c>
      <c r="E13" s="18">
        <v>0</v>
      </c>
      <c r="F13" s="18">
        <v>0</v>
      </c>
      <c r="G13" s="18">
        <v>8</v>
      </c>
      <c r="H13" s="18">
        <v>8</v>
      </c>
      <c r="I13" s="18">
        <v>7.98</v>
      </c>
      <c r="J13" s="18">
        <v>7.25</v>
      </c>
      <c r="K13" s="18">
        <v>39.229999999999997</v>
      </c>
      <c r="N13" s="17" t="s">
        <v>738</v>
      </c>
      <c r="O13" s="17">
        <f>IF(ISERROR(VLOOKUP(B13,tblRates,2,FALSE)),0,VLOOKUP(B13,tblRates,2,FALSE))</f>
        <v>15.32</v>
      </c>
      <c r="P13" s="17">
        <f t="shared" si="0"/>
        <v>39.229999999999997</v>
      </c>
      <c r="Q13" s="17">
        <f t="shared" si="1"/>
        <v>0</v>
      </c>
      <c r="R13" s="17">
        <f t="shared" si="2"/>
        <v>601</v>
      </c>
      <c r="S13" s="17">
        <f t="shared" si="3"/>
        <v>0</v>
      </c>
    </row>
    <row r="14" spans="1:256" x14ac:dyDescent="0.3">
      <c r="A14" s="17" t="s">
        <v>462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O14" s="17">
        <f>IF(ISERROR(VLOOKUP(B14,tblRates,2,FALSE)),0,VLOOKUP(B14,tblRates,2,FALSE))</f>
        <v>0</v>
      </c>
      <c r="P14" s="17">
        <f t="shared" si="0"/>
        <v>0</v>
      </c>
      <c r="Q14" s="17">
        <f t="shared" si="1"/>
        <v>0</v>
      </c>
      <c r="R14" s="17">
        <f t="shared" si="2"/>
        <v>0</v>
      </c>
      <c r="S14" s="17">
        <f t="shared" si="3"/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topLeftCell="J1" zoomScale="75" zoomScaleNormal="75" workbookViewId="0">
      <selection activeCell="N12" sqref="N12"/>
    </sheetView>
  </sheetViews>
  <sheetFormatPr defaultColWidth="9.109375" defaultRowHeight="13.2" x14ac:dyDescent="0.25"/>
  <cols>
    <col min="1" max="10" width="15.6640625" style="30" customWidth="1"/>
    <col min="11" max="11" width="1.6640625" style="30" customWidth="1"/>
    <col min="12" max="12" width="15.6640625" style="30" customWidth="1"/>
    <col min="13" max="13" width="9.109375" style="30"/>
    <col min="14" max="14" width="11.44140625" style="30" bestFit="1" customWidth="1"/>
    <col min="15" max="15" width="8.6640625" style="30" bestFit="1" customWidth="1"/>
    <col min="16" max="16384" width="9.109375" style="30"/>
  </cols>
  <sheetData/>
  <phoneticPr fontId="2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V11"/>
  <sheetViews>
    <sheetView zoomScale="75" zoomScaleNormal="75" workbookViewId="0">
      <selection activeCell="Q4" sqref="Q4"/>
    </sheetView>
  </sheetViews>
  <sheetFormatPr defaultColWidth="9.109375" defaultRowHeight="14.4" x14ac:dyDescent="0.3"/>
  <cols>
    <col min="1" max="10" width="15.6640625" style="17" customWidth="1"/>
    <col min="11" max="11" width="1.6640625" style="17" customWidth="1"/>
    <col min="12" max="12" width="15.6640625" style="17" customWidth="1"/>
    <col min="13" max="13" width="9.109375" style="17"/>
    <col min="14" max="14" width="11.5546875" style="17" bestFit="1" customWidth="1"/>
    <col min="15" max="15" width="8.66406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151.03</v>
      </c>
      <c r="R1" s="17">
        <f>SUM(R9:R10000)</f>
        <v>151.03</v>
      </c>
      <c r="S1" s="17">
        <f>SUM(S9:S10000)</f>
        <v>0</v>
      </c>
      <c r="IV1"/>
    </row>
    <row r="2" spans="1:256" x14ac:dyDescent="0.3">
      <c r="A2" s="17" t="s">
        <v>687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688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O9" s="17">
        <f>IF(ISERROR(VLOOKUP(B9,tblRates,2,FALSE)),0,VLOOKUP(B9,tblRates,2,FALSE))</f>
        <v>0</v>
      </c>
      <c r="P9" s="17">
        <f>IF(K9&gt;40,40,K9)</f>
        <v>0</v>
      </c>
      <c r="Q9" s="17">
        <f>IF(K9&gt;40,K9-40,0)</f>
        <v>0</v>
      </c>
      <c r="R9" s="17">
        <f>ROUND((O9*P9),2)</f>
        <v>0</v>
      </c>
      <c r="S9" s="17">
        <f>ROUND((Q9*(O9*1.5)),2)</f>
        <v>0</v>
      </c>
    </row>
    <row r="10" spans="1:256" x14ac:dyDescent="0.3">
      <c r="A10" s="17" t="s">
        <v>689</v>
      </c>
      <c r="B10" s="17">
        <v>5039859</v>
      </c>
      <c r="C10" s="17" t="s">
        <v>12</v>
      </c>
      <c r="D10" s="18">
        <v>10.43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10.43</v>
      </c>
      <c r="N10" s="17" t="s">
        <v>738</v>
      </c>
      <c r="O10" s="17">
        <f>IF(ISERROR(VLOOKUP(B10,tblRates,2,FALSE)),0,VLOOKUP(B10,tblRates,2,FALSE))</f>
        <v>14.48</v>
      </c>
      <c r="P10" s="17">
        <f>IF(K10&gt;40,40,K10)</f>
        <v>10.43</v>
      </c>
      <c r="Q10" s="17">
        <f>IF(K10&gt;40,K10-40,0)</f>
        <v>0</v>
      </c>
      <c r="R10" s="17">
        <f>ROUND((O10*P10),2)</f>
        <v>151.03</v>
      </c>
      <c r="S10" s="17">
        <f>ROUND((Q10*(O10*1.5)),2)</f>
        <v>0</v>
      </c>
    </row>
    <row r="11" spans="1:256" x14ac:dyDescent="0.3">
      <c r="A11" s="17" t="s">
        <v>462</v>
      </c>
      <c r="D11" s="18">
        <v>0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O11" s="17">
        <f>IF(ISERROR(VLOOKUP(B11,tblRates,2,FALSE)),0,VLOOKUP(B11,tblRates,2,FALSE))</f>
        <v>0</v>
      </c>
      <c r="P11" s="17">
        <f>IF(K11&gt;40,40,K11)</f>
        <v>0</v>
      </c>
      <c r="Q11" s="17">
        <f>IF(K11&gt;40,K11-40,0)</f>
        <v>0</v>
      </c>
      <c r="R11" s="17">
        <f>ROUND((O11*P11),2)</f>
        <v>0</v>
      </c>
      <c r="S11" s="17">
        <f>ROUND((Q11*(O11*1.5)),2)</f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V15"/>
  <sheetViews>
    <sheetView zoomScale="75" zoomScaleNormal="75" workbookViewId="0">
      <selection activeCell="P23" sqref="P23"/>
    </sheetView>
  </sheetViews>
  <sheetFormatPr defaultColWidth="9.109375" defaultRowHeight="14.4" x14ac:dyDescent="0.3"/>
  <cols>
    <col min="1" max="10" width="15.6640625" style="17" customWidth="1"/>
    <col min="11" max="11" width="8.33203125" style="17" bestFit="1" customWidth="1"/>
    <col min="12" max="12" width="15.6640625" style="17" customWidth="1"/>
    <col min="13" max="13" width="9.109375" style="17"/>
    <col min="14" max="14" width="11.44140625" style="17" bestFit="1" customWidth="1"/>
    <col min="15" max="15" width="8.6640625" style="17" bestFit="1" customWidth="1"/>
    <col min="16" max="16384" width="9.109375" style="17"/>
  </cols>
  <sheetData>
    <row r="1" spans="1:256" x14ac:dyDescent="0.3">
      <c r="A1" s="17" t="s">
        <v>434</v>
      </c>
      <c r="N1" s="17">
        <f>SUM(R1,S1)</f>
        <v>396.03</v>
      </c>
      <c r="R1" s="17">
        <f>SUM(R9:R10000)</f>
        <v>396.03</v>
      </c>
      <c r="S1" s="17">
        <f>SUM(S9:S10000)</f>
        <v>0</v>
      </c>
      <c r="IV1"/>
    </row>
    <row r="2" spans="1:256" x14ac:dyDescent="0.3">
      <c r="A2" s="17" t="s">
        <v>690</v>
      </c>
      <c r="I2" s="17" t="s">
        <v>737</v>
      </c>
    </row>
    <row r="3" spans="1:256" x14ac:dyDescent="0.3">
      <c r="A3" s="17" t="s">
        <v>436</v>
      </c>
    </row>
    <row r="4" spans="1:256" x14ac:dyDescent="0.3">
      <c r="A4" s="17" t="s">
        <v>437</v>
      </c>
    </row>
    <row r="5" spans="1:256" x14ac:dyDescent="0.3">
      <c r="A5" s="17" t="s">
        <v>438</v>
      </c>
    </row>
    <row r="6" spans="1:256" x14ac:dyDescent="0.3">
      <c r="A6" s="17" t="s">
        <v>696</v>
      </c>
    </row>
    <row r="7" spans="1:256" x14ac:dyDescent="0.3">
      <c r="A7" s="17" t="s">
        <v>0</v>
      </c>
      <c r="B7" s="17" t="s">
        <v>439</v>
      </c>
      <c r="C7" s="17" t="s">
        <v>440</v>
      </c>
      <c r="D7" s="17" t="s">
        <v>441</v>
      </c>
      <c r="E7" s="17" t="s">
        <v>442</v>
      </c>
      <c r="F7" s="17" t="s">
        <v>443</v>
      </c>
      <c r="G7" s="17" t="s">
        <v>444</v>
      </c>
      <c r="H7" s="17" t="s">
        <v>445</v>
      </c>
      <c r="I7" s="17" t="s">
        <v>446</v>
      </c>
      <c r="J7" s="17" t="s">
        <v>1</v>
      </c>
      <c r="K7" s="17" t="s">
        <v>447</v>
      </c>
      <c r="L7" s="17" t="s">
        <v>11</v>
      </c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8" spans="1:256" x14ac:dyDescent="0.3">
      <c r="C8" s="17" t="s">
        <v>448</v>
      </c>
      <c r="D8" s="18">
        <v>40893</v>
      </c>
      <c r="E8" s="18">
        <v>40894</v>
      </c>
      <c r="F8" s="18">
        <v>40895</v>
      </c>
      <c r="G8" s="18">
        <v>40896</v>
      </c>
      <c r="H8" s="18">
        <v>40897</v>
      </c>
      <c r="I8" s="18">
        <v>40898</v>
      </c>
      <c r="J8" s="18">
        <v>40899</v>
      </c>
      <c r="K8" s="18">
        <v>0</v>
      </c>
    </row>
    <row r="9" spans="1:256" x14ac:dyDescent="0.3">
      <c r="A9" s="17" t="s">
        <v>691</v>
      </c>
      <c r="B9" s="17">
        <v>5038867</v>
      </c>
      <c r="C9" s="17" t="s">
        <v>12</v>
      </c>
      <c r="D9" s="18">
        <v>7.75</v>
      </c>
      <c r="E9" s="18">
        <v>0</v>
      </c>
      <c r="F9" s="18">
        <v>0</v>
      </c>
      <c r="G9" s="18">
        <v>7.75</v>
      </c>
      <c r="H9" s="18">
        <v>6.67</v>
      </c>
      <c r="I9" s="18">
        <v>6.72</v>
      </c>
      <c r="J9" s="18">
        <v>6.67</v>
      </c>
      <c r="K9" s="18">
        <v>35.549999999999997</v>
      </c>
      <c r="N9" s="17" t="s">
        <v>738</v>
      </c>
      <c r="O9" s="17">
        <f>IF(ISERROR(VLOOKUP(B9,tblRates,2,FALSE)),0,VLOOKUP(B9,tblRates,2,FALSE))</f>
        <v>11.14</v>
      </c>
      <c r="P9" s="17">
        <f>IF(K9&gt;40,40,K9)</f>
        <v>35.549999999999997</v>
      </c>
      <c r="Q9" s="17">
        <f>IF(K9&gt;40,K9-40,0)</f>
        <v>0</v>
      </c>
      <c r="R9" s="17">
        <f>ROUND((O9*P9),2)</f>
        <v>396.03</v>
      </c>
      <c r="S9" s="17">
        <f>ROUND((Q9*(O9*1.5)),2)</f>
        <v>0</v>
      </c>
    </row>
    <row r="10" spans="1:256" x14ac:dyDescent="0.3">
      <c r="A10" s="17" t="s">
        <v>462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O10" s="17">
        <f>IF(ISERROR(VLOOKUP(B10,tblRates,2,FALSE)),0,VLOOKUP(B10,tblRates,2,FALSE))</f>
        <v>0</v>
      </c>
      <c r="P10" s="17">
        <f>IF(K10&gt;40,40,K10)</f>
        <v>0</v>
      </c>
      <c r="Q10" s="17">
        <f>IF(K10&gt;40,K10-40,0)</f>
        <v>0</v>
      </c>
      <c r="R10" s="17">
        <f>ROUND((O10*P10),2)</f>
        <v>0</v>
      </c>
      <c r="S10" s="17">
        <f>ROUND((Q10*(O10*1.5)),2)</f>
        <v>0</v>
      </c>
    </row>
    <row r="11" spans="1:256" x14ac:dyDescent="0.3">
      <c r="D11" s="18"/>
      <c r="E11" s="18"/>
      <c r="F11" s="18"/>
      <c r="G11" s="18"/>
      <c r="H11" s="18"/>
      <c r="I11" s="18"/>
      <c r="J11" s="18"/>
      <c r="K11" s="18"/>
    </row>
    <row r="12" spans="1:256" x14ac:dyDescent="0.3">
      <c r="D12" s="18"/>
      <c r="E12" s="18"/>
      <c r="F12" s="18"/>
      <c r="G12" s="18"/>
      <c r="H12" s="18"/>
      <c r="I12" s="18"/>
      <c r="J12" s="18"/>
      <c r="K12" s="18"/>
    </row>
    <row r="13" spans="1:256" x14ac:dyDescent="0.3">
      <c r="D13" s="18"/>
      <c r="E13" s="18"/>
      <c r="F13" s="18"/>
      <c r="G13" s="18"/>
      <c r="H13" s="18"/>
      <c r="I13" s="18"/>
      <c r="J13" s="18"/>
      <c r="K13" s="18"/>
    </row>
    <row r="14" spans="1:256" x14ac:dyDescent="0.3">
      <c r="D14" s="18"/>
      <c r="E14" s="18"/>
      <c r="F14" s="18"/>
      <c r="G14" s="18"/>
      <c r="H14" s="18"/>
      <c r="I14" s="18"/>
      <c r="J14" s="18"/>
      <c r="K14" s="18"/>
    </row>
    <row r="15" spans="1:256" x14ac:dyDescent="0.3">
      <c r="D15" s="18"/>
      <c r="E15" s="18"/>
      <c r="F15" s="18"/>
      <c r="G15" s="18"/>
      <c r="H15" s="18"/>
      <c r="I15" s="18"/>
      <c r="J15" s="18"/>
      <c r="K15" s="18"/>
    </row>
  </sheetData>
  <phoneticPr fontId="2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455"/>
  <sheetViews>
    <sheetView topLeftCell="A85" zoomScale="75" zoomScaleNormal="75" workbookViewId="0">
      <selection sqref="A1:H127"/>
    </sheetView>
  </sheetViews>
  <sheetFormatPr defaultColWidth="9.109375" defaultRowHeight="14.4" x14ac:dyDescent="0.3"/>
  <cols>
    <col min="1" max="1" width="27.44140625" style="2" customWidth="1"/>
    <col min="2" max="2" width="22.88671875" style="2" bestFit="1" customWidth="1"/>
    <col min="3" max="5" width="7" style="2" bestFit="1" customWidth="1"/>
    <col min="6" max="7" width="8.109375" style="2" bestFit="1" customWidth="1"/>
    <col min="8" max="8" width="9.33203125" style="2" bestFit="1" customWidth="1"/>
    <col min="9" max="16384" width="9.109375" style="2"/>
  </cols>
  <sheetData>
    <row r="1" spans="1:8" x14ac:dyDescent="0.3">
      <c r="A1" s="2" t="s">
        <v>32</v>
      </c>
      <c r="B1" s="2" t="s">
        <v>738</v>
      </c>
      <c r="C1" s="2">
        <v>15.89</v>
      </c>
      <c r="D1" s="2">
        <v>8</v>
      </c>
      <c r="E1" s="2">
        <v>0</v>
      </c>
      <c r="F1" s="2">
        <v>127.12</v>
      </c>
      <c r="G1" s="2">
        <v>0</v>
      </c>
      <c r="H1" s="2">
        <v>135.12</v>
      </c>
    </row>
    <row r="2" spans="1:8" x14ac:dyDescent="0.3">
      <c r="A2" s="2" t="s">
        <v>32</v>
      </c>
      <c r="B2" s="2" t="s">
        <v>738</v>
      </c>
      <c r="C2" s="2">
        <v>10</v>
      </c>
      <c r="D2" s="2">
        <v>10.17</v>
      </c>
      <c r="E2" s="2">
        <v>0</v>
      </c>
      <c r="F2" s="2">
        <v>101.7</v>
      </c>
      <c r="G2" s="2">
        <v>0</v>
      </c>
      <c r="H2" s="2">
        <v>111.87</v>
      </c>
    </row>
    <row r="3" spans="1:8" x14ac:dyDescent="0.3">
      <c r="A3" s="2" t="s">
        <v>32</v>
      </c>
      <c r="B3" s="2" t="s">
        <v>738</v>
      </c>
      <c r="C3" s="2">
        <v>15.84</v>
      </c>
      <c r="D3" s="2">
        <v>31.43</v>
      </c>
      <c r="E3" s="2">
        <v>0</v>
      </c>
      <c r="F3" s="2">
        <v>497.85</v>
      </c>
      <c r="G3" s="2">
        <v>0</v>
      </c>
      <c r="H3" s="2">
        <v>529.28</v>
      </c>
    </row>
    <row r="4" spans="1:8" x14ac:dyDescent="0.3">
      <c r="A4" s="2" t="s">
        <v>32</v>
      </c>
      <c r="B4" s="2" t="s">
        <v>14</v>
      </c>
      <c r="C4" s="2">
        <v>15.84</v>
      </c>
      <c r="D4" s="2">
        <v>2</v>
      </c>
      <c r="E4" s="2">
        <v>0</v>
      </c>
      <c r="F4" s="2">
        <v>31.68</v>
      </c>
      <c r="G4" s="2">
        <v>0</v>
      </c>
      <c r="H4" s="2">
        <v>33.68</v>
      </c>
    </row>
    <row r="5" spans="1:8" x14ac:dyDescent="0.3">
      <c r="A5" s="2" t="s">
        <v>32</v>
      </c>
      <c r="B5" s="2" t="s">
        <v>738</v>
      </c>
      <c r="C5" s="2">
        <v>18</v>
      </c>
      <c r="D5" s="2">
        <v>39.9</v>
      </c>
      <c r="E5" s="2">
        <v>0</v>
      </c>
      <c r="F5" s="2">
        <v>718.2</v>
      </c>
      <c r="G5" s="2">
        <v>0</v>
      </c>
      <c r="H5" s="2">
        <v>758.1</v>
      </c>
    </row>
    <row r="6" spans="1:8" x14ac:dyDescent="0.3">
      <c r="A6" s="2" t="s">
        <v>32</v>
      </c>
      <c r="B6" s="2" t="s">
        <v>738</v>
      </c>
      <c r="C6" s="2">
        <v>14.78</v>
      </c>
      <c r="D6" s="2">
        <v>35.57</v>
      </c>
      <c r="E6" s="2">
        <v>0</v>
      </c>
      <c r="F6" s="2">
        <v>525.72</v>
      </c>
      <c r="G6" s="2">
        <v>0</v>
      </c>
      <c r="H6" s="2">
        <v>561.29000000000008</v>
      </c>
    </row>
    <row r="7" spans="1:8" x14ac:dyDescent="0.3">
      <c r="A7" s="2" t="s">
        <v>32</v>
      </c>
      <c r="B7" s="2" t="s">
        <v>738</v>
      </c>
      <c r="C7" s="2">
        <v>0</v>
      </c>
      <c r="D7" s="2">
        <v>15</v>
      </c>
      <c r="E7" s="2">
        <v>0</v>
      </c>
      <c r="F7" s="2">
        <v>0</v>
      </c>
      <c r="G7" s="2">
        <v>0</v>
      </c>
      <c r="H7" s="2">
        <v>15</v>
      </c>
    </row>
    <row r="8" spans="1:8" x14ac:dyDescent="0.3">
      <c r="A8" s="2" t="s">
        <v>32</v>
      </c>
      <c r="B8" s="2" t="s">
        <v>738</v>
      </c>
      <c r="C8" s="2">
        <v>15</v>
      </c>
      <c r="D8" s="2">
        <v>37</v>
      </c>
      <c r="E8" s="2">
        <v>0</v>
      </c>
      <c r="F8" s="2">
        <v>555</v>
      </c>
      <c r="G8" s="2">
        <v>0</v>
      </c>
      <c r="H8" s="2">
        <v>592</v>
      </c>
    </row>
    <row r="9" spans="1:8" x14ac:dyDescent="0.3">
      <c r="A9" s="2" t="s">
        <v>32</v>
      </c>
      <c r="B9" s="2" t="s">
        <v>738</v>
      </c>
      <c r="C9" s="2">
        <v>16.89</v>
      </c>
      <c r="D9" s="2">
        <v>26.73</v>
      </c>
      <c r="E9" s="2">
        <v>0</v>
      </c>
      <c r="F9" s="2">
        <v>451.47</v>
      </c>
      <c r="G9" s="2">
        <v>0</v>
      </c>
      <c r="H9" s="2">
        <v>478.20000000000005</v>
      </c>
    </row>
    <row r="10" spans="1:8" x14ac:dyDescent="0.3">
      <c r="A10" s="2" t="s">
        <v>32</v>
      </c>
      <c r="B10" s="2" t="s">
        <v>738</v>
      </c>
      <c r="C10" s="2">
        <v>13.37</v>
      </c>
      <c r="D10" s="2">
        <v>38.380000000000003</v>
      </c>
      <c r="E10" s="2">
        <v>0</v>
      </c>
      <c r="F10" s="2">
        <v>513.14</v>
      </c>
      <c r="G10" s="2">
        <v>0</v>
      </c>
      <c r="H10" s="2">
        <v>551.52</v>
      </c>
    </row>
    <row r="11" spans="1:8" x14ac:dyDescent="0.3">
      <c r="A11" s="2" t="s">
        <v>32</v>
      </c>
      <c r="B11" s="2" t="s">
        <v>738</v>
      </c>
      <c r="C11" s="2">
        <v>21.58</v>
      </c>
      <c r="D11" s="2">
        <v>39.549999999999997</v>
      </c>
      <c r="E11" s="2">
        <v>0</v>
      </c>
      <c r="F11" s="2">
        <v>853.49</v>
      </c>
      <c r="G11" s="2">
        <v>0</v>
      </c>
      <c r="H11" s="2">
        <v>893.04</v>
      </c>
    </row>
    <row r="12" spans="1:8" x14ac:dyDescent="0.3">
      <c r="A12" s="2" t="s">
        <v>34</v>
      </c>
      <c r="B12" s="2" t="s">
        <v>484</v>
      </c>
      <c r="C12" s="2">
        <v>11.12</v>
      </c>
      <c r="D12" s="2">
        <v>40</v>
      </c>
      <c r="E12" s="2">
        <v>0</v>
      </c>
      <c r="F12" s="2">
        <v>444.8</v>
      </c>
      <c r="G12" s="2">
        <v>0</v>
      </c>
      <c r="H12" s="2">
        <v>484.8</v>
      </c>
    </row>
    <row r="13" spans="1:8" x14ac:dyDescent="0.3">
      <c r="A13" s="2" t="s">
        <v>34</v>
      </c>
      <c r="B13" s="2" t="s">
        <v>738</v>
      </c>
      <c r="C13" s="2">
        <v>15.5</v>
      </c>
      <c r="D13" s="2">
        <v>20</v>
      </c>
      <c r="E13" s="2">
        <v>0</v>
      </c>
      <c r="F13" s="2">
        <v>310</v>
      </c>
      <c r="G13" s="2">
        <v>0</v>
      </c>
      <c r="H13" s="2">
        <v>330</v>
      </c>
    </row>
    <row r="14" spans="1:8" x14ac:dyDescent="0.3">
      <c r="A14" s="2" t="s">
        <v>35</v>
      </c>
      <c r="B14" s="2" t="s">
        <v>484</v>
      </c>
      <c r="C14" s="2">
        <v>11.14</v>
      </c>
      <c r="D14" s="2">
        <v>20</v>
      </c>
      <c r="E14" s="2">
        <v>0</v>
      </c>
      <c r="F14" s="2">
        <v>222.8</v>
      </c>
      <c r="G14" s="2">
        <v>0</v>
      </c>
      <c r="H14" s="2">
        <v>242.8</v>
      </c>
    </row>
    <row r="15" spans="1:8" x14ac:dyDescent="0.3">
      <c r="A15" s="2" t="s">
        <v>35</v>
      </c>
      <c r="B15" s="2" t="s">
        <v>738</v>
      </c>
      <c r="C15" s="2">
        <v>11.47</v>
      </c>
      <c r="D15" s="2">
        <v>7.75</v>
      </c>
      <c r="E15" s="2">
        <v>0</v>
      </c>
      <c r="F15" s="2">
        <v>88.89</v>
      </c>
      <c r="G15" s="2">
        <v>0</v>
      </c>
      <c r="H15" s="2">
        <v>96.64</v>
      </c>
    </row>
    <row r="16" spans="1:8" x14ac:dyDescent="0.3">
      <c r="A16" s="2" t="s">
        <v>35</v>
      </c>
      <c r="B16" s="2" t="s">
        <v>738</v>
      </c>
      <c r="C16" s="2">
        <v>10.3</v>
      </c>
      <c r="D16" s="2">
        <v>5.22</v>
      </c>
      <c r="E16" s="2">
        <v>0</v>
      </c>
      <c r="F16" s="2">
        <v>53.77</v>
      </c>
      <c r="G16" s="2">
        <v>0</v>
      </c>
      <c r="H16" s="2">
        <v>58.99</v>
      </c>
    </row>
    <row r="17" spans="1:8" x14ac:dyDescent="0.3">
      <c r="A17" s="2" t="s">
        <v>35</v>
      </c>
      <c r="B17" s="2" t="s">
        <v>738</v>
      </c>
      <c r="C17" s="2">
        <v>11.1</v>
      </c>
      <c r="D17" s="2">
        <v>37.979999999999997</v>
      </c>
      <c r="E17" s="2">
        <v>0</v>
      </c>
      <c r="F17" s="2">
        <v>421.58</v>
      </c>
      <c r="G17" s="2">
        <v>0</v>
      </c>
      <c r="H17" s="2">
        <v>459.56</v>
      </c>
    </row>
    <row r="18" spans="1:8" x14ac:dyDescent="0.3">
      <c r="A18" s="2" t="s">
        <v>35</v>
      </c>
      <c r="B18" s="2" t="s">
        <v>738</v>
      </c>
      <c r="C18" s="2">
        <v>16.77</v>
      </c>
      <c r="D18" s="2">
        <v>28.78</v>
      </c>
      <c r="E18" s="2">
        <v>0</v>
      </c>
      <c r="F18" s="2">
        <v>482.64</v>
      </c>
      <c r="G18" s="2">
        <v>0</v>
      </c>
      <c r="H18" s="2">
        <v>511.41999999999996</v>
      </c>
    </row>
    <row r="19" spans="1:8" x14ac:dyDescent="0.3">
      <c r="A19" s="2" t="s">
        <v>35</v>
      </c>
      <c r="B19" s="2" t="s">
        <v>738</v>
      </c>
      <c r="C19" s="2">
        <v>11.14</v>
      </c>
      <c r="D19" s="2">
        <v>7.02</v>
      </c>
      <c r="E19" s="2">
        <v>0</v>
      </c>
      <c r="F19" s="2">
        <v>78.2</v>
      </c>
      <c r="G19" s="2">
        <v>0</v>
      </c>
      <c r="H19" s="2">
        <v>85.22</v>
      </c>
    </row>
    <row r="20" spans="1:8" x14ac:dyDescent="0.3">
      <c r="A20" s="2" t="s">
        <v>35</v>
      </c>
      <c r="B20" s="2" t="s">
        <v>738</v>
      </c>
      <c r="C20" s="2">
        <v>10.3</v>
      </c>
      <c r="D20" s="2">
        <v>18.03</v>
      </c>
      <c r="E20" s="2">
        <v>0</v>
      </c>
      <c r="F20" s="2">
        <v>185.71</v>
      </c>
      <c r="G20" s="2">
        <v>0</v>
      </c>
      <c r="H20" s="2">
        <v>203.74</v>
      </c>
    </row>
    <row r="21" spans="1:8" x14ac:dyDescent="0.3">
      <c r="A21" s="2" t="s">
        <v>35</v>
      </c>
      <c r="B21" s="2" t="s">
        <v>738</v>
      </c>
      <c r="C21" s="2">
        <v>11.1</v>
      </c>
      <c r="D21" s="2">
        <v>7.35</v>
      </c>
      <c r="E21" s="2">
        <v>0</v>
      </c>
      <c r="F21" s="2">
        <v>81.59</v>
      </c>
      <c r="G21" s="2">
        <v>0</v>
      </c>
      <c r="H21" s="2">
        <v>88.94</v>
      </c>
    </row>
    <row r="22" spans="1:8" x14ac:dyDescent="0.3">
      <c r="A22" s="2" t="s">
        <v>35</v>
      </c>
      <c r="B22" s="2" t="s">
        <v>738</v>
      </c>
      <c r="C22" s="2">
        <v>11.85</v>
      </c>
      <c r="D22" s="2">
        <v>8.58</v>
      </c>
      <c r="E22" s="2">
        <v>0</v>
      </c>
      <c r="F22" s="2">
        <v>101.67</v>
      </c>
      <c r="G22" s="2">
        <v>0</v>
      </c>
      <c r="H22" s="2">
        <v>110.25</v>
      </c>
    </row>
    <row r="23" spans="1:8" x14ac:dyDescent="0.3">
      <c r="A23" s="2" t="s">
        <v>35</v>
      </c>
      <c r="B23" s="2" t="s">
        <v>738</v>
      </c>
      <c r="C23" s="2">
        <v>11.12</v>
      </c>
      <c r="D23" s="2">
        <v>18.920000000000002</v>
      </c>
      <c r="E23" s="2">
        <v>0</v>
      </c>
      <c r="F23" s="2">
        <v>210.39</v>
      </c>
      <c r="G23" s="2">
        <v>0</v>
      </c>
      <c r="H23" s="2">
        <v>229.31</v>
      </c>
    </row>
    <row r="24" spans="1:8" x14ac:dyDescent="0.3">
      <c r="A24" s="2" t="s">
        <v>35</v>
      </c>
      <c r="B24" s="2" t="s">
        <v>738</v>
      </c>
      <c r="C24" s="2">
        <v>13.38</v>
      </c>
      <c r="D24" s="2">
        <v>8.08</v>
      </c>
      <c r="E24" s="2">
        <v>0</v>
      </c>
      <c r="F24" s="2">
        <v>108.11</v>
      </c>
      <c r="G24" s="2">
        <v>0</v>
      </c>
      <c r="H24" s="2">
        <v>116.19</v>
      </c>
    </row>
    <row r="25" spans="1:8" x14ac:dyDescent="0.3">
      <c r="A25" s="2" t="s">
        <v>35</v>
      </c>
      <c r="B25" s="2" t="s">
        <v>738</v>
      </c>
      <c r="C25" s="2">
        <v>13.65</v>
      </c>
      <c r="D25" s="2">
        <v>38.07</v>
      </c>
      <c r="E25" s="2">
        <v>0</v>
      </c>
      <c r="F25" s="2">
        <v>519.66</v>
      </c>
      <c r="G25" s="2">
        <v>0</v>
      </c>
      <c r="H25" s="2">
        <v>557.73</v>
      </c>
    </row>
    <row r="26" spans="1:8" x14ac:dyDescent="0.3">
      <c r="A26" s="2" t="s">
        <v>35</v>
      </c>
      <c r="B26" s="2" t="s">
        <v>738</v>
      </c>
      <c r="C26" s="2">
        <v>11.4</v>
      </c>
      <c r="D26" s="2">
        <v>19.5</v>
      </c>
      <c r="E26" s="2">
        <v>0</v>
      </c>
      <c r="F26" s="2">
        <v>222.3</v>
      </c>
      <c r="G26" s="2">
        <v>0</v>
      </c>
      <c r="H26" s="2">
        <v>241.8</v>
      </c>
    </row>
    <row r="27" spans="1:8" x14ac:dyDescent="0.3">
      <c r="A27" s="2" t="s">
        <v>35</v>
      </c>
      <c r="B27" s="2" t="s">
        <v>738</v>
      </c>
      <c r="C27" s="2">
        <v>11.57</v>
      </c>
      <c r="D27" s="2">
        <v>8</v>
      </c>
      <c r="E27" s="2">
        <v>0</v>
      </c>
      <c r="F27" s="2">
        <v>92.56</v>
      </c>
      <c r="G27" s="2">
        <v>0</v>
      </c>
      <c r="H27" s="2">
        <v>100.56</v>
      </c>
    </row>
    <row r="28" spans="1:8" x14ac:dyDescent="0.3">
      <c r="A28" s="2" t="s">
        <v>35</v>
      </c>
      <c r="B28" s="2" t="s">
        <v>738</v>
      </c>
      <c r="C28" s="2">
        <v>10.3</v>
      </c>
      <c r="D28" s="2">
        <v>6.05</v>
      </c>
      <c r="E28" s="2">
        <v>0</v>
      </c>
      <c r="F28" s="2">
        <v>62.32</v>
      </c>
      <c r="G28" s="2">
        <v>0</v>
      </c>
      <c r="H28" s="2">
        <v>68.37</v>
      </c>
    </row>
    <row r="29" spans="1:8" x14ac:dyDescent="0.3">
      <c r="A29" s="2" t="s">
        <v>35</v>
      </c>
      <c r="B29" s="2" t="s">
        <v>738</v>
      </c>
      <c r="C29" s="2">
        <v>11.1</v>
      </c>
      <c r="D29" s="2">
        <v>6.52</v>
      </c>
      <c r="E29" s="2">
        <v>0</v>
      </c>
      <c r="F29" s="2">
        <v>72.37</v>
      </c>
      <c r="G29" s="2">
        <v>0</v>
      </c>
      <c r="H29" s="2">
        <v>78.89</v>
      </c>
    </row>
    <row r="30" spans="1:8" x14ac:dyDescent="0.3">
      <c r="A30" s="2" t="s">
        <v>35</v>
      </c>
      <c r="B30" s="2" t="s">
        <v>738</v>
      </c>
      <c r="C30" s="2">
        <v>17.84</v>
      </c>
      <c r="D30" s="2">
        <v>7.93</v>
      </c>
      <c r="E30" s="2">
        <v>0</v>
      </c>
      <c r="F30" s="2">
        <v>141.47</v>
      </c>
      <c r="G30" s="2">
        <v>0</v>
      </c>
      <c r="H30" s="2">
        <v>149.4</v>
      </c>
    </row>
    <row r="31" spans="1:8" x14ac:dyDescent="0.3">
      <c r="A31" s="2" t="s">
        <v>35</v>
      </c>
      <c r="B31" s="2" t="s">
        <v>738</v>
      </c>
      <c r="C31" s="2">
        <v>11.14</v>
      </c>
      <c r="D31" s="2">
        <v>7.5</v>
      </c>
      <c r="E31" s="2">
        <v>0</v>
      </c>
      <c r="F31" s="2">
        <v>83.55</v>
      </c>
      <c r="G31" s="2">
        <v>0</v>
      </c>
      <c r="H31" s="2">
        <v>91.05</v>
      </c>
    </row>
    <row r="32" spans="1:8" x14ac:dyDescent="0.3">
      <c r="A32" s="2" t="s">
        <v>35</v>
      </c>
      <c r="B32" s="2" t="s">
        <v>738</v>
      </c>
      <c r="C32" s="2">
        <v>11.12</v>
      </c>
      <c r="D32" s="2">
        <v>8.8699999999999992</v>
      </c>
      <c r="E32" s="2">
        <v>0</v>
      </c>
      <c r="F32" s="2">
        <v>98.63</v>
      </c>
      <c r="G32" s="2">
        <v>0</v>
      </c>
      <c r="H32" s="2">
        <v>107.5</v>
      </c>
    </row>
    <row r="33" spans="1:8" x14ac:dyDescent="0.3">
      <c r="A33" s="2" t="s">
        <v>35</v>
      </c>
      <c r="B33" s="2" t="s">
        <v>738</v>
      </c>
      <c r="C33" s="2">
        <v>12.48</v>
      </c>
      <c r="D33" s="2">
        <v>8.4</v>
      </c>
      <c r="E33" s="2">
        <v>0</v>
      </c>
      <c r="F33" s="2">
        <v>104.83</v>
      </c>
      <c r="G33" s="2">
        <v>0</v>
      </c>
      <c r="H33" s="2">
        <v>113.23</v>
      </c>
    </row>
    <row r="34" spans="1:8" x14ac:dyDescent="0.3">
      <c r="A34" s="2" t="s">
        <v>35</v>
      </c>
      <c r="B34" s="2" t="s">
        <v>738</v>
      </c>
      <c r="C34" s="2">
        <v>15.15</v>
      </c>
      <c r="D34" s="2">
        <v>40</v>
      </c>
      <c r="E34" s="2">
        <v>4.3699999999999974</v>
      </c>
      <c r="F34" s="2">
        <v>606</v>
      </c>
      <c r="G34" s="2">
        <v>99.31</v>
      </c>
      <c r="H34" s="2">
        <v>749.68000000000006</v>
      </c>
    </row>
    <row r="35" spans="1:8" x14ac:dyDescent="0.3">
      <c r="A35" s="2" t="s">
        <v>35</v>
      </c>
      <c r="B35" s="2" t="s">
        <v>738</v>
      </c>
      <c r="C35" s="2">
        <v>10.3</v>
      </c>
      <c r="D35" s="2">
        <v>7.02</v>
      </c>
      <c r="E35" s="2">
        <v>0</v>
      </c>
      <c r="F35" s="2">
        <v>72.31</v>
      </c>
      <c r="G35" s="2">
        <v>0</v>
      </c>
      <c r="H35" s="2">
        <v>79.33</v>
      </c>
    </row>
    <row r="36" spans="1:8" x14ac:dyDescent="0.3">
      <c r="A36" s="2" t="s">
        <v>35</v>
      </c>
      <c r="B36" s="2" t="s">
        <v>738</v>
      </c>
      <c r="C36" s="2">
        <v>11.15</v>
      </c>
      <c r="D36" s="2">
        <v>5.4</v>
      </c>
      <c r="E36" s="2">
        <v>0</v>
      </c>
      <c r="F36" s="2">
        <v>60.21</v>
      </c>
      <c r="G36" s="2">
        <v>0</v>
      </c>
      <c r="H36" s="2">
        <v>65.61</v>
      </c>
    </row>
    <row r="37" spans="1:8" x14ac:dyDescent="0.3">
      <c r="A37" s="2" t="s">
        <v>35</v>
      </c>
      <c r="B37" s="2" t="s">
        <v>738</v>
      </c>
      <c r="C37" s="2">
        <v>11.14</v>
      </c>
      <c r="D37" s="2">
        <v>6.73</v>
      </c>
      <c r="E37" s="2">
        <v>0</v>
      </c>
      <c r="F37" s="2">
        <v>74.97</v>
      </c>
      <c r="G37" s="2">
        <v>0</v>
      </c>
      <c r="H37" s="2">
        <v>81.7</v>
      </c>
    </row>
    <row r="38" spans="1:8" x14ac:dyDescent="0.3">
      <c r="A38" s="2" t="s">
        <v>35</v>
      </c>
      <c r="B38" s="2" t="s">
        <v>738</v>
      </c>
      <c r="C38" s="2">
        <v>11.14</v>
      </c>
      <c r="D38" s="2">
        <v>7.73</v>
      </c>
      <c r="E38" s="2">
        <v>0</v>
      </c>
      <c r="F38" s="2">
        <v>86.11</v>
      </c>
      <c r="G38" s="2">
        <v>0</v>
      </c>
      <c r="H38" s="2">
        <v>93.84</v>
      </c>
    </row>
    <row r="39" spans="1:8" x14ac:dyDescent="0.3">
      <c r="A39" s="2" t="s">
        <v>35</v>
      </c>
      <c r="B39" s="2" t="s">
        <v>738</v>
      </c>
      <c r="C39" s="2">
        <v>11.12</v>
      </c>
      <c r="D39" s="2">
        <v>7.75</v>
      </c>
      <c r="E39" s="2">
        <v>0</v>
      </c>
      <c r="F39" s="2">
        <v>86.18</v>
      </c>
      <c r="G39" s="2">
        <v>0</v>
      </c>
      <c r="H39" s="2">
        <v>93.93</v>
      </c>
    </row>
    <row r="40" spans="1:8" x14ac:dyDescent="0.3">
      <c r="A40" s="2" t="s">
        <v>35</v>
      </c>
      <c r="B40" s="2" t="s">
        <v>738</v>
      </c>
      <c r="C40" s="2">
        <v>10.3</v>
      </c>
      <c r="D40" s="2">
        <v>5.5</v>
      </c>
      <c r="E40" s="2">
        <v>0</v>
      </c>
      <c r="F40" s="2">
        <v>56.65</v>
      </c>
      <c r="G40" s="2">
        <v>0</v>
      </c>
      <c r="H40" s="2">
        <v>62.15</v>
      </c>
    </row>
    <row r="41" spans="1:8" x14ac:dyDescent="0.3">
      <c r="A41" s="2" t="s">
        <v>35</v>
      </c>
      <c r="B41" s="2" t="s">
        <v>738</v>
      </c>
      <c r="C41" s="2">
        <v>11.14</v>
      </c>
      <c r="D41" s="2">
        <v>8.93</v>
      </c>
      <c r="E41" s="2">
        <v>0</v>
      </c>
      <c r="F41" s="2">
        <v>99.48</v>
      </c>
      <c r="G41" s="2">
        <v>0</v>
      </c>
      <c r="H41" s="2">
        <v>108.41</v>
      </c>
    </row>
    <row r="42" spans="1:8" x14ac:dyDescent="0.3">
      <c r="A42" s="2" t="s">
        <v>35</v>
      </c>
      <c r="B42" s="2" t="s">
        <v>738</v>
      </c>
      <c r="C42" s="2">
        <v>11.14</v>
      </c>
      <c r="D42" s="2">
        <v>6.13</v>
      </c>
      <c r="E42" s="2">
        <v>0</v>
      </c>
      <c r="F42" s="2">
        <v>68.290000000000006</v>
      </c>
      <c r="G42" s="2">
        <v>0</v>
      </c>
      <c r="H42" s="2">
        <v>74.42</v>
      </c>
    </row>
    <row r="43" spans="1:8" x14ac:dyDescent="0.3">
      <c r="A43" s="2" t="s">
        <v>35</v>
      </c>
      <c r="B43" s="2" t="s">
        <v>738</v>
      </c>
      <c r="C43" s="2">
        <v>11.85</v>
      </c>
      <c r="D43" s="2">
        <v>21.43</v>
      </c>
      <c r="E43" s="2">
        <v>0</v>
      </c>
      <c r="F43" s="2">
        <v>253.95</v>
      </c>
      <c r="G43" s="2">
        <v>0</v>
      </c>
      <c r="H43" s="2">
        <v>275.38</v>
      </c>
    </row>
    <row r="44" spans="1:8" x14ac:dyDescent="0.3">
      <c r="A44" s="2" t="s">
        <v>35</v>
      </c>
      <c r="B44" s="2" t="s">
        <v>738</v>
      </c>
      <c r="C44" s="2">
        <v>11.28</v>
      </c>
      <c r="D44" s="2">
        <v>19.579999999999998</v>
      </c>
      <c r="E44" s="2">
        <v>0</v>
      </c>
      <c r="F44" s="2">
        <v>220.86</v>
      </c>
      <c r="G44" s="2">
        <v>0</v>
      </c>
      <c r="H44" s="2">
        <v>240.44</v>
      </c>
    </row>
    <row r="45" spans="1:8" x14ac:dyDescent="0.3">
      <c r="A45" s="2" t="s">
        <v>35</v>
      </c>
      <c r="B45" s="2" t="s">
        <v>738</v>
      </c>
      <c r="C45" s="2">
        <v>17.88</v>
      </c>
      <c r="D45" s="2">
        <v>7.83</v>
      </c>
      <c r="E45" s="2">
        <v>0</v>
      </c>
      <c r="F45" s="2">
        <v>140</v>
      </c>
      <c r="G45" s="2">
        <v>0</v>
      </c>
      <c r="H45" s="2">
        <v>147.83000000000001</v>
      </c>
    </row>
    <row r="46" spans="1:8" x14ac:dyDescent="0.3">
      <c r="A46" s="2" t="s">
        <v>35</v>
      </c>
      <c r="B46" s="2" t="s">
        <v>738</v>
      </c>
      <c r="C46" s="2">
        <v>16.73</v>
      </c>
      <c r="D46" s="2">
        <v>19.829999999999998</v>
      </c>
      <c r="E46" s="2">
        <v>0</v>
      </c>
      <c r="F46" s="2">
        <v>331.76</v>
      </c>
      <c r="G46" s="2">
        <v>0</v>
      </c>
      <c r="H46" s="2">
        <v>351.59</v>
      </c>
    </row>
    <row r="47" spans="1:8" x14ac:dyDescent="0.3">
      <c r="A47" s="2" t="s">
        <v>35</v>
      </c>
      <c r="B47" s="2" t="s">
        <v>738</v>
      </c>
      <c r="C47" s="2">
        <v>13.38</v>
      </c>
      <c r="D47" s="2">
        <v>16.7</v>
      </c>
      <c r="E47" s="2">
        <v>0</v>
      </c>
      <c r="F47" s="2">
        <v>223.45</v>
      </c>
      <c r="G47" s="2">
        <v>0</v>
      </c>
      <c r="H47" s="2">
        <v>240.14999999999998</v>
      </c>
    </row>
    <row r="48" spans="1:8" x14ac:dyDescent="0.3">
      <c r="A48" s="2" t="s">
        <v>35</v>
      </c>
      <c r="B48" s="2" t="s">
        <v>738</v>
      </c>
      <c r="C48" s="2">
        <v>17.940000000000001</v>
      </c>
      <c r="D48" s="2">
        <v>12.2</v>
      </c>
      <c r="E48" s="2">
        <v>0</v>
      </c>
      <c r="F48" s="2">
        <v>218.87</v>
      </c>
      <c r="G48" s="2">
        <v>0</v>
      </c>
      <c r="H48" s="2">
        <v>231.07</v>
      </c>
    </row>
    <row r="49" spans="1:8" x14ac:dyDescent="0.3">
      <c r="A49" s="2" t="s">
        <v>35</v>
      </c>
      <c r="B49" s="2" t="s">
        <v>738</v>
      </c>
      <c r="C49" s="2">
        <v>14.21</v>
      </c>
      <c r="D49" s="2">
        <v>7.83</v>
      </c>
      <c r="E49" s="2">
        <v>0</v>
      </c>
      <c r="F49" s="2">
        <v>111.26</v>
      </c>
      <c r="G49" s="2">
        <v>0</v>
      </c>
      <c r="H49" s="2">
        <v>119.09</v>
      </c>
    </row>
    <row r="50" spans="1:8" x14ac:dyDescent="0.3">
      <c r="A50" s="2" t="s">
        <v>35</v>
      </c>
      <c r="B50" s="2" t="s">
        <v>738</v>
      </c>
      <c r="C50" s="2">
        <v>11.98</v>
      </c>
      <c r="D50" s="2">
        <v>14.55</v>
      </c>
      <c r="E50" s="2">
        <v>0</v>
      </c>
      <c r="F50" s="2">
        <v>174.31</v>
      </c>
      <c r="G50" s="2">
        <v>0</v>
      </c>
      <c r="H50" s="2">
        <v>188.86</v>
      </c>
    </row>
    <row r="51" spans="1:8" x14ac:dyDescent="0.3">
      <c r="A51" s="2" t="s">
        <v>35</v>
      </c>
      <c r="B51" s="2" t="s">
        <v>738</v>
      </c>
      <c r="C51" s="2">
        <v>15.5</v>
      </c>
      <c r="D51" s="2">
        <v>8</v>
      </c>
      <c r="E51" s="2">
        <v>0</v>
      </c>
      <c r="F51" s="2">
        <v>124</v>
      </c>
      <c r="G51" s="2">
        <v>0</v>
      </c>
      <c r="H51" s="2">
        <v>132</v>
      </c>
    </row>
    <row r="52" spans="1:8" x14ac:dyDescent="0.3">
      <c r="A52" s="2" t="s">
        <v>35</v>
      </c>
      <c r="B52" s="2" t="s">
        <v>738</v>
      </c>
      <c r="C52" s="2">
        <v>11.12</v>
      </c>
      <c r="D52" s="2">
        <v>7.02</v>
      </c>
      <c r="E52" s="2">
        <v>0</v>
      </c>
      <c r="F52" s="2">
        <v>78.06</v>
      </c>
      <c r="G52" s="2">
        <v>0</v>
      </c>
      <c r="H52" s="2">
        <v>85.08</v>
      </c>
    </row>
    <row r="53" spans="1:8" x14ac:dyDescent="0.3">
      <c r="A53" s="2" t="s">
        <v>35</v>
      </c>
      <c r="B53" s="2" t="s">
        <v>738</v>
      </c>
      <c r="C53" s="2">
        <v>11.12</v>
      </c>
      <c r="D53" s="2">
        <v>9.77</v>
      </c>
      <c r="E53" s="2">
        <v>0</v>
      </c>
      <c r="F53" s="2">
        <v>108.64</v>
      </c>
      <c r="G53" s="2">
        <v>0</v>
      </c>
      <c r="H53" s="2">
        <v>118.41</v>
      </c>
    </row>
    <row r="54" spans="1:8" x14ac:dyDescent="0.3">
      <c r="A54" s="2" t="s">
        <v>35</v>
      </c>
      <c r="B54" s="2" t="s">
        <v>738</v>
      </c>
      <c r="C54" s="2">
        <v>11.1</v>
      </c>
      <c r="D54" s="2">
        <v>14.08</v>
      </c>
      <c r="E54" s="2">
        <v>0</v>
      </c>
      <c r="F54" s="2">
        <v>156.29</v>
      </c>
      <c r="G54" s="2">
        <v>0</v>
      </c>
      <c r="H54" s="2">
        <v>170.37</v>
      </c>
    </row>
    <row r="55" spans="1:8" x14ac:dyDescent="0.3">
      <c r="A55" s="2" t="s">
        <v>35</v>
      </c>
      <c r="B55" s="2" t="s">
        <v>738</v>
      </c>
      <c r="C55" s="2">
        <v>11.14</v>
      </c>
      <c r="D55" s="2">
        <v>6.97</v>
      </c>
      <c r="E55" s="2">
        <v>0</v>
      </c>
      <c r="F55" s="2">
        <v>77.650000000000006</v>
      </c>
      <c r="G55" s="2">
        <v>0</v>
      </c>
      <c r="H55" s="2">
        <v>84.62</v>
      </c>
    </row>
    <row r="56" spans="1:8" x14ac:dyDescent="0.3">
      <c r="A56" s="2" t="s">
        <v>35</v>
      </c>
      <c r="B56" s="2" t="s">
        <v>738</v>
      </c>
      <c r="C56" s="2">
        <v>12.3</v>
      </c>
      <c r="D56" s="2">
        <v>15.55</v>
      </c>
      <c r="E56" s="2">
        <v>0</v>
      </c>
      <c r="F56" s="2">
        <v>191.27</v>
      </c>
      <c r="G56" s="2">
        <v>0</v>
      </c>
      <c r="H56" s="2">
        <v>206.82000000000002</v>
      </c>
    </row>
    <row r="57" spans="1:8" x14ac:dyDescent="0.3">
      <c r="A57" s="2" t="s">
        <v>35</v>
      </c>
      <c r="B57" s="2" t="s">
        <v>738</v>
      </c>
      <c r="C57" s="2">
        <v>11.14</v>
      </c>
      <c r="D57" s="2">
        <v>7.23</v>
      </c>
      <c r="E57" s="2">
        <v>0</v>
      </c>
      <c r="F57" s="2">
        <v>80.540000000000006</v>
      </c>
      <c r="G57" s="2">
        <v>0</v>
      </c>
      <c r="H57" s="2">
        <v>87.77000000000001</v>
      </c>
    </row>
    <row r="58" spans="1:8" x14ac:dyDescent="0.3">
      <c r="A58" s="2" t="s">
        <v>35</v>
      </c>
      <c r="B58" s="2" t="s">
        <v>738</v>
      </c>
      <c r="C58" s="2">
        <v>10.3</v>
      </c>
      <c r="D58" s="2">
        <v>5.48</v>
      </c>
      <c r="E58" s="2">
        <v>0</v>
      </c>
      <c r="F58" s="2">
        <v>56.44</v>
      </c>
      <c r="G58" s="2">
        <v>0</v>
      </c>
      <c r="H58" s="2">
        <v>61.92</v>
      </c>
    </row>
    <row r="59" spans="1:8" x14ac:dyDescent="0.3">
      <c r="A59" s="2" t="s">
        <v>35</v>
      </c>
      <c r="B59" s="2" t="s">
        <v>738</v>
      </c>
      <c r="C59" s="2">
        <v>12.3</v>
      </c>
      <c r="D59" s="2">
        <v>19.55</v>
      </c>
      <c r="E59" s="2">
        <v>0</v>
      </c>
      <c r="F59" s="2">
        <v>240.47</v>
      </c>
      <c r="G59" s="2">
        <v>0</v>
      </c>
      <c r="H59" s="2">
        <v>260.02</v>
      </c>
    </row>
    <row r="60" spans="1:8" x14ac:dyDescent="0.3">
      <c r="A60" s="2" t="s">
        <v>35</v>
      </c>
      <c r="B60" s="2" t="s">
        <v>738</v>
      </c>
      <c r="C60" s="2">
        <v>11.14</v>
      </c>
      <c r="D60" s="2">
        <v>40</v>
      </c>
      <c r="E60" s="2">
        <v>1.8500000000000014</v>
      </c>
      <c r="F60" s="2">
        <v>445.6</v>
      </c>
      <c r="G60" s="2">
        <v>30.91</v>
      </c>
      <c r="H60" s="2">
        <v>518.36</v>
      </c>
    </row>
    <row r="61" spans="1:8" x14ac:dyDescent="0.3">
      <c r="A61" s="2" t="s">
        <v>35</v>
      </c>
      <c r="B61" s="2" t="s">
        <v>738</v>
      </c>
      <c r="C61" s="2">
        <v>10.3</v>
      </c>
      <c r="D61" s="2">
        <v>7</v>
      </c>
      <c r="E61" s="2">
        <v>0</v>
      </c>
      <c r="F61" s="2">
        <v>72.099999999999994</v>
      </c>
      <c r="G61" s="2">
        <v>0</v>
      </c>
      <c r="H61" s="2">
        <v>79.099999999999994</v>
      </c>
    </row>
    <row r="62" spans="1:8" x14ac:dyDescent="0.3">
      <c r="A62" s="2" t="s">
        <v>35</v>
      </c>
      <c r="B62" s="2" t="s">
        <v>738</v>
      </c>
      <c r="C62" s="2">
        <v>10.3</v>
      </c>
      <c r="D62" s="2">
        <v>18.48</v>
      </c>
      <c r="E62" s="2">
        <v>0</v>
      </c>
      <c r="F62" s="2">
        <v>190.34</v>
      </c>
      <c r="G62" s="2">
        <v>0</v>
      </c>
      <c r="H62" s="2">
        <v>208.82</v>
      </c>
    </row>
    <row r="63" spans="1:8" x14ac:dyDescent="0.3">
      <c r="A63" s="2" t="s">
        <v>35</v>
      </c>
      <c r="B63" s="2" t="s">
        <v>738</v>
      </c>
      <c r="C63" s="2">
        <v>11.12</v>
      </c>
      <c r="D63" s="2">
        <v>7.68</v>
      </c>
      <c r="E63" s="2">
        <v>0</v>
      </c>
      <c r="F63" s="2">
        <v>85.4</v>
      </c>
      <c r="G63" s="2">
        <v>0</v>
      </c>
      <c r="H63" s="2">
        <v>93.080000000000013</v>
      </c>
    </row>
    <row r="64" spans="1:8" x14ac:dyDescent="0.3">
      <c r="A64" s="2" t="s">
        <v>35</v>
      </c>
      <c r="B64" s="2" t="s">
        <v>738</v>
      </c>
      <c r="C64" s="2">
        <v>12.99</v>
      </c>
      <c r="D64" s="2">
        <v>22.4</v>
      </c>
      <c r="E64" s="2">
        <v>0</v>
      </c>
      <c r="F64" s="2">
        <v>290.98</v>
      </c>
      <c r="G64" s="2">
        <v>0</v>
      </c>
      <c r="H64" s="2">
        <v>313.38</v>
      </c>
    </row>
    <row r="65" spans="1:8" x14ac:dyDescent="0.3">
      <c r="A65" s="2" t="s">
        <v>35</v>
      </c>
      <c r="B65" s="2" t="s">
        <v>738</v>
      </c>
      <c r="C65" s="2">
        <v>12.2</v>
      </c>
      <c r="D65" s="2">
        <v>7.15</v>
      </c>
      <c r="E65" s="2">
        <v>0</v>
      </c>
      <c r="F65" s="2">
        <v>87.23</v>
      </c>
      <c r="G65" s="2">
        <v>0</v>
      </c>
      <c r="H65" s="2">
        <v>94.38000000000001</v>
      </c>
    </row>
    <row r="66" spans="1:8" x14ac:dyDescent="0.3">
      <c r="A66" s="2" t="s">
        <v>35</v>
      </c>
      <c r="B66" s="2" t="s">
        <v>738</v>
      </c>
      <c r="C66" s="2">
        <v>11.12</v>
      </c>
      <c r="D66" s="2">
        <v>8.0500000000000007</v>
      </c>
      <c r="E66" s="2">
        <v>0</v>
      </c>
      <c r="F66" s="2">
        <v>89.52</v>
      </c>
      <c r="G66" s="2">
        <v>0</v>
      </c>
      <c r="H66" s="2">
        <v>97.57</v>
      </c>
    </row>
    <row r="67" spans="1:8" x14ac:dyDescent="0.3">
      <c r="A67" s="2" t="s">
        <v>35</v>
      </c>
      <c r="B67" s="2" t="s">
        <v>738</v>
      </c>
      <c r="C67" s="2">
        <v>11.12</v>
      </c>
      <c r="D67" s="2">
        <v>8</v>
      </c>
      <c r="E67" s="2">
        <v>0</v>
      </c>
      <c r="F67" s="2">
        <v>88.96</v>
      </c>
      <c r="G67" s="2">
        <v>0</v>
      </c>
      <c r="H67" s="2">
        <v>96.96</v>
      </c>
    </row>
    <row r="68" spans="1:8" x14ac:dyDescent="0.3">
      <c r="A68" s="2" t="s">
        <v>36</v>
      </c>
      <c r="B68" s="2" t="s">
        <v>738</v>
      </c>
      <c r="C68" s="2">
        <v>10.3</v>
      </c>
      <c r="D68" s="2">
        <v>5.2</v>
      </c>
      <c r="E68" s="2">
        <v>0</v>
      </c>
      <c r="F68" s="2">
        <v>53.56</v>
      </c>
      <c r="G68" s="2">
        <v>0</v>
      </c>
      <c r="H68" s="2">
        <v>58.760000000000005</v>
      </c>
    </row>
    <row r="69" spans="1:8" x14ac:dyDescent="0.3">
      <c r="A69" s="2" t="s">
        <v>36</v>
      </c>
      <c r="B69" s="2" t="s">
        <v>738</v>
      </c>
      <c r="C69" s="2">
        <v>11.12</v>
      </c>
      <c r="D69" s="2">
        <v>6.92</v>
      </c>
      <c r="E69" s="2">
        <v>0</v>
      </c>
      <c r="F69" s="2">
        <v>76.95</v>
      </c>
      <c r="G69" s="2">
        <v>0</v>
      </c>
      <c r="H69" s="2">
        <v>83.87</v>
      </c>
    </row>
    <row r="70" spans="1:8" x14ac:dyDescent="0.3">
      <c r="A70" s="2" t="s">
        <v>37</v>
      </c>
      <c r="B70" s="2" t="s">
        <v>738</v>
      </c>
      <c r="C70" s="2">
        <v>11.12</v>
      </c>
      <c r="D70" s="2">
        <v>7.72</v>
      </c>
      <c r="E70" s="2">
        <v>0</v>
      </c>
      <c r="F70" s="2">
        <v>85.85</v>
      </c>
      <c r="G70" s="2">
        <v>0</v>
      </c>
      <c r="H70" s="2">
        <v>93.57</v>
      </c>
    </row>
    <row r="71" spans="1:8" x14ac:dyDescent="0.3">
      <c r="A71" s="2" t="s">
        <v>37</v>
      </c>
      <c r="B71" s="2" t="s">
        <v>738</v>
      </c>
      <c r="C71" s="2">
        <v>11.14</v>
      </c>
      <c r="D71" s="2">
        <v>6.97</v>
      </c>
      <c r="E71" s="2">
        <v>0</v>
      </c>
      <c r="F71" s="2">
        <v>77.650000000000006</v>
      </c>
      <c r="G71" s="2">
        <v>0</v>
      </c>
      <c r="H71" s="2">
        <v>84.62</v>
      </c>
    </row>
    <row r="72" spans="1:8" x14ac:dyDescent="0.3">
      <c r="A72" s="2" t="s">
        <v>37</v>
      </c>
      <c r="B72" s="2" t="s">
        <v>738</v>
      </c>
      <c r="C72" s="2">
        <v>11.1</v>
      </c>
      <c r="D72" s="2">
        <v>7.75</v>
      </c>
      <c r="E72" s="2">
        <v>0</v>
      </c>
      <c r="F72" s="2">
        <v>86.03</v>
      </c>
      <c r="G72" s="2">
        <v>0</v>
      </c>
      <c r="H72" s="2">
        <v>93.78</v>
      </c>
    </row>
    <row r="73" spans="1:8" x14ac:dyDescent="0.3">
      <c r="A73" s="2" t="s">
        <v>37</v>
      </c>
      <c r="B73" s="2" t="s">
        <v>738</v>
      </c>
      <c r="C73" s="2">
        <v>11.14</v>
      </c>
      <c r="D73" s="2">
        <v>18.600000000000001</v>
      </c>
      <c r="E73" s="2">
        <v>0</v>
      </c>
      <c r="F73" s="2">
        <v>207.2</v>
      </c>
      <c r="G73" s="2">
        <v>0</v>
      </c>
      <c r="H73" s="2">
        <v>225.79999999999998</v>
      </c>
    </row>
    <row r="74" spans="1:8" x14ac:dyDescent="0.3">
      <c r="A74" s="2" t="s">
        <v>39</v>
      </c>
      <c r="B74" s="2" t="s">
        <v>738</v>
      </c>
      <c r="C74" s="2">
        <v>11.91</v>
      </c>
      <c r="D74" s="2">
        <v>33.270000000000003</v>
      </c>
      <c r="E74" s="2">
        <v>0</v>
      </c>
      <c r="F74" s="2">
        <v>396.25</v>
      </c>
      <c r="G74" s="2">
        <v>0</v>
      </c>
      <c r="H74" s="2">
        <v>429.52</v>
      </c>
    </row>
    <row r="75" spans="1:8" x14ac:dyDescent="0.3">
      <c r="A75" s="2" t="s">
        <v>39</v>
      </c>
      <c r="B75" s="2" t="s">
        <v>14</v>
      </c>
      <c r="C75" s="2">
        <v>11.91</v>
      </c>
      <c r="D75" s="2">
        <v>6</v>
      </c>
      <c r="E75" s="2">
        <v>0</v>
      </c>
      <c r="F75" s="2">
        <v>71.459999999999994</v>
      </c>
      <c r="G75" s="2">
        <v>0</v>
      </c>
      <c r="H75" s="2">
        <v>77.459999999999994</v>
      </c>
    </row>
    <row r="76" spans="1:8" x14ac:dyDescent="0.3">
      <c r="A76" s="2" t="s">
        <v>39</v>
      </c>
      <c r="B76" s="2" t="s">
        <v>738</v>
      </c>
      <c r="C76" s="2">
        <v>24.04</v>
      </c>
      <c r="D76" s="2">
        <v>30.87</v>
      </c>
      <c r="E76" s="2">
        <v>0</v>
      </c>
      <c r="F76" s="2">
        <v>742.11</v>
      </c>
      <c r="G76" s="2">
        <v>0</v>
      </c>
      <c r="H76" s="2">
        <v>772.98</v>
      </c>
    </row>
    <row r="77" spans="1:8" x14ac:dyDescent="0.3">
      <c r="A77" s="2" t="s">
        <v>39</v>
      </c>
      <c r="B77" s="2" t="s">
        <v>738</v>
      </c>
      <c r="C77" s="2">
        <v>15.29</v>
      </c>
      <c r="D77" s="2">
        <v>24.43</v>
      </c>
      <c r="E77" s="2">
        <v>0</v>
      </c>
      <c r="F77" s="2">
        <v>373.53</v>
      </c>
      <c r="G77" s="2">
        <v>0</v>
      </c>
      <c r="H77" s="2">
        <v>397.96</v>
      </c>
    </row>
    <row r="78" spans="1:8" x14ac:dyDescent="0.3">
      <c r="A78" s="2" t="s">
        <v>39</v>
      </c>
      <c r="B78" s="2" t="s">
        <v>738</v>
      </c>
      <c r="C78" s="2">
        <v>14.27</v>
      </c>
      <c r="D78" s="2">
        <v>30.43</v>
      </c>
      <c r="E78" s="2">
        <v>0</v>
      </c>
      <c r="F78" s="2">
        <v>434.24</v>
      </c>
      <c r="G78" s="2">
        <v>0</v>
      </c>
      <c r="H78" s="2">
        <v>464.67</v>
      </c>
    </row>
    <row r="79" spans="1:8" x14ac:dyDescent="0.3">
      <c r="A79" s="2" t="s">
        <v>39</v>
      </c>
      <c r="B79" s="2" t="s">
        <v>738</v>
      </c>
      <c r="C79" s="2">
        <v>12.5</v>
      </c>
      <c r="D79" s="2">
        <v>7.75</v>
      </c>
      <c r="E79" s="2">
        <v>0</v>
      </c>
      <c r="F79" s="2">
        <v>96.88</v>
      </c>
      <c r="G79" s="2">
        <v>0</v>
      </c>
      <c r="H79" s="2">
        <v>104.63</v>
      </c>
    </row>
    <row r="80" spans="1:8" x14ac:dyDescent="0.3">
      <c r="A80" s="2" t="s">
        <v>39</v>
      </c>
      <c r="B80" s="2" t="s">
        <v>738</v>
      </c>
      <c r="C80" s="2">
        <v>15.89</v>
      </c>
      <c r="D80" s="2">
        <v>40</v>
      </c>
      <c r="E80" s="2">
        <v>4.2999999999999972</v>
      </c>
      <c r="F80" s="2">
        <v>635.6</v>
      </c>
      <c r="G80" s="2">
        <v>102.49</v>
      </c>
      <c r="H80" s="2">
        <v>782.39</v>
      </c>
    </row>
    <row r="81" spans="1:8" x14ac:dyDescent="0.3">
      <c r="A81" s="2" t="s">
        <v>39</v>
      </c>
      <c r="B81" s="2" t="s">
        <v>738</v>
      </c>
      <c r="C81" s="2">
        <v>14.08</v>
      </c>
      <c r="D81" s="2">
        <v>37.9</v>
      </c>
      <c r="E81" s="2">
        <v>0</v>
      </c>
      <c r="F81" s="2">
        <v>533.63</v>
      </c>
      <c r="G81" s="2">
        <v>0</v>
      </c>
      <c r="H81" s="2">
        <v>571.53</v>
      </c>
    </row>
    <row r="82" spans="1:8" x14ac:dyDescent="0.3">
      <c r="A82" s="2" t="s">
        <v>39</v>
      </c>
      <c r="B82" s="2" t="s">
        <v>738</v>
      </c>
      <c r="C82" s="2">
        <v>11.5</v>
      </c>
      <c r="D82" s="2">
        <v>31.03</v>
      </c>
      <c r="E82" s="2">
        <v>0</v>
      </c>
      <c r="F82" s="2">
        <v>356.85</v>
      </c>
      <c r="G82" s="2">
        <v>0</v>
      </c>
      <c r="H82" s="2">
        <v>387.88</v>
      </c>
    </row>
    <row r="83" spans="1:8" x14ac:dyDescent="0.3">
      <c r="A83" s="2" t="s">
        <v>39</v>
      </c>
      <c r="B83" s="2" t="s">
        <v>738</v>
      </c>
      <c r="C83" s="2">
        <v>11.5</v>
      </c>
      <c r="D83" s="2">
        <v>30.32</v>
      </c>
      <c r="E83" s="2">
        <v>0</v>
      </c>
      <c r="F83" s="2">
        <v>348.68</v>
      </c>
      <c r="G83" s="2">
        <v>0</v>
      </c>
      <c r="H83" s="2">
        <v>379</v>
      </c>
    </row>
    <row r="84" spans="1:8" x14ac:dyDescent="0.3">
      <c r="A84" s="2" t="s">
        <v>39</v>
      </c>
      <c r="B84" s="2" t="s">
        <v>738</v>
      </c>
      <c r="C84" s="2">
        <v>13.21</v>
      </c>
      <c r="D84" s="2">
        <v>11.4</v>
      </c>
      <c r="E84" s="2">
        <v>0</v>
      </c>
      <c r="F84" s="2">
        <v>150.59</v>
      </c>
      <c r="G84" s="2">
        <v>0</v>
      </c>
      <c r="H84" s="2">
        <v>161.99</v>
      </c>
    </row>
    <row r="85" spans="1:8" x14ac:dyDescent="0.3">
      <c r="A85" s="2" t="s">
        <v>39</v>
      </c>
      <c r="B85" s="2" t="s">
        <v>738</v>
      </c>
      <c r="C85" s="2">
        <v>14</v>
      </c>
      <c r="D85" s="2">
        <v>18.43</v>
      </c>
      <c r="E85" s="2">
        <v>0</v>
      </c>
      <c r="F85" s="2">
        <v>258.02</v>
      </c>
      <c r="G85" s="2">
        <v>0</v>
      </c>
      <c r="H85" s="2">
        <v>276.45</v>
      </c>
    </row>
    <row r="86" spans="1:8" x14ac:dyDescent="0.3">
      <c r="A86" s="2" t="s">
        <v>39</v>
      </c>
      <c r="B86" s="2" t="s">
        <v>738</v>
      </c>
      <c r="C86" s="2">
        <v>15.15</v>
      </c>
      <c r="D86" s="2">
        <v>29.53</v>
      </c>
      <c r="E86" s="2">
        <v>0</v>
      </c>
      <c r="F86" s="2">
        <v>447.38</v>
      </c>
      <c r="G86" s="2">
        <v>0</v>
      </c>
      <c r="H86" s="2">
        <v>476.90999999999997</v>
      </c>
    </row>
    <row r="87" spans="1:8" x14ac:dyDescent="0.3">
      <c r="A87" s="2" t="s">
        <v>39</v>
      </c>
      <c r="B87" s="2" t="s">
        <v>14</v>
      </c>
      <c r="C87" s="2">
        <v>15.15</v>
      </c>
      <c r="D87" s="2">
        <v>8</v>
      </c>
      <c r="E87" s="2">
        <v>0</v>
      </c>
      <c r="F87" s="2">
        <v>121.2</v>
      </c>
      <c r="G87" s="2">
        <v>0</v>
      </c>
      <c r="H87" s="2">
        <v>129.19999999999999</v>
      </c>
    </row>
    <row r="88" spans="1:8" x14ac:dyDescent="0.3">
      <c r="A88" s="2" t="s">
        <v>41</v>
      </c>
      <c r="B88" s="2" t="s">
        <v>484</v>
      </c>
      <c r="C88" s="2">
        <v>12.4</v>
      </c>
      <c r="D88" s="2">
        <v>28</v>
      </c>
      <c r="E88" s="2">
        <v>0</v>
      </c>
      <c r="F88" s="2">
        <v>347.2</v>
      </c>
      <c r="G88" s="2">
        <v>0</v>
      </c>
      <c r="H88" s="2">
        <v>375.2</v>
      </c>
    </row>
    <row r="89" spans="1:8" x14ac:dyDescent="0.3">
      <c r="A89" s="2" t="s">
        <v>42</v>
      </c>
      <c r="B89" s="2" t="s">
        <v>738</v>
      </c>
      <c r="C89" s="2">
        <v>11.14</v>
      </c>
      <c r="D89" s="2">
        <v>7.75</v>
      </c>
      <c r="E89" s="2">
        <v>0</v>
      </c>
      <c r="F89" s="2">
        <v>86.34</v>
      </c>
      <c r="G89" s="2">
        <v>0</v>
      </c>
      <c r="H89" s="2">
        <v>94.09</v>
      </c>
    </row>
    <row r="90" spans="1:8" x14ac:dyDescent="0.3">
      <c r="A90" s="2" t="s">
        <v>42</v>
      </c>
      <c r="B90" s="2" t="s">
        <v>738</v>
      </c>
      <c r="C90" s="2">
        <v>13.81</v>
      </c>
      <c r="D90" s="2">
        <v>2.0499999999999998</v>
      </c>
      <c r="E90" s="2">
        <v>0</v>
      </c>
      <c r="F90" s="2">
        <v>28.31</v>
      </c>
      <c r="G90" s="2">
        <v>0</v>
      </c>
      <c r="H90" s="2">
        <v>30.36</v>
      </c>
    </row>
    <row r="91" spans="1:8" x14ac:dyDescent="0.3">
      <c r="A91" s="2" t="s">
        <v>43</v>
      </c>
      <c r="B91" s="2" t="s">
        <v>738</v>
      </c>
      <c r="C91" s="2">
        <v>13.72</v>
      </c>
      <c r="D91" s="2">
        <v>6.65</v>
      </c>
      <c r="E91" s="2">
        <v>0</v>
      </c>
      <c r="F91" s="2">
        <v>91.24</v>
      </c>
      <c r="G91" s="2">
        <v>0</v>
      </c>
      <c r="H91" s="2">
        <v>97.89</v>
      </c>
    </row>
    <row r="92" spans="1:8" x14ac:dyDescent="0.3">
      <c r="A92" s="2" t="s">
        <v>43</v>
      </c>
      <c r="B92" s="2" t="s">
        <v>738</v>
      </c>
      <c r="C92" s="2">
        <v>11.1</v>
      </c>
      <c r="D92" s="2">
        <v>6.7</v>
      </c>
      <c r="E92" s="2">
        <v>0</v>
      </c>
      <c r="F92" s="2">
        <v>74.37</v>
      </c>
      <c r="G92" s="2">
        <v>0</v>
      </c>
      <c r="H92" s="2">
        <v>81.070000000000007</v>
      </c>
    </row>
    <row r="93" spans="1:8" x14ac:dyDescent="0.3">
      <c r="A93" s="2" t="s">
        <v>43</v>
      </c>
      <c r="B93" s="2" t="s">
        <v>738</v>
      </c>
      <c r="C93" s="2">
        <v>11.14</v>
      </c>
      <c r="D93" s="2">
        <v>7.92</v>
      </c>
      <c r="E93" s="2">
        <v>0</v>
      </c>
      <c r="F93" s="2">
        <v>88.23</v>
      </c>
      <c r="G93" s="2">
        <v>0</v>
      </c>
      <c r="H93" s="2">
        <v>96.15</v>
      </c>
    </row>
    <row r="94" spans="1:8" x14ac:dyDescent="0.3">
      <c r="A94" s="2" t="s">
        <v>43</v>
      </c>
      <c r="B94" s="2" t="s">
        <v>738</v>
      </c>
      <c r="C94" s="2">
        <v>11.24</v>
      </c>
      <c r="D94" s="2">
        <v>21.92</v>
      </c>
      <c r="E94" s="2">
        <v>0</v>
      </c>
      <c r="F94" s="2">
        <v>246.38</v>
      </c>
      <c r="G94" s="2">
        <v>0</v>
      </c>
      <c r="H94" s="2">
        <v>268.3</v>
      </c>
    </row>
    <row r="95" spans="1:8" x14ac:dyDescent="0.3">
      <c r="A95" s="2" t="s">
        <v>43</v>
      </c>
      <c r="B95" s="2" t="s">
        <v>738</v>
      </c>
      <c r="C95" s="2">
        <v>11.14</v>
      </c>
      <c r="D95" s="2">
        <v>7.9</v>
      </c>
      <c r="E95" s="2">
        <v>0</v>
      </c>
      <c r="F95" s="2">
        <v>88.01</v>
      </c>
      <c r="G95" s="2">
        <v>0</v>
      </c>
      <c r="H95" s="2">
        <v>95.910000000000011</v>
      </c>
    </row>
    <row r="96" spans="1:8" x14ac:dyDescent="0.3">
      <c r="A96" s="2" t="s">
        <v>44</v>
      </c>
      <c r="B96" s="2" t="s">
        <v>738</v>
      </c>
      <c r="C96" s="2">
        <v>12.15</v>
      </c>
      <c r="D96" s="2">
        <v>4.43</v>
      </c>
      <c r="E96" s="2">
        <v>0</v>
      </c>
      <c r="F96" s="2">
        <v>53.82</v>
      </c>
      <c r="G96" s="2">
        <v>0</v>
      </c>
      <c r="H96" s="2">
        <v>58.25</v>
      </c>
    </row>
    <row r="97" spans="1:8" x14ac:dyDescent="0.3">
      <c r="A97" s="2" t="s">
        <v>44</v>
      </c>
      <c r="B97" s="2" t="s">
        <v>14</v>
      </c>
      <c r="C97" s="2">
        <v>12.15</v>
      </c>
      <c r="D97" s="2">
        <v>22.5</v>
      </c>
      <c r="E97" s="2">
        <v>0</v>
      </c>
      <c r="F97" s="2">
        <v>273.38</v>
      </c>
      <c r="G97" s="2">
        <v>0</v>
      </c>
      <c r="H97" s="2">
        <v>295.88</v>
      </c>
    </row>
    <row r="98" spans="1:8" x14ac:dyDescent="0.3">
      <c r="A98" s="2" t="s">
        <v>44</v>
      </c>
      <c r="B98" s="2" t="s">
        <v>738</v>
      </c>
      <c r="C98" s="2">
        <v>11.12</v>
      </c>
      <c r="D98" s="2">
        <v>4.5199999999999996</v>
      </c>
      <c r="E98" s="2">
        <v>0</v>
      </c>
      <c r="F98" s="2">
        <v>50.26</v>
      </c>
      <c r="G98" s="2">
        <v>0</v>
      </c>
      <c r="H98" s="2">
        <v>54.78</v>
      </c>
    </row>
    <row r="99" spans="1:8" x14ac:dyDescent="0.3">
      <c r="A99" s="2" t="s">
        <v>44</v>
      </c>
      <c r="B99" s="2" t="s">
        <v>738</v>
      </c>
      <c r="C99" s="2">
        <v>15.38</v>
      </c>
      <c r="D99" s="2">
        <v>19.07</v>
      </c>
      <c r="E99" s="2">
        <v>0</v>
      </c>
      <c r="F99" s="2">
        <v>293.3</v>
      </c>
      <c r="G99" s="2">
        <v>0</v>
      </c>
      <c r="H99" s="2">
        <v>312.37</v>
      </c>
    </row>
    <row r="100" spans="1:8" x14ac:dyDescent="0.3">
      <c r="A100" s="2" t="s">
        <v>44</v>
      </c>
      <c r="B100" s="2" t="s">
        <v>738</v>
      </c>
      <c r="C100" s="2">
        <v>13.07</v>
      </c>
      <c r="D100" s="2">
        <v>4</v>
      </c>
      <c r="E100" s="2">
        <v>0</v>
      </c>
      <c r="F100" s="2">
        <v>52.28</v>
      </c>
      <c r="G100" s="2">
        <v>0</v>
      </c>
      <c r="H100" s="2">
        <v>56.28</v>
      </c>
    </row>
    <row r="101" spans="1:8" x14ac:dyDescent="0.3">
      <c r="A101" s="2" t="s">
        <v>44</v>
      </c>
      <c r="B101" s="2" t="s">
        <v>738</v>
      </c>
      <c r="C101" s="2">
        <v>11.12</v>
      </c>
      <c r="D101" s="2">
        <v>5.93</v>
      </c>
      <c r="E101" s="2">
        <v>0</v>
      </c>
      <c r="F101" s="2">
        <v>65.94</v>
      </c>
      <c r="G101" s="2">
        <v>0</v>
      </c>
      <c r="H101" s="2">
        <v>71.87</v>
      </c>
    </row>
    <row r="102" spans="1:8" x14ac:dyDescent="0.3">
      <c r="A102" s="2" t="s">
        <v>45</v>
      </c>
      <c r="B102" s="2" t="s">
        <v>738</v>
      </c>
      <c r="C102" s="2">
        <v>15.43</v>
      </c>
      <c r="D102" s="2">
        <v>40</v>
      </c>
      <c r="E102" s="2">
        <v>0.79999999999999716</v>
      </c>
      <c r="F102" s="2">
        <v>617.20000000000005</v>
      </c>
      <c r="G102" s="2">
        <v>18.52</v>
      </c>
      <c r="H102" s="2">
        <v>676.52</v>
      </c>
    </row>
    <row r="103" spans="1:8" x14ac:dyDescent="0.3">
      <c r="A103" s="2" t="s">
        <v>45</v>
      </c>
      <c r="B103" s="2" t="s">
        <v>738</v>
      </c>
      <c r="C103" s="2">
        <v>11.85</v>
      </c>
      <c r="D103" s="2">
        <v>29.98</v>
      </c>
      <c r="E103" s="2">
        <v>0</v>
      </c>
      <c r="F103" s="2">
        <v>355.26</v>
      </c>
      <c r="G103" s="2">
        <v>0</v>
      </c>
      <c r="H103" s="2">
        <v>385.24</v>
      </c>
    </row>
    <row r="104" spans="1:8" x14ac:dyDescent="0.3">
      <c r="A104" s="2" t="s">
        <v>45</v>
      </c>
      <c r="B104" s="2" t="s">
        <v>738</v>
      </c>
      <c r="C104" s="2">
        <v>15.38</v>
      </c>
      <c r="D104" s="2">
        <v>15</v>
      </c>
      <c r="E104" s="2">
        <v>0</v>
      </c>
      <c r="F104" s="2">
        <v>230.7</v>
      </c>
      <c r="G104" s="2">
        <v>0</v>
      </c>
      <c r="H104" s="2">
        <v>245.7</v>
      </c>
    </row>
    <row r="105" spans="1:8" x14ac:dyDescent="0.3">
      <c r="A105" s="2" t="s">
        <v>45</v>
      </c>
      <c r="B105" s="2" t="s">
        <v>738</v>
      </c>
      <c r="C105" s="2">
        <v>11.14</v>
      </c>
      <c r="D105" s="2">
        <v>7.7</v>
      </c>
      <c r="E105" s="2">
        <v>0</v>
      </c>
      <c r="F105" s="2">
        <v>85.78</v>
      </c>
      <c r="G105" s="2">
        <v>0</v>
      </c>
      <c r="H105" s="2">
        <v>93.48</v>
      </c>
    </row>
    <row r="106" spans="1:8" x14ac:dyDescent="0.3">
      <c r="A106" s="2" t="s">
        <v>45</v>
      </c>
      <c r="B106" s="2" t="s">
        <v>738</v>
      </c>
      <c r="C106" s="2">
        <v>12.15</v>
      </c>
      <c r="D106" s="2">
        <v>34.869999999999997</v>
      </c>
      <c r="E106" s="2">
        <v>0</v>
      </c>
      <c r="F106" s="2">
        <v>423.67</v>
      </c>
      <c r="G106" s="2">
        <v>0</v>
      </c>
      <c r="H106" s="2">
        <v>458.54</v>
      </c>
    </row>
    <row r="107" spans="1:8" x14ac:dyDescent="0.3">
      <c r="A107" s="2" t="s">
        <v>45</v>
      </c>
      <c r="B107" s="2" t="s">
        <v>738</v>
      </c>
      <c r="C107" s="2">
        <v>11.14</v>
      </c>
      <c r="D107" s="2">
        <v>4.62</v>
      </c>
      <c r="E107" s="2">
        <v>0</v>
      </c>
      <c r="F107" s="2">
        <v>51.47</v>
      </c>
      <c r="G107" s="2">
        <v>0</v>
      </c>
      <c r="H107" s="2">
        <v>56.089999999999996</v>
      </c>
    </row>
    <row r="108" spans="1:8" x14ac:dyDescent="0.3">
      <c r="A108" s="2" t="s">
        <v>46</v>
      </c>
      <c r="B108" s="2" t="s">
        <v>484</v>
      </c>
      <c r="C108" s="2">
        <v>11.12</v>
      </c>
      <c r="D108" s="2">
        <v>32</v>
      </c>
      <c r="E108" s="2">
        <v>0</v>
      </c>
      <c r="F108" s="2">
        <v>355.84</v>
      </c>
      <c r="G108" s="2">
        <v>0</v>
      </c>
      <c r="H108" s="2">
        <v>387.84</v>
      </c>
    </row>
    <row r="109" spans="1:8" x14ac:dyDescent="0.3">
      <c r="A109" s="2" t="s">
        <v>47</v>
      </c>
      <c r="B109" s="2" t="s">
        <v>738</v>
      </c>
      <c r="C109" s="2">
        <v>11.85</v>
      </c>
      <c r="D109" s="2">
        <v>35.07</v>
      </c>
      <c r="E109" s="2">
        <v>0</v>
      </c>
      <c r="F109" s="2">
        <v>415.58</v>
      </c>
      <c r="G109" s="2">
        <v>0</v>
      </c>
      <c r="H109" s="2">
        <v>450.65</v>
      </c>
    </row>
    <row r="110" spans="1:8" x14ac:dyDescent="0.3">
      <c r="A110" s="2" t="s">
        <v>47</v>
      </c>
      <c r="B110" s="2" t="s">
        <v>738</v>
      </c>
      <c r="C110" s="2">
        <v>15.38</v>
      </c>
      <c r="D110" s="2">
        <v>40</v>
      </c>
      <c r="E110" s="2">
        <v>3.4200000000000017</v>
      </c>
      <c r="F110" s="2">
        <v>615.20000000000005</v>
      </c>
      <c r="G110" s="2">
        <v>78.900000000000006</v>
      </c>
      <c r="H110" s="2">
        <v>737.52</v>
      </c>
    </row>
    <row r="111" spans="1:8" x14ac:dyDescent="0.3">
      <c r="A111" s="2" t="s">
        <v>47</v>
      </c>
      <c r="B111" s="2" t="s">
        <v>738</v>
      </c>
      <c r="C111" s="2">
        <v>11.12</v>
      </c>
      <c r="D111" s="2">
        <v>34.6</v>
      </c>
      <c r="E111" s="2">
        <v>0</v>
      </c>
      <c r="F111" s="2">
        <v>384.75</v>
      </c>
      <c r="G111" s="2">
        <v>0</v>
      </c>
      <c r="H111" s="2">
        <v>419.35</v>
      </c>
    </row>
    <row r="112" spans="1:8" x14ac:dyDescent="0.3">
      <c r="A112" s="2" t="s">
        <v>47</v>
      </c>
      <c r="B112" s="2" t="s">
        <v>738</v>
      </c>
      <c r="C112" s="2">
        <v>11.1</v>
      </c>
      <c r="D112" s="2">
        <v>21.17</v>
      </c>
      <c r="E112" s="2">
        <v>0</v>
      </c>
      <c r="F112" s="2">
        <v>234.99</v>
      </c>
      <c r="G112" s="2">
        <v>0</v>
      </c>
      <c r="H112" s="2">
        <v>256.16000000000003</v>
      </c>
    </row>
    <row r="113" spans="1:8" x14ac:dyDescent="0.3">
      <c r="A113" s="2" t="s">
        <v>47</v>
      </c>
      <c r="B113" s="2" t="s">
        <v>738</v>
      </c>
      <c r="C113" s="2">
        <v>11.24</v>
      </c>
      <c r="D113" s="2">
        <v>35.369999999999997</v>
      </c>
      <c r="E113" s="2">
        <v>0</v>
      </c>
      <c r="F113" s="2">
        <v>397.56</v>
      </c>
      <c r="G113" s="2">
        <v>0</v>
      </c>
      <c r="H113" s="2">
        <v>432.93</v>
      </c>
    </row>
    <row r="114" spans="1:8" x14ac:dyDescent="0.3">
      <c r="A114" s="2" t="s">
        <v>47</v>
      </c>
      <c r="B114" s="2" t="s">
        <v>738</v>
      </c>
      <c r="C114" s="2">
        <v>11.12</v>
      </c>
      <c r="D114" s="2">
        <v>31.67</v>
      </c>
      <c r="E114" s="2">
        <v>0</v>
      </c>
      <c r="F114" s="2">
        <v>352.17</v>
      </c>
      <c r="G114" s="2">
        <v>0</v>
      </c>
      <c r="H114" s="2">
        <v>383.84000000000003</v>
      </c>
    </row>
    <row r="115" spans="1:8" x14ac:dyDescent="0.3">
      <c r="A115" s="2" t="s">
        <v>47</v>
      </c>
      <c r="B115" s="2" t="s">
        <v>738</v>
      </c>
      <c r="C115" s="2">
        <v>11.85</v>
      </c>
      <c r="D115" s="2">
        <v>36.75</v>
      </c>
      <c r="E115" s="2">
        <v>0</v>
      </c>
      <c r="F115" s="2">
        <v>435.49</v>
      </c>
      <c r="G115" s="2">
        <v>0</v>
      </c>
      <c r="H115" s="2">
        <v>472.24</v>
      </c>
    </row>
    <row r="116" spans="1:8" x14ac:dyDescent="0.3">
      <c r="A116" s="2" t="s">
        <v>47</v>
      </c>
      <c r="B116" s="2" t="s">
        <v>738</v>
      </c>
      <c r="C116" s="2">
        <v>10.3</v>
      </c>
      <c r="D116" s="2">
        <v>24.45</v>
      </c>
      <c r="E116" s="2">
        <v>0</v>
      </c>
      <c r="F116" s="2">
        <v>251.84</v>
      </c>
      <c r="G116" s="2">
        <v>0</v>
      </c>
      <c r="H116" s="2">
        <v>276.29000000000002</v>
      </c>
    </row>
    <row r="117" spans="1:8" x14ac:dyDescent="0.3">
      <c r="A117" s="2" t="s">
        <v>48</v>
      </c>
      <c r="B117" s="2" t="s">
        <v>738</v>
      </c>
      <c r="C117" s="2">
        <v>11.14</v>
      </c>
      <c r="D117" s="2">
        <v>5.83</v>
      </c>
      <c r="E117" s="2">
        <v>0</v>
      </c>
      <c r="F117" s="2">
        <v>64.95</v>
      </c>
      <c r="G117" s="2">
        <v>0</v>
      </c>
      <c r="H117" s="2">
        <v>70.78</v>
      </c>
    </row>
    <row r="118" spans="1:8" x14ac:dyDescent="0.3">
      <c r="A118" s="2" t="s">
        <v>48</v>
      </c>
      <c r="B118" s="2" t="s">
        <v>738</v>
      </c>
      <c r="C118" s="2">
        <v>12.03</v>
      </c>
      <c r="D118" s="2">
        <v>12.62</v>
      </c>
      <c r="E118" s="2">
        <v>0</v>
      </c>
      <c r="F118" s="2">
        <v>151.82</v>
      </c>
      <c r="G118" s="2">
        <v>0</v>
      </c>
      <c r="H118" s="2">
        <v>164.44</v>
      </c>
    </row>
    <row r="119" spans="1:8" x14ac:dyDescent="0.3">
      <c r="A119" s="2" t="s">
        <v>48</v>
      </c>
      <c r="B119" s="2" t="s">
        <v>738</v>
      </c>
      <c r="C119" s="2">
        <v>12.03</v>
      </c>
      <c r="D119" s="2">
        <v>8</v>
      </c>
      <c r="E119" s="2">
        <v>0</v>
      </c>
      <c r="F119" s="2">
        <v>96.24</v>
      </c>
      <c r="G119" s="2">
        <v>0</v>
      </c>
      <c r="H119" s="2">
        <v>104.24</v>
      </c>
    </row>
    <row r="120" spans="1:8" x14ac:dyDescent="0.3">
      <c r="A120" s="2" t="s">
        <v>49</v>
      </c>
      <c r="B120" s="2" t="s">
        <v>738</v>
      </c>
      <c r="C120" s="2">
        <v>11.24</v>
      </c>
      <c r="D120" s="2">
        <v>12.02</v>
      </c>
      <c r="E120" s="2">
        <v>0</v>
      </c>
      <c r="F120" s="2">
        <v>135.1</v>
      </c>
      <c r="G120" s="2">
        <v>0</v>
      </c>
      <c r="H120" s="2">
        <v>147.12</v>
      </c>
    </row>
    <row r="121" spans="1:8" x14ac:dyDescent="0.3">
      <c r="A121" s="2" t="s">
        <v>50</v>
      </c>
      <c r="B121" s="2" t="s">
        <v>738</v>
      </c>
      <c r="C121" s="2">
        <v>11.12</v>
      </c>
      <c r="D121" s="2">
        <v>7.43</v>
      </c>
      <c r="E121" s="2">
        <v>0</v>
      </c>
      <c r="F121" s="2">
        <v>82.62</v>
      </c>
      <c r="G121" s="2">
        <v>0</v>
      </c>
      <c r="H121" s="2">
        <v>90.050000000000011</v>
      </c>
    </row>
    <row r="122" spans="1:8" x14ac:dyDescent="0.3">
      <c r="A122" s="2" t="s">
        <v>50</v>
      </c>
      <c r="B122" s="2" t="s">
        <v>738</v>
      </c>
      <c r="C122" s="2">
        <v>11.85</v>
      </c>
      <c r="D122" s="2">
        <v>32</v>
      </c>
      <c r="E122" s="2">
        <v>0</v>
      </c>
      <c r="F122" s="2">
        <v>379.2</v>
      </c>
      <c r="G122" s="2">
        <v>0</v>
      </c>
      <c r="H122" s="2">
        <v>411.2</v>
      </c>
    </row>
    <row r="123" spans="1:8" x14ac:dyDescent="0.3">
      <c r="A123" s="2" t="s">
        <v>50</v>
      </c>
      <c r="B123" s="2" t="s">
        <v>738</v>
      </c>
      <c r="C123" s="2">
        <v>15.99</v>
      </c>
      <c r="D123" s="2">
        <v>40</v>
      </c>
      <c r="E123" s="2">
        <v>4.4699999999999989</v>
      </c>
      <c r="F123" s="2">
        <v>639.6</v>
      </c>
      <c r="G123" s="2">
        <v>107.21</v>
      </c>
      <c r="H123" s="2">
        <v>791.28000000000009</v>
      </c>
    </row>
    <row r="124" spans="1:8" x14ac:dyDescent="0.3">
      <c r="A124" s="2" t="s">
        <v>50</v>
      </c>
      <c r="B124" s="2" t="s">
        <v>738</v>
      </c>
      <c r="C124" s="2">
        <v>14.48</v>
      </c>
      <c r="D124" s="2">
        <v>34.47</v>
      </c>
      <c r="E124" s="2">
        <v>0</v>
      </c>
      <c r="F124" s="2">
        <v>499.13</v>
      </c>
      <c r="G124" s="2">
        <v>0</v>
      </c>
      <c r="H124" s="2">
        <v>533.6</v>
      </c>
    </row>
    <row r="125" spans="1:8" x14ac:dyDescent="0.3">
      <c r="A125" s="2" t="s">
        <v>50</v>
      </c>
      <c r="B125" s="2" t="s">
        <v>738</v>
      </c>
      <c r="C125" s="2">
        <v>15.32</v>
      </c>
      <c r="D125" s="2">
        <v>39.229999999999997</v>
      </c>
      <c r="E125" s="2">
        <v>0</v>
      </c>
      <c r="F125" s="2">
        <v>601</v>
      </c>
      <c r="G125" s="2">
        <v>0</v>
      </c>
      <c r="H125" s="2">
        <v>640.23</v>
      </c>
    </row>
    <row r="126" spans="1:8" x14ac:dyDescent="0.3">
      <c r="A126" s="2" t="s">
        <v>52</v>
      </c>
      <c r="B126" s="2" t="s">
        <v>738</v>
      </c>
      <c r="C126" s="2">
        <v>14.48</v>
      </c>
      <c r="D126" s="2">
        <v>10.43</v>
      </c>
      <c r="E126" s="2">
        <v>0</v>
      </c>
      <c r="F126" s="2">
        <v>151.03</v>
      </c>
      <c r="G126" s="2">
        <v>0</v>
      </c>
      <c r="H126" s="2">
        <v>161.46</v>
      </c>
    </row>
    <row r="127" spans="1:8" x14ac:dyDescent="0.3">
      <c r="A127" s="2" t="s">
        <v>53</v>
      </c>
      <c r="B127" s="2" t="s">
        <v>738</v>
      </c>
      <c r="C127" s="2">
        <v>11.14</v>
      </c>
      <c r="D127" s="2">
        <v>35.549999999999997</v>
      </c>
      <c r="E127" s="2">
        <v>0</v>
      </c>
      <c r="F127" s="2">
        <v>396.03</v>
      </c>
      <c r="G127" s="2">
        <v>0</v>
      </c>
      <c r="H127" s="2">
        <v>431.58</v>
      </c>
    </row>
    <row r="455" ht="13.5" customHeight="1" x14ac:dyDescent="0.3"/>
  </sheetData>
  <phoneticPr fontId="2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J980"/>
  <sheetViews>
    <sheetView zoomScale="75" zoomScaleNormal="75" workbookViewId="0">
      <selection activeCell="N36" sqref="N36"/>
    </sheetView>
  </sheetViews>
  <sheetFormatPr defaultColWidth="9.109375" defaultRowHeight="14.4" x14ac:dyDescent="0.3"/>
  <cols>
    <col min="1" max="1" width="27.44140625" style="2" customWidth="1"/>
    <col min="2" max="2" width="22.88671875" style="2" bestFit="1" customWidth="1"/>
    <col min="3" max="5" width="7" style="2" bestFit="1" customWidth="1"/>
    <col min="6" max="7" width="8.109375" style="2" bestFit="1" customWidth="1"/>
    <col min="8" max="8" width="9.33203125" style="2" bestFit="1" customWidth="1"/>
    <col min="9" max="16384" width="9.109375" style="2"/>
  </cols>
  <sheetData>
    <row r="1" spans="1:10" x14ac:dyDescent="0.3">
      <c r="A1" s="2" t="s">
        <v>32</v>
      </c>
      <c r="B1" s="2" t="s">
        <v>738</v>
      </c>
      <c r="C1" s="2">
        <v>15.89</v>
      </c>
      <c r="D1" s="2">
        <v>8</v>
      </c>
      <c r="E1" s="2">
        <v>0</v>
      </c>
      <c r="F1" s="2">
        <v>127.12</v>
      </c>
      <c r="G1" s="2">
        <v>0</v>
      </c>
      <c r="H1" s="2">
        <v>135.12</v>
      </c>
    </row>
    <row r="2" spans="1:10" x14ac:dyDescent="0.3">
      <c r="A2" s="2" t="s">
        <v>32</v>
      </c>
      <c r="B2" s="2" t="s">
        <v>738</v>
      </c>
      <c r="C2" s="2">
        <v>10</v>
      </c>
      <c r="D2" s="2">
        <v>10.17</v>
      </c>
      <c r="E2" s="2">
        <v>0</v>
      </c>
      <c r="F2" s="2">
        <v>101.7</v>
      </c>
      <c r="G2" s="2">
        <v>0</v>
      </c>
      <c r="H2" s="2">
        <v>111.87</v>
      </c>
    </row>
    <row r="3" spans="1:10" x14ac:dyDescent="0.3">
      <c r="A3" s="2" t="s">
        <v>32</v>
      </c>
      <c r="B3" s="2" t="s">
        <v>738</v>
      </c>
      <c r="C3" s="2">
        <v>15.84</v>
      </c>
      <c r="D3" s="2">
        <v>31.43</v>
      </c>
      <c r="E3" s="2">
        <v>0</v>
      </c>
      <c r="F3" s="2">
        <v>497.85</v>
      </c>
      <c r="G3" s="2">
        <v>0</v>
      </c>
      <c r="H3" s="2">
        <v>529.28</v>
      </c>
    </row>
    <row r="4" spans="1:10" x14ac:dyDescent="0.3">
      <c r="A4" s="2" t="s">
        <v>32</v>
      </c>
      <c r="B4" s="2" t="s">
        <v>14</v>
      </c>
      <c r="C4" s="2">
        <v>15.84</v>
      </c>
      <c r="D4" s="2">
        <v>2</v>
      </c>
      <c r="E4" s="2">
        <v>0</v>
      </c>
      <c r="F4" s="2">
        <v>31.68</v>
      </c>
      <c r="G4" s="2">
        <v>0</v>
      </c>
      <c r="H4" s="2">
        <v>33.68</v>
      </c>
    </row>
    <row r="5" spans="1:10" x14ac:dyDescent="0.3">
      <c r="A5" s="2" t="s">
        <v>32</v>
      </c>
      <c r="B5" s="2" t="s">
        <v>738</v>
      </c>
      <c r="C5" s="2">
        <v>18</v>
      </c>
      <c r="D5" s="2">
        <v>39.9</v>
      </c>
      <c r="E5" s="2">
        <v>0</v>
      </c>
      <c r="F5" s="2">
        <v>718.2</v>
      </c>
      <c r="G5" s="2">
        <v>0</v>
      </c>
      <c r="H5" s="2">
        <v>758.1</v>
      </c>
    </row>
    <row r="6" spans="1:10" x14ac:dyDescent="0.3">
      <c r="A6" s="2" t="s">
        <v>32</v>
      </c>
      <c r="B6" s="2" t="s">
        <v>738</v>
      </c>
      <c r="C6" s="2">
        <v>14.78</v>
      </c>
      <c r="D6" s="2">
        <v>35.57</v>
      </c>
      <c r="E6" s="2">
        <v>0</v>
      </c>
      <c r="F6" s="2">
        <v>525.72</v>
      </c>
      <c r="G6" s="2">
        <v>0</v>
      </c>
      <c r="H6" s="2">
        <v>561.29000000000008</v>
      </c>
    </row>
    <row r="7" spans="1:10" x14ac:dyDescent="0.3">
      <c r="A7" s="2" t="s">
        <v>32</v>
      </c>
      <c r="B7" s="2" t="s">
        <v>738</v>
      </c>
      <c r="C7" s="2">
        <v>0</v>
      </c>
      <c r="D7" s="2">
        <v>15</v>
      </c>
      <c r="E7" s="2">
        <v>0</v>
      </c>
      <c r="F7" s="2">
        <v>0</v>
      </c>
      <c r="G7" s="2">
        <v>0</v>
      </c>
      <c r="H7" s="2">
        <v>15</v>
      </c>
    </row>
    <row r="8" spans="1:10" x14ac:dyDescent="0.3">
      <c r="A8" s="2" t="s">
        <v>32</v>
      </c>
      <c r="B8" s="2" t="s">
        <v>738</v>
      </c>
      <c r="C8" s="2">
        <v>15</v>
      </c>
      <c r="D8" s="2">
        <v>37</v>
      </c>
      <c r="E8" s="2">
        <v>0</v>
      </c>
      <c r="F8" s="2">
        <v>555</v>
      </c>
      <c r="G8" s="2">
        <v>0</v>
      </c>
      <c r="H8" s="2">
        <v>592</v>
      </c>
    </row>
    <row r="9" spans="1:10" x14ac:dyDescent="0.3">
      <c r="A9" s="2" t="s">
        <v>32</v>
      </c>
      <c r="B9" s="2" t="s">
        <v>738</v>
      </c>
      <c r="C9" s="2">
        <v>16.89</v>
      </c>
      <c r="D9" s="2">
        <v>26.73</v>
      </c>
      <c r="E9" s="2">
        <v>0</v>
      </c>
      <c r="F9" s="2">
        <v>451.47</v>
      </c>
      <c r="G9" s="2">
        <v>0</v>
      </c>
      <c r="H9" s="2">
        <v>478.20000000000005</v>
      </c>
    </row>
    <row r="10" spans="1:10" x14ac:dyDescent="0.3">
      <c r="A10" s="2" t="s">
        <v>32</v>
      </c>
      <c r="B10" s="2" t="s">
        <v>738</v>
      </c>
      <c r="C10" s="2">
        <v>13.37</v>
      </c>
      <c r="D10" s="2">
        <v>38.380000000000003</v>
      </c>
      <c r="E10" s="2">
        <v>0</v>
      </c>
      <c r="F10" s="2">
        <v>513.14</v>
      </c>
      <c r="G10" s="2">
        <v>0</v>
      </c>
      <c r="H10" s="2">
        <v>551.52</v>
      </c>
    </row>
    <row r="11" spans="1:10" x14ac:dyDescent="0.3">
      <c r="A11" s="2" t="s">
        <v>32</v>
      </c>
      <c r="B11" s="2" t="s">
        <v>738</v>
      </c>
      <c r="C11" s="2">
        <v>21.58</v>
      </c>
      <c r="D11" s="2">
        <v>39.549999999999997</v>
      </c>
      <c r="E11" s="2">
        <v>0</v>
      </c>
      <c r="F11" s="2">
        <v>853.49</v>
      </c>
      <c r="G11" s="2">
        <v>0</v>
      </c>
      <c r="H11" s="2">
        <v>893.04</v>
      </c>
    </row>
    <row r="12" spans="1:10" x14ac:dyDescent="0.3">
      <c r="A12" s="2" t="s">
        <v>34</v>
      </c>
      <c r="B12" s="2" t="s">
        <v>484</v>
      </c>
      <c r="C12" s="2">
        <v>11.12</v>
      </c>
      <c r="D12" s="2">
        <v>40</v>
      </c>
      <c r="E12" s="2">
        <v>0</v>
      </c>
      <c r="F12" s="2">
        <v>444.8</v>
      </c>
      <c r="G12" s="2">
        <v>0</v>
      </c>
      <c r="H12" s="2">
        <v>484.8</v>
      </c>
    </row>
    <row r="13" spans="1:10" x14ac:dyDescent="0.3">
      <c r="A13" s="2" t="s">
        <v>34</v>
      </c>
      <c r="B13" s="2" t="s">
        <v>738</v>
      </c>
      <c r="C13" s="2">
        <v>15.5</v>
      </c>
      <c r="D13" s="2">
        <v>20</v>
      </c>
      <c r="E13" s="2">
        <v>0</v>
      </c>
      <c r="F13" s="2">
        <v>310</v>
      </c>
      <c r="G13" s="2">
        <v>0</v>
      </c>
      <c r="H13" s="2">
        <v>330</v>
      </c>
    </row>
    <row r="14" spans="1:10" x14ac:dyDescent="0.3">
      <c r="A14" s="2" t="s">
        <v>35</v>
      </c>
      <c r="B14" s="2" t="s">
        <v>484</v>
      </c>
      <c r="C14" s="2">
        <v>11.14</v>
      </c>
      <c r="D14" s="2">
        <v>20</v>
      </c>
      <c r="E14" s="2">
        <v>0</v>
      </c>
      <c r="F14" s="2">
        <v>222.8</v>
      </c>
      <c r="G14" s="2">
        <v>0</v>
      </c>
      <c r="H14" s="2">
        <v>242.8</v>
      </c>
      <c r="J14" s="10"/>
    </row>
    <row r="15" spans="1:10" x14ac:dyDescent="0.3">
      <c r="A15" s="2" t="s">
        <v>35</v>
      </c>
      <c r="B15" s="2" t="s">
        <v>738</v>
      </c>
      <c r="C15" s="2">
        <v>11.47</v>
      </c>
      <c r="D15" s="2">
        <v>7.75</v>
      </c>
      <c r="E15" s="2">
        <v>0</v>
      </c>
      <c r="F15" s="2">
        <v>88.89</v>
      </c>
      <c r="G15" s="2">
        <v>0</v>
      </c>
      <c r="H15" s="2">
        <v>96.64</v>
      </c>
    </row>
    <row r="16" spans="1:10" x14ac:dyDescent="0.3">
      <c r="A16" s="2" t="s">
        <v>35</v>
      </c>
      <c r="B16" s="2" t="s">
        <v>738</v>
      </c>
      <c r="C16" s="2">
        <v>10.3</v>
      </c>
      <c r="D16" s="2">
        <v>5.22</v>
      </c>
      <c r="E16" s="2">
        <v>0</v>
      </c>
      <c r="F16" s="2">
        <v>53.77</v>
      </c>
      <c r="G16" s="2">
        <v>0</v>
      </c>
      <c r="H16" s="2">
        <v>58.99</v>
      </c>
    </row>
    <row r="17" spans="1:8" x14ac:dyDescent="0.3">
      <c r="A17" s="2" t="s">
        <v>35</v>
      </c>
      <c r="B17" s="2" t="s">
        <v>738</v>
      </c>
      <c r="C17" s="2">
        <v>11.1</v>
      </c>
      <c r="D17" s="2">
        <v>37.979999999999997</v>
      </c>
      <c r="E17" s="2">
        <v>0</v>
      </c>
      <c r="F17" s="2">
        <v>421.58</v>
      </c>
      <c r="G17" s="2">
        <v>0</v>
      </c>
      <c r="H17" s="2">
        <v>459.56</v>
      </c>
    </row>
    <row r="18" spans="1:8" x14ac:dyDescent="0.3">
      <c r="A18" s="2" t="s">
        <v>35</v>
      </c>
      <c r="B18" s="2" t="s">
        <v>738</v>
      </c>
      <c r="C18" s="2">
        <v>16.77</v>
      </c>
      <c r="D18" s="2">
        <v>28.78</v>
      </c>
      <c r="E18" s="2">
        <v>0</v>
      </c>
      <c r="F18" s="2">
        <v>482.64</v>
      </c>
      <c r="G18" s="2">
        <v>0</v>
      </c>
      <c r="H18" s="2">
        <v>511.41999999999996</v>
      </c>
    </row>
    <row r="19" spans="1:8" x14ac:dyDescent="0.3">
      <c r="A19" s="2" t="s">
        <v>35</v>
      </c>
      <c r="B19" s="2" t="s">
        <v>738</v>
      </c>
      <c r="C19" s="2">
        <v>11.14</v>
      </c>
      <c r="D19" s="2">
        <v>7.02</v>
      </c>
      <c r="E19" s="2">
        <v>0</v>
      </c>
      <c r="F19" s="2">
        <v>78.2</v>
      </c>
      <c r="G19" s="2">
        <v>0</v>
      </c>
      <c r="H19" s="2">
        <v>85.22</v>
      </c>
    </row>
    <row r="20" spans="1:8" x14ac:dyDescent="0.3">
      <c r="A20" s="2" t="s">
        <v>35</v>
      </c>
      <c r="B20" s="2" t="s">
        <v>738</v>
      </c>
      <c r="C20" s="2">
        <v>10.3</v>
      </c>
      <c r="D20" s="2">
        <v>18.03</v>
      </c>
      <c r="E20" s="2">
        <v>0</v>
      </c>
      <c r="F20" s="2">
        <v>185.71</v>
      </c>
      <c r="G20" s="2">
        <v>0</v>
      </c>
      <c r="H20" s="2">
        <v>203.74</v>
      </c>
    </row>
    <row r="21" spans="1:8" x14ac:dyDescent="0.3">
      <c r="A21" s="2" t="s">
        <v>35</v>
      </c>
      <c r="B21" s="2" t="s">
        <v>738</v>
      </c>
      <c r="C21" s="2">
        <v>11.1</v>
      </c>
      <c r="D21" s="2">
        <v>7.35</v>
      </c>
      <c r="E21" s="2">
        <v>0</v>
      </c>
      <c r="F21" s="2">
        <v>81.59</v>
      </c>
      <c r="G21" s="2">
        <v>0</v>
      </c>
      <c r="H21" s="2">
        <v>88.94</v>
      </c>
    </row>
    <row r="22" spans="1:8" x14ac:dyDescent="0.3">
      <c r="A22" s="2" t="s">
        <v>35</v>
      </c>
      <c r="B22" s="2" t="s">
        <v>738</v>
      </c>
      <c r="C22" s="2">
        <v>11.85</v>
      </c>
      <c r="D22" s="2">
        <v>8.58</v>
      </c>
      <c r="E22" s="2">
        <v>0</v>
      </c>
      <c r="F22" s="2">
        <v>101.67</v>
      </c>
      <c r="G22" s="2">
        <v>0</v>
      </c>
      <c r="H22" s="2">
        <v>110.25</v>
      </c>
    </row>
    <row r="23" spans="1:8" x14ac:dyDescent="0.3">
      <c r="A23" s="2" t="s">
        <v>35</v>
      </c>
      <c r="B23" s="2" t="s">
        <v>738</v>
      </c>
      <c r="C23" s="2">
        <v>11.12</v>
      </c>
      <c r="D23" s="2">
        <v>18.920000000000002</v>
      </c>
      <c r="E23" s="2">
        <v>0</v>
      </c>
      <c r="F23" s="2">
        <v>210.39</v>
      </c>
      <c r="G23" s="2">
        <v>0</v>
      </c>
      <c r="H23" s="2">
        <v>229.31</v>
      </c>
    </row>
    <row r="24" spans="1:8" x14ac:dyDescent="0.3">
      <c r="A24" s="2" t="s">
        <v>35</v>
      </c>
      <c r="B24" s="2" t="s">
        <v>738</v>
      </c>
      <c r="C24" s="2">
        <v>13.38</v>
      </c>
      <c r="D24" s="2">
        <v>8.08</v>
      </c>
      <c r="E24" s="2">
        <v>0</v>
      </c>
      <c r="F24" s="2">
        <v>108.11</v>
      </c>
      <c r="G24" s="2">
        <v>0</v>
      </c>
      <c r="H24" s="2">
        <v>116.19</v>
      </c>
    </row>
    <row r="25" spans="1:8" x14ac:dyDescent="0.3">
      <c r="A25" s="2" t="s">
        <v>35</v>
      </c>
      <c r="B25" s="2" t="s">
        <v>738</v>
      </c>
      <c r="C25" s="2">
        <v>13.65</v>
      </c>
      <c r="D25" s="2">
        <v>38.07</v>
      </c>
      <c r="E25" s="2">
        <v>0</v>
      </c>
      <c r="F25" s="2">
        <v>519.66</v>
      </c>
      <c r="G25" s="2">
        <v>0</v>
      </c>
      <c r="H25" s="2">
        <v>557.73</v>
      </c>
    </row>
    <row r="26" spans="1:8" x14ac:dyDescent="0.3">
      <c r="A26" s="2" t="s">
        <v>35</v>
      </c>
      <c r="B26" s="2" t="s">
        <v>738</v>
      </c>
      <c r="C26" s="2">
        <v>11.4</v>
      </c>
      <c r="D26" s="2">
        <v>19.5</v>
      </c>
      <c r="E26" s="2">
        <v>0</v>
      </c>
      <c r="F26" s="2">
        <v>222.3</v>
      </c>
      <c r="G26" s="2">
        <v>0</v>
      </c>
      <c r="H26" s="2">
        <v>241.8</v>
      </c>
    </row>
    <row r="27" spans="1:8" x14ac:dyDescent="0.3">
      <c r="A27" s="2" t="s">
        <v>35</v>
      </c>
      <c r="B27" s="2" t="s">
        <v>738</v>
      </c>
      <c r="C27" s="2">
        <v>11.57</v>
      </c>
      <c r="D27" s="2">
        <v>8</v>
      </c>
      <c r="E27" s="2">
        <v>0</v>
      </c>
      <c r="F27" s="2">
        <v>92.56</v>
      </c>
      <c r="G27" s="2">
        <v>0</v>
      </c>
      <c r="H27" s="2">
        <v>100.56</v>
      </c>
    </row>
    <row r="28" spans="1:8" x14ac:dyDescent="0.3">
      <c r="A28" s="2" t="s">
        <v>35</v>
      </c>
      <c r="B28" s="2" t="s">
        <v>738</v>
      </c>
      <c r="C28" s="2">
        <v>10.3</v>
      </c>
      <c r="D28" s="2">
        <v>6.05</v>
      </c>
      <c r="E28" s="2">
        <v>0</v>
      </c>
      <c r="F28" s="2">
        <v>62.32</v>
      </c>
      <c r="G28" s="2">
        <v>0</v>
      </c>
      <c r="H28" s="2">
        <v>68.37</v>
      </c>
    </row>
    <row r="29" spans="1:8" x14ac:dyDescent="0.3">
      <c r="A29" s="2" t="s">
        <v>35</v>
      </c>
      <c r="B29" s="2" t="s">
        <v>738</v>
      </c>
      <c r="C29" s="2">
        <v>11.1</v>
      </c>
      <c r="D29" s="2">
        <v>6.52</v>
      </c>
      <c r="E29" s="2">
        <v>0</v>
      </c>
      <c r="F29" s="2">
        <v>72.37</v>
      </c>
      <c r="G29" s="2">
        <v>0</v>
      </c>
      <c r="H29" s="2">
        <v>78.89</v>
      </c>
    </row>
    <row r="30" spans="1:8" x14ac:dyDescent="0.3">
      <c r="A30" s="2" t="s">
        <v>35</v>
      </c>
      <c r="B30" s="2" t="s">
        <v>738</v>
      </c>
      <c r="C30" s="2">
        <v>17.84</v>
      </c>
      <c r="D30" s="2">
        <v>7.93</v>
      </c>
      <c r="E30" s="2">
        <v>0</v>
      </c>
      <c r="F30" s="2">
        <v>141.47</v>
      </c>
      <c r="G30" s="2">
        <v>0</v>
      </c>
      <c r="H30" s="2">
        <v>149.4</v>
      </c>
    </row>
    <row r="31" spans="1:8" x14ac:dyDescent="0.3">
      <c r="A31" s="2" t="s">
        <v>35</v>
      </c>
      <c r="B31" s="2" t="s">
        <v>738</v>
      </c>
      <c r="C31" s="2">
        <v>11.14</v>
      </c>
      <c r="D31" s="2">
        <v>7.5</v>
      </c>
      <c r="E31" s="2">
        <v>0</v>
      </c>
      <c r="F31" s="2">
        <v>83.55</v>
      </c>
      <c r="G31" s="2">
        <v>0</v>
      </c>
      <c r="H31" s="2">
        <v>91.05</v>
      </c>
    </row>
    <row r="32" spans="1:8" x14ac:dyDescent="0.3">
      <c r="A32" s="2" t="s">
        <v>35</v>
      </c>
      <c r="B32" s="2" t="s">
        <v>738</v>
      </c>
      <c r="C32" s="2">
        <v>11.12</v>
      </c>
      <c r="D32" s="2">
        <v>8.8699999999999992</v>
      </c>
      <c r="E32" s="2">
        <v>0</v>
      </c>
      <c r="F32" s="2">
        <v>98.63</v>
      </c>
      <c r="G32" s="2">
        <v>0</v>
      </c>
      <c r="H32" s="2">
        <v>107.5</v>
      </c>
    </row>
    <row r="33" spans="1:8" x14ac:dyDescent="0.3">
      <c r="A33" s="2" t="s">
        <v>35</v>
      </c>
      <c r="B33" s="2" t="s">
        <v>738</v>
      </c>
      <c r="C33" s="2">
        <v>12.48</v>
      </c>
      <c r="D33" s="2">
        <v>8.4</v>
      </c>
      <c r="E33" s="2">
        <v>0</v>
      </c>
      <c r="F33" s="2">
        <v>104.83</v>
      </c>
      <c r="G33" s="2">
        <v>0</v>
      </c>
      <c r="H33" s="2">
        <v>113.23</v>
      </c>
    </row>
    <row r="34" spans="1:8" x14ac:dyDescent="0.3">
      <c r="A34" s="2" t="s">
        <v>35</v>
      </c>
      <c r="B34" s="2" t="s">
        <v>738</v>
      </c>
      <c r="C34" s="2">
        <v>15.15</v>
      </c>
      <c r="D34" s="2">
        <v>40</v>
      </c>
      <c r="E34" s="2">
        <v>4.3699999999999974</v>
      </c>
      <c r="F34" s="2">
        <v>606</v>
      </c>
      <c r="G34" s="2">
        <v>99.31</v>
      </c>
      <c r="H34" s="2">
        <v>749.68000000000006</v>
      </c>
    </row>
    <row r="35" spans="1:8" x14ac:dyDescent="0.3">
      <c r="A35" s="2" t="s">
        <v>35</v>
      </c>
      <c r="B35" s="2" t="s">
        <v>738</v>
      </c>
      <c r="C35" s="2">
        <v>10.3</v>
      </c>
      <c r="D35" s="2">
        <v>7.02</v>
      </c>
      <c r="E35" s="2">
        <v>0</v>
      </c>
      <c r="F35" s="2">
        <v>72.31</v>
      </c>
      <c r="G35" s="2">
        <v>0</v>
      </c>
      <c r="H35" s="2">
        <v>79.33</v>
      </c>
    </row>
    <row r="36" spans="1:8" x14ac:dyDescent="0.3">
      <c r="A36" s="2" t="s">
        <v>35</v>
      </c>
      <c r="B36" s="2" t="s">
        <v>738</v>
      </c>
      <c r="C36" s="2">
        <v>11.15</v>
      </c>
      <c r="D36" s="2">
        <v>5.4</v>
      </c>
      <c r="E36" s="2">
        <v>0</v>
      </c>
      <c r="F36" s="2">
        <v>60.21</v>
      </c>
      <c r="G36" s="2">
        <v>0</v>
      </c>
      <c r="H36" s="2">
        <v>65.61</v>
      </c>
    </row>
    <row r="37" spans="1:8" x14ac:dyDescent="0.3">
      <c r="A37" s="2" t="s">
        <v>35</v>
      </c>
      <c r="B37" s="2" t="s">
        <v>738</v>
      </c>
      <c r="C37" s="2">
        <v>11.14</v>
      </c>
      <c r="D37" s="2">
        <v>6.73</v>
      </c>
      <c r="E37" s="2">
        <v>0</v>
      </c>
      <c r="F37" s="2">
        <v>74.97</v>
      </c>
      <c r="G37" s="2">
        <v>0</v>
      </c>
      <c r="H37" s="2">
        <v>81.7</v>
      </c>
    </row>
    <row r="38" spans="1:8" x14ac:dyDescent="0.3">
      <c r="A38" s="2" t="s">
        <v>35</v>
      </c>
      <c r="B38" s="2" t="s">
        <v>738</v>
      </c>
      <c r="C38" s="2">
        <v>11.14</v>
      </c>
      <c r="D38" s="2">
        <v>7.73</v>
      </c>
      <c r="E38" s="2">
        <v>0</v>
      </c>
      <c r="F38" s="2">
        <v>86.11</v>
      </c>
      <c r="G38" s="2">
        <v>0</v>
      </c>
      <c r="H38" s="2">
        <v>93.84</v>
      </c>
    </row>
    <row r="39" spans="1:8" x14ac:dyDescent="0.3">
      <c r="A39" s="2" t="s">
        <v>35</v>
      </c>
      <c r="B39" s="2" t="s">
        <v>738</v>
      </c>
      <c r="C39" s="2">
        <v>11.12</v>
      </c>
      <c r="D39" s="2">
        <v>7.75</v>
      </c>
      <c r="E39" s="2">
        <v>0</v>
      </c>
      <c r="F39" s="2">
        <v>86.18</v>
      </c>
      <c r="G39" s="2">
        <v>0</v>
      </c>
      <c r="H39" s="2">
        <v>93.93</v>
      </c>
    </row>
    <row r="40" spans="1:8" x14ac:dyDescent="0.3">
      <c r="A40" s="2" t="s">
        <v>35</v>
      </c>
      <c r="B40" s="2" t="s">
        <v>738</v>
      </c>
      <c r="C40" s="2">
        <v>10.3</v>
      </c>
      <c r="D40" s="2">
        <v>5.5</v>
      </c>
      <c r="E40" s="2">
        <v>0</v>
      </c>
      <c r="F40" s="2">
        <v>56.65</v>
      </c>
      <c r="G40" s="2">
        <v>0</v>
      </c>
      <c r="H40" s="2">
        <v>62.15</v>
      </c>
    </row>
    <row r="41" spans="1:8" x14ac:dyDescent="0.3">
      <c r="A41" s="2" t="s">
        <v>35</v>
      </c>
      <c r="B41" s="2" t="s">
        <v>738</v>
      </c>
      <c r="C41" s="2">
        <v>11.14</v>
      </c>
      <c r="D41" s="2">
        <v>8.93</v>
      </c>
      <c r="E41" s="2">
        <v>0</v>
      </c>
      <c r="F41" s="2">
        <v>99.48</v>
      </c>
      <c r="G41" s="2">
        <v>0</v>
      </c>
      <c r="H41" s="2">
        <v>108.41</v>
      </c>
    </row>
    <row r="42" spans="1:8" x14ac:dyDescent="0.3">
      <c r="A42" s="2" t="s">
        <v>35</v>
      </c>
      <c r="B42" s="2" t="s">
        <v>738</v>
      </c>
      <c r="C42" s="2">
        <v>11.14</v>
      </c>
      <c r="D42" s="2">
        <v>6.13</v>
      </c>
      <c r="E42" s="2">
        <v>0</v>
      </c>
      <c r="F42" s="2">
        <v>68.290000000000006</v>
      </c>
      <c r="G42" s="2">
        <v>0</v>
      </c>
      <c r="H42" s="2">
        <v>74.42</v>
      </c>
    </row>
    <row r="43" spans="1:8" x14ac:dyDescent="0.3">
      <c r="A43" s="2" t="s">
        <v>35</v>
      </c>
      <c r="B43" s="2" t="s">
        <v>738</v>
      </c>
      <c r="C43" s="2">
        <v>11.85</v>
      </c>
      <c r="D43" s="2">
        <v>21.43</v>
      </c>
      <c r="E43" s="2">
        <v>0</v>
      </c>
      <c r="F43" s="2">
        <v>253.95</v>
      </c>
      <c r="G43" s="2">
        <v>0</v>
      </c>
      <c r="H43" s="2">
        <v>275.38</v>
      </c>
    </row>
    <row r="44" spans="1:8" x14ac:dyDescent="0.3">
      <c r="A44" s="2" t="s">
        <v>35</v>
      </c>
      <c r="B44" s="2" t="s">
        <v>738</v>
      </c>
      <c r="C44" s="2">
        <v>11.28</v>
      </c>
      <c r="D44" s="2">
        <v>19.579999999999998</v>
      </c>
      <c r="E44" s="2">
        <v>0</v>
      </c>
      <c r="F44" s="2">
        <v>220.86</v>
      </c>
      <c r="G44" s="2">
        <v>0</v>
      </c>
      <c r="H44" s="2">
        <v>240.44</v>
      </c>
    </row>
    <row r="45" spans="1:8" x14ac:dyDescent="0.3">
      <c r="A45" s="2" t="s">
        <v>35</v>
      </c>
      <c r="B45" s="2" t="s">
        <v>738</v>
      </c>
      <c r="C45" s="2">
        <v>17.88</v>
      </c>
      <c r="D45" s="2">
        <v>7.83</v>
      </c>
      <c r="E45" s="2">
        <v>0</v>
      </c>
      <c r="F45" s="2">
        <v>140</v>
      </c>
      <c r="G45" s="2">
        <v>0</v>
      </c>
      <c r="H45" s="2">
        <v>147.83000000000001</v>
      </c>
    </row>
    <row r="46" spans="1:8" x14ac:dyDescent="0.3">
      <c r="A46" s="2" t="s">
        <v>35</v>
      </c>
      <c r="B46" s="2" t="s">
        <v>738</v>
      </c>
      <c r="C46" s="2">
        <v>16.73</v>
      </c>
      <c r="D46" s="2">
        <v>19.829999999999998</v>
      </c>
      <c r="E46" s="2">
        <v>0</v>
      </c>
      <c r="F46" s="2">
        <v>331.76</v>
      </c>
      <c r="G46" s="2">
        <v>0</v>
      </c>
      <c r="H46" s="2">
        <v>351.59</v>
      </c>
    </row>
    <row r="47" spans="1:8" x14ac:dyDescent="0.3">
      <c r="A47" s="2" t="s">
        <v>35</v>
      </c>
      <c r="B47" s="2" t="s">
        <v>738</v>
      </c>
      <c r="C47" s="2">
        <v>13.38</v>
      </c>
      <c r="D47" s="2">
        <v>16.7</v>
      </c>
      <c r="E47" s="2">
        <v>0</v>
      </c>
      <c r="F47" s="2">
        <v>223.45</v>
      </c>
      <c r="G47" s="2">
        <v>0</v>
      </c>
      <c r="H47" s="2">
        <v>240.14999999999998</v>
      </c>
    </row>
    <row r="48" spans="1:8" x14ac:dyDescent="0.3">
      <c r="A48" s="2" t="s">
        <v>35</v>
      </c>
      <c r="B48" s="2" t="s">
        <v>738</v>
      </c>
      <c r="C48" s="2">
        <v>17.940000000000001</v>
      </c>
      <c r="D48" s="2">
        <v>12.2</v>
      </c>
      <c r="E48" s="2">
        <v>0</v>
      </c>
      <c r="F48" s="2">
        <v>218.87</v>
      </c>
      <c r="G48" s="2">
        <v>0</v>
      </c>
      <c r="H48" s="2">
        <v>231.07</v>
      </c>
    </row>
    <row r="49" spans="1:8" x14ac:dyDescent="0.3">
      <c r="A49" s="2" t="s">
        <v>35</v>
      </c>
      <c r="B49" s="2" t="s">
        <v>738</v>
      </c>
      <c r="C49" s="2">
        <v>14.21</v>
      </c>
      <c r="D49" s="2">
        <v>7.83</v>
      </c>
      <c r="E49" s="2">
        <v>0</v>
      </c>
      <c r="F49" s="2">
        <v>111.26</v>
      </c>
      <c r="G49" s="2">
        <v>0</v>
      </c>
      <c r="H49" s="2">
        <v>119.09</v>
      </c>
    </row>
    <row r="50" spans="1:8" x14ac:dyDescent="0.3">
      <c r="A50" s="2" t="s">
        <v>35</v>
      </c>
      <c r="B50" s="2" t="s">
        <v>738</v>
      </c>
      <c r="C50" s="2">
        <v>11.98</v>
      </c>
      <c r="D50" s="2">
        <v>14.55</v>
      </c>
      <c r="E50" s="2">
        <v>0</v>
      </c>
      <c r="F50" s="2">
        <v>174.31</v>
      </c>
      <c r="G50" s="2">
        <v>0</v>
      </c>
      <c r="H50" s="2">
        <v>188.86</v>
      </c>
    </row>
    <row r="51" spans="1:8" x14ac:dyDescent="0.3">
      <c r="A51" s="2" t="s">
        <v>35</v>
      </c>
      <c r="B51" s="2" t="s">
        <v>738</v>
      </c>
      <c r="C51" s="2">
        <v>15.5</v>
      </c>
      <c r="D51" s="2">
        <v>8</v>
      </c>
      <c r="E51" s="2">
        <v>0</v>
      </c>
      <c r="F51" s="2">
        <v>124</v>
      </c>
      <c r="G51" s="2">
        <v>0</v>
      </c>
      <c r="H51" s="2">
        <v>132</v>
      </c>
    </row>
    <row r="52" spans="1:8" x14ac:dyDescent="0.3">
      <c r="A52" s="2" t="s">
        <v>35</v>
      </c>
      <c r="B52" s="2" t="s">
        <v>738</v>
      </c>
      <c r="C52" s="2">
        <v>11.12</v>
      </c>
      <c r="D52" s="2">
        <v>7.02</v>
      </c>
      <c r="E52" s="2">
        <v>0</v>
      </c>
      <c r="F52" s="2">
        <v>78.06</v>
      </c>
      <c r="G52" s="2">
        <v>0</v>
      </c>
      <c r="H52" s="2">
        <v>85.08</v>
      </c>
    </row>
    <row r="53" spans="1:8" x14ac:dyDescent="0.3">
      <c r="A53" s="2" t="s">
        <v>35</v>
      </c>
      <c r="B53" s="2" t="s">
        <v>738</v>
      </c>
      <c r="C53" s="2">
        <v>11.12</v>
      </c>
      <c r="D53" s="2">
        <v>9.77</v>
      </c>
      <c r="E53" s="2">
        <v>0</v>
      </c>
      <c r="F53" s="2">
        <v>108.64</v>
      </c>
      <c r="G53" s="2">
        <v>0</v>
      </c>
      <c r="H53" s="2">
        <v>118.41</v>
      </c>
    </row>
    <row r="54" spans="1:8" x14ac:dyDescent="0.3">
      <c r="A54" s="2" t="s">
        <v>35</v>
      </c>
      <c r="B54" s="2" t="s">
        <v>738</v>
      </c>
      <c r="C54" s="2">
        <v>11.1</v>
      </c>
      <c r="D54" s="2">
        <v>14.08</v>
      </c>
      <c r="E54" s="2">
        <v>0</v>
      </c>
      <c r="F54" s="2">
        <v>156.29</v>
      </c>
      <c r="G54" s="2">
        <v>0</v>
      </c>
      <c r="H54" s="2">
        <v>170.37</v>
      </c>
    </row>
    <row r="55" spans="1:8" x14ac:dyDescent="0.3">
      <c r="A55" s="2" t="s">
        <v>35</v>
      </c>
      <c r="B55" s="2" t="s">
        <v>738</v>
      </c>
      <c r="C55" s="2">
        <v>11.14</v>
      </c>
      <c r="D55" s="2">
        <v>6.97</v>
      </c>
      <c r="E55" s="2">
        <v>0</v>
      </c>
      <c r="F55" s="2">
        <v>77.650000000000006</v>
      </c>
      <c r="G55" s="2">
        <v>0</v>
      </c>
      <c r="H55" s="2">
        <v>84.62</v>
      </c>
    </row>
    <row r="56" spans="1:8" x14ac:dyDescent="0.3">
      <c r="A56" s="2" t="s">
        <v>35</v>
      </c>
      <c r="B56" s="2" t="s">
        <v>738</v>
      </c>
      <c r="C56" s="2">
        <v>12.3</v>
      </c>
      <c r="D56" s="2">
        <v>15.55</v>
      </c>
      <c r="E56" s="2">
        <v>0</v>
      </c>
      <c r="F56" s="2">
        <v>191.27</v>
      </c>
      <c r="G56" s="2">
        <v>0</v>
      </c>
      <c r="H56" s="2">
        <v>206.82000000000002</v>
      </c>
    </row>
    <row r="57" spans="1:8" x14ac:dyDescent="0.3">
      <c r="A57" s="2" t="s">
        <v>35</v>
      </c>
      <c r="B57" s="2" t="s">
        <v>738</v>
      </c>
      <c r="C57" s="2">
        <v>11.14</v>
      </c>
      <c r="D57" s="2">
        <v>7.23</v>
      </c>
      <c r="E57" s="2">
        <v>0</v>
      </c>
      <c r="F57" s="2">
        <v>80.540000000000006</v>
      </c>
      <c r="G57" s="2">
        <v>0</v>
      </c>
      <c r="H57" s="2">
        <v>87.77000000000001</v>
      </c>
    </row>
    <row r="58" spans="1:8" x14ac:dyDescent="0.3">
      <c r="A58" s="2" t="s">
        <v>35</v>
      </c>
      <c r="B58" s="2" t="s">
        <v>738</v>
      </c>
      <c r="C58" s="2">
        <v>10.3</v>
      </c>
      <c r="D58" s="2">
        <v>5.48</v>
      </c>
      <c r="E58" s="2">
        <v>0</v>
      </c>
      <c r="F58" s="2">
        <v>56.44</v>
      </c>
      <c r="G58" s="2">
        <v>0</v>
      </c>
      <c r="H58" s="2">
        <v>61.92</v>
      </c>
    </row>
    <row r="59" spans="1:8" x14ac:dyDescent="0.3">
      <c r="A59" s="2" t="s">
        <v>35</v>
      </c>
      <c r="B59" s="2" t="s">
        <v>738</v>
      </c>
      <c r="C59" s="2">
        <v>12.3</v>
      </c>
      <c r="D59" s="2">
        <v>19.55</v>
      </c>
      <c r="E59" s="2">
        <v>0</v>
      </c>
      <c r="F59" s="2">
        <v>240.47</v>
      </c>
      <c r="G59" s="2">
        <v>0</v>
      </c>
      <c r="H59" s="2">
        <v>260.02</v>
      </c>
    </row>
    <row r="60" spans="1:8" x14ac:dyDescent="0.3">
      <c r="A60" s="2" t="s">
        <v>35</v>
      </c>
      <c r="B60" s="2" t="s">
        <v>738</v>
      </c>
      <c r="C60" s="2">
        <v>11.14</v>
      </c>
      <c r="D60" s="2">
        <v>40</v>
      </c>
      <c r="E60" s="2">
        <v>1.8500000000000014</v>
      </c>
      <c r="F60" s="2">
        <v>445.6</v>
      </c>
      <c r="G60" s="2">
        <v>30.91</v>
      </c>
      <c r="H60" s="2">
        <v>518.36</v>
      </c>
    </row>
    <row r="61" spans="1:8" x14ac:dyDescent="0.3">
      <c r="A61" s="2" t="s">
        <v>35</v>
      </c>
      <c r="B61" s="2" t="s">
        <v>738</v>
      </c>
      <c r="C61" s="2">
        <v>10.3</v>
      </c>
      <c r="D61" s="2">
        <v>7</v>
      </c>
      <c r="E61" s="2">
        <v>0</v>
      </c>
      <c r="F61" s="2">
        <v>72.099999999999994</v>
      </c>
      <c r="G61" s="2">
        <v>0</v>
      </c>
      <c r="H61" s="2">
        <v>79.099999999999994</v>
      </c>
    </row>
    <row r="62" spans="1:8" x14ac:dyDescent="0.3">
      <c r="A62" s="2" t="s">
        <v>35</v>
      </c>
      <c r="B62" s="2" t="s">
        <v>738</v>
      </c>
      <c r="C62" s="2">
        <v>10.3</v>
      </c>
      <c r="D62" s="2">
        <v>18.48</v>
      </c>
      <c r="E62" s="2">
        <v>0</v>
      </c>
      <c r="F62" s="2">
        <v>190.34</v>
      </c>
      <c r="G62" s="2">
        <v>0</v>
      </c>
      <c r="H62" s="2">
        <v>208.82</v>
      </c>
    </row>
    <row r="63" spans="1:8" x14ac:dyDescent="0.3">
      <c r="A63" s="2" t="s">
        <v>35</v>
      </c>
      <c r="B63" s="2" t="s">
        <v>738</v>
      </c>
      <c r="C63" s="2">
        <v>11.12</v>
      </c>
      <c r="D63" s="2">
        <v>7.68</v>
      </c>
      <c r="E63" s="2">
        <v>0</v>
      </c>
      <c r="F63" s="2">
        <v>85.4</v>
      </c>
      <c r="G63" s="2">
        <v>0</v>
      </c>
      <c r="H63" s="2">
        <v>93.080000000000013</v>
      </c>
    </row>
    <row r="64" spans="1:8" x14ac:dyDescent="0.3">
      <c r="A64" s="2" t="s">
        <v>35</v>
      </c>
      <c r="B64" s="2" t="s">
        <v>738</v>
      </c>
      <c r="C64" s="2">
        <v>12.99</v>
      </c>
      <c r="D64" s="2">
        <v>22.4</v>
      </c>
      <c r="E64" s="2">
        <v>0</v>
      </c>
      <c r="F64" s="2">
        <v>290.98</v>
      </c>
      <c r="G64" s="2">
        <v>0</v>
      </c>
      <c r="H64" s="2">
        <v>313.38</v>
      </c>
    </row>
    <row r="65" spans="1:8" x14ac:dyDescent="0.3">
      <c r="A65" s="2" t="s">
        <v>35</v>
      </c>
      <c r="B65" s="2" t="s">
        <v>738</v>
      </c>
      <c r="C65" s="2">
        <v>12.2</v>
      </c>
      <c r="D65" s="2">
        <v>7.15</v>
      </c>
      <c r="E65" s="2">
        <v>0</v>
      </c>
      <c r="F65" s="2">
        <v>87.23</v>
      </c>
      <c r="G65" s="2">
        <v>0</v>
      </c>
      <c r="H65" s="2">
        <v>94.38000000000001</v>
      </c>
    </row>
    <row r="66" spans="1:8" x14ac:dyDescent="0.3">
      <c r="A66" s="2" t="s">
        <v>35</v>
      </c>
      <c r="B66" s="2" t="s">
        <v>738</v>
      </c>
      <c r="C66" s="2">
        <v>11.12</v>
      </c>
      <c r="D66" s="2">
        <v>8.0500000000000007</v>
      </c>
      <c r="E66" s="2">
        <v>0</v>
      </c>
      <c r="F66" s="2">
        <v>89.52</v>
      </c>
      <c r="G66" s="2">
        <v>0</v>
      </c>
      <c r="H66" s="2">
        <v>97.57</v>
      </c>
    </row>
    <row r="67" spans="1:8" x14ac:dyDescent="0.3">
      <c r="A67" s="2" t="s">
        <v>35</v>
      </c>
      <c r="B67" s="2" t="s">
        <v>738</v>
      </c>
      <c r="C67" s="2">
        <v>11.12</v>
      </c>
      <c r="D67" s="2">
        <v>8</v>
      </c>
      <c r="E67" s="2">
        <v>0</v>
      </c>
      <c r="F67" s="2">
        <v>88.96</v>
      </c>
      <c r="G67" s="2">
        <v>0</v>
      </c>
      <c r="H67" s="2">
        <v>96.96</v>
      </c>
    </row>
    <row r="68" spans="1:8" x14ac:dyDescent="0.3">
      <c r="A68" s="2" t="s">
        <v>36</v>
      </c>
      <c r="B68" s="2" t="s">
        <v>738</v>
      </c>
      <c r="C68" s="2">
        <v>10.3</v>
      </c>
      <c r="D68" s="2">
        <v>5.2</v>
      </c>
      <c r="E68" s="2">
        <v>0</v>
      </c>
      <c r="F68" s="2">
        <v>53.56</v>
      </c>
      <c r="G68" s="2">
        <v>0</v>
      </c>
      <c r="H68" s="2">
        <v>58.760000000000005</v>
      </c>
    </row>
    <row r="69" spans="1:8" x14ac:dyDescent="0.3">
      <c r="A69" s="2" t="s">
        <v>36</v>
      </c>
      <c r="B69" s="2" t="s">
        <v>738</v>
      </c>
      <c r="C69" s="2">
        <v>11.12</v>
      </c>
      <c r="D69" s="2">
        <v>6.92</v>
      </c>
      <c r="E69" s="2">
        <v>0</v>
      </c>
      <c r="F69" s="2">
        <v>76.95</v>
      </c>
      <c r="G69" s="2">
        <v>0</v>
      </c>
      <c r="H69" s="2">
        <v>83.87</v>
      </c>
    </row>
    <row r="70" spans="1:8" x14ac:dyDescent="0.3">
      <c r="A70" s="2" t="s">
        <v>37</v>
      </c>
      <c r="B70" s="2" t="s">
        <v>738</v>
      </c>
      <c r="C70" s="2">
        <v>11.12</v>
      </c>
      <c r="D70" s="2">
        <v>7.72</v>
      </c>
      <c r="E70" s="2">
        <v>0</v>
      </c>
      <c r="F70" s="2">
        <v>85.85</v>
      </c>
      <c r="G70" s="2">
        <v>0</v>
      </c>
      <c r="H70" s="2">
        <v>93.57</v>
      </c>
    </row>
    <row r="71" spans="1:8" x14ac:dyDescent="0.3">
      <c r="A71" s="2" t="s">
        <v>37</v>
      </c>
      <c r="B71" s="2" t="s">
        <v>738</v>
      </c>
      <c r="C71" s="2">
        <v>11.14</v>
      </c>
      <c r="D71" s="2">
        <v>6.97</v>
      </c>
      <c r="E71" s="2">
        <v>0</v>
      </c>
      <c r="F71" s="2">
        <v>77.650000000000006</v>
      </c>
      <c r="G71" s="2">
        <v>0</v>
      </c>
      <c r="H71" s="2">
        <v>84.62</v>
      </c>
    </row>
    <row r="72" spans="1:8" x14ac:dyDescent="0.3">
      <c r="A72" s="2" t="s">
        <v>37</v>
      </c>
      <c r="B72" s="2" t="s">
        <v>738</v>
      </c>
      <c r="C72" s="2">
        <v>11.1</v>
      </c>
      <c r="D72" s="2">
        <v>7.75</v>
      </c>
      <c r="E72" s="2">
        <v>0</v>
      </c>
      <c r="F72" s="2">
        <v>86.03</v>
      </c>
      <c r="G72" s="2">
        <v>0</v>
      </c>
      <c r="H72" s="2">
        <v>93.78</v>
      </c>
    </row>
    <row r="73" spans="1:8" x14ac:dyDescent="0.3">
      <c r="A73" s="2" t="s">
        <v>37</v>
      </c>
      <c r="B73" s="2" t="s">
        <v>738</v>
      </c>
      <c r="C73" s="2">
        <v>11.14</v>
      </c>
      <c r="D73" s="2">
        <v>18.600000000000001</v>
      </c>
      <c r="E73" s="2">
        <v>0</v>
      </c>
      <c r="F73" s="2">
        <v>207.2</v>
      </c>
      <c r="G73" s="2">
        <v>0</v>
      </c>
      <c r="H73" s="2">
        <v>225.79999999999998</v>
      </c>
    </row>
    <row r="74" spans="1:8" x14ac:dyDescent="0.3">
      <c r="A74" s="2" t="s">
        <v>39</v>
      </c>
      <c r="B74" s="2" t="s">
        <v>738</v>
      </c>
      <c r="C74" s="2">
        <v>11.91</v>
      </c>
      <c r="D74" s="2">
        <v>33.270000000000003</v>
      </c>
      <c r="E74" s="2">
        <v>0</v>
      </c>
      <c r="F74" s="2">
        <v>396.25</v>
      </c>
      <c r="G74" s="2">
        <v>0</v>
      </c>
      <c r="H74" s="2">
        <v>429.52</v>
      </c>
    </row>
    <row r="75" spans="1:8" x14ac:dyDescent="0.3">
      <c r="A75" s="2" t="s">
        <v>39</v>
      </c>
      <c r="B75" s="2" t="s">
        <v>14</v>
      </c>
      <c r="C75" s="2">
        <v>11.91</v>
      </c>
      <c r="D75" s="2">
        <v>6</v>
      </c>
      <c r="E75" s="2">
        <v>0</v>
      </c>
      <c r="F75" s="2">
        <v>71.459999999999994</v>
      </c>
      <c r="G75" s="2">
        <v>0</v>
      </c>
      <c r="H75" s="2">
        <v>77.459999999999994</v>
      </c>
    </row>
    <row r="76" spans="1:8" x14ac:dyDescent="0.3">
      <c r="A76" s="2" t="s">
        <v>39</v>
      </c>
      <c r="B76" s="2" t="s">
        <v>738</v>
      </c>
      <c r="C76" s="2">
        <v>24.04</v>
      </c>
      <c r="D76" s="2">
        <v>30.87</v>
      </c>
      <c r="E76" s="2">
        <v>0</v>
      </c>
      <c r="F76" s="2">
        <v>742.11</v>
      </c>
      <c r="G76" s="2">
        <v>0</v>
      </c>
      <c r="H76" s="2">
        <v>772.98</v>
      </c>
    </row>
    <row r="77" spans="1:8" x14ac:dyDescent="0.3">
      <c r="A77" s="2" t="s">
        <v>39</v>
      </c>
      <c r="B77" s="2" t="s">
        <v>738</v>
      </c>
      <c r="C77" s="2">
        <v>15.29</v>
      </c>
      <c r="D77" s="2">
        <v>24.43</v>
      </c>
      <c r="E77" s="2">
        <v>0</v>
      </c>
      <c r="F77" s="2">
        <v>373.53</v>
      </c>
      <c r="G77" s="2">
        <v>0</v>
      </c>
      <c r="H77" s="2">
        <v>397.96</v>
      </c>
    </row>
    <row r="78" spans="1:8" x14ac:dyDescent="0.3">
      <c r="A78" s="2" t="s">
        <v>39</v>
      </c>
      <c r="B78" s="2" t="s">
        <v>738</v>
      </c>
      <c r="C78" s="2">
        <v>14.27</v>
      </c>
      <c r="D78" s="2">
        <v>30.43</v>
      </c>
      <c r="E78" s="2">
        <v>0</v>
      </c>
      <c r="F78" s="2">
        <v>434.24</v>
      </c>
      <c r="G78" s="2">
        <v>0</v>
      </c>
      <c r="H78" s="2">
        <v>464.67</v>
      </c>
    </row>
    <row r="79" spans="1:8" x14ac:dyDescent="0.3">
      <c r="A79" s="2" t="s">
        <v>39</v>
      </c>
      <c r="B79" s="2" t="s">
        <v>738</v>
      </c>
      <c r="C79" s="2">
        <v>12.5</v>
      </c>
      <c r="D79" s="2">
        <v>7.75</v>
      </c>
      <c r="E79" s="2">
        <v>0</v>
      </c>
      <c r="F79" s="2">
        <v>96.88</v>
      </c>
      <c r="G79" s="2">
        <v>0</v>
      </c>
      <c r="H79" s="2">
        <v>104.63</v>
      </c>
    </row>
    <row r="80" spans="1:8" x14ac:dyDescent="0.3">
      <c r="A80" s="2" t="s">
        <v>39</v>
      </c>
      <c r="B80" s="2" t="s">
        <v>738</v>
      </c>
      <c r="C80" s="2">
        <v>15.89</v>
      </c>
      <c r="D80" s="2">
        <v>40</v>
      </c>
      <c r="E80" s="2">
        <v>4.2999999999999972</v>
      </c>
      <c r="F80" s="2">
        <v>635.6</v>
      </c>
      <c r="G80" s="2">
        <v>102.49</v>
      </c>
      <c r="H80" s="2">
        <v>782.39</v>
      </c>
    </row>
    <row r="81" spans="1:8" x14ac:dyDescent="0.3">
      <c r="A81" s="2" t="s">
        <v>39</v>
      </c>
      <c r="B81" s="2" t="s">
        <v>738</v>
      </c>
      <c r="C81" s="2">
        <v>14.08</v>
      </c>
      <c r="D81" s="2">
        <v>37.9</v>
      </c>
      <c r="E81" s="2">
        <v>0</v>
      </c>
      <c r="F81" s="2">
        <v>533.63</v>
      </c>
      <c r="G81" s="2">
        <v>0</v>
      </c>
      <c r="H81" s="2">
        <v>571.53</v>
      </c>
    </row>
    <row r="82" spans="1:8" x14ac:dyDescent="0.3">
      <c r="A82" s="2" t="s">
        <v>39</v>
      </c>
      <c r="B82" s="2" t="s">
        <v>738</v>
      </c>
      <c r="C82" s="2">
        <v>11.5</v>
      </c>
      <c r="D82" s="2">
        <v>31.03</v>
      </c>
      <c r="E82" s="2">
        <v>0</v>
      </c>
      <c r="F82" s="2">
        <v>356.85</v>
      </c>
      <c r="G82" s="2">
        <v>0</v>
      </c>
      <c r="H82" s="2">
        <v>387.88</v>
      </c>
    </row>
    <row r="83" spans="1:8" x14ac:dyDescent="0.3">
      <c r="A83" s="2" t="s">
        <v>39</v>
      </c>
      <c r="B83" s="2" t="s">
        <v>738</v>
      </c>
      <c r="C83" s="2">
        <v>11.5</v>
      </c>
      <c r="D83" s="2">
        <v>30.32</v>
      </c>
      <c r="E83" s="2">
        <v>0</v>
      </c>
      <c r="F83" s="2">
        <v>348.68</v>
      </c>
      <c r="G83" s="2">
        <v>0</v>
      </c>
      <c r="H83" s="2">
        <v>379</v>
      </c>
    </row>
    <row r="84" spans="1:8" x14ac:dyDescent="0.3">
      <c r="A84" s="2" t="s">
        <v>39</v>
      </c>
      <c r="B84" s="2" t="s">
        <v>738</v>
      </c>
      <c r="C84" s="2">
        <v>13.21</v>
      </c>
      <c r="D84" s="2">
        <v>11.4</v>
      </c>
      <c r="E84" s="2">
        <v>0</v>
      </c>
      <c r="F84" s="2">
        <v>150.59</v>
      </c>
      <c r="G84" s="2">
        <v>0</v>
      </c>
      <c r="H84" s="2">
        <v>161.99</v>
      </c>
    </row>
    <row r="85" spans="1:8" x14ac:dyDescent="0.3">
      <c r="A85" s="2" t="s">
        <v>39</v>
      </c>
      <c r="B85" s="2" t="s">
        <v>738</v>
      </c>
      <c r="C85" s="2">
        <v>14</v>
      </c>
      <c r="D85" s="2">
        <v>18.43</v>
      </c>
      <c r="E85" s="2">
        <v>0</v>
      </c>
      <c r="F85" s="2">
        <v>258.02</v>
      </c>
      <c r="G85" s="2">
        <v>0</v>
      </c>
      <c r="H85" s="2">
        <v>276.45</v>
      </c>
    </row>
    <row r="86" spans="1:8" x14ac:dyDescent="0.3">
      <c r="A86" s="2" t="s">
        <v>39</v>
      </c>
      <c r="B86" s="2" t="s">
        <v>738</v>
      </c>
      <c r="C86" s="2">
        <v>15.15</v>
      </c>
      <c r="D86" s="2">
        <v>29.53</v>
      </c>
      <c r="E86" s="2">
        <v>0</v>
      </c>
      <c r="F86" s="2">
        <v>447.38</v>
      </c>
      <c r="G86" s="2">
        <v>0</v>
      </c>
      <c r="H86" s="2">
        <v>476.90999999999997</v>
      </c>
    </row>
    <row r="87" spans="1:8" x14ac:dyDescent="0.3">
      <c r="A87" s="2" t="s">
        <v>39</v>
      </c>
      <c r="B87" s="2" t="s">
        <v>14</v>
      </c>
      <c r="C87" s="2">
        <v>15.15</v>
      </c>
      <c r="D87" s="2">
        <v>8</v>
      </c>
      <c r="E87" s="2">
        <v>0</v>
      </c>
      <c r="F87" s="2">
        <v>121.2</v>
      </c>
      <c r="G87" s="2">
        <v>0</v>
      </c>
      <c r="H87" s="2">
        <v>129.19999999999999</v>
      </c>
    </row>
    <row r="88" spans="1:8" x14ac:dyDescent="0.3">
      <c r="A88" s="2" t="s">
        <v>41</v>
      </c>
      <c r="B88" s="2" t="s">
        <v>484</v>
      </c>
      <c r="C88" s="2">
        <v>12.4</v>
      </c>
      <c r="D88" s="2">
        <v>28</v>
      </c>
      <c r="E88" s="2">
        <v>0</v>
      </c>
      <c r="F88" s="2">
        <v>347.2</v>
      </c>
      <c r="G88" s="2">
        <v>0</v>
      </c>
      <c r="H88" s="2">
        <v>375.2</v>
      </c>
    </row>
    <row r="89" spans="1:8" x14ac:dyDescent="0.3">
      <c r="A89" s="2" t="s">
        <v>42</v>
      </c>
      <c r="B89" s="2" t="s">
        <v>738</v>
      </c>
      <c r="C89" s="2">
        <v>11.14</v>
      </c>
      <c r="D89" s="2">
        <v>7.75</v>
      </c>
      <c r="E89" s="2">
        <v>0</v>
      </c>
      <c r="F89" s="2">
        <v>86.34</v>
      </c>
      <c r="G89" s="2">
        <v>0</v>
      </c>
      <c r="H89" s="2">
        <v>94.09</v>
      </c>
    </row>
    <row r="90" spans="1:8" x14ac:dyDescent="0.3">
      <c r="A90" s="2" t="s">
        <v>42</v>
      </c>
      <c r="B90" s="2" t="s">
        <v>738</v>
      </c>
      <c r="C90" s="2">
        <v>13.81</v>
      </c>
      <c r="D90" s="2">
        <v>2.0499999999999998</v>
      </c>
      <c r="E90" s="2">
        <v>0</v>
      </c>
      <c r="F90" s="2">
        <v>28.31</v>
      </c>
      <c r="G90" s="2">
        <v>0</v>
      </c>
      <c r="H90" s="2">
        <v>30.36</v>
      </c>
    </row>
    <row r="91" spans="1:8" x14ac:dyDescent="0.3">
      <c r="A91" s="2" t="s">
        <v>43</v>
      </c>
      <c r="B91" s="2" t="s">
        <v>738</v>
      </c>
      <c r="C91" s="2">
        <v>13.72</v>
      </c>
      <c r="D91" s="2">
        <v>6.65</v>
      </c>
      <c r="E91" s="2">
        <v>0</v>
      </c>
      <c r="F91" s="2">
        <v>91.24</v>
      </c>
      <c r="G91" s="2">
        <v>0</v>
      </c>
      <c r="H91" s="2">
        <v>97.89</v>
      </c>
    </row>
    <row r="92" spans="1:8" x14ac:dyDescent="0.3">
      <c r="A92" s="2" t="s">
        <v>43</v>
      </c>
      <c r="B92" s="2" t="s">
        <v>738</v>
      </c>
      <c r="C92" s="2">
        <v>11.1</v>
      </c>
      <c r="D92" s="2">
        <v>6.7</v>
      </c>
      <c r="E92" s="2">
        <v>0</v>
      </c>
      <c r="F92" s="2">
        <v>74.37</v>
      </c>
      <c r="G92" s="2">
        <v>0</v>
      </c>
      <c r="H92" s="2">
        <v>81.070000000000007</v>
      </c>
    </row>
    <row r="93" spans="1:8" x14ac:dyDescent="0.3">
      <c r="A93" s="2" t="s">
        <v>43</v>
      </c>
      <c r="B93" s="2" t="s">
        <v>738</v>
      </c>
      <c r="C93" s="2">
        <v>11.14</v>
      </c>
      <c r="D93" s="2">
        <v>7.92</v>
      </c>
      <c r="E93" s="2">
        <v>0</v>
      </c>
      <c r="F93" s="2">
        <v>88.23</v>
      </c>
      <c r="G93" s="2">
        <v>0</v>
      </c>
      <c r="H93" s="2">
        <v>96.15</v>
      </c>
    </row>
    <row r="94" spans="1:8" x14ac:dyDescent="0.3">
      <c r="A94" s="2" t="s">
        <v>43</v>
      </c>
      <c r="B94" s="2" t="s">
        <v>738</v>
      </c>
      <c r="C94" s="2">
        <v>11.24</v>
      </c>
      <c r="D94" s="2">
        <v>21.92</v>
      </c>
      <c r="E94" s="2">
        <v>0</v>
      </c>
      <c r="F94" s="2">
        <v>246.38</v>
      </c>
      <c r="G94" s="2">
        <v>0</v>
      </c>
      <c r="H94" s="2">
        <v>268.3</v>
      </c>
    </row>
    <row r="95" spans="1:8" x14ac:dyDescent="0.3">
      <c r="A95" s="2" t="s">
        <v>43</v>
      </c>
      <c r="B95" s="2" t="s">
        <v>738</v>
      </c>
      <c r="C95" s="2">
        <v>11.14</v>
      </c>
      <c r="D95" s="2">
        <v>7.9</v>
      </c>
      <c r="E95" s="2">
        <v>0</v>
      </c>
      <c r="F95" s="2">
        <v>88.01</v>
      </c>
      <c r="G95" s="2">
        <v>0</v>
      </c>
      <c r="H95" s="2">
        <v>95.910000000000011</v>
      </c>
    </row>
    <row r="96" spans="1:8" x14ac:dyDescent="0.3">
      <c r="A96" s="2" t="s">
        <v>44</v>
      </c>
      <c r="B96" s="2" t="s">
        <v>738</v>
      </c>
      <c r="C96" s="2">
        <v>12.15</v>
      </c>
      <c r="D96" s="2">
        <v>4.43</v>
      </c>
      <c r="E96" s="2">
        <v>0</v>
      </c>
      <c r="F96" s="2">
        <v>53.82</v>
      </c>
      <c r="G96" s="2">
        <v>0</v>
      </c>
      <c r="H96" s="2">
        <v>58.25</v>
      </c>
    </row>
    <row r="97" spans="1:8" x14ac:dyDescent="0.3">
      <c r="A97" s="2" t="s">
        <v>44</v>
      </c>
      <c r="B97" s="2" t="s">
        <v>14</v>
      </c>
      <c r="C97" s="2">
        <v>12.15</v>
      </c>
      <c r="D97" s="2">
        <v>22.5</v>
      </c>
      <c r="E97" s="2">
        <v>0</v>
      </c>
      <c r="F97" s="2">
        <v>273.38</v>
      </c>
      <c r="G97" s="2">
        <v>0</v>
      </c>
      <c r="H97" s="2">
        <v>295.88</v>
      </c>
    </row>
    <row r="98" spans="1:8" x14ac:dyDescent="0.3">
      <c r="A98" s="2" t="s">
        <v>44</v>
      </c>
      <c r="B98" s="2" t="s">
        <v>738</v>
      </c>
      <c r="C98" s="2">
        <v>11.12</v>
      </c>
      <c r="D98" s="2">
        <v>4.5199999999999996</v>
      </c>
      <c r="E98" s="2">
        <v>0</v>
      </c>
      <c r="F98" s="2">
        <v>50.26</v>
      </c>
      <c r="G98" s="2">
        <v>0</v>
      </c>
      <c r="H98" s="2">
        <v>54.78</v>
      </c>
    </row>
    <row r="99" spans="1:8" x14ac:dyDescent="0.3">
      <c r="A99" s="2" t="s">
        <v>44</v>
      </c>
      <c r="B99" s="2" t="s">
        <v>738</v>
      </c>
      <c r="C99" s="2">
        <v>15.38</v>
      </c>
      <c r="D99" s="2">
        <v>19.07</v>
      </c>
      <c r="E99" s="2">
        <v>0</v>
      </c>
      <c r="F99" s="2">
        <v>293.3</v>
      </c>
      <c r="G99" s="2">
        <v>0</v>
      </c>
      <c r="H99" s="2">
        <v>312.37</v>
      </c>
    </row>
    <row r="100" spans="1:8" x14ac:dyDescent="0.3">
      <c r="A100" s="2" t="s">
        <v>44</v>
      </c>
      <c r="B100" s="2" t="s">
        <v>738</v>
      </c>
      <c r="C100" s="2">
        <v>13.07</v>
      </c>
      <c r="D100" s="2">
        <v>4</v>
      </c>
      <c r="E100" s="2">
        <v>0</v>
      </c>
      <c r="F100" s="2">
        <v>52.28</v>
      </c>
      <c r="G100" s="2">
        <v>0</v>
      </c>
      <c r="H100" s="2">
        <v>56.28</v>
      </c>
    </row>
    <row r="101" spans="1:8" x14ac:dyDescent="0.3">
      <c r="A101" s="2" t="s">
        <v>44</v>
      </c>
      <c r="B101" s="2" t="s">
        <v>738</v>
      </c>
      <c r="C101" s="2">
        <v>11.12</v>
      </c>
      <c r="D101" s="2">
        <v>5.93</v>
      </c>
      <c r="E101" s="2">
        <v>0</v>
      </c>
      <c r="F101" s="2">
        <v>65.94</v>
      </c>
      <c r="G101" s="2">
        <v>0</v>
      </c>
      <c r="H101" s="2">
        <v>71.87</v>
      </c>
    </row>
    <row r="102" spans="1:8" x14ac:dyDescent="0.3">
      <c r="A102" s="2" t="s">
        <v>45</v>
      </c>
      <c r="B102" s="2" t="s">
        <v>738</v>
      </c>
      <c r="C102" s="2">
        <v>15.43</v>
      </c>
      <c r="D102" s="2">
        <v>40</v>
      </c>
      <c r="E102" s="2">
        <v>0.79999999999999716</v>
      </c>
      <c r="F102" s="2">
        <v>617.20000000000005</v>
      </c>
      <c r="G102" s="2">
        <v>18.52</v>
      </c>
      <c r="H102" s="2">
        <v>676.52</v>
      </c>
    </row>
    <row r="103" spans="1:8" x14ac:dyDescent="0.3">
      <c r="A103" s="2" t="s">
        <v>45</v>
      </c>
      <c r="B103" s="2" t="s">
        <v>738</v>
      </c>
      <c r="C103" s="2">
        <v>11.85</v>
      </c>
      <c r="D103" s="2">
        <v>29.98</v>
      </c>
      <c r="E103" s="2">
        <v>0</v>
      </c>
      <c r="F103" s="2">
        <v>355.26</v>
      </c>
      <c r="G103" s="2">
        <v>0</v>
      </c>
      <c r="H103" s="2">
        <v>385.24</v>
      </c>
    </row>
    <row r="104" spans="1:8" x14ac:dyDescent="0.3">
      <c r="A104" s="2" t="s">
        <v>45</v>
      </c>
      <c r="B104" s="2" t="s">
        <v>738</v>
      </c>
      <c r="C104" s="2">
        <v>15.38</v>
      </c>
      <c r="D104" s="2">
        <v>15</v>
      </c>
      <c r="E104" s="2">
        <v>0</v>
      </c>
      <c r="F104" s="2">
        <v>230.7</v>
      </c>
      <c r="G104" s="2">
        <v>0</v>
      </c>
      <c r="H104" s="2">
        <v>245.7</v>
      </c>
    </row>
    <row r="105" spans="1:8" x14ac:dyDescent="0.3">
      <c r="A105" s="2" t="s">
        <v>45</v>
      </c>
      <c r="B105" s="2" t="s">
        <v>738</v>
      </c>
      <c r="C105" s="2">
        <v>11.14</v>
      </c>
      <c r="D105" s="2">
        <v>7.7</v>
      </c>
      <c r="E105" s="2">
        <v>0</v>
      </c>
      <c r="F105" s="2">
        <v>85.78</v>
      </c>
      <c r="G105" s="2">
        <v>0</v>
      </c>
      <c r="H105" s="2">
        <v>93.48</v>
      </c>
    </row>
    <row r="106" spans="1:8" x14ac:dyDescent="0.3">
      <c r="A106" s="2" t="s">
        <v>45</v>
      </c>
      <c r="B106" s="2" t="s">
        <v>738</v>
      </c>
      <c r="C106" s="2">
        <v>12.15</v>
      </c>
      <c r="D106" s="2">
        <v>34.869999999999997</v>
      </c>
      <c r="E106" s="2">
        <v>0</v>
      </c>
      <c r="F106" s="2">
        <v>423.67</v>
      </c>
      <c r="G106" s="2">
        <v>0</v>
      </c>
      <c r="H106" s="2">
        <v>458.54</v>
      </c>
    </row>
    <row r="107" spans="1:8" x14ac:dyDescent="0.3">
      <c r="A107" s="2" t="s">
        <v>45</v>
      </c>
      <c r="B107" s="2" t="s">
        <v>738</v>
      </c>
      <c r="C107" s="2">
        <v>11.14</v>
      </c>
      <c r="D107" s="2">
        <v>4.62</v>
      </c>
      <c r="E107" s="2">
        <v>0</v>
      </c>
      <c r="F107" s="2">
        <v>51.47</v>
      </c>
      <c r="G107" s="2">
        <v>0</v>
      </c>
      <c r="H107" s="2">
        <v>56.089999999999996</v>
      </c>
    </row>
    <row r="108" spans="1:8" x14ac:dyDescent="0.3">
      <c r="A108" s="2" t="s">
        <v>46</v>
      </c>
      <c r="B108" s="2" t="s">
        <v>484</v>
      </c>
      <c r="C108" s="2">
        <v>11.12</v>
      </c>
      <c r="D108" s="2">
        <v>32</v>
      </c>
      <c r="E108" s="2">
        <v>0</v>
      </c>
      <c r="F108" s="2">
        <v>355.84</v>
      </c>
      <c r="G108" s="2">
        <v>0</v>
      </c>
      <c r="H108" s="2">
        <v>387.84</v>
      </c>
    </row>
    <row r="109" spans="1:8" x14ac:dyDescent="0.3">
      <c r="A109" s="2" t="s">
        <v>47</v>
      </c>
      <c r="B109" s="2" t="s">
        <v>738</v>
      </c>
      <c r="C109" s="2">
        <v>11.85</v>
      </c>
      <c r="D109" s="2">
        <v>35.07</v>
      </c>
      <c r="E109" s="2">
        <v>0</v>
      </c>
      <c r="F109" s="2">
        <v>415.58</v>
      </c>
      <c r="G109" s="2">
        <v>0</v>
      </c>
      <c r="H109" s="2">
        <v>450.65</v>
      </c>
    </row>
    <row r="110" spans="1:8" x14ac:dyDescent="0.3">
      <c r="A110" s="2" t="s">
        <v>47</v>
      </c>
      <c r="B110" s="2" t="s">
        <v>738</v>
      </c>
      <c r="C110" s="2">
        <v>15.38</v>
      </c>
      <c r="D110" s="2">
        <v>40</v>
      </c>
      <c r="E110" s="2">
        <v>3.4200000000000017</v>
      </c>
      <c r="F110" s="2">
        <v>615.20000000000005</v>
      </c>
      <c r="G110" s="2">
        <v>78.900000000000006</v>
      </c>
      <c r="H110" s="2">
        <v>737.52</v>
      </c>
    </row>
    <row r="111" spans="1:8" x14ac:dyDescent="0.3">
      <c r="A111" s="2" t="s">
        <v>47</v>
      </c>
      <c r="B111" s="2" t="s">
        <v>738</v>
      </c>
      <c r="C111" s="2">
        <v>11.12</v>
      </c>
      <c r="D111" s="2">
        <v>34.6</v>
      </c>
      <c r="E111" s="2">
        <v>0</v>
      </c>
      <c r="F111" s="2">
        <v>384.75</v>
      </c>
      <c r="G111" s="2">
        <v>0</v>
      </c>
      <c r="H111" s="2">
        <v>419.35</v>
      </c>
    </row>
    <row r="112" spans="1:8" x14ac:dyDescent="0.3">
      <c r="A112" s="2" t="s">
        <v>47</v>
      </c>
      <c r="B112" s="2" t="s">
        <v>738</v>
      </c>
      <c r="C112" s="2">
        <v>11.1</v>
      </c>
      <c r="D112" s="2">
        <v>21.17</v>
      </c>
      <c r="E112" s="2">
        <v>0</v>
      </c>
      <c r="F112" s="2">
        <v>234.99</v>
      </c>
      <c r="G112" s="2">
        <v>0</v>
      </c>
      <c r="H112" s="2">
        <v>256.16000000000003</v>
      </c>
    </row>
    <row r="113" spans="1:8" x14ac:dyDescent="0.3">
      <c r="A113" s="2" t="s">
        <v>47</v>
      </c>
      <c r="B113" s="2" t="s">
        <v>738</v>
      </c>
      <c r="C113" s="2">
        <v>11.24</v>
      </c>
      <c r="D113" s="2">
        <v>35.369999999999997</v>
      </c>
      <c r="E113" s="2">
        <v>0</v>
      </c>
      <c r="F113" s="2">
        <v>397.56</v>
      </c>
      <c r="G113" s="2">
        <v>0</v>
      </c>
      <c r="H113" s="2">
        <v>432.93</v>
      </c>
    </row>
    <row r="114" spans="1:8" x14ac:dyDescent="0.3">
      <c r="A114" s="2" t="s">
        <v>47</v>
      </c>
      <c r="B114" s="2" t="s">
        <v>738</v>
      </c>
      <c r="C114" s="2">
        <v>11.12</v>
      </c>
      <c r="D114" s="2">
        <v>31.67</v>
      </c>
      <c r="E114" s="2">
        <v>0</v>
      </c>
      <c r="F114" s="2">
        <v>352.17</v>
      </c>
      <c r="G114" s="2">
        <v>0</v>
      </c>
      <c r="H114" s="2">
        <v>383.84000000000003</v>
      </c>
    </row>
    <row r="115" spans="1:8" x14ac:dyDescent="0.3">
      <c r="A115" s="2" t="s">
        <v>47</v>
      </c>
      <c r="B115" s="2" t="s">
        <v>738</v>
      </c>
      <c r="C115" s="2">
        <v>11.85</v>
      </c>
      <c r="D115" s="2">
        <v>36.75</v>
      </c>
      <c r="E115" s="2">
        <v>0</v>
      </c>
      <c r="F115" s="2">
        <v>435.49</v>
      </c>
      <c r="G115" s="2">
        <v>0</v>
      </c>
      <c r="H115" s="2">
        <v>472.24</v>
      </c>
    </row>
    <row r="116" spans="1:8" x14ac:dyDescent="0.3">
      <c r="A116" s="2" t="s">
        <v>47</v>
      </c>
      <c r="B116" s="2" t="s">
        <v>738</v>
      </c>
      <c r="C116" s="2">
        <v>10.3</v>
      </c>
      <c r="D116" s="2">
        <v>24.45</v>
      </c>
      <c r="E116" s="2">
        <v>0</v>
      </c>
      <c r="F116" s="2">
        <v>251.84</v>
      </c>
      <c r="G116" s="2">
        <v>0</v>
      </c>
      <c r="H116" s="2">
        <v>276.29000000000002</v>
      </c>
    </row>
    <row r="117" spans="1:8" x14ac:dyDescent="0.3">
      <c r="A117" s="2" t="s">
        <v>48</v>
      </c>
      <c r="B117" s="2" t="s">
        <v>738</v>
      </c>
      <c r="C117" s="2">
        <v>11.14</v>
      </c>
      <c r="D117" s="2">
        <v>5.83</v>
      </c>
      <c r="E117" s="2">
        <v>0</v>
      </c>
      <c r="F117" s="2">
        <v>64.95</v>
      </c>
      <c r="G117" s="2">
        <v>0</v>
      </c>
      <c r="H117" s="2">
        <v>70.78</v>
      </c>
    </row>
    <row r="118" spans="1:8" x14ac:dyDescent="0.3">
      <c r="A118" s="2" t="s">
        <v>48</v>
      </c>
      <c r="B118" s="2" t="s">
        <v>738</v>
      </c>
      <c r="C118" s="2">
        <v>12.03</v>
      </c>
      <c r="D118" s="2">
        <v>12.62</v>
      </c>
      <c r="E118" s="2">
        <v>0</v>
      </c>
      <c r="F118" s="2">
        <v>151.82</v>
      </c>
      <c r="G118" s="2">
        <v>0</v>
      </c>
      <c r="H118" s="2">
        <v>164.44</v>
      </c>
    </row>
    <row r="119" spans="1:8" x14ac:dyDescent="0.3">
      <c r="A119" s="2" t="s">
        <v>48</v>
      </c>
      <c r="B119" s="2" t="s">
        <v>738</v>
      </c>
      <c r="C119" s="2">
        <v>12.03</v>
      </c>
      <c r="D119" s="2">
        <v>8</v>
      </c>
      <c r="E119" s="2">
        <v>0</v>
      </c>
      <c r="F119" s="2">
        <v>96.24</v>
      </c>
      <c r="G119" s="2">
        <v>0</v>
      </c>
      <c r="H119" s="2">
        <v>104.24</v>
      </c>
    </row>
    <row r="120" spans="1:8" x14ac:dyDescent="0.3">
      <c r="A120" s="2" t="s">
        <v>49</v>
      </c>
      <c r="B120" s="2" t="s">
        <v>738</v>
      </c>
      <c r="C120" s="2">
        <v>11.24</v>
      </c>
      <c r="D120" s="2">
        <v>12.02</v>
      </c>
      <c r="E120" s="2">
        <v>0</v>
      </c>
      <c r="F120" s="2">
        <v>135.1</v>
      </c>
      <c r="G120" s="2">
        <v>0</v>
      </c>
      <c r="H120" s="2">
        <v>147.12</v>
      </c>
    </row>
    <row r="121" spans="1:8" x14ac:dyDescent="0.3">
      <c r="A121" s="2" t="s">
        <v>50</v>
      </c>
      <c r="B121" s="2" t="s">
        <v>738</v>
      </c>
      <c r="C121" s="2">
        <v>11.12</v>
      </c>
      <c r="D121" s="2">
        <v>7.43</v>
      </c>
      <c r="E121" s="2">
        <v>0</v>
      </c>
      <c r="F121" s="2">
        <v>82.62</v>
      </c>
      <c r="G121" s="2">
        <v>0</v>
      </c>
      <c r="H121" s="2">
        <v>90.050000000000011</v>
      </c>
    </row>
    <row r="122" spans="1:8" x14ac:dyDescent="0.3">
      <c r="A122" s="2" t="s">
        <v>50</v>
      </c>
      <c r="B122" s="2" t="s">
        <v>738</v>
      </c>
      <c r="C122" s="2">
        <v>11.85</v>
      </c>
      <c r="D122" s="2">
        <v>32</v>
      </c>
      <c r="E122" s="2">
        <v>0</v>
      </c>
      <c r="F122" s="2">
        <v>379.2</v>
      </c>
      <c r="G122" s="2">
        <v>0</v>
      </c>
      <c r="H122" s="2">
        <v>411.2</v>
      </c>
    </row>
    <row r="123" spans="1:8" x14ac:dyDescent="0.3">
      <c r="A123" s="2" t="s">
        <v>50</v>
      </c>
      <c r="B123" s="2" t="s">
        <v>738</v>
      </c>
      <c r="C123" s="2">
        <v>15.99</v>
      </c>
      <c r="D123" s="2">
        <v>40</v>
      </c>
      <c r="E123" s="2">
        <v>4.4699999999999989</v>
      </c>
      <c r="F123" s="2">
        <v>639.6</v>
      </c>
      <c r="G123" s="2">
        <v>107.21</v>
      </c>
      <c r="H123" s="2">
        <v>791.28000000000009</v>
      </c>
    </row>
    <row r="124" spans="1:8" x14ac:dyDescent="0.3">
      <c r="A124" s="2" t="s">
        <v>50</v>
      </c>
      <c r="B124" s="2" t="s">
        <v>738</v>
      </c>
      <c r="C124" s="2">
        <v>14.48</v>
      </c>
      <c r="D124" s="2">
        <v>34.47</v>
      </c>
      <c r="E124" s="2">
        <v>0</v>
      </c>
      <c r="F124" s="2">
        <v>499.13</v>
      </c>
      <c r="G124" s="2">
        <v>0</v>
      </c>
      <c r="H124" s="2">
        <v>533.6</v>
      </c>
    </row>
    <row r="125" spans="1:8" x14ac:dyDescent="0.3">
      <c r="A125" s="2" t="s">
        <v>50</v>
      </c>
      <c r="B125" s="2" t="s">
        <v>738</v>
      </c>
      <c r="C125" s="2">
        <v>15.32</v>
      </c>
      <c r="D125" s="2">
        <v>39.229999999999997</v>
      </c>
      <c r="E125" s="2">
        <v>0</v>
      </c>
      <c r="F125" s="2">
        <v>601</v>
      </c>
      <c r="G125" s="2">
        <v>0</v>
      </c>
      <c r="H125" s="2">
        <v>640.23</v>
      </c>
    </row>
    <row r="126" spans="1:8" x14ac:dyDescent="0.3">
      <c r="A126" s="2" t="s">
        <v>52</v>
      </c>
      <c r="B126" s="2" t="s">
        <v>738</v>
      </c>
      <c r="C126" s="2">
        <v>14.48</v>
      </c>
      <c r="D126" s="2">
        <v>10.43</v>
      </c>
      <c r="E126" s="2">
        <v>0</v>
      </c>
      <c r="F126" s="2">
        <v>151.03</v>
      </c>
      <c r="G126" s="2">
        <v>0</v>
      </c>
      <c r="H126" s="2">
        <v>161.46</v>
      </c>
    </row>
    <row r="127" spans="1:8" x14ac:dyDescent="0.3">
      <c r="A127" s="2" t="s">
        <v>53</v>
      </c>
      <c r="B127" s="2" t="s">
        <v>738</v>
      </c>
      <c r="C127" s="2">
        <v>11.14</v>
      </c>
      <c r="D127" s="2">
        <v>35.549999999999997</v>
      </c>
      <c r="E127" s="2">
        <v>0</v>
      </c>
      <c r="F127" s="2">
        <v>396.03</v>
      </c>
      <c r="G127" s="2">
        <v>0</v>
      </c>
      <c r="H127" s="2">
        <v>431.58</v>
      </c>
    </row>
    <row r="980" ht="13.5" customHeight="1" x14ac:dyDescent="0.3"/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2:IO28"/>
  <sheetViews>
    <sheetView showGridLines="0" zoomScale="75" zoomScaleNormal="75" workbookViewId="0">
      <selection activeCell="H38" sqref="H38"/>
    </sheetView>
  </sheetViews>
  <sheetFormatPr defaultColWidth="9.109375" defaultRowHeight="14.4" x14ac:dyDescent="0.3"/>
  <cols>
    <col min="1" max="1" width="3.33203125" style="2" customWidth="1"/>
    <col min="2" max="2" width="10.44140625" style="2" bestFit="1" customWidth="1"/>
    <col min="3" max="3" width="12.6640625" style="2" bestFit="1" customWidth="1"/>
    <col min="4" max="4" width="1.6640625" customWidth="1"/>
    <col min="5" max="8" width="12.6640625" style="2" customWidth="1"/>
    <col min="9" max="9" width="1.6640625" customWidth="1"/>
    <col min="10" max="13" width="15.6640625" style="2" customWidth="1"/>
    <col min="14" max="14" width="1.6640625" customWidth="1"/>
    <col min="15" max="18" width="15.6640625" style="2" customWidth="1"/>
    <col min="19" max="19" width="1.6640625" customWidth="1"/>
    <col min="20" max="21" width="15.6640625" style="2" customWidth="1"/>
    <col min="22" max="22" width="9.109375" style="2"/>
    <col min="23" max="27" width="15.6640625" style="2" customWidth="1"/>
    <col min="28" max="28" width="17.88671875" style="2" customWidth="1"/>
    <col min="29" max="16384" width="9.109375" style="2"/>
  </cols>
  <sheetData>
    <row r="2" spans="2:249" ht="24.9" customHeight="1" x14ac:dyDescent="0.3">
      <c r="B2" s="12" t="s">
        <v>92</v>
      </c>
      <c r="C2" s="12"/>
      <c r="E2" s="12" t="s">
        <v>59</v>
      </c>
      <c r="F2" s="12"/>
      <c r="G2" s="12"/>
      <c r="H2" s="12"/>
      <c r="J2" s="12" t="s">
        <v>60</v>
      </c>
      <c r="K2" s="12"/>
      <c r="L2" s="12"/>
      <c r="M2" s="12"/>
      <c r="O2" s="12" t="s">
        <v>61</v>
      </c>
      <c r="P2" s="12"/>
      <c r="Q2" s="12"/>
      <c r="R2" s="12"/>
      <c r="T2" s="12" t="s">
        <v>66</v>
      </c>
      <c r="U2" s="12"/>
    </row>
    <row r="3" spans="2:249" ht="3.9" customHeight="1" x14ac:dyDescent="0.3"/>
    <row r="4" spans="2:249" ht="45" customHeight="1" x14ac:dyDescent="0.3">
      <c r="B4" s="11" t="s">
        <v>11</v>
      </c>
      <c r="C4" s="11" t="s">
        <v>58</v>
      </c>
      <c r="E4" s="11" t="s">
        <v>54</v>
      </c>
      <c r="F4" s="11" t="s">
        <v>55</v>
      </c>
      <c r="G4" s="11" t="s">
        <v>56</v>
      </c>
      <c r="H4" s="11" t="s">
        <v>57</v>
      </c>
      <c r="J4" s="11" t="s">
        <v>13</v>
      </c>
      <c r="K4" s="11" t="s">
        <v>14</v>
      </c>
      <c r="L4" s="11" t="s">
        <v>15</v>
      </c>
      <c r="M4" s="11" t="s">
        <v>16</v>
      </c>
      <c r="O4" s="11" t="s">
        <v>13</v>
      </c>
      <c r="P4" s="11" t="s">
        <v>14</v>
      </c>
      <c r="Q4" s="11" t="s">
        <v>15</v>
      </c>
      <c r="R4" s="11" t="s">
        <v>16</v>
      </c>
      <c r="T4" s="11" t="s">
        <v>54</v>
      </c>
      <c r="U4" s="11" t="s">
        <v>56</v>
      </c>
    </row>
    <row r="5" spans="2:249" x14ac:dyDescent="0.3">
      <c r="B5" s="26">
        <v>41400001</v>
      </c>
      <c r="C5" s="27">
        <f>SUM(G5,H5,O5,P5,Q5,R5)</f>
        <v>4375.3700000000008</v>
      </c>
      <c r="D5" s="28"/>
      <c r="E5" s="27">
        <f>SUMPRODUCT((fData!$A1:$A$560=$IO5)*(fData!$B1:$B$560=LEFT($E$2,1))*(fData!$D1:$D$560))</f>
        <v>281.72999999999996</v>
      </c>
      <c r="F5" s="27">
        <f>SUMPRODUCT((fData!$A1:$A$560=$IO5)*(fData!$B1:$B$560=LEFT($E$2,1))*(fData!$E1:$E$560))</f>
        <v>0</v>
      </c>
      <c r="G5" s="27">
        <f>SUMPRODUCT((fData!$A1:$A$560=$IO5)*(fData!$B1:$B$560=LEFT($E$2,1))*(fData!$F1:$F$560))</f>
        <v>4343.6900000000005</v>
      </c>
      <c r="H5" s="27">
        <f>SUMPRODUCT((fData!$A1:$A$560=$IO5)*(fData!$B1:$B$560=LEFT($E$2,1))*(fData!$G1:$G$560))</f>
        <v>0</v>
      </c>
      <c r="I5" s="28"/>
      <c r="J5" s="27">
        <f>SUMPRODUCT((fData!$A1:$A$560=$IO5)*(fData!$B1:$B$560=J$4)*(fData!$D1:$D$560))</f>
        <v>0</v>
      </c>
      <c r="K5" s="27">
        <f>SUMPRODUCT((fData!$A1:$A$560=$IO5)*(fData!$B1:$B$560=K$4)*(fData!$D1:$D$560))</f>
        <v>2</v>
      </c>
      <c r="L5" s="27">
        <f>SUMPRODUCT((fData!$A1:$A$560=$IO5)*(fData!$B1:$B$560=L$4)*(fData!$D1:$D$560))</f>
        <v>0</v>
      </c>
      <c r="M5" s="27">
        <f>SUMPRODUCT((fData!$A1:$A$560=$IO5)*(fData!$B1:$B$560=M$4)*(fData!$D1:$D$560))</f>
        <v>0</v>
      </c>
      <c r="N5" s="28"/>
      <c r="O5" s="27">
        <f>SUMPRODUCT((fData!$A1:$A$560=$IO5)*(fData!$B1:$B$560=O$4)*(fData!$F1:$F$560))</f>
        <v>0</v>
      </c>
      <c r="P5" s="27">
        <f>SUMPRODUCT((fData!$A1:$A$560=$IO5)*(fData!$B1:$B$560=P$4)*(fData!$F1:$F$560))</f>
        <v>31.68</v>
      </c>
      <c r="Q5" s="27">
        <f>SUMPRODUCT((fData!$A1:$A$560=$IO5)*(fData!$B1:$B$560=Q$4)*(fData!$F1:$F$560))</f>
        <v>0</v>
      </c>
      <c r="R5" s="27">
        <f>SUMPRODUCT((fData!$A1:$A$560=$IO5)*(fData!$B1:$B$560=R$4)*(fData!$F1:$F$560))</f>
        <v>0</v>
      </c>
      <c r="S5" s="28"/>
      <c r="T5" s="27">
        <f>SUMIF(Adj!$C$3:$C$30,$B5,Adj!$D$3:$D$30)</f>
        <v>0</v>
      </c>
      <c r="U5" s="27">
        <f>SUMIF(Adj!$C$3:$C$30,$B5,Adj!$F$3:$F$30)</f>
        <v>0</v>
      </c>
      <c r="X5" s="9"/>
      <c r="Y5" s="9"/>
      <c r="Z5" s="9"/>
      <c r="AA5" s="9"/>
      <c r="IO5" s="2" t="s">
        <v>32</v>
      </c>
    </row>
    <row r="6" spans="2:249" x14ac:dyDescent="0.3">
      <c r="B6" s="25">
        <v>41400002</v>
      </c>
      <c r="C6" s="27">
        <f t="shared" ref="C6:C26" si="0">SUM(G6,H6,O6,P6,Q6,R6)</f>
        <v>0</v>
      </c>
      <c r="E6" s="13">
        <f>SUMPRODUCT((fData!$A2:$A559=$IO6)*(fData!$B2:$B559=LEFT($E$2,1))*(fData!$D2:$D559))</f>
        <v>0</v>
      </c>
      <c r="F6" s="13">
        <f>SUMPRODUCT((fData!$A2:$A559=$IO6)*(fData!$B2:$B559=LEFT($E$2,1))*(fData!$E2:$E559))</f>
        <v>0</v>
      </c>
      <c r="G6" s="13">
        <f>SUMPRODUCT((fData!$A2:$A559=$IO6)*(fData!$B2:$B559=LEFT($E$2,1))*(fData!$F2:$F559))</f>
        <v>0</v>
      </c>
      <c r="H6" s="13">
        <f>SUMPRODUCT((fData!$A2:$A559=$IO6)*(fData!$B2:$B559=LEFT($E$2,1))*(fData!$G2:$G559))</f>
        <v>0</v>
      </c>
      <c r="J6" s="13">
        <f>SUMPRODUCT((fData!$A2:$A559=$IO6)*(fData!$B2:$B559=J$4)*(fData!$D2:$D559))</f>
        <v>0</v>
      </c>
      <c r="K6" s="13">
        <f>SUMPRODUCT((fData!$A2:$A559=$IO6)*(fData!$B2:$B559=K$4)*(fData!$D2:$D559))</f>
        <v>0</v>
      </c>
      <c r="L6" s="13">
        <f>SUMPRODUCT((fData!$A2:$A559=$IO6)*(fData!$B2:$B559=L$4)*(fData!$D2:$D559))</f>
        <v>0</v>
      </c>
      <c r="M6" s="13">
        <f>SUMPRODUCT((fData!$A2:$A559=$IO6)*(fData!$B2:$B559=M$4)*(fData!$D2:$D559))</f>
        <v>0</v>
      </c>
      <c r="O6" s="13">
        <f>SUMPRODUCT((fData!$A2:$A559=$IO6)*(fData!$B2:$B559=O$4)*(fData!$F2:$F559))</f>
        <v>0</v>
      </c>
      <c r="P6" s="13">
        <f>SUMPRODUCT((fData!$A2:$A559=$IO6)*(fData!$B2:$B559=P$4)*(fData!$F2:$F559))</f>
        <v>0</v>
      </c>
      <c r="Q6" s="13">
        <f>SUMPRODUCT((fData!$A2:$A559=$IO6)*(fData!$B2:$B559=Q$4)*(fData!$F2:$F559))</f>
        <v>0</v>
      </c>
      <c r="R6" s="13">
        <f>SUMPRODUCT((fData!$A2:$A559=$IO6)*(fData!$B2:$B559=R$4)*(fData!$F2:$F559))</f>
        <v>0</v>
      </c>
      <c r="T6" s="13">
        <f>SUMIF(Adj!$C$3:$C$30,$B6,Adj!$D$3:$D$30)</f>
        <v>0</v>
      </c>
      <c r="U6" s="13">
        <f>SUMIF(Adj!$C$3:$C$30,$B6,Adj!$F$3:$F$30)</f>
        <v>0</v>
      </c>
      <c r="X6" s="9"/>
      <c r="Y6" s="9"/>
      <c r="Z6" s="9"/>
      <c r="AA6" s="9"/>
      <c r="IO6" s="2" t="s">
        <v>33</v>
      </c>
    </row>
    <row r="7" spans="2:249" x14ac:dyDescent="0.3">
      <c r="B7" s="25">
        <v>41400003</v>
      </c>
      <c r="C7" s="27">
        <f t="shared" si="0"/>
        <v>310</v>
      </c>
      <c r="E7" s="13">
        <f>SUMPRODUCT((fData!$A3:$A560=$IO7)*(fData!$B3:$B560=LEFT($E$2,1))*(fData!$D3:$D560))</f>
        <v>20</v>
      </c>
      <c r="F7" s="13">
        <f>SUMPRODUCT((fData!$A3:$A560=$IO7)*(fData!$B3:$B560=LEFT($E$2,1))*(fData!$E3:$E560))</f>
        <v>0</v>
      </c>
      <c r="G7" s="13">
        <f>SUMPRODUCT((fData!$A3:$A560=$IO7)*(fData!$B3:$B560=LEFT($E$2,1))*(fData!$F3:$F560))</f>
        <v>310</v>
      </c>
      <c r="H7" s="13">
        <f>SUMPRODUCT((fData!$A3:$A560=$IO7)*(fData!$B3:$B560=LEFT($E$2,1))*(fData!$G3:$G560))</f>
        <v>0</v>
      </c>
      <c r="J7" s="13">
        <f>SUMPRODUCT((fData!$A3:$A560=$IO7)*(fData!$B3:$B560=J$4)*(fData!$D3:$D560))</f>
        <v>0</v>
      </c>
      <c r="K7" s="13">
        <f>SUMPRODUCT((fData!$A3:$A560=$IO7)*(fData!$B3:$B560=K$4)*(fData!$D3:$D560))</f>
        <v>0</v>
      </c>
      <c r="L7" s="13">
        <f>SUMPRODUCT((fData!$A3:$A560=$IO7)*(fData!$B3:$B560=L$4)*(fData!$D3:$D560))</f>
        <v>0</v>
      </c>
      <c r="M7" s="13">
        <f>SUMPRODUCT((fData!$A3:$A560=$IO7)*(fData!$B3:$B560=M$4)*(fData!$D3:$D560))</f>
        <v>0</v>
      </c>
      <c r="O7" s="13">
        <f>SUMPRODUCT((fData!$A3:$A560=$IO7)*(fData!$B3:$B560=O$4)*(fData!$F3:$F560))</f>
        <v>0</v>
      </c>
      <c r="P7" s="13">
        <f>SUMPRODUCT((fData!$A3:$A560=$IO7)*(fData!$B3:$B560=P$4)*(fData!$F3:$F560))</f>
        <v>0</v>
      </c>
      <c r="Q7" s="13">
        <f>SUMPRODUCT((fData!$A3:$A560=$IO7)*(fData!$B3:$B560=Q$4)*(fData!$F3:$F560))</f>
        <v>0</v>
      </c>
      <c r="R7" s="13">
        <f>SUMPRODUCT((fData!$A3:$A560=$IO7)*(fData!$B3:$B560=R$4)*(fData!$F3:$F560))</f>
        <v>0</v>
      </c>
      <c r="T7" s="13">
        <f>SUMIF(Adj!$C$3:$C$30,$B7,Adj!$D$3:$D$30)</f>
        <v>0</v>
      </c>
      <c r="U7" s="13">
        <f>SUMIF(Adj!$C$3:$C$30,$B7,Adj!$F$3:$F$30)</f>
        <v>0</v>
      </c>
      <c r="X7" s="9"/>
      <c r="Y7" s="9"/>
      <c r="Z7" s="9"/>
      <c r="AA7" s="9"/>
      <c r="IO7" s="2" t="s">
        <v>34</v>
      </c>
    </row>
    <row r="8" spans="2:249" x14ac:dyDescent="0.3">
      <c r="B8" s="25">
        <v>41400004</v>
      </c>
      <c r="C8" s="27">
        <f t="shared" si="0"/>
        <v>8688.6099999999988</v>
      </c>
      <c r="E8" s="13">
        <f>SUMPRODUCT((fData!$A4:$A561=$IO8)*(fData!$B4:$B561=LEFT($E$2,1))*(fData!$D4:$D561))</f>
        <v>686.0999999999998</v>
      </c>
      <c r="F8" s="13">
        <f>SUMPRODUCT((fData!$A4:$A561=$IO8)*(fData!$B4:$B561=LEFT($E$2,1))*(fData!$E4:$E561))</f>
        <v>6.2199999999999989</v>
      </c>
      <c r="G8" s="13">
        <f>SUMPRODUCT((fData!$A4:$A561=$IO8)*(fData!$B4:$B561=LEFT($E$2,1))*(fData!$F4:$F561))</f>
        <v>8558.39</v>
      </c>
      <c r="H8" s="13">
        <f>SUMPRODUCT((fData!$A4:$A561=$IO8)*(fData!$B4:$B561=LEFT($E$2,1))*(fData!$G4:$G561))</f>
        <v>130.22</v>
      </c>
      <c r="J8" s="13">
        <f>SUMPRODUCT((fData!$A4:$A561=$IO8)*(fData!$B4:$B561=J$4)*(fData!$D4:$D561))</f>
        <v>0</v>
      </c>
      <c r="K8" s="13">
        <f>SUMPRODUCT((fData!$A4:$A561=$IO8)*(fData!$B4:$B561=K$4)*(fData!$D4:$D561))</f>
        <v>0</v>
      </c>
      <c r="L8" s="13">
        <f>SUMPRODUCT((fData!$A4:$A561=$IO8)*(fData!$B4:$B561=L$4)*(fData!$D4:$D561))</f>
        <v>0</v>
      </c>
      <c r="M8" s="13">
        <f>SUMPRODUCT((fData!$A4:$A561=$IO8)*(fData!$B4:$B561=M$4)*(fData!$D4:$D561))</f>
        <v>0</v>
      </c>
      <c r="O8" s="13">
        <f>SUMPRODUCT((fData!$A4:$A561=$IO8)*(fData!$B4:$B561=O$4)*(fData!$F4:$F561))</f>
        <v>0</v>
      </c>
      <c r="P8" s="13">
        <f>SUMPRODUCT((fData!$A4:$A561=$IO8)*(fData!$B4:$B561=P$4)*(fData!$F4:$F561))</f>
        <v>0</v>
      </c>
      <c r="Q8" s="13">
        <f>SUMPRODUCT((fData!$A4:$A561=$IO8)*(fData!$B4:$B561=Q$4)*(fData!$F4:$F561))</f>
        <v>0</v>
      </c>
      <c r="R8" s="13">
        <f>SUMPRODUCT((fData!$A4:$A561=$IO8)*(fData!$B4:$B561=R$4)*(fData!$F4:$F561))</f>
        <v>0</v>
      </c>
      <c r="T8" s="13">
        <f>SUMIF(Adj!$C$3:$C$30,$B8,Adj!$D$3:$D$30)</f>
        <v>0</v>
      </c>
      <c r="U8" s="13">
        <f>SUMIF(Adj!$C$3:$C$30,$B8,Adj!$F$3:$F$30)</f>
        <v>0</v>
      </c>
      <c r="X8" s="9"/>
      <c r="Y8" s="9"/>
      <c r="Z8" s="9"/>
      <c r="AA8" s="9"/>
      <c r="IO8" s="2" t="s">
        <v>35</v>
      </c>
    </row>
    <row r="9" spans="2:249" x14ac:dyDescent="0.3">
      <c r="B9" s="25">
        <v>41400005</v>
      </c>
      <c r="C9" s="27">
        <f t="shared" si="0"/>
        <v>130.51</v>
      </c>
      <c r="E9" s="13">
        <f>SUMPRODUCT((fData!$A5:$A562=$IO9)*(fData!$B5:$B562=LEFT($E$2,1))*(fData!$D5:$D562))</f>
        <v>12.120000000000001</v>
      </c>
      <c r="F9" s="13">
        <f>SUMPRODUCT((fData!$A5:$A562=$IO9)*(fData!$B5:$B562=LEFT($E$2,1))*(fData!$E5:$E562))</f>
        <v>0</v>
      </c>
      <c r="G9" s="13">
        <f>SUMPRODUCT((fData!$A5:$A562=$IO9)*(fData!$B5:$B562=LEFT($E$2,1))*(fData!$F5:$F562))</f>
        <v>130.51</v>
      </c>
      <c r="H9" s="13">
        <f>SUMPRODUCT((fData!$A5:$A562=$IO9)*(fData!$B5:$B562=LEFT($E$2,1))*(fData!$G5:$G562))</f>
        <v>0</v>
      </c>
      <c r="J9" s="13">
        <f>SUMPRODUCT((fData!$A5:$A562=$IO9)*(fData!$B5:$B562=J$4)*(fData!$D5:$D562))</f>
        <v>0</v>
      </c>
      <c r="K9" s="13">
        <f>SUMPRODUCT((fData!$A5:$A562=$IO9)*(fData!$B5:$B562=K$4)*(fData!$D5:$D562))</f>
        <v>0</v>
      </c>
      <c r="L9" s="13">
        <f>SUMPRODUCT((fData!$A5:$A562=$IO9)*(fData!$B5:$B562=L$4)*(fData!$D5:$D562))</f>
        <v>0</v>
      </c>
      <c r="M9" s="13">
        <f>SUMPRODUCT((fData!$A5:$A562=$IO9)*(fData!$B5:$B562=M$4)*(fData!$D5:$D562))</f>
        <v>0</v>
      </c>
      <c r="O9" s="13">
        <f>SUMPRODUCT((fData!$A5:$A562=$IO9)*(fData!$B5:$B562=O$4)*(fData!$F5:$F562))</f>
        <v>0</v>
      </c>
      <c r="P9" s="13">
        <f>SUMPRODUCT((fData!$A5:$A562=$IO9)*(fData!$B5:$B562=P$4)*(fData!$F5:$F562))</f>
        <v>0</v>
      </c>
      <c r="Q9" s="13">
        <f>SUMPRODUCT((fData!$A5:$A562=$IO9)*(fData!$B5:$B562=Q$4)*(fData!$F5:$F562))</f>
        <v>0</v>
      </c>
      <c r="R9" s="13">
        <f>SUMPRODUCT((fData!$A5:$A562=$IO9)*(fData!$B5:$B562=R$4)*(fData!$F5:$F562))</f>
        <v>0</v>
      </c>
      <c r="T9" s="13">
        <f>SUMIF(Adj!$C$3:$C$30,$B9,Adj!$D$3:$D$30)</f>
        <v>0</v>
      </c>
      <c r="U9" s="13">
        <f>SUMIF(Adj!$C$3:$C$30,$B9,Adj!$F$3:$F$30)</f>
        <v>0</v>
      </c>
      <c r="X9" s="9"/>
      <c r="Y9" s="9"/>
      <c r="Z9" s="9"/>
      <c r="AA9" s="9"/>
      <c r="IO9" s="2" t="s">
        <v>36</v>
      </c>
    </row>
    <row r="10" spans="2:249" x14ac:dyDescent="0.3">
      <c r="B10" s="25">
        <v>41400006</v>
      </c>
      <c r="C10" s="27">
        <f t="shared" si="0"/>
        <v>456.73</v>
      </c>
      <c r="E10" s="13">
        <f>SUMPRODUCT((fData!$A6:$A563=$IO10)*(fData!$B6:$B563=LEFT($E$2,1))*(fData!$D6:$D563))</f>
        <v>41.04</v>
      </c>
      <c r="F10" s="13">
        <f>SUMPRODUCT((fData!$A6:$A563=$IO10)*(fData!$B6:$B563=LEFT($E$2,1))*(fData!$E6:$E563))</f>
        <v>0</v>
      </c>
      <c r="G10" s="13">
        <f>SUMPRODUCT((fData!$A6:$A563=$IO10)*(fData!$B6:$B563=LEFT($E$2,1))*(fData!$F6:$F563))</f>
        <v>456.73</v>
      </c>
      <c r="H10" s="13">
        <f>SUMPRODUCT((fData!$A6:$A563=$IO10)*(fData!$B6:$B563=LEFT($E$2,1))*(fData!$G6:$G563))</f>
        <v>0</v>
      </c>
      <c r="J10" s="13">
        <f>SUMPRODUCT((fData!$A6:$A563=$IO10)*(fData!$B6:$B563=J$4)*(fData!$D6:$D563))</f>
        <v>0</v>
      </c>
      <c r="K10" s="13">
        <f>SUMPRODUCT((fData!$A6:$A563=$IO10)*(fData!$B6:$B563=K$4)*(fData!$D6:$D563))</f>
        <v>0</v>
      </c>
      <c r="L10" s="13">
        <f>SUMPRODUCT((fData!$A6:$A563=$IO10)*(fData!$B6:$B563=L$4)*(fData!$D6:$D563))</f>
        <v>0</v>
      </c>
      <c r="M10" s="13">
        <f>SUMPRODUCT((fData!$A6:$A563=$IO10)*(fData!$B6:$B563=M$4)*(fData!$D6:$D563))</f>
        <v>0</v>
      </c>
      <c r="O10" s="13">
        <f>SUMPRODUCT((fData!$A6:$A563=$IO10)*(fData!$B6:$B563=O$4)*(fData!$F6:$F563))</f>
        <v>0</v>
      </c>
      <c r="P10" s="13">
        <f>SUMPRODUCT((fData!$A6:$A563=$IO10)*(fData!$B6:$B563=P$4)*(fData!$F6:$F563))</f>
        <v>0</v>
      </c>
      <c r="Q10" s="13">
        <f>SUMPRODUCT((fData!$A6:$A563=$IO10)*(fData!$B6:$B563=Q$4)*(fData!$F6:$F563))</f>
        <v>0</v>
      </c>
      <c r="R10" s="13">
        <f>SUMPRODUCT((fData!$A6:$A563=$IO10)*(fData!$B6:$B563=R$4)*(fData!$F6:$F563))</f>
        <v>0</v>
      </c>
      <c r="T10" s="13">
        <f>SUMIF(Adj!$C$3:$C$30,$B10,Adj!$D$3:$D$30)</f>
        <v>0</v>
      </c>
      <c r="U10" s="13">
        <f>SUMIF(Adj!$C$3:$C$30,$B10,Adj!$F$3:$F$30)</f>
        <v>0</v>
      </c>
      <c r="X10" s="9"/>
      <c r="Y10" s="9"/>
      <c r="Z10" s="9"/>
      <c r="AA10" s="9"/>
      <c r="IO10" s="2" t="s">
        <v>37</v>
      </c>
    </row>
    <row r="11" spans="2:249" x14ac:dyDescent="0.3">
      <c r="B11" s="25">
        <v>41400007</v>
      </c>
      <c r="C11" s="27">
        <f t="shared" si="0"/>
        <v>0</v>
      </c>
      <c r="E11" s="13">
        <f>SUMPRODUCT((fData!$A7:$A564=$IO11)*(fData!$B7:$B564=LEFT($E$2,1))*(fData!$D7:$D564))</f>
        <v>0</v>
      </c>
      <c r="F11" s="13">
        <f>SUMPRODUCT((fData!$A7:$A564=$IO11)*(fData!$B7:$B564=LEFT($E$2,1))*(fData!$E7:$E564))</f>
        <v>0</v>
      </c>
      <c r="G11" s="13">
        <f>SUMPRODUCT((fData!$A7:$A564=$IO11)*(fData!$B7:$B564=LEFT($E$2,1))*(fData!$F7:$F564))</f>
        <v>0</v>
      </c>
      <c r="H11" s="13">
        <f>SUMPRODUCT((fData!$A7:$A564=$IO11)*(fData!$B7:$B564=LEFT($E$2,1))*(fData!$G7:$G564))</f>
        <v>0</v>
      </c>
      <c r="J11" s="13">
        <f>SUMPRODUCT((fData!$A7:$A564=$IO11)*(fData!$B7:$B564=J$4)*(fData!$D7:$D564))</f>
        <v>0</v>
      </c>
      <c r="K11" s="13">
        <f>SUMPRODUCT((fData!$A7:$A564=$IO11)*(fData!$B7:$B564=K$4)*(fData!$D7:$D564))</f>
        <v>0</v>
      </c>
      <c r="L11" s="13">
        <f>SUMPRODUCT((fData!$A7:$A564=$IO11)*(fData!$B7:$B564=L$4)*(fData!$D7:$D564))</f>
        <v>0</v>
      </c>
      <c r="M11" s="13">
        <f>SUMPRODUCT((fData!$A7:$A564=$IO11)*(fData!$B7:$B564=M$4)*(fData!$D7:$D564))</f>
        <v>0</v>
      </c>
      <c r="O11" s="13">
        <f>SUMPRODUCT((fData!$A7:$A564=$IO11)*(fData!$B7:$B564=O$4)*(fData!$F7:$F564))</f>
        <v>0</v>
      </c>
      <c r="P11" s="13">
        <f>SUMPRODUCT((fData!$A7:$A564=$IO11)*(fData!$B7:$B564=P$4)*(fData!$F7:$F564))</f>
        <v>0</v>
      </c>
      <c r="Q11" s="13">
        <f>SUMPRODUCT((fData!$A7:$A564=$IO11)*(fData!$B7:$B564=Q$4)*(fData!$F7:$F564))</f>
        <v>0</v>
      </c>
      <c r="R11" s="13">
        <f>SUMPRODUCT((fData!$A7:$A564=$IO11)*(fData!$B7:$B564=R$4)*(fData!$F7:$F564))</f>
        <v>0</v>
      </c>
      <c r="T11" s="13">
        <f>SUMIF(Adj!$C$3:$C$30,$B11,Adj!$D$3:$D$30)</f>
        <v>0</v>
      </c>
      <c r="U11" s="13">
        <f>SUMIF(Adj!$C$3:$C$30,$B11,Adj!$F$3:$F$30)</f>
        <v>0</v>
      </c>
      <c r="X11" s="9"/>
      <c r="Y11" s="9"/>
      <c r="Z11" s="9"/>
      <c r="AA11" s="9"/>
      <c r="IO11" s="2" t="s">
        <v>38</v>
      </c>
    </row>
    <row r="12" spans="2:249" x14ac:dyDescent="0.3">
      <c r="B12" s="25">
        <v>41400008</v>
      </c>
      <c r="C12" s="27">
        <f t="shared" si="0"/>
        <v>5068.91</v>
      </c>
      <c r="E12" s="13">
        <f>SUMPRODUCT((fData!$A8:$A565=$IO12)*(fData!$B8:$B565=LEFT($E$2,1))*(fData!$D8:$D565))</f>
        <v>325.36</v>
      </c>
      <c r="F12" s="13">
        <f>SUMPRODUCT((fData!$A8:$A565=$IO12)*(fData!$B8:$B565=LEFT($E$2,1))*(fData!$E8:$E565))</f>
        <v>4.2999999999999972</v>
      </c>
      <c r="G12" s="13">
        <f>SUMPRODUCT((fData!$A8:$A565=$IO12)*(fData!$B8:$B565=LEFT($E$2,1))*(fData!$F8:$F565))</f>
        <v>4773.76</v>
      </c>
      <c r="H12" s="13">
        <f>SUMPRODUCT((fData!$A8:$A565=$IO12)*(fData!$B8:$B565=LEFT($E$2,1))*(fData!$G8:$G565))</f>
        <v>102.49</v>
      </c>
      <c r="J12" s="13">
        <f>SUMPRODUCT((fData!$A8:$A565=$IO12)*(fData!$B8:$B565=J$4)*(fData!$D8:$D565))</f>
        <v>0</v>
      </c>
      <c r="K12" s="13">
        <f>SUMPRODUCT((fData!$A8:$A565=$IO12)*(fData!$B8:$B565=K$4)*(fData!$D8:$D565))</f>
        <v>14</v>
      </c>
      <c r="L12" s="13">
        <f>SUMPRODUCT((fData!$A8:$A565=$IO12)*(fData!$B8:$B565=L$4)*(fData!$D8:$D565))</f>
        <v>0</v>
      </c>
      <c r="M12" s="13">
        <f>SUMPRODUCT((fData!$A8:$A565=$IO12)*(fData!$B8:$B565=M$4)*(fData!$D8:$D565))</f>
        <v>0</v>
      </c>
      <c r="O12" s="13">
        <f>SUMPRODUCT((fData!$A8:$A565=$IO12)*(fData!$B8:$B565=O$4)*(fData!$F8:$F565))</f>
        <v>0</v>
      </c>
      <c r="P12" s="13">
        <f>SUMPRODUCT((fData!$A8:$A565=$IO12)*(fData!$B8:$B565=P$4)*(fData!$F8:$F565))</f>
        <v>192.66</v>
      </c>
      <c r="Q12" s="13">
        <f>SUMPRODUCT((fData!$A8:$A565=$IO12)*(fData!$B8:$B565=Q$4)*(fData!$F8:$F565))</f>
        <v>0</v>
      </c>
      <c r="R12" s="13">
        <f>SUMPRODUCT((fData!$A8:$A565=$IO12)*(fData!$B8:$B565=R$4)*(fData!$F8:$F565))</f>
        <v>0</v>
      </c>
      <c r="T12" s="13">
        <f>SUMIF(Adj!$C$3:$C$30,$B12,Adj!$D$3:$D$30)</f>
        <v>0</v>
      </c>
      <c r="U12" s="13">
        <f>SUMIF(Adj!$C$3:$C$30,$B12,Adj!$F$3:$F$30)</f>
        <v>0</v>
      </c>
      <c r="X12" s="9"/>
      <c r="Y12" s="9"/>
      <c r="Z12" s="9"/>
      <c r="AA12" s="9"/>
      <c r="IO12" s="2" t="s">
        <v>39</v>
      </c>
    </row>
    <row r="13" spans="2:249" x14ac:dyDescent="0.3">
      <c r="B13" s="25">
        <v>41400009</v>
      </c>
      <c r="C13" s="27">
        <f t="shared" si="0"/>
        <v>0</v>
      </c>
      <c r="E13" s="13">
        <f>SUMPRODUCT((fData!$A9:$A566=$IO13)*(fData!$B9:$B566=LEFT($E$2,1))*(fData!$D9:$D566))</f>
        <v>0</v>
      </c>
      <c r="F13" s="13">
        <f>SUMPRODUCT((fData!$A9:$A566=$IO13)*(fData!$B9:$B566=LEFT($E$2,1))*(fData!$E9:$E566))</f>
        <v>0</v>
      </c>
      <c r="G13" s="13">
        <f>SUMPRODUCT((fData!$A9:$A566=$IO13)*(fData!$B9:$B566=LEFT($E$2,1))*(fData!$F9:$F566))</f>
        <v>0</v>
      </c>
      <c r="H13" s="13">
        <f>SUMPRODUCT((fData!$A9:$A566=$IO13)*(fData!$B9:$B566=LEFT($E$2,1))*(fData!$G9:$G566))</f>
        <v>0</v>
      </c>
      <c r="J13" s="13">
        <f>SUMPRODUCT((fData!$A9:$A566=$IO13)*(fData!$B9:$B566=J$4)*(fData!$D9:$D566))</f>
        <v>0</v>
      </c>
      <c r="K13" s="13">
        <f>SUMPRODUCT((fData!$A9:$A566=$IO13)*(fData!$B9:$B566=K$4)*(fData!$D9:$D566))</f>
        <v>0</v>
      </c>
      <c r="L13" s="13">
        <f>SUMPRODUCT((fData!$A9:$A566=$IO13)*(fData!$B9:$B566=L$4)*(fData!$D9:$D566))</f>
        <v>0</v>
      </c>
      <c r="M13" s="13">
        <f>SUMPRODUCT((fData!$A9:$A566=$IO13)*(fData!$B9:$B566=M$4)*(fData!$D9:$D566))</f>
        <v>0</v>
      </c>
      <c r="O13" s="13">
        <f>SUMPRODUCT((fData!$A9:$A566=$IO13)*(fData!$B9:$B566=O$4)*(fData!$F9:$F566))</f>
        <v>0</v>
      </c>
      <c r="P13" s="13">
        <f>SUMPRODUCT((fData!$A9:$A566=$IO13)*(fData!$B9:$B566=P$4)*(fData!$F9:$F566))</f>
        <v>0</v>
      </c>
      <c r="Q13" s="13">
        <f>SUMPRODUCT((fData!$A9:$A566=$IO13)*(fData!$B9:$B566=Q$4)*(fData!$F9:$F566))</f>
        <v>0</v>
      </c>
      <c r="R13" s="13">
        <f>SUMPRODUCT((fData!$A9:$A566=$IO13)*(fData!$B9:$B566=R$4)*(fData!$F9:$F566))</f>
        <v>0</v>
      </c>
      <c r="T13" s="13">
        <f>SUMIF(Adj!$C$3:$C$30,$B13,Adj!$D$3:$D$30)</f>
        <v>0</v>
      </c>
      <c r="U13" s="13">
        <f>SUMIF(Adj!$C$3:$C$30,$B13,Adj!$F$3:$F$30)</f>
        <v>0</v>
      </c>
      <c r="X13" s="9"/>
      <c r="Y13" s="9"/>
      <c r="Z13" s="9"/>
      <c r="AA13" s="9"/>
      <c r="IO13" s="2" t="s">
        <v>40</v>
      </c>
    </row>
    <row r="14" spans="2:249" x14ac:dyDescent="0.3">
      <c r="B14" s="25">
        <v>41400010</v>
      </c>
      <c r="C14" s="27">
        <f t="shared" si="0"/>
        <v>0</v>
      </c>
      <c r="E14" s="13">
        <f>SUMPRODUCT((fData!$A10:$A567=$IO14)*(fData!$B10:$B567=LEFT($E$2,1))*(fData!$D10:$D567))</f>
        <v>0</v>
      </c>
      <c r="F14" s="13">
        <f>SUMPRODUCT((fData!$A10:$A567=$IO14)*(fData!$B10:$B567=LEFT($E$2,1))*(fData!$E10:$E567))</f>
        <v>0</v>
      </c>
      <c r="G14" s="13">
        <f>SUMPRODUCT((fData!$A10:$A567=$IO14)*(fData!$B10:$B567=LEFT($E$2,1))*(fData!$F10:$F567))</f>
        <v>0</v>
      </c>
      <c r="H14" s="13">
        <f>SUMPRODUCT((fData!$A10:$A567=$IO14)*(fData!$B10:$B567=LEFT($E$2,1))*(fData!$G10:$G567))</f>
        <v>0</v>
      </c>
      <c r="J14" s="13">
        <f>SUMPRODUCT((fData!$A10:$A567=$IO14)*(fData!$B10:$B567=J$4)*(fData!$D10:$D567))</f>
        <v>0</v>
      </c>
      <c r="K14" s="13">
        <f>SUMPRODUCT((fData!$A10:$A567=$IO14)*(fData!$B10:$B567=K$4)*(fData!$D10:$D567))</f>
        <v>0</v>
      </c>
      <c r="L14" s="13">
        <f>SUMPRODUCT((fData!$A10:$A567=$IO14)*(fData!$B10:$B567=L$4)*(fData!$D10:$D567))</f>
        <v>0</v>
      </c>
      <c r="M14" s="13">
        <f>SUMPRODUCT((fData!$A10:$A567=$IO14)*(fData!$B10:$B567=M$4)*(fData!$D10:$D567))</f>
        <v>0</v>
      </c>
      <c r="O14" s="13">
        <f>SUMPRODUCT((fData!$A10:$A567=$IO14)*(fData!$B10:$B567=O$4)*(fData!$F10:$F567))</f>
        <v>0</v>
      </c>
      <c r="P14" s="13">
        <f>SUMPRODUCT((fData!$A10:$A567=$IO14)*(fData!$B10:$B567=P$4)*(fData!$F10:$F567))</f>
        <v>0</v>
      </c>
      <c r="Q14" s="13">
        <f>SUMPRODUCT((fData!$A10:$A567=$IO14)*(fData!$B10:$B567=Q$4)*(fData!$F10:$F567))</f>
        <v>0</v>
      </c>
      <c r="R14" s="13">
        <f>SUMPRODUCT((fData!$A10:$A567=$IO14)*(fData!$B10:$B567=R$4)*(fData!$F10:$F567))</f>
        <v>0</v>
      </c>
      <c r="T14" s="13">
        <f>SUMIF(Adj!$C$3:$C$30,$B14,Adj!$D$3:$D$30)</f>
        <v>0</v>
      </c>
      <c r="U14" s="13">
        <f>SUMIF(Adj!$C$3:$C$30,$B14,Adj!$F$3:$F$30)</f>
        <v>0</v>
      </c>
      <c r="X14" s="9"/>
      <c r="Y14" s="9"/>
      <c r="Z14" s="9"/>
      <c r="AA14" s="9"/>
      <c r="IO14" s="2" t="s">
        <v>41</v>
      </c>
    </row>
    <row r="15" spans="2:249" x14ac:dyDescent="0.3">
      <c r="B15" s="25">
        <v>41400011</v>
      </c>
      <c r="C15" s="27">
        <f t="shared" si="0"/>
        <v>114.65</v>
      </c>
      <c r="E15" s="13">
        <f>SUMPRODUCT((fData!$A11:$A568=$IO15)*(fData!$B11:$B568=LEFT($E$2,1))*(fData!$D11:$D568))</f>
        <v>9.8000000000000007</v>
      </c>
      <c r="F15" s="13">
        <f>SUMPRODUCT((fData!$A11:$A568=$IO15)*(fData!$B11:$B568=LEFT($E$2,1))*(fData!$E11:$E568))</f>
        <v>0</v>
      </c>
      <c r="G15" s="13">
        <f>SUMPRODUCT((fData!$A11:$A568=$IO15)*(fData!$B11:$B568=LEFT($E$2,1))*(fData!$F11:$F568))</f>
        <v>114.65</v>
      </c>
      <c r="H15" s="13">
        <f>SUMPRODUCT((fData!$A11:$A568=$IO15)*(fData!$B11:$B568=LEFT($E$2,1))*(fData!$G11:$G568))</f>
        <v>0</v>
      </c>
      <c r="J15" s="13">
        <f>SUMPRODUCT((fData!$A11:$A568=$IO15)*(fData!$B11:$B568=J$4)*(fData!$D11:$D568))</f>
        <v>0</v>
      </c>
      <c r="K15" s="13">
        <f>SUMPRODUCT((fData!$A11:$A568=$IO15)*(fData!$B11:$B568=K$4)*(fData!$D11:$D568))</f>
        <v>0</v>
      </c>
      <c r="L15" s="13">
        <f>SUMPRODUCT((fData!$A11:$A568=$IO15)*(fData!$B11:$B568=L$4)*(fData!$D11:$D568))</f>
        <v>0</v>
      </c>
      <c r="M15" s="13">
        <f>SUMPRODUCT((fData!$A11:$A568=$IO15)*(fData!$B11:$B568=M$4)*(fData!$D11:$D568))</f>
        <v>0</v>
      </c>
      <c r="O15" s="13">
        <f>SUMPRODUCT((fData!$A11:$A568=$IO15)*(fData!$B11:$B568=O$4)*(fData!$F11:$F568))</f>
        <v>0</v>
      </c>
      <c r="P15" s="13">
        <f>SUMPRODUCT((fData!$A11:$A568=$IO15)*(fData!$B11:$B568=P$4)*(fData!$F11:$F568))</f>
        <v>0</v>
      </c>
      <c r="Q15" s="13">
        <f>SUMPRODUCT((fData!$A11:$A568=$IO15)*(fData!$B11:$B568=Q$4)*(fData!$F11:$F568))</f>
        <v>0</v>
      </c>
      <c r="R15" s="13">
        <f>SUMPRODUCT((fData!$A11:$A568=$IO15)*(fData!$B11:$B568=R$4)*(fData!$F11:$F568))</f>
        <v>0</v>
      </c>
      <c r="T15" s="13">
        <f>SUMIF(Adj!$C$3:$C$30,$B15,Adj!$D$3:$D$30)</f>
        <v>0</v>
      </c>
      <c r="U15" s="13">
        <f>SUMIF(Adj!$C$3:$C$30,$B15,Adj!$F$3:$F$30)</f>
        <v>0</v>
      </c>
      <c r="X15" s="9"/>
      <c r="Y15" s="9"/>
      <c r="Z15" s="9"/>
      <c r="AA15" s="9"/>
      <c r="IO15" s="2" t="s">
        <v>42</v>
      </c>
    </row>
    <row r="16" spans="2:249" x14ac:dyDescent="0.3">
      <c r="B16" s="25">
        <v>41400012</v>
      </c>
      <c r="C16" s="27">
        <f t="shared" si="0"/>
        <v>588.23</v>
      </c>
      <c r="E16" s="13">
        <f>SUMPRODUCT((fData!$A12:$A569=$IO16)*(fData!$B12:$B569=LEFT($E$2,1))*(fData!$D12:$D569))</f>
        <v>51.09</v>
      </c>
      <c r="F16" s="13">
        <f>SUMPRODUCT((fData!$A12:$A569=$IO16)*(fData!$B12:$B569=LEFT($E$2,1))*(fData!$E12:$E569))</f>
        <v>0</v>
      </c>
      <c r="G16" s="13">
        <f>SUMPRODUCT((fData!$A12:$A569=$IO16)*(fData!$B12:$B569=LEFT($E$2,1))*(fData!$F12:$F569))</f>
        <v>588.23</v>
      </c>
      <c r="H16" s="13">
        <f>SUMPRODUCT((fData!$A12:$A569=$IO16)*(fData!$B12:$B569=LEFT($E$2,1))*(fData!$G12:$G569))</f>
        <v>0</v>
      </c>
      <c r="J16" s="13">
        <f>SUMPRODUCT((fData!$A12:$A569=$IO16)*(fData!$B12:$B569=J$4)*(fData!$D12:$D569))</f>
        <v>0</v>
      </c>
      <c r="K16" s="13">
        <f>SUMPRODUCT((fData!$A12:$A569=$IO16)*(fData!$B12:$B569=K$4)*(fData!$D12:$D569))</f>
        <v>0</v>
      </c>
      <c r="L16" s="13">
        <f>SUMPRODUCT((fData!$A12:$A569=$IO16)*(fData!$B12:$B569=L$4)*(fData!$D12:$D569))</f>
        <v>0</v>
      </c>
      <c r="M16" s="13">
        <f>SUMPRODUCT((fData!$A12:$A569=$IO16)*(fData!$B12:$B569=M$4)*(fData!$D12:$D569))</f>
        <v>0</v>
      </c>
      <c r="O16" s="13">
        <f>SUMPRODUCT((fData!$A12:$A569=$IO16)*(fData!$B12:$B569=O$4)*(fData!$F12:$F569))</f>
        <v>0</v>
      </c>
      <c r="P16" s="13">
        <f>SUMPRODUCT((fData!$A12:$A569=$IO16)*(fData!$B12:$B569=P$4)*(fData!$F12:$F569))</f>
        <v>0</v>
      </c>
      <c r="Q16" s="13">
        <f>SUMPRODUCT((fData!$A12:$A569=$IO16)*(fData!$B12:$B569=Q$4)*(fData!$F12:$F569))</f>
        <v>0</v>
      </c>
      <c r="R16" s="13">
        <f>SUMPRODUCT((fData!$A12:$A569=$IO16)*(fData!$B12:$B569=R$4)*(fData!$F12:$F569))</f>
        <v>0</v>
      </c>
      <c r="T16" s="13">
        <f>SUMIF(Adj!$C$3:$C$30,$B16,Adj!$D$3:$D$30)</f>
        <v>0</v>
      </c>
      <c r="U16" s="13">
        <f>SUMIF(Adj!$C$3:$C$30,$B16,Adj!$F$3:$F$30)</f>
        <v>0</v>
      </c>
      <c r="X16" s="9"/>
      <c r="Y16" s="9"/>
      <c r="Z16" s="9"/>
      <c r="AA16" s="9"/>
      <c r="IO16" s="2" t="s">
        <v>43</v>
      </c>
    </row>
    <row r="17" spans="2:249" x14ac:dyDescent="0.3">
      <c r="B17" s="25">
        <v>41400013</v>
      </c>
      <c r="C17" s="27">
        <f t="shared" si="0"/>
        <v>788.9799999999999</v>
      </c>
      <c r="E17" s="13">
        <f>SUMPRODUCT((fData!$A13:$A570=$IO17)*(fData!$B13:$B570=LEFT($E$2,1))*(fData!$D13:$D570))</f>
        <v>37.949999999999996</v>
      </c>
      <c r="F17" s="13">
        <f>SUMPRODUCT((fData!$A13:$A570=$IO17)*(fData!$B13:$B570=LEFT($E$2,1))*(fData!$E13:$E570))</f>
        <v>0</v>
      </c>
      <c r="G17" s="13">
        <f>SUMPRODUCT((fData!$A13:$A570=$IO17)*(fData!$B13:$B570=LEFT($E$2,1))*(fData!$F13:$F570))</f>
        <v>515.59999999999991</v>
      </c>
      <c r="H17" s="13">
        <f>SUMPRODUCT((fData!$A13:$A570=$IO17)*(fData!$B13:$B570=LEFT($E$2,1))*(fData!$G13:$G570))</f>
        <v>0</v>
      </c>
      <c r="J17" s="13">
        <f>SUMPRODUCT((fData!$A13:$A570=$IO17)*(fData!$B13:$B570=J$4)*(fData!$D13:$D570))</f>
        <v>0</v>
      </c>
      <c r="K17" s="13">
        <f>SUMPRODUCT((fData!$A13:$A570=$IO17)*(fData!$B13:$B570=K$4)*(fData!$D13:$D570))</f>
        <v>22.5</v>
      </c>
      <c r="L17" s="13">
        <f>SUMPRODUCT((fData!$A13:$A570=$IO17)*(fData!$B13:$B570=L$4)*(fData!$D13:$D570))</f>
        <v>0</v>
      </c>
      <c r="M17" s="13">
        <f>SUMPRODUCT((fData!$A13:$A570=$IO17)*(fData!$B13:$B570=M$4)*(fData!$D13:$D570))</f>
        <v>0</v>
      </c>
      <c r="O17" s="13">
        <f>SUMPRODUCT((fData!$A13:$A570=$IO17)*(fData!$B13:$B570=O$4)*(fData!$F13:$F570))</f>
        <v>0</v>
      </c>
      <c r="P17" s="13">
        <f>SUMPRODUCT((fData!$A13:$A570=$IO17)*(fData!$B13:$B570=P$4)*(fData!$F13:$F570))</f>
        <v>273.38</v>
      </c>
      <c r="Q17" s="13">
        <f>SUMPRODUCT((fData!$A13:$A570=$IO17)*(fData!$B13:$B570=Q$4)*(fData!$F13:$F570))</f>
        <v>0</v>
      </c>
      <c r="R17" s="13">
        <f>SUMPRODUCT((fData!$A13:$A570=$IO17)*(fData!$B13:$B570=R$4)*(fData!$F13:$F570))</f>
        <v>0</v>
      </c>
      <c r="T17" s="13">
        <f>SUMIF(Adj!$C$3:$C$30,$B17,Adj!$D$3:$D$30)</f>
        <v>0</v>
      </c>
      <c r="U17" s="13">
        <f>SUMIF(Adj!$C$3:$C$30,$B17,Adj!$F$3:$F$30)</f>
        <v>0</v>
      </c>
      <c r="X17" s="9"/>
      <c r="Y17" s="9"/>
      <c r="Z17" s="9"/>
      <c r="AA17" s="9"/>
      <c r="IO17" s="2" t="s">
        <v>44</v>
      </c>
    </row>
    <row r="18" spans="2:249" x14ac:dyDescent="0.3">
      <c r="B18" s="25">
        <v>41400014</v>
      </c>
      <c r="C18" s="27">
        <f t="shared" si="0"/>
        <v>1782.6000000000001</v>
      </c>
      <c r="E18" s="13">
        <f>SUMPRODUCT((fData!$A14:$A571=$IO18)*(fData!$B14:$B571=LEFT($E$2,1))*(fData!$D14:$D571))</f>
        <v>132.17000000000002</v>
      </c>
      <c r="F18" s="13">
        <f>SUMPRODUCT((fData!$A14:$A571=$IO18)*(fData!$B14:$B571=LEFT($E$2,1))*(fData!$E14:$E571))</f>
        <v>0.79999999999999716</v>
      </c>
      <c r="G18" s="13">
        <f>SUMPRODUCT((fData!$A14:$A571=$IO18)*(fData!$B14:$B571=LEFT($E$2,1))*(fData!$F14:$F571))</f>
        <v>1764.0800000000002</v>
      </c>
      <c r="H18" s="13">
        <f>SUMPRODUCT((fData!$A14:$A571=$IO18)*(fData!$B14:$B571=LEFT($E$2,1))*(fData!$G14:$G571))</f>
        <v>18.52</v>
      </c>
      <c r="J18" s="13">
        <f>SUMPRODUCT((fData!$A14:$A571=$IO18)*(fData!$B14:$B571=J$4)*(fData!$D14:$D571))</f>
        <v>0</v>
      </c>
      <c r="K18" s="13">
        <f>SUMPRODUCT((fData!$A14:$A571=$IO18)*(fData!$B14:$B571=K$4)*(fData!$D14:$D571))</f>
        <v>0</v>
      </c>
      <c r="L18" s="13">
        <f>SUMPRODUCT((fData!$A14:$A571=$IO18)*(fData!$B14:$B571=L$4)*(fData!$D14:$D571))</f>
        <v>0</v>
      </c>
      <c r="M18" s="13">
        <f>SUMPRODUCT((fData!$A14:$A571=$IO18)*(fData!$B14:$B571=M$4)*(fData!$D14:$D571))</f>
        <v>0</v>
      </c>
      <c r="O18" s="13">
        <f>SUMPRODUCT((fData!$A14:$A571=$IO18)*(fData!$B14:$B571=O$4)*(fData!$F14:$F571))</f>
        <v>0</v>
      </c>
      <c r="P18" s="13">
        <f>SUMPRODUCT((fData!$A14:$A571=$IO18)*(fData!$B14:$B571=P$4)*(fData!$F14:$F571))</f>
        <v>0</v>
      </c>
      <c r="Q18" s="13">
        <f>SUMPRODUCT((fData!$A14:$A571=$IO18)*(fData!$B14:$B571=Q$4)*(fData!$F14:$F571))</f>
        <v>0</v>
      </c>
      <c r="R18" s="13">
        <f>SUMPRODUCT((fData!$A14:$A571=$IO18)*(fData!$B14:$B571=R$4)*(fData!$F14:$F571))</f>
        <v>0</v>
      </c>
      <c r="T18" s="13">
        <f>SUMIF(Adj!$C$3:$C$30,$B18,Adj!$D$3:$D$30)</f>
        <v>0</v>
      </c>
      <c r="U18" s="13">
        <f>SUMIF(Adj!$C$3:$C$30,$B18,Adj!$F$3:$F$30)</f>
        <v>0</v>
      </c>
      <c r="X18" s="9"/>
      <c r="Y18" s="9"/>
      <c r="Z18" s="9"/>
      <c r="AA18" s="9"/>
      <c r="IO18" s="2" t="s">
        <v>45</v>
      </c>
    </row>
    <row r="19" spans="2:249" x14ac:dyDescent="0.3">
      <c r="B19" s="25">
        <v>41400017</v>
      </c>
      <c r="C19" s="27">
        <f t="shared" si="0"/>
        <v>0</v>
      </c>
      <c r="E19" s="13">
        <f>SUMPRODUCT((fData!$A15:$A572=$IO19)*(fData!$B15:$B572=LEFT($E$2,1))*(fData!$D15:$D572))</f>
        <v>0</v>
      </c>
      <c r="F19" s="13">
        <f>SUMPRODUCT((fData!$A15:$A572=$IO19)*(fData!$B15:$B572=LEFT($E$2,1))*(fData!$E15:$E572))</f>
        <v>0</v>
      </c>
      <c r="G19" s="13">
        <f>SUMPRODUCT((fData!$A15:$A572=$IO19)*(fData!$B15:$B572=LEFT($E$2,1))*(fData!$F15:$F572))</f>
        <v>0</v>
      </c>
      <c r="H19" s="13">
        <f>SUMPRODUCT((fData!$A15:$A572=$IO19)*(fData!$B15:$B572=LEFT($E$2,1))*(fData!$G15:$G572))</f>
        <v>0</v>
      </c>
      <c r="J19" s="13">
        <f>SUMPRODUCT((fData!$A15:$A572=$IO19)*(fData!$B15:$B572=J$4)*(fData!$D15:$D572))</f>
        <v>0</v>
      </c>
      <c r="K19" s="13">
        <f>SUMPRODUCT((fData!$A15:$A572=$IO19)*(fData!$B15:$B572=K$4)*(fData!$D15:$D572))</f>
        <v>0</v>
      </c>
      <c r="L19" s="13">
        <f>SUMPRODUCT((fData!$A15:$A572=$IO19)*(fData!$B15:$B572=L$4)*(fData!$D15:$D572))</f>
        <v>0</v>
      </c>
      <c r="M19" s="13">
        <f>SUMPRODUCT((fData!$A15:$A572=$IO19)*(fData!$B15:$B572=M$4)*(fData!$D15:$D572))</f>
        <v>0</v>
      </c>
      <c r="O19" s="13">
        <f>SUMPRODUCT((fData!$A15:$A572=$IO19)*(fData!$B15:$B572=O$4)*(fData!$F15:$F572))</f>
        <v>0</v>
      </c>
      <c r="P19" s="13">
        <f>SUMPRODUCT((fData!$A15:$A572=$IO19)*(fData!$B15:$B572=P$4)*(fData!$F15:$F572))</f>
        <v>0</v>
      </c>
      <c r="Q19" s="13">
        <f>SUMPRODUCT((fData!$A15:$A572=$IO19)*(fData!$B15:$B572=Q$4)*(fData!$F15:$F572))</f>
        <v>0</v>
      </c>
      <c r="R19" s="13">
        <f>SUMPRODUCT((fData!$A15:$A572=$IO19)*(fData!$B15:$B572=R$4)*(fData!$F15:$F572))</f>
        <v>0</v>
      </c>
      <c r="T19" s="13">
        <f>SUMIF(Adj!$C$3:$C$30,$B19,Adj!$D$3:$D$30)</f>
        <v>0</v>
      </c>
      <c r="U19" s="13">
        <f>SUMIF(Adj!$C$3:$C$30,$B19,Adj!$F$3:$F$30)</f>
        <v>0</v>
      </c>
      <c r="X19" s="9"/>
      <c r="Y19" s="9"/>
      <c r="Z19" s="9"/>
      <c r="AA19" s="9"/>
      <c r="IO19" s="2" t="s">
        <v>46</v>
      </c>
    </row>
    <row r="20" spans="2:249" x14ac:dyDescent="0.3">
      <c r="B20" s="25">
        <v>41400021</v>
      </c>
      <c r="C20" s="27">
        <f t="shared" si="0"/>
        <v>3166.48</v>
      </c>
      <c r="E20" s="13">
        <f>SUMPRODUCT((fData!$A16:$A573=$IO20)*(fData!$B16:$B573=LEFT($E$2,1))*(fData!$D16:$D573))+T20</f>
        <v>259.08</v>
      </c>
      <c r="F20" s="13">
        <f>SUMPRODUCT((fData!$A16:$A573=$IO20)*(fData!$B16:$B573=LEFT($E$2,1))*(fData!$E16:$E573))</f>
        <v>3.4200000000000017</v>
      </c>
      <c r="G20" s="13">
        <f>SUMPRODUCT((fData!$A16:$A573=$IO20)*(fData!$B16:$B573=LEFT($E$2,1))*(fData!$F16:$F573))+U20</f>
        <v>3087.58</v>
      </c>
      <c r="H20" s="13">
        <f>SUMPRODUCT((fData!$A16:$A573=$IO20)*(fData!$B16:$B573=LEFT($E$2,1))*(fData!$G16:$G573))</f>
        <v>78.900000000000006</v>
      </c>
      <c r="J20" s="13">
        <f>SUMPRODUCT((fData!$A16:$A573=$IO20)*(fData!$B16:$B573=J$4)*(fData!$D16:$D573))</f>
        <v>0</v>
      </c>
      <c r="K20" s="13">
        <f>SUMPRODUCT((fData!$A16:$A573=$IO20)*(fData!$B16:$B573=K$4)*(fData!$D16:$D573))</f>
        <v>0</v>
      </c>
      <c r="L20" s="13">
        <f>SUMPRODUCT((fData!$A16:$A573=$IO20)*(fData!$B16:$B573=L$4)*(fData!$D16:$D573))</f>
        <v>0</v>
      </c>
      <c r="M20" s="13">
        <f>SUMPRODUCT((fData!$A16:$A573=$IO20)*(fData!$B16:$B573=M$4)*(fData!$D16:$D573))</f>
        <v>0</v>
      </c>
      <c r="O20" s="13">
        <f>SUMPRODUCT((fData!$A16:$A573=$IO20)*(fData!$B16:$B573=O$4)*(fData!$F16:$F573))</f>
        <v>0</v>
      </c>
      <c r="P20" s="13">
        <f>SUMPRODUCT((fData!$A16:$A573=$IO20)*(fData!$B16:$B573=P$4)*(fData!$F16:$F573))</f>
        <v>0</v>
      </c>
      <c r="Q20" s="13">
        <f>SUMPRODUCT((fData!$A16:$A573=$IO20)*(fData!$B16:$B573=Q$4)*(fData!$F16:$F573))</f>
        <v>0</v>
      </c>
      <c r="R20" s="13">
        <f>SUMPRODUCT((fData!$A16:$A573=$IO20)*(fData!$B16:$B573=R$4)*(fData!$F16:$F573))</f>
        <v>0</v>
      </c>
      <c r="T20" s="13">
        <f>SUMIF(Adj!$C$3:$C$30,$B20,Adj!$D$3:$D$30)</f>
        <v>0</v>
      </c>
      <c r="U20" s="13">
        <f>SUMIF(Adj!$C$3:$C$30,$B20,Adj!$F$3:$F$30)</f>
        <v>0</v>
      </c>
      <c r="X20" s="9"/>
      <c r="Y20" s="9"/>
      <c r="Z20" s="9"/>
      <c r="AA20" s="9"/>
      <c r="IO20" s="2" t="s">
        <v>47</v>
      </c>
    </row>
    <row r="21" spans="2:249" x14ac:dyDescent="0.3">
      <c r="B21" s="25">
        <v>41400022</v>
      </c>
      <c r="C21" s="27">
        <f t="shared" si="0"/>
        <v>313.01</v>
      </c>
      <c r="E21" s="13">
        <f>SUMPRODUCT((fData!$A17:$A574=$IO21)*(fData!$B17:$B574=LEFT($E$2,1))*(fData!$D17:$D574))</f>
        <v>26.45</v>
      </c>
      <c r="F21" s="13">
        <f>SUMPRODUCT((fData!$A17:$A574=$IO21)*(fData!$B17:$B574=LEFT($E$2,1))*(fData!$E17:$E574))</f>
        <v>0</v>
      </c>
      <c r="G21" s="13">
        <f>SUMPRODUCT((fData!$A17:$A574=$IO21)*(fData!$B17:$B574=LEFT($E$2,1))*(fData!$F17:$F574))</f>
        <v>313.01</v>
      </c>
      <c r="H21" s="13">
        <f>SUMPRODUCT((fData!$A17:$A574=$IO21)*(fData!$B17:$B574=LEFT($E$2,1))*(fData!$G17:$G574))</f>
        <v>0</v>
      </c>
      <c r="J21" s="13">
        <f>SUMPRODUCT((fData!$A17:$A574=$IO21)*(fData!$B17:$B574=J$4)*(fData!$D17:$D574))</f>
        <v>0</v>
      </c>
      <c r="K21" s="13">
        <f>SUMPRODUCT((fData!$A17:$A574=$IO21)*(fData!$B17:$B574=K$4)*(fData!$D17:$D574))</f>
        <v>0</v>
      </c>
      <c r="L21" s="13">
        <f>SUMPRODUCT((fData!$A17:$A574=$IO21)*(fData!$B17:$B574=L$4)*(fData!$D17:$D574))</f>
        <v>0</v>
      </c>
      <c r="M21" s="13">
        <f>SUMPRODUCT((fData!$A17:$A574=$IO21)*(fData!$B17:$B574=M$4)*(fData!$D17:$D574))</f>
        <v>0</v>
      </c>
      <c r="O21" s="13">
        <f>SUMPRODUCT((fData!$A17:$A574=$IO21)*(fData!$B17:$B574=O$4)*(fData!$F17:$F574))</f>
        <v>0</v>
      </c>
      <c r="P21" s="13">
        <f>SUMPRODUCT((fData!$A17:$A574=$IO21)*(fData!$B17:$B574=P$4)*(fData!$F17:$F574))</f>
        <v>0</v>
      </c>
      <c r="Q21" s="13">
        <f>SUMPRODUCT((fData!$A17:$A574=$IO21)*(fData!$B17:$B574=Q$4)*(fData!$F17:$F574))</f>
        <v>0</v>
      </c>
      <c r="R21" s="13">
        <f>SUMPRODUCT((fData!$A17:$A574=$IO21)*(fData!$B17:$B574=R$4)*(fData!$F17:$F574))</f>
        <v>0</v>
      </c>
      <c r="T21" s="13">
        <f>SUMIF(Adj!$C$3:$C$30,$B21,Adj!$D$3:$D$30)</f>
        <v>0</v>
      </c>
      <c r="U21" s="13">
        <f>SUMIF(Adj!$C$3:$C$30,$B21,Adj!$F$3:$F$30)</f>
        <v>0</v>
      </c>
      <c r="X21" s="9"/>
      <c r="Y21" s="9"/>
      <c r="Z21" s="9"/>
      <c r="AA21" s="9"/>
      <c r="IO21" s="2" t="s">
        <v>48</v>
      </c>
    </row>
    <row r="22" spans="2:249" x14ac:dyDescent="0.3">
      <c r="B22" s="25">
        <v>41400023</v>
      </c>
      <c r="C22" s="27">
        <f t="shared" si="0"/>
        <v>135.1</v>
      </c>
      <c r="E22" s="13">
        <f>SUMPRODUCT((fData!$A18:$A575=$IO22)*(fData!$B18:$B575=LEFT($E$2,1))*(fData!$D18:$D575))</f>
        <v>12.02</v>
      </c>
      <c r="F22" s="13">
        <f>SUMPRODUCT((fData!$A18:$A575=$IO22)*(fData!$B18:$B575=LEFT($E$2,1))*(fData!$E18:$E575))</f>
        <v>0</v>
      </c>
      <c r="G22" s="13">
        <f>SUMPRODUCT((fData!$A18:$A575=$IO22)*(fData!$B18:$B575=LEFT($E$2,1))*(fData!$F18:$F575))</f>
        <v>135.1</v>
      </c>
      <c r="H22" s="13">
        <f>SUMPRODUCT((fData!$A18:$A575=$IO22)*(fData!$B18:$B575=LEFT($E$2,1))*(fData!$G18:$G575))</f>
        <v>0</v>
      </c>
      <c r="J22" s="13">
        <f>SUMPRODUCT((fData!$A18:$A575=$IO22)*(fData!$B18:$B575=J$4)*(fData!$D18:$D575))</f>
        <v>0</v>
      </c>
      <c r="K22" s="13">
        <f>SUMPRODUCT((fData!$A18:$A575=$IO22)*(fData!$B18:$B575=K$4)*(fData!$D18:$D575))</f>
        <v>0</v>
      </c>
      <c r="L22" s="13">
        <f>SUMPRODUCT((fData!$A18:$A575=$IO22)*(fData!$B18:$B575=L$4)*(fData!$D18:$D575))</f>
        <v>0</v>
      </c>
      <c r="M22" s="13">
        <f>SUMPRODUCT((fData!$A18:$A575=$IO22)*(fData!$B18:$B575=M$4)*(fData!$D18:$D575))</f>
        <v>0</v>
      </c>
      <c r="O22" s="13">
        <f>SUMPRODUCT((fData!$A18:$A575=$IO22)*(fData!$B18:$B575=O$4)*(fData!$F18:$F575))</f>
        <v>0</v>
      </c>
      <c r="P22" s="13">
        <f>SUMPRODUCT((fData!$A18:$A575=$IO22)*(fData!$B18:$B575=P$4)*(fData!$F18:$F575))</f>
        <v>0</v>
      </c>
      <c r="Q22" s="13">
        <f>SUMPRODUCT((fData!$A18:$A575=$IO22)*(fData!$B18:$B575=Q$4)*(fData!$F18:$F575))</f>
        <v>0</v>
      </c>
      <c r="R22" s="13">
        <f>SUMPRODUCT((fData!$A18:$A575=$IO22)*(fData!$B18:$B575=R$4)*(fData!$F18:$F575))</f>
        <v>0</v>
      </c>
      <c r="T22" s="13">
        <f>SUMIF(Adj!$C$3:$C$30,$B22,Adj!$D$3:$D$30)</f>
        <v>0</v>
      </c>
      <c r="U22" s="13">
        <f>SUMIF(Adj!$C$3:$C$30,$B22,Adj!$F$3:$F$30)</f>
        <v>0</v>
      </c>
      <c r="X22" s="9"/>
      <c r="Y22" s="9"/>
      <c r="Z22" s="9"/>
      <c r="AA22" s="9"/>
      <c r="IO22" s="2" t="s">
        <v>49</v>
      </c>
    </row>
    <row r="23" spans="2:249" x14ac:dyDescent="0.3">
      <c r="B23" s="25">
        <v>41400024</v>
      </c>
      <c r="C23" s="27">
        <f t="shared" si="0"/>
        <v>2308.7600000000002</v>
      </c>
      <c r="E23" s="13">
        <f>SUMPRODUCT((fData!$A19:$A576=$IO23)*(fData!$B19:$B576=LEFT($E$2,1))*(fData!$D19:$D576))</f>
        <v>153.13</v>
      </c>
      <c r="F23" s="13">
        <f>SUMPRODUCT((fData!$A19:$A576=$IO23)*(fData!$B19:$B576=LEFT($E$2,1))*(fData!$E19:$E576))</f>
        <v>4.4699999999999989</v>
      </c>
      <c r="G23" s="13">
        <f>SUMPRODUCT((fData!$A19:$A576=$IO23)*(fData!$B19:$B576=LEFT($E$2,1))*(fData!$F19:$F576))</f>
        <v>2201.5500000000002</v>
      </c>
      <c r="H23" s="13">
        <f>SUMPRODUCT((fData!$A19:$A576=$IO23)*(fData!$B19:$B576=LEFT($E$2,1))*(fData!$G19:$G576))</f>
        <v>107.21</v>
      </c>
      <c r="J23" s="13">
        <f>SUMPRODUCT((fData!$A19:$A576=$IO23)*(fData!$B19:$B576=J$4)*(fData!$D19:$D576))</f>
        <v>0</v>
      </c>
      <c r="K23" s="13">
        <f>SUMPRODUCT((fData!$A19:$A576=$IO23)*(fData!$B19:$B576=K$4)*(fData!$D19:$D576))</f>
        <v>0</v>
      </c>
      <c r="L23" s="13">
        <f>SUMPRODUCT((fData!$A19:$A576=$IO23)*(fData!$B19:$B576=L$4)*(fData!$D19:$D576))</f>
        <v>0</v>
      </c>
      <c r="M23" s="13">
        <f>SUMPRODUCT((fData!$A19:$A576=$IO23)*(fData!$B19:$B576=M$4)*(fData!$D19:$D576))</f>
        <v>0</v>
      </c>
      <c r="O23" s="13">
        <f>SUMPRODUCT((fData!$A19:$A576=$IO23)*(fData!$B19:$B576=O$4)*(fData!$F19:$F576))</f>
        <v>0</v>
      </c>
      <c r="P23" s="13">
        <f>SUMPRODUCT((fData!$A19:$A576=$IO23)*(fData!$B19:$B576=P$4)*(fData!$F19:$F576))</f>
        <v>0</v>
      </c>
      <c r="Q23" s="13">
        <f>SUMPRODUCT((fData!$A19:$A576=$IO23)*(fData!$B19:$B576=Q$4)*(fData!$F19:$F576))</f>
        <v>0</v>
      </c>
      <c r="R23" s="13">
        <f>SUMPRODUCT((fData!$A19:$A576=$IO23)*(fData!$B19:$B576=R$4)*(fData!$F19:$F576))</f>
        <v>0</v>
      </c>
      <c r="T23" s="13">
        <f>SUMIF(Adj!$C$3:$C$30,$B23,Adj!$D$3:$D$30)</f>
        <v>0</v>
      </c>
      <c r="U23" s="13">
        <f>SUMIF(Adj!$C$3:$C$30,$B23,Adj!$F$3:$F$30)</f>
        <v>0</v>
      </c>
      <c r="X23" s="9"/>
      <c r="Y23" s="9"/>
      <c r="Z23" s="9"/>
      <c r="AA23" s="9"/>
      <c r="IO23" s="2" t="s">
        <v>50</v>
      </c>
    </row>
    <row r="24" spans="2:249" x14ac:dyDescent="0.3">
      <c r="B24" s="25">
        <v>41400025</v>
      </c>
      <c r="C24" s="27">
        <f t="shared" si="0"/>
        <v>0</v>
      </c>
      <c r="E24" s="13">
        <f>SUMPRODUCT((fData!$A20:$A577=$IO24)*(fData!$B20:$B577=LEFT($E$2,1))*(fData!$D20:$D577))</f>
        <v>0</v>
      </c>
      <c r="F24" s="13">
        <f>SUMPRODUCT((fData!$A20:$A577=$IO24)*(fData!$B20:$B577=LEFT($E$2,1))*(fData!$E20:$E577))</f>
        <v>0</v>
      </c>
      <c r="G24" s="13">
        <f>SUMPRODUCT((fData!$A20:$A577=$IO24)*(fData!$B20:$B577=LEFT($E$2,1))*(fData!$F20:$F577))</f>
        <v>0</v>
      </c>
      <c r="H24" s="13">
        <f>SUMPRODUCT((fData!$A20:$A577=$IO24)*(fData!$B20:$B577=LEFT($E$2,1))*(fData!$G20:$G577))</f>
        <v>0</v>
      </c>
      <c r="J24" s="13">
        <f>SUMPRODUCT((fData!$A20:$A577=$IO24)*(fData!$B20:$B577=J$4)*(fData!$D20:$D577))</f>
        <v>0</v>
      </c>
      <c r="K24" s="13">
        <f>SUMPRODUCT((fData!$A20:$A577=$IO24)*(fData!$B20:$B577=K$4)*(fData!$D20:$D577))</f>
        <v>0</v>
      </c>
      <c r="L24" s="13">
        <f>SUMPRODUCT((fData!$A20:$A577=$IO24)*(fData!$B20:$B577=L$4)*(fData!$D20:$D577))</f>
        <v>0</v>
      </c>
      <c r="M24" s="13">
        <f>SUMPRODUCT((fData!$A20:$A577=$IO24)*(fData!$B20:$B577=M$4)*(fData!$D20:$D577))</f>
        <v>0</v>
      </c>
      <c r="O24" s="13">
        <f>SUMPRODUCT((fData!$A20:$A577=$IO24)*(fData!$B20:$B577=O$4)*(fData!$F20:$F577))</f>
        <v>0</v>
      </c>
      <c r="P24" s="13">
        <f>SUMPRODUCT((fData!$A20:$A577=$IO24)*(fData!$B20:$B577=P$4)*(fData!$F20:$F577))</f>
        <v>0</v>
      </c>
      <c r="Q24" s="13">
        <f>SUMPRODUCT((fData!$A20:$A577=$IO24)*(fData!$B20:$B577=Q$4)*(fData!$F20:$F577))</f>
        <v>0</v>
      </c>
      <c r="R24" s="13">
        <f>SUMPRODUCT((fData!$A20:$A577=$IO24)*(fData!$B20:$B577=R$4)*(fData!$F20:$F577))</f>
        <v>0</v>
      </c>
      <c r="T24" s="13">
        <f>SUMIF(Adj!$C$3:$C$30,$B24,Adj!$D$3:$D$30)</f>
        <v>0</v>
      </c>
      <c r="U24" s="13">
        <f>SUMIF(Adj!$C$3:$C$30,$B24,Adj!$F$3:$F$30)</f>
        <v>0</v>
      </c>
      <c r="X24" s="9"/>
      <c r="Y24" s="9"/>
      <c r="Z24" s="9"/>
      <c r="AA24" s="9"/>
      <c r="IO24" s="2" t="s">
        <v>51</v>
      </c>
    </row>
    <row r="25" spans="2:249" x14ac:dyDescent="0.3">
      <c r="B25" s="25">
        <v>41400078</v>
      </c>
      <c r="C25" s="27">
        <f t="shared" si="0"/>
        <v>151.03</v>
      </c>
      <c r="E25" s="13">
        <f>SUMPRODUCT((fData!$A21:$A578=$IO25)*(fData!$B21:$B578=LEFT($E$2,1))*(fData!$D21:$D578))</f>
        <v>10.43</v>
      </c>
      <c r="F25" s="13">
        <f>SUMPRODUCT((fData!$A21:$A578=$IO25)*(fData!$B21:$B578=LEFT($E$2,1))*(fData!$E21:$E578))</f>
        <v>0</v>
      </c>
      <c r="G25" s="13">
        <f>SUMPRODUCT((fData!$A21:$A578=$IO25)*(fData!$B21:$B578=LEFT($E$2,1))*(fData!$F21:$F578))</f>
        <v>151.03</v>
      </c>
      <c r="H25" s="13">
        <f>SUMPRODUCT((fData!$A21:$A578=$IO25)*(fData!$B21:$B578=LEFT($E$2,1))*(fData!$G21:$G578))</f>
        <v>0</v>
      </c>
      <c r="J25" s="13">
        <f>SUMPRODUCT((fData!$A21:$A578=$IO25)*(fData!$B21:$B578=J$4)*(fData!$D21:$D578))</f>
        <v>0</v>
      </c>
      <c r="K25" s="13">
        <f>SUMPRODUCT((fData!$A21:$A578=$IO25)*(fData!$B21:$B578=K$4)*(fData!$D21:$D578))</f>
        <v>0</v>
      </c>
      <c r="L25" s="13">
        <f>SUMPRODUCT((fData!$A21:$A578=$IO25)*(fData!$B21:$B578=L$4)*(fData!$D21:$D578))</f>
        <v>0</v>
      </c>
      <c r="M25" s="13">
        <f>SUMPRODUCT((fData!$A21:$A578=$IO25)*(fData!$B21:$B578=M$4)*(fData!$D21:$D578))</f>
        <v>0</v>
      </c>
      <c r="O25" s="13">
        <f>SUMPRODUCT((fData!$A21:$A578=$IO25)*(fData!$B21:$B578=O$4)*(fData!$F21:$F578))</f>
        <v>0</v>
      </c>
      <c r="P25" s="13">
        <f>SUMPRODUCT((fData!$A21:$A578=$IO25)*(fData!$B21:$B578=P$4)*(fData!$F21:$F578))</f>
        <v>0</v>
      </c>
      <c r="Q25" s="13">
        <f>SUMPRODUCT((fData!$A21:$A578=$IO25)*(fData!$B21:$B578=Q$4)*(fData!$F21:$F578))</f>
        <v>0</v>
      </c>
      <c r="R25" s="13">
        <f>SUMPRODUCT((fData!$A21:$A578=$IO25)*(fData!$B21:$B578=R$4)*(fData!$F21:$F578))</f>
        <v>0</v>
      </c>
      <c r="T25" s="13">
        <f>SUMIF(Adj!$C$3:$C$30,$B25,Adj!$D$3:$D$30)</f>
        <v>0</v>
      </c>
      <c r="U25" s="13">
        <f>SUMIF(Adj!$C$3:$C$30,$B25,Adj!$F$3:$F$30)</f>
        <v>0</v>
      </c>
      <c r="X25" s="9"/>
      <c r="Y25" s="9"/>
      <c r="Z25" s="9"/>
      <c r="AA25" s="9"/>
      <c r="IO25" s="2" t="s">
        <v>52</v>
      </c>
    </row>
    <row r="26" spans="2:249" x14ac:dyDescent="0.3">
      <c r="B26" s="25">
        <v>41400079</v>
      </c>
      <c r="C26" s="27">
        <f t="shared" si="0"/>
        <v>396.03</v>
      </c>
      <c r="E26" s="13">
        <f>SUMPRODUCT((fData!$A22:$A579=$IO26)*(fData!$B22:$B579=LEFT($E$2,1))*(fData!$D22:$D579))</f>
        <v>35.549999999999997</v>
      </c>
      <c r="F26" s="13">
        <f>SUMPRODUCT((fData!$A22:$A579=$IO26)*(fData!$B22:$B579=LEFT($E$2,1))*(fData!$E22:$E579))</f>
        <v>0</v>
      </c>
      <c r="G26" s="13">
        <f>SUMPRODUCT((fData!$A22:$A579=$IO26)*(fData!$B22:$B579=LEFT($E$2,1))*(fData!$F22:$F579))</f>
        <v>396.03</v>
      </c>
      <c r="H26" s="13">
        <f>SUMPRODUCT((fData!$A22:$A579=$IO26)*(fData!$B22:$B579=LEFT($E$2,1))*(fData!$G22:$G579))</f>
        <v>0</v>
      </c>
      <c r="J26" s="13">
        <f>SUMPRODUCT((fData!$A22:$A579=$IO26)*(fData!$B22:$B579=J$4)*(fData!$D22:$D579))</f>
        <v>0</v>
      </c>
      <c r="K26" s="13">
        <f>SUMPRODUCT((fData!$A22:$A579=$IO26)*(fData!$B22:$B579=K$4)*(fData!$D22:$D579))</f>
        <v>0</v>
      </c>
      <c r="L26" s="13">
        <f>SUMPRODUCT((fData!$A22:$A579=$IO26)*(fData!$B22:$B579=L$4)*(fData!$D22:$D579))</f>
        <v>0</v>
      </c>
      <c r="M26" s="13">
        <f>SUMPRODUCT((fData!$A22:$A579=$IO26)*(fData!$B22:$B579=M$4)*(fData!$D22:$D579))</f>
        <v>0</v>
      </c>
      <c r="O26" s="13">
        <f>SUMPRODUCT((fData!$A22:$A579=$IO26)*(fData!$B22:$B579=O$4)*(fData!$F22:$F579))</f>
        <v>0</v>
      </c>
      <c r="P26" s="13">
        <f>SUMPRODUCT((fData!$A22:$A579=$IO26)*(fData!$B22:$B579=P$4)*(fData!$F22:$F579))</f>
        <v>0</v>
      </c>
      <c r="Q26" s="13">
        <f>SUMPRODUCT((fData!$A22:$A579=$IO26)*(fData!$B22:$B579=Q$4)*(fData!$F22:$F579))</f>
        <v>0</v>
      </c>
      <c r="R26" s="13">
        <f>SUMPRODUCT((fData!$A22:$A579=$IO26)*(fData!$B22:$B579=R$4)*(fData!$F22:$F579))</f>
        <v>0</v>
      </c>
      <c r="T26" s="13">
        <f>SUMIF(Adj!$C$3:$C$30,$B26,Adj!$D$3:$D$30)</f>
        <v>0</v>
      </c>
      <c r="U26" s="13">
        <f>SUMIF(Adj!$C$3:$C$30,$B26,Adj!$F$3:$F$30)</f>
        <v>0</v>
      </c>
      <c r="X26" s="9"/>
      <c r="Y26" s="9"/>
      <c r="Z26" s="9"/>
      <c r="AA26" s="9"/>
      <c r="IO26" s="2" t="s">
        <v>53</v>
      </c>
    </row>
    <row r="27" spans="2:249" ht="16.2" x14ac:dyDescent="0.45">
      <c r="B27" s="15">
        <v>0</v>
      </c>
      <c r="C27" s="15">
        <v>0</v>
      </c>
      <c r="D27" s="16"/>
      <c r="E27" s="15">
        <v>0</v>
      </c>
      <c r="F27" s="15">
        <v>0</v>
      </c>
      <c r="G27" s="15">
        <v>0</v>
      </c>
      <c r="H27" s="15">
        <v>0</v>
      </c>
      <c r="I27" s="16"/>
      <c r="J27" s="15">
        <v>0</v>
      </c>
      <c r="K27" s="15">
        <v>0</v>
      </c>
      <c r="L27" s="15">
        <v>0</v>
      </c>
      <c r="M27" s="15">
        <v>0</v>
      </c>
      <c r="N27" s="16"/>
      <c r="O27" s="15">
        <v>0</v>
      </c>
      <c r="P27" s="15">
        <v>0</v>
      </c>
      <c r="Q27" s="15">
        <v>0</v>
      </c>
      <c r="R27" s="15">
        <v>0</v>
      </c>
      <c r="S27" s="16"/>
      <c r="T27" s="15">
        <v>0</v>
      </c>
      <c r="U27" s="15">
        <v>0</v>
      </c>
    </row>
    <row r="28" spans="2:249" x14ac:dyDescent="0.3">
      <c r="B28" s="14" t="s">
        <v>62</v>
      </c>
      <c r="C28" s="9">
        <f>SUM(C5:C27)</f>
        <v>28774.999999999993</v>
      </c>
      <c r="E28" s="9">
        <f>SUM(E5:E27)</f>
        <v>2094.02</v>
      </c>
      <c r="F28" s="9">
        <f>SUM(F5:F27)</f>
        <v>19.209999999999994</v>
      </c>
      <c r="G28" s="9">
        <f>SUM(G5:G27)</f>
        <v>27839.939999999995</v>
      </c>
      <c r="H28" s="9">
        <f>SUM(H5:H27)</f>
        <v>437.34</v>
      </c>
      <c r="J28" s="9">
        <f>SUM(J5:J27)</f>
        <v>0</v>
      </c>
      <c r="K28" s="9">
        <f>SUM(K5:K27)</f>
        <v>38.5</v>
      </c>
      <c r="L28" s="9">
        <f>SUM(L5:L27)</f>
        <v>0</v>
      </c>
      <c r="M28" s="9">
        <f>SUM(M5:M27)</f>
        <v>0</v>
      </c>
      <c r="O28" s="9">
        <f>SUM(O5:O27)</f>
        <v>0</v>
      </c>
      <c r="P28" s="9">
        <f>SUM(P5:P27)</f>
        <v>497.72</v>
      </c>
      <c r="Q28" s="9">
        <f>SUM(Q5:Q27)</f>
        <v>0</v>
      </c>
      <c r="R28" s="9">
        <f>SUM(R5:R27)</f>
        <v>0</v>
      </c>
      <c r="T28" s="9">
        <f>SUM(T5:T27)</f>
        <v>0</v>
      </c>
      <c r="U28" s="9">
        <f>SUM(U5:U27)</f>
        <v>0</v>
      </c>
    </row>
  </sheetData>
  <pageMargins left="0.7" right="0.7" top="0.75" bottom="0.75" header="0.3" footer="0.3"/>
  <pageSetup scale="75" orientation="portrait" horizontalDpi="300" verticalDpi="300" r:id="rId1"/>
  <ignoredErrors>
    <ignoredError sqref="E6:H19 J6:M26 O25:S26 O6:R24 E21:H26 E20:G20 H20" formulaRange="1"/>
  </ignoredError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autoPageBreaks="0"/>
  </sheetPr>
  <dimension ref="A4:A43"/>
  <sheetViews>
    <sheetView zoomScale="75" zoomScaleNormal="75" workbookViewId="0">
      <selection activeCell="R13" sqref="R13"/>
    </sheetView>
  </sheetViews>
  <sheetFormatPr defaultRowHeight="13.2" x14ac:dyDescent="0.25"/>
  <sheetData>
    <row r="4" ht="20.100000000000001" customHeight="1" x14ac:dyDescent="0.25"/>
    <row r="5" ht="20.100000000000001" customHeight="1" x14ac:dyDescent="0.25"/>
    <row r="6" ht="20.100000000000001" customHeight="1" x14ac:dyDescent="0.25"/>
    <row r="7" ht="20.100000000000001" customHeight="1" x14ac:dyDescent="0.25"/>
    <row r="8" ht="20.100000000000001" customHeight="1" x14ac:dyDescent="0.25"/>
    <row r="9" ht="20.100000000000001" customHeight="1" x14ac:dyDescent="0.25"/>
    <row r="10" ht="20.100000000000001" customHeight="1" x14ac:dyDescent="0.25"/>
    <row r="11" ht="20.100000000000001" customHeight="1" x14ac:dyDescent="0.25"/>
    <row r="12" ht="20.100000000000001" customHeight="1" x14ac:dyDescent="0.25"/>
    <row r="13" ht="20.100000000000001" customHeight="1" x14ac:dyDescent="0.25"/>
    <row r="14" ht="20.100000000000001" customHeight="1" x14ac:dyDescent="0.25"/>
    <row r="15" ht="20.100000000000001" customHeight="1" x14ac:dyDescent="0.25"/>
    <row r="16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</sheetData>
  <pageMargins left="0.7" right="0.7" top="0.75" bottom="0.75" header="0.3" footer="0.3"/>
  <pageSetup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C7:Q26"/>
  <sheetViews>
    <sheetView zoomScale="75" zoomScaleNormal="75" workbookViewId="0">
      <selection activeCell="D9" sqref="D9:K13"/>
    </sheetView>
  </sheetViews>
  <sheetFormatPr defaultRowHeight="13.2" x14ac:dyDescent="0.25"/>
  <cols>
    <col min="1" max="11" width="1.6640625" customWidth="1"/>
    <col min="14" max="14" width="13.6640625" bestFit="1" customWidth="1"/>
  </cols>
  <sheetData>
    <row r="7" spans="3:17" x14ac:dyDescent="0.25">
      <c r="L7" s="8" t="s">
        <v>6</v>
      </c>
      <c r="M7" s="8" t="s">
        <v>8</v>
      </c>
      <c r="N7" s="8" t="s">
        <v>22</v>
      </c>
      <c r="O7" s="8" t="s">
        <v>23</v>
      </c>
      <c r="P7" s="8" t="s">
        <v>24</v>
      </c>
      <c r="Q7" s="8" t="s">
        <v>9</v>
      </c>
    </row>
    <row r="9" spans="3:17" x14ac:dyDescent="0.25"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10.75</v>
      </c>
      <c r="N9" s="1">
        <f>IF(J9&gt;40,40,J9)</f>
        <v>0</v>
      </c>
      <c r="O9" s="1">
        <f>IF(J9&gt;40,J9-40,0)</f>
        <v>0</v>
      </c>
      <c r="P9" s="1">
        <f>ROUND((M9*N9),2)</f>
        <v>0</v>
      </c>
      <c r="Q9" s="1">
        <f>ROUND((O9*(M9*1.5)),2)</f>
        <v>0</v>
      </c>
    </row>
    <row r="10" spans="3:17" x14ac:dyDescent="0.25"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</row>
    <row r="11" spans="3:17" x14ac:dyDescent="0.25"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3:17" x14ac:dyDescent="0.25"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3:17" x14ac:dyDescent="0.25"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3:17" x14ac:dyDescent="0.25"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</row>
    <row r="15" spans="3:17" x14ac:dyDescent="0.25"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</row>
    <row r="16" spans="3:17" x14ac:dyDescent="0.25"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</row>
    <row r="17" spans="4:11" x14ac:dyDescent="0.25"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</row>
    <row r="18" spans="4:11" x14ac:dyDescent="0.25"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</row>
    <row r="19" spans="4:11" x14ac:dyDescent="0.25"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</row>
    <row r="20" spans="4:11" x14ac:dyDescent="0.25"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</row>
    <row r="21" spans="4:11" x14ac:dyDescent="0.25"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</row>
    <row r="22" spans="4:11" x14ac:dyDescent="0.25"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</row>
    <row r="23" spans="4:11" x14ac:dyDescent="0.25"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</row>
    <row r="24" spans="4:11" x14ac:dyDescent="0.25"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</row>
    <row r="25" spans="4:11" x14ac:dyDescent="0.25"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</row>
    <row r="26" spans="4:11" x14ac:dyDescent="0.25"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autoPageBreaks="0"/>
  </sheetPr>
  <dimension ref="C3:K43"/>
  <sheetViews>
    <sheetView tabSelected="1" zoomScale="75" zoomScaleNormal="75" workbookViewId="0">
      <selection activeCell="G10" sqref="G10"/>
    </sheetView>
  </sheetViews>
  <sheetFormatPr defaultColWidth="9.109375" defaultRowHeight="14.4" x14ac:dyDescent="0.3"/>
  <cols>
    <col min="1" max="3" width="9.109375" style="2"/>
    <col min="4" max="4" width="16.109375" style="2" bestFit="1" customWidth="1"/>
    <col min="5" max="5" width="75.5546875" style="2" bestFit="1" customWidth="1"/>
    <col min="6" max="16384" width="9.109375" style="2"/>
  </cols>
  <sheetData>
    <row r="3" spans="3:11" x14ac:dyDescent="0.3">
      <c r="C3" s="3" t="s">
        <v>4</v>
      </c>
      <c r="D3" s="3" t="s">
        <v>5</v>
      </c>
      <c r="E3" s="3" t="s">
        <v>7</v>
      </c>
    </row>
    <row r="4" spans="3:11" s="4" customFormat="1" ht="20.100000000000001" customHeight="1" x14ac:dyDescent="0.25">
      <c r="C4" s="4">
        <v>1</v>
      </c>
      <c r="E4" s="5" t="s">
        <v>25</v>
      </c>
    </row>
    <row r="5" spans="3:11" s="4" customFormat="1" ht="20.100000000000001" customHeight="1" x14ac:dyDescent="0.25">
      <c r="C5" s="4">
        <v>2</v>
      </c>
      <c r="E5" s="5" t="s">
        <v>26</v>
      </c>
    </row>
    <row r="6" spans="3:11" s="6" customFormat="1" ht="20.100000000000001" customHeight="1" x14ac:dyDescent="0.25">
      <c r="C6" s="6">
        <v>3</v>
      </c>
      <c r="D6" s="6" t="s">
        <v>3</v>
      </c>
      <c r="E6" s="5" t="s">
        <v>27</v>
      </c>
    </row>
    <row r="7" spans="3:11" s="6" customFormat="1" ht="20.100000000000001" customHeight="1" x14ac:dyDescent="0.25">
      <c r="C7" s="6">
        <v>4</v>
      </c>
      <c r="D7" s="6" t="s">
        <v>17</v>
      </c>
      <c r="E7" s="7"/>
    </row>
    <row r="8" spans="3:11" s="6" customFormat="1" ht="20.100000000000001" customHeight="1" x14ac:dyDescent="0.25">
      <c r="C8" s="6">
        <v>6</v>
      </c>
      <c r="D8" s="6" t="s">
        <v>2</v>
      </c>
      <c r="E8" s="7"/>
    </row>
    <row r="9" spans="3:11" s="6" customFormat="1" ht="20.100000000000001" customHeight="1" x14ac:dyDescent="0.25">
      <c r="C9" s="6">
        <v>7</v>
      </c>
      <c r="D9" s="6" t="s">
        <v>10</v>
      </c>
      <c r="E9" s="7"/>
    </row>
    <row r="10" spans="3:11" s="6" customFormat="1" ht="20.100000000000001" customHeight="1" x14ac:dyDescent="0.25">
      <c r="E10" s="7"/>
    </row>
    <row r="11" spans="3:11" s="6" customFormat="1" ht="20.100000000000001" customHeight="1" x14ac:dyDescent="0.25">
      <c r="D11" s="1"/>
      <c r="E11" s="1"/>
      <c r="F11" s="1"/>
      <c r="G11" s="1"/>
      <c r="H11" s="1"/>
      <c r="I11" s="1"/>
      <c r="J11" s="1"/>
      <c r="K11" s="1"/>
    </row>
    <row r="12" spans="3:11" s="6" customFormat="1" ht="20.100000000000001" customHeight="1" x14ac:dyDescent="0.25">
      <c r="D12" s="1"/>
      <c r="E12" s="1"/>
      <c r="F12" s="1"/>
      <c r="G12" s="1"/>
      <c r="H12" s="1"/>
      <c r="I12" s="1"/>
      <c r="J12" s="1"/>
      <c r="K12" s="1"/>
    </row>
    <row r="13" spans="3:11" s="6" customFormat="1" ht="20.100000000000001" customHeight="1" x14ac:dyDescent="0.25">
      <c r="D13" s="1"/>
      <c r="E13" s="1"/>
      <c r="F13" s="1"/>
      <c r="G13" s="1"/>
      <c r="H13" s="1"/>
      <c r="I13" s="1"/>
      <c r="J13" s="1"/>
      <c r="K13" s="1"/>
    </row>
    <row r="14" spans="3:11" s="6" customFormat="1" ht="20.100000000000001" customHeight="1" x14ac:dyDescent="0.25">
      <c r="D14" s="1"/>
      <c r="E14" s="1"/>
      <c r="F14" s="1"/>
      <c r="G14" s="1"/>
      <c r="H14" s="1"/>
      <c r="I14" s="1"/>
      <c r="J14" s="1"/>
      <c r="K14" s="1"/>
    </row>
    <row r="15" spans="3:11" s="6" customFormat="1" ht="20.100000000000001" customHeight="1" x14ac:dyDescent="0.25">
      <c r="D15" s="1"/>
      <c r="E15" s="1"/>
      <c r="F15" s="1"/>
      <c r="G15" s="1"/>
      <c r="H15" s="1"/>
      <c r="I15" s="1"/>
      <c r="J15" s="1"/>
      <c r="K15" s="1"/>
    </row>
    <row r="16" spans="3:11" s="6" customFormat="1" ht="20.100000000000001" customHeight="1" x14ac:dyDescent="0.25">
      <c r="D16" s="1"/>
      <c r="E16" s="1"/>
      <c r="F16" s="1"/>
      <c r="G16" s="1"/>
      <c r="H16" s="1"/>
      <c r="I16" s="1"/>
      <c r="J16" s="1"/>
      <c r="K16" s="1"/>
    </row>
    <row r="17" spans="4:11" s="6" customFormat="1" ht="20.100000000000001" customHeight="1" x14ac:dyDescent="0.25">
      <c r="D17" s="1"/>
      <c r="E17" s="1"/>
      <c r="F17" s="1"/>
      <c r="G17" s="1"/>
      <c r="H17" s="1"/>
      <c r="I17" s="1"/>
      <c r="J17" s="1"/>
      <c r="K17" s="1"/>
    </row>
    <row r="18" spans="4:11" s="6" customFormat="1" ht="20.100000000000001" customHeight="1" x14ac:dyDescent="0.25">
      <c r="D18" s="1"/>
      <c r="E18" s="1"/>
      <c r="F18" s="1"/>
      <c r="G18" s="1"/>
      <c r="H18" s="1"/>
      <c r="I18" s="1"/>
      <c r="J18" s="1"/>
      <c r="K18" s="1"/>
    </row>
    <row r="19" spans="4:11" s="6" customFormat="1" ht="20.100000000000001" customHeight="1" x14ac:dyDescent="0.25">
      <c r="D19" s="1"/>
      <c r="E19" s="1"/>
      <c r="F19" s="1"/>
      <c r="G19" s="1"/>
      <c r="H19" s="1"/>
      <c r="I19" s="1"/>
      <c r="J19" s="1"/>
      <c r="K19" s="1"/>
    </row>
    <row r="20" spans="4:11" s="6" customFormat="1" ht="20.100000000000001" customHeight="1" x14ac:dyDescent="0.25">
      <c r="D20" s="1"/>
      <c r="E20" s="1"/>
      <c r="F20" s="1"/>
      <c r="G20" s="1"/>
      <c r="H20" s="1"/>
      <c r="I20" s="1"/>
      <c r="J20" s="1"/>
      <c r="K20" s="1"/>
    </row>
    <row r="21" spans="4:11" s="6" customFormat="1" ht="20.100000000000001" customHeight="1" x14ac:dyDescent="0.25">
      <c r="D21" s="1"/>
      <c r="E21" s="1"/>
      <c r="F21" s="1"/>
      <c r="G21" s="1"/>
      <c r="H21" s="1"/>
      <c r="I21" s="1"/>
      <c r="J21" s="1"/>
      <c r="K21" s="1"/>
    </row>
    <row r="22" spans="4:11" s="6" customFormat="1" ht="20.100000000000001" customHeight="1" x14ac:dyDescent="0.25">
      <c r="D22" s="1"/>
      <c r="E22" s="1"/>
      <c r="F22" s="1"/>
      <c r="G22" s="1"/>
      <c r="H22" s="1"/>
      <c r="I22" s="1"/>
      <c r="J22" s="1"/>
      <c r="K22" s="1"/>
    </row>
    <row r="23" spans="4:11" s="6" customFormat="1" ht="20.100000000000001" customHeight="1" x14ac:dyDescent="0.25">
      <c r="D23" s="1"/>
      <c r="E23" s="1"/>
      <c r="F23" s="1"/>
      <c r="G23" s="1"/>
      <c r="H23" s="1"/>
      <c r="I23" s="1"/>
      <c r="J23" s="1"/>
      <c r="K23" s="1"/>
    </row>
    <row r="24" spans="4:11" s="6" customFormat="1" ht="20.100000000000001" customHeight="1" x14ac:dyDescent="0.25">
      <c r="D24" s="1"/>
      <c r="E24" s="1"/>
      <c r="F24" s="1"/>
      <c r="G24" s="1"/>
      <c r="H24" s="1"/>
      <c r="I24" s="1"/>
      <c r="J24" s="1"/>
      <c r="K24" s="1"/>
    </row>
    <row r="25" spans="4:11" s="6" customFormat="1" ht="20.100000000000001" customHeight="1" x14ac:dyDescent="0.25">
      <c r="D25" s="1"/>
      <c r="E25" s="1"/>
      <c r="F25" s="1"/>
      <c r="G25" s="1"/>
      <c r="H25" s="1"/>
      <c r="I25" s="1"/>
      <c r="J25" s="1"/>
      <c r="K25" s="1"/>
    </row>
    <row r="26" spans="4:11" s="6" customFormat="1" ht="20.100000000000001" customHeight="1" x14ac:dyDescent="0.25">
      <c r="E26" s="7"/>
    </row>
    <row r="27" spans="4:11" s="6" customFormat="1" ht="20.100000000000001" customHeight="1" x14ac:dyDescent="0.25">
      <c r="E27" s="7"/>
    </row>
    <row r="28" spans="4:11" s="6" customFormat="1" ht="20.100000000000001" customHeight="1" x14ac:dyDescent="0.25">
      <c r="E28" s="7"/>
    </row>
    <row r="29" spans="4:11" s="6" customFormat="1" ht="20.100000000000001" customHeight="1" x14ac:dyDescent="0.25"/>
    <row r="30" spans="4:11" s="6" customFormat="1" ht="20.100000000000001" customHeight="1" x14ac:dyDescent="0.25"/>
    <row r="31" spans="4:11" s="6" customFormat="1" ht="20.100000000000001" customHeight="1" x14ac:dyDescent="0.25"/>
    <row r="32" spans="4:11" s="6" customFormat="1" ht="20.100000000000001" customHeight="1" x14ac:dyDescent="0.25"/>
    <row r="33" s="6" customFormat="1" ht="20.100000000000001" customHeight="1" x14ac:dyDescent="0.25"/>
    <row r="34" s="6" customFormat="1" ht="20.100000000000001" customHeight="1" x14ac:dyDescent="0.25"/>
    <row r="35" s="6" customFormat="1" ht="20.100000000000001" customHeight="1" x14ac:dyDescent="0.25"/>
    <row r="36" s="6" customFormat="1" ht="20.100000000000001" customHeight="1" x14ac:dyDescent="0.25"/>
    <row r="37" s="6" customFormat="1" ht="20.100000000000001" customHeight="1" x14ac:dyDescent="0.25"/>
    <row r="38" s="6" customFormat="1" ht="20.100000000000001" customHeight="1" x14ac:dyDescent="0.25"/>
    <row r="39" s="6" customFormat="1" ht="20.100000000000001" customHeight="1" x14ac:dyDescent="0.25"/>
    <row r="40" s="6" customFormat="1" ht="20.100000000000001" customHeight="1" x14ac:dyDescent="0.25"/>
    <row r="41" s="6" customFormat="1" ht="20.100000000000001" customHeight="1" x14ac:dyDescent="0.25"/>
    <row r="42" s="6" customFormat="1" ht="20.100000000000001" customHeight="1" x14ac:dyDescent="0.25"/>
    <row r="43" s="6" customFormat="1" ht="20.100000000000001" customHeight="1" x14ac:dyDescent="0.25"/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C7:S26"/>
  <sheetViews>
    <sheetView zoomScale="75" zoomScaleNormal="75" workbookViewId="0">
      <selection activeCell="Y15" sqref="Y15"/>
    </sheetView>
  </sheetViews>
  <sheetFormatPr defaultRowHeight="13.2" x14ac:dyDescent="0.25"/>
  <cols>
    <col min="1" max="13" width="1.6640625" customWidth="1"/>
    <col min="14" max="23" width="15.6640625" customWidth="1"/>
  </cols>
  <sheetData>
    <row r="7" spans="3:19" x14ac:dyDescent="0.25">
      <c r="N7" s="8" t="s">
        <v>6</v>
      </c>
      <c r="O7" s="8" t="s">
        <v>8</v>
      </c>
      <c r="P7" s="8" t="s">
        <v>22</v>
      </c>
      <c r="Q7" s="8" t="s">
        <v>23</v>
      </c>
      <c r="R7" s="8" t="s">
        <v>24</v>
      </c>
      <c r="S7" s="8" t="s">
        <v>9</v>
      </c>
    </row>
    <row r="9" spans="3:19" x14ac:dyDescent="0.25"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</row>
    <row r="10" spans="3:19" x14ac:dyDescent="0.25"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</row>
    <row r="11" spans="3:19" x14ac:dyDescent="0.25"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</row>
    <row r="12" spans="3:19" x14ac:dyDescent="0.25"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</row>
    <row r="13" spans="3:19" x14ac:dyDescent="0.25"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</row>
    <row r="14" spans="3:19" x14ac:dyDescent="0.25"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</row>
    <row r="15" spans="3:19" x14ac:dyDescent="0.25"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</row>
    <row r="16" spans="3:19" x14ac:dyDescent="0.25"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</row>
    <row r="17" spans="4:11" x14ac:dyDescent="0.25"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</row>
    <row r="18" spans="4:11" x14ac:dyDescent="0.25"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</row>
    <row r="19" spans="4:11" x14ac:dyDescent="0.25"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</row>
    <row r="20" spans="4:11" x14ac:dyDescent="0.25"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</row>
    <row r="21" spans="4:11" x14ac:dyDescent="0.25"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</row>
    <row r="22" spans="4:11" x14ac:dyDescent="0.25"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</row>
    <row r="23" spans="4:11" x14ac:dyDescent="0.25"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</row>
    <row r="24" spans="4:11" x14ac:dyDescent="0.25"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</row>
    <row r="25" spans="4:11" x14ac:dyDescent="0.25"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</row>
    <row r="26" spans="4:11" x14ac:dyDescent="0.25"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autoPageBreaks="0"/>
  </sheetPr>
  <dimension ref="A3:N50"/>
  <sheetViews>
    <sheetView zoomScale="75" zoomScaleNormal="75" workbookViewId="0">
      <selection activeCell="E33" sqref="E33"/>
    </sheetView>
  </sheetViews>
  <sheetFormatPr defaultColWidth="9.109375" defaultRowHeight="14.4" x14ac:dyDescent="0.3"/>
  <cols>
    <col min="1" max="3" width="8.88671875" customWidth="1"/>
    <col min="4" max="6" width="10.6640625" customWidth="1"/>
    <col min="7" max="7" width="82.33203125" style="2" bestFit="1" customWidth="1"/>
    <col min="8" max="9" width="15.109375" style="2" bestFit="1" customWidth="1"/>
    <col min="10" max="16384" width="9.109375" style="2"/>
  </cols>
  <sheetData>
    <row r="3" spans="1:14" x14ac:dyDescent="0.3">
      <c r="D3" s="23" t="s">
        <v>78</v>
      </c>
      <c r="E3" s="23" t="s">
        <v>79</v>
      </c>
      <c r="F3" s="23" t="s">
        <v>87</v>
      </c>
      <c r="G3" s="3" t="s">
        <v>7</v>
      </c>
      <c r="H3" s="3" t="s">
        <v>89</v>
      </c>
      <c r="I3" s="3" t="s">
        <v>90</v>
      </c>
    </row>
    <row r="4" spans="1:14" s="4" customFormat="1" ht="20.100000000000001" customHeight="1" x14ac:dyDescent="0.25">
      <c r="A4"/>
      <c r="B4"/>
      <c r="C4"/>
      <c r="D4" s="24">
        <v>1</v>
      </c>
      <c r="E4" s="24" t="s">
        <v>80</v>
      </c>
      <c r="F4" s="7" t="s">
        <v>88</v>
      </c>
      <c r="G4" s="5" t="s">
        <v>71</v>
      </c>
      <c r="H4" s="4" t="s">
        <v>91</v>
      </c>
      <c r="I4" s="4" t="s">
        <v>1</v>
      </c>
    </row>
    <row r="5" spans="1:14" s="4" customFormat="1" ht="20.100000000000001" customHeight="1" x14ac:dyDescent="0.25">
      <c r="A5"/>
      <c r="B5"/>
      <c r="C5"/>
      <c r="D5" s="24">
        <v>1</v>
      </c>
      <c r="E5" s="24" t="s">
        <v>81</v>
      </c>
      <c r="F5" s="7" t="s">
        <v>88</v>
      </c>
      <c r="G5" s="5" t="s">
        <v>72</v>
      </c>
      <c r="H5" s="4" t="s">
        <v>91</v>
      </c>
      <c r="I5" s="4" t="s">
        <v>1</v>
      </c>
    </row>
    <row r="6" spans="1:14" s="4" customFormat="1" ht="20.100000000000001" customHeight="1" x14ac:dyDescent="0.25">
      <c r="A6"/>
      <c r="B6"/>
      <c r="C6"/>
      <c r="D6" s="24">
        <v>1</v>
      </c>
      <c r="E6" s="24" t="s">
        <v>82</v>
      </c>
      <c r="F6" s="7" t="s">
        <v>88</v>
      </c>
      <c r="G6" s="5" t="s">
        <v>73</v>
      </c>
      <c r="H6" s="4" t="s">
        <v>91</v>
      </c>
      <c r="I6" s="4" t="s">
        <v>1</v>
      </c>
    </row>
    <row r="7" spans="1:14" s="4" customFormat="1" ht="20.100000000000001" customHeight="1" x14ac:dyDescent="0.25">
      <c r="A7"/>
      <c r="B7"/>
      <c r="C7"/>
      <c r="D7" s="24">
        <v>1</v>
      </c>
      <c r="E7" s="24" t="s">
        <v>83</v>
      </c>
      <c r="F7" s="7" t="s">
        <v>88</v>
      </c>
      <c r="G7" s="5" t="s">
        <v>74</v>
      </c>
      <c r="H7" s="4" t="s">
        <v>91</v>
      </c>
      <c r="I7" s="4" t="s">
        <v>1</v>
      </c>
    </row>
    <row r="8" spans="1:14" s="4" customFormat="1" ht="20.100000000000001" customHeight="1" x14ac:dyDescent="0.25">
      <c r="A8"/>
      <c r="B8"/>
      <c r="C8"/>
      <c r="D8" s="24">
        <v>1</v>
      </c>
      <c r="E8" s="24" t="s">
        <v>84</v>
      </c>
      <c r="F8" s="7" t="s">
        <v>88</v>
      </c>
      <c r="G8" s="5" t="s">
        <v>75</v>
      </c>
      <c r="H8" s="4" t="s">
        <v>91</v>
      </c>
      <c r="I8" s="4" t="s">
        <v>1</v>
      </c>
    </row>
    <row r="9" spans="1:14" s="4" customFormat="1" ht="20.100000000000001" customHeight="1" x14ac:dyDescent="0.25">
      <c r="A9"/>
      <c r="B9"/>
      <c r="C9"/>
      <c r="D9" s="24">
        <v>1</v>
      </c>
      <c r="E9" s="24" t="s">
        <v>85</v>
      </c>
      <c r="F9" s="7" t="s">
        <v>88</v>
      </c>
      <c r="G9" s="5" t="s">
        <v>76</v>
      </c>
      <c r="H9" s="4" t="s">
        <v>91</v>
      </c>
      <c r="I9" s="4" t="s">
        <v>1</v>
      </c>
    </row>
    <row r="10" spans="1:14" s="4" customFormat="1" ht="20.100000000000001" customHeight="1" x14ac:dyDescent="0.25">
      <c r="A10"/>
      <c r="B10"/>
      <c r="C10"/>
      <c r="D10" s="24">
        <v>1</v>
      </c>
      <c r="E10" s="24" t="s">
        <v>86</v>
      </c>
      <c r="F10" s="7" t="s">
        <v>88</v>
      </c>
      <c r="G10" s="5" t="s">
        <v>77</v>
      </c>
      <c r="H10" s="4" t="s">
        <v>91</v>
      </c>
      <c r="I10" s="4" t="s">
        <v>1</v>
      </c>
    </row>
    <row r="11" spans="1:14" s="4" customFormat="1" ht="20.100000000000001" customHeight="1" x14ac:dyDescent="0.3">
      <c r="A11"/>
      <c r="B11"/>
      <c r="C11"/>
      <c r="D11" s="22"/>
      <c r="E11" s="22"/>
      <c r="F11" s="22"/>
      <c r="G11" s="5" t="s">
        <v>68</v>
      </c>
    </row>
    <row r="12" spans="1:14" s="4" customFormat="1" ht="20.100000000000001" customHeight="1" x14ac:dyDescent="0.3">
      <c r="A12"/>
      <c r="B12"/>
      <c r="C12"/>
      <c r="D12" s="22"/>
      <c r="E12" s="22"/>
      <c r="F12" s="22"/>
      <c r="G12" s="5" t="s">
        <v>69</v>
      </c>
    </row>
    <row r="13" spans="1:14" s="6" customFormat="1" ht="20.100000000000001" customHeight="1" x14ac:dyDescent="0.3">
      <c r="A13"/>
      <c r="B13"/>
      <c r="C13"/>
      <c r="D13" s="22"/>
      <c r="E13" s="22"/>
      <c r="F13" s="22"/>
      <c r="G13" s="7" t="s">
        <v>70</v>
      </c>
    </row>
    <row r="14" spans="1:14" s="6" customFormat="1" ht="20.100000000000001" customHeight="1" x14ac:dyDescent="0.25">
      <c r="A14"/>
      <c r="B14"/>
      <c r="C14"/>
      <c r="D14"/>
      <c r="E14"/>
      <c r="F14"/>
      <c r="G14" s="7"/>
    </row>
    <row r="15" spans="1:14" s="6" customFormat="1" ht="20.100000000000001" customHeight="1" x14ac:dyDescent="0.25">
      <c r="A15"/>
      <c r="B15"/>
      <c r="C15"/>
      <c r="D15"/>
      <c r="E15"/>
      <c r="F15"/>
      <c r="G15" s="7"/>
    </row>
    <row r="16" spans="1:14" s="6" customFormat="1" ht="20.100000000000001" customHeight="1" x14ac:dyDescent="0.25">
      <c r="A16"/>
      <c r="B16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s="6" customFormat="1" ht="20.100000000000001" customHeight="1" x14ac:dyDescent="0.25">
      <c r="A17"/>
      <c r="B17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s="6" customFormat="1" ht="20.100000000000001" customHeight="1" x14ac:dyDescent="0.25">
      <c r="A18"/>
      <c r="B18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s="6" customFormat="1" ht="20.100000000000001" customHeight="1" x14ac:dyDescent="0.25">
      <c r="A19"/>
      <c r="B19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s="6" customFormat="1" ht="20.100000000000001" customHeight="1" x14ac:dyDescent="0.25">
      <c r="A20"/>
      <c r="B20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s="6" customFormat="1" ht="20.100000000000001" customHeight="1" x14ac:dyDescent="0.25">
      <c r="A21"/>
      <c r="B21"/>
      <c r="C2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4" s="6" customFormat="1" ht="20.100000000000001" customHeight="1" x14ac:dyDescent="0.25">
      <c r="A22"/>
      <c r="B22"/>
      <c r="C22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4" s="6" customFormat="1" ht="20.100000000000001" customHeight="1" x14ac:dyDescent="0.25">
      <c r="A23"/>
      <c r="B23"/>
      <c r="C23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4" s="6" customFormat="1" ht="20.100000000000001" customHeight="1" x14ac:dyDescent="0.25">
      <c r="A24"/>
      <c r="B24"/>
      <c r="C24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4" s="6" customFormat="1" ht="20.100000000000001" customHeight="1" x14ac:dyDescent="0.25">
      <c r="A25"/>
      <c r="B25"/>
      <c r="C25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4" s="6" customFormat="1" ht="20.100000000000001" customHeight="1" x14ac:dyDescent="0.25">
      <c r="A26"/>
      <c r="B26"/>
      <c r="C26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4" s="6" customFormat="1" ht="20.100000000000001" customHeight="1" x14ac:dyDescent="0.25">
      <c r="A27"/>
      <c r="B27"/>
      <c r="C27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4" s="6" customFormat="1" ht="20.100000000000001" customHeight="1" x14ac:dyDescent="0.25">
      <c r="A28"/>
      <c r="B28"/>
      <c r="C28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4" s="6" customFormat="1" ht="20.100000000000001" customHeight="1" x14ac:dyDescent="0.25">
      <c r="A29"/>
      <c r="B29"/>
      <c r="C29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4" s="6" customFormat="1" ht="20.100000000000001" customHeight="1" x14ac:dyDescent="0.25">
      <c r="A30"/>
      <c r="B30"/>
      <c r="C30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4" s="6" customFormat="1" ht="20.100000000000001" customHeight="1" x14ac:dyDescent="0.25">
      <c r="A31"/>
      <c r="B31"/>
      <c r="C3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4" s="6" customFormat="1" ht="20.100000000000001" customHeight="1" x14ac:dyDescent="0.25">
      <c r="A32"/>
      <c r="B32"/>
      <c r="C32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s="6" customFormat="1" ht="20.100000000000001" customHeight="1" x14ac:dyDescent="0.25">
      <c r="A33"/>
      <c r="B33"/>
      <c r="C33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s="6" customFormat="1" ht="20.100000000000001" customHeight="1" x14ac:dyDescent="0.25">
      <c r="A34"/>
      <c r="B34"/>
      <c r="C34"/>
      <c r="D34"/>
      <c r="E34"/>
      <c r="F34"/>
      <c r="G34" s="7"/>
    </row>
    <row r="35" spans="1:13" s="6" customFormat="1" ht="20.100000000000001" customHeight="1" x14ac:dyDescent="0.25">
      <c r="A35"/>
      <c r="B35"/>
      <c r="C35"/>
      <c r="D35"/>
      <c r="E35"/>
      <c r="F35"/>
      <c r="G35" s="7"/>
    </row>
    <row r="36" spans="1:13" s="6" customFormat="1" ht="20.100000000000001" customHeight="1" x14ac:dyDescent="0.25">
      <c r="A36"/>
      <c r="B36"/>
      <c r="C36"/>
      <c r="D36"/>
      <c r="E36"/>
      <c r="F36"/>
    </row>
    <row r="37" spans="1:13" s="6" customFormat="1" ht="20.100000000000001" customHeight="1" x14ac:dyDescent="0.25">
      <c r="A37"/>
      <c r="B37"/>
      <c r="C37"/>
      <c r="D37"/>
      <c r="E37"/>
      <c r="F37"/>
    </row>
    <row r="38" spans="1:13" s="6" customFormat="1" ht="20.100000000000001" customHeight="1" x14ac:dyDescent="0.25">
      <c r="A38"/>
      <c r="B38"/>
      <c r="C38"/>
      <c r="D38"/>
      <c r="E38"/>
      <c r="F38"/>
    </row>
    <row r="39" spans="1:13" s="6" customFormat="1" ht="20.100000000000001" customHeight="1" x14ac:dyDescent="0.25">
      <c r="A39"/>
      <c r="B39"/>
      <c r="C39"/>
      <c r="D39"/>
      <c r="E39"/>
      <c r="F39"/>
    </row>
    <row r="40" spans="1:13" s="6" customFormat="1" ht="20.100000000000001" customHeight="1" x14ac:dyDescent="0.25">
      <c r="A40"/>
      <c r="B40"/>
      <c r="C40"/>
      <c r="D40"/>
      <c r="E40"/>
      <c r="F40"/>
    </row>
    <row r="41" spans="1:13" s="6" customFormat="1" ht="20.100000000000001" customHeight="1" x14ac:dyDescent="0.25">
      <c r="A41"/>
      <c r="B41"/>
      <c r="C41"/>
      <c r="D41"/>
      <c r="E41"/>
      <c r="F41"/>
    </row>
    <row r="42" spans="1:13" s="6" customFormat="1" ht="20.100000000000001" customHeight="1" x14ac:dyDescent="0.25">
      <c r="A42"/>
      <c r="B42"/>
      <c r="C42"/>
      <c r="D42"/>
      <c r="E42"/>
      <c r="F42"/>
    </row>
    <row r="43" spans="1:13" s="6" customFormat="1" ht="20.100000000000001" customHeight="1" x14ac:dyDescent="0.25">
      <c r="A43"/>
      <c r="B43"/>
      <c r="C43"/>
      <c r="D43"/>
      <c r="E43"/>
      <c r="F43"/>
    </row>
    <row r="44" spans="1:13" s="6" customFormat="1" ht="20.100000000000001" customHeight="1" x14ac:dyDescent="0.25">
      <c r="A44"/>
      <c r="B44"/>
      <c r="C44"/>
      <c r="D44"/>
      <c r="E44"/>
      <c r="F44"/>
    </row>
    <row r="45" spans="1:13" s="6" customFormat="1" ht="20.100000000000001" customHeight="1" x14ac:dyDescent="0.25">
      <c r="A45"/>
      <c r="B45"/>
      <c r="C45"/>
      <c r="D45"/>
      <c r="E45"/>
      <c r="F45"/>
    </row>
    <row r="46" spans="1:13" s="6" customFormat="1" ht="20.100000000000001" customHeight="1" x14ac:dyDescent="0.25">
      <c r="A46"/>
      <c r="B46"/>
      <c r="C46"/>
      <c r="D46"/>
      <c r="E46"/>
      <c r="F46"/>
    </row>
    <row r="47" spans="1:13" s="6" customFormat="1" ht="20.100000000000001" customHeight="1" x14ac:dyDescent="0.25">
      <c r="A47"/>
      <c r="B47"/>
      <c r="C47"/>
      <c r="D47"/>
      <c r="E47"/>
      <c r="F47"/>
    </row>
    <row r="48" spans="1:13" s="6" customFormat="1" ht="20.100000000000001" customHeight="1" x14ac:dyDescent="0.25">
      <c r="A48"/>
      <c r="B48"/>
      <c r="C48"/>
      <c r="D48"/>
      <c r="E48"/>
      <c r="F48"/>
    </row>
    <row r="49" spans="1:6" s="6" customFormat="1" ht="20.100000000000001" customHeight="1" x14ac:dyDescent="0.25">
      <c r="A49"/>
      <c r="B49"/>
      <c r="C49"/>
      <c r="D49"/>
      <c r="E49"/>
      <c r="F49"/>
    </row>
    <row r="50" spans="1:6" s="6" customFormat="1" ht="20.100000000000001" customHeight="1" x14ac:dyDescent="0.25">
      <c r="A50"/>
      <c r="B50"/>
      <c r="C50"/>
      <c r="D50"/>
      <c r="E50"/>
      <c r="F50"/>
    </row>
  </sheetData>
  <pageMargins left="0.7" right="0.7" top="0.75" bottom="0.75" header="0.3" footer="0.3"/>
  <pageSetup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6"/>
  <sheetViews>
    <sheetView zoomScale="75" zoomScaleNormal="75" workbookViewId="0"/>
  </sheetViews>
  <sheetFormatPr defaultColWidth="9.109375" defaultRowHeight="14.4" x14ac:dyDescent="0.3"/>
  <cols>
    <col min="1" max="1" width="23.44140625" style="2" bestFit="1" customWidth="1"/>
    <col min="2" max="16384" width="9.109375" style="2"/>
  </cols>
  <sheetData>
    <row r="1" spans="1:12" x14ac:dyDescent="0.3">
      <c r="A1" s="2" t="s">
        <v>12</v>
      </c>
    </row>
    <row r="2" spans="1:12" x14ac:dyDescent="0.3">
      <c r="A2" s="2" t="s">
        <v>18</v>
      </c>
    </row>
    <row r="3" spans="1:12" x14ac:dyDescent="0.3">
      <c r="A3" s="2" t="s">
        <v>21</v>
      </c>
    </row>
    <row r="4" spans="1:12" x14ac:dyDescent="0.3">
      <c r="A4" s="2" t="s">
        <v>28</v>
      </c>
    </row>
    <row r="5" spans="1:12" x14ac:dyDescent="0.3">
      <c r="A5" s="2" t="s">
        <v>20</v>
      </c>
    </row>
    <row r="6" spans="1:12" x14ac:dyDescent="0.3">
      <c r="A6" s="2" t="s">
        <v>19</v>
      </c>
    </row>
    <row r="7" spans="1:12" x14ac:dyDescent="0.3">
      <c r="A7" s="2" t="s">
        <v>29</v>
      </c>
    </row>
    <row r="9" spans="1:12" x14ac:dyDescent="0.3"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3"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3"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3"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3"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3">
      <c r="D14" s="1"/>
      <c r="E14" s="1"/>
      <c r="F14" s="1"/>
      <c r="G14" s="1"/>
      <c r="H14" s="1"/>
      <c r="I14" s="1"/>
      <c r="J14" s="1"/>
      <c r="K14" s="1"/>
    </row>
    <row r="15" spans="1:12" x14ac:dyDescent="0.3">
      <c r="D15" s="1"/>
      <c r="E15" s="1"/>
      <c r="F15" s="1"/>
      <c r="G15" s="1"/>
      <c r="H15" s="1"/>
      <c r="I15" s="1"/>
      <c r="J15" s="1"/>
      <c r="K15" s="1"/>
    </row>
    <row r="16" spans="1:12" x14ac:dyDescent="0.3">
      <c r="D16" s="1"/>
      <c r="E16" s="1"/>
      <c r="F16" s="1"/>
      <c r="G16" s="1"/>
      <c r="H16" s="1"/>
      <c r="I16" s="1"/>
      <c r="J16" s="1"/>
      <c r="K16" s="1"/>
    </row>
    <row r="17" spans="4:11" x14ac:dyDescent="0.3">
      <c r="D17" s="1"/>
      <c r="E17" s="1"/>
      <c r="F17" s="1"/>
      <c r="G17" s="1"/>
      <c r="H17" s="1"/>
      <c r="I17" s="1"/>
      <c r="J17" s="1"/>
      <c r="K17" s="1"/>
    </row>
    <row r="18" spans="4:11" x14ac:dyDescent="0.3">
      <c r="D18" s="1"/>
      <c r="E18" s="1"/>
      <c r="F18" s="1"/>
      <c r="G18" s="1"/>
      <c r="H18" s="1"/>
      <c r="I18" s="1"/>
      <c r="J18" s="1"/>
      <c r="K18" s="1"/>
    </row>
    <row r="19" spans="4:11" x14ac:dyDescent="0.3">
      <c r="D19" s="1"/>
      <c r="E19" s="1"/>
      <c r="F19" s="1"/>
      <c r="G19" s="1"/>
      <c r="H19" s="1"/>
      <c r="I19" s="1"/>
      <c r="J19" s="1"/>
      <c r="K19" s="1"/>
    </row>
    <row r="20" spans="4:11" x14ac:dyDescent="0.3">
      <c r="D20" s="1"/>
      <c r="E20" s="1"/>
      <c r="F20" s="1"/>
      <c r="G20" s="1"/>
      <c r="H20" s="1"/>
      <c r="I20" s="1"/>
      <c r="J20" s="1"/>
      <c r="K20" s="1"/>
    </row>
    <row r="21" spans="4:11" x14ac:dyDescent="0.3">
      <c r="D21" s="1"/>
      <c r="E21" s="1"/>
      <c r="F21" s="1"/>
      <c r="G21" s="1"/>
      <c r="H21" s="1"/>
      <c r="I21" s="1"/>
      <c r="J21" s="1"/>
      <c r="K21" s="1"/>
    </row>
    <row r="22" spans="4:11" x14ac:dyDescent="0.3">
      <c r="D22" s="1"/>
      <c r="E22" s="1"/>
      <c r="F22" s="1"/>
      <c r="G22" s="1"/>
      <c r="H22" s="1"/>
      <c r="I22" s="1"/>
      <c r="J22" s="1"/>
      <c r="K22" s="1"/>
    </row>
    <row r="23" spans="4:11" x14ac:dyDescent="0.3">
      <c r="D23" s="1"/>
      <c r="E23" s="1"/>
      <c r="F23" s="1"/>
      <c r="G23" s="1"/>
      <c r="H23" s="1"/>
      <c r="I23" s="1"/>
      <c r="J23" s="1"/>
      <c r="K23" s="1"/>
    </row>
    <row r="24" spans="4:11" x14ac:dyDescent="0.3">
      <c r="D24" s="1"/>
      <c r="E24" s="1"/>
      <c r="F24" s="1"/>
      <c r="G24" s="1"/>
      <c r="H24" s="1"/>
      <c r="I24" s="1"/>
      <c r="J24" s="1"/>
      <c r="K24" s="1"/>
    </row>
    <row r="25" spans="4:11" x14ac:dyDescent="0.3">
      <c r="D25" s="1"/>
      <c r="E25" s="1"/>
      <c r="F25" s="1"/>
      <c r="G25" s="1"/>
      <c r="H25" s="1"/>
      <c r="I25" s="1"/>
      <c r="J25" s="1"/>
      <c r="K25" s="1"/>
    </row>
    <row r="26" spans="4:11" x14ac:dyDescent="0.3">
      <c r="D26" s="1"/>
      <c r="E26" s="1"/>
      <c r="F26" s="1"/>
      <c r="G26" s="1"/>
      <c r="H26" s="1"/>
      <c r="I26" s="1"/>
      <c r="J26" s="1"/>
      <c r="K26" s="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352"/>
  <sheetViews>
    <sheetView zoomScale="75" zoomScaleNormal="75" workbookViewId="0">
      <pane ySplit="1" topLeftCell="A2" activePane="bottomLeft" state="frozen"/>
      <selection pane="bottomLeft" activeCell="B30" sqref="A1:B30"/>
    </sheetView>
  </sheetViews>
  <sheetFormatPr defaultColWidth="9.109375" defaultRowHeight="14.4" x14ac:dyDescent="0.3"/>
  <cols>
    <col min="1" max="1" width="12" style="2" customWidth="1"/>
    <col min="2" max="2" width="22" style="2" bestFit="1" customWidth="1"/>
    <col min="3" max="3" width="29.88671875" style="2" bestFit="1" customWidth="1"/>
    <col min="4" max="16384" width="9.109375" style="2"/>
  </cols>
  <sheetData>
    <row r="1" spans="1:12" x14ac:dyDescent="0.3">
      <c r="A1" s="3" t="s">
        <v>30</v>
      </c>
      <c r="B1" s="3" t="s">
        <v>31</v>
      </c>
      <c r="C1" s="3" t="s">
        <v>0</v>
      </c>
    </row>
    <row r="2" spans="1:12" x14ac:dyDescent="0.3">
      <c r="A2" s="2">
        <v>6093420</v>
      </c>
      <c r="B2" s="29">
        <v>24.04</v>
      </c>
      <c r="C2" s="2" t="s">
        <v>431</v>
      </c>
    </row>
    <row r="3" spans="1:12" x14ac:dyDescent="0.3">
      <c r="A3" s="2">
        <v>5056063</v>
      </c>
      <c r="B3" s="29">
        <v>21.58</v>
      </c>
      <c r="C3" s="2" t="s">
        <v>104</v>
      </c>
    </row>
    <row r="4" spans="1:12" x14ac:dyDescent="0.3">
      <c r="A4" s="2">
        <v>6003738</v>
      </c>
      <c r="B4" s="29">
        <v>18</v>
      </c>
      <c r="C4" s="2" t="s">
        <v>97</v>
      </c>
    </row>
    <row r="5" spans="1:12" x14ac:dyDescent="0.3">
      <c r="A5" s="2">
        <v>5144048</v>
      </c>
      <c r="B5" s="29">
        <v>17.940000000000001</v>
      </c>
      <c r="C5" s="2" t="s">
        <v>292</v>
      </c>
    </row>
    <row r="6" spans="1:12" x14ac:dyDescent="0.3">
      <c r="A6" s="2">
        <v>5055925</v>
      </c>
      <c r="B6" s="29">
        <v>17.88</v>
      </c>
      <c r="C6" s="2" t="s">
        <v>287</v>
      </c>
    </row>
    <row r="7" spans="1:12" x14ac:dyDescent="0.3">
      <c r="A7" s="2">
        <v>5040298</v>
      </c>
      <c r="B7" s="29">
        <v>17.84</v>
      </c>
      <c r="C7" s="2" t="s">
        <v>266</v>
      </c>
    </row>
    <row r="8" spans="1:12" x14ac:dyDescent="0.3">
      <c r="A8" s="2">
        <v>5077602</v>
      </c>
      <c r="B8" s="29">
        <v>16.89</v>
      </c>
      <c r="C8" s="2" t="s">
        <v>102</v>
      </c>
    </row>
    <row r="9" spans="1:12" x14ac:dyDescent="0.3">
      <c r="A9" s="2">
        <v>5039023</v>
      </c>
      <c r="B9" s="29">
        <v>16.77</v>
      </c>
      <c r="C9" t="s">
        <v>247</v>
      </c>
      <c r="D9" s="1"/>
      <c r="E9" s="1"/>
      <c r="F9" s="1"/>
      <c r="G9" s="1"/>
      <c r="H9" s="1"/>
      <c r="I9" s="1"/>
      <c r="J9" s="1"/>
      <c r="K9" s="1"/>
      <c r="L9" s="1"/>
    </row>
    <row r="10" spans="1:12" x14ac:dyDescent="0.3">
      <c r="A10" s="2">
        <v>5040082</v>
      </c>
      <c r="B10" s="29">
        <v>16.73</v>
      </c>
      <c r="C10" t="s">
        <v>288</v>
      </c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3">
      <c r="A11" s="2">
        <v>5039076</v>
      </c>
      <c r="B11" s="29">
        <v>15.99</v>
      </c>
      <c r="C11" t="s">
        <v>412</v>
      </c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3">
      <c r="A12" s="2">
        <v>5039818</v>
      </c>
      <c r="B12" s="29">
        <v>15.89</v>
      </c>
      <c r="C12" t="s">
        <v>95</v>
      </c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3">
      <c r="A13" s="2">
        <v>6034165</v>
      </c>
      <c r="B13" s="29">
        <v>15.89</v>
      </c>
      <c r="C13" t="s">
        <v>337</v>
      </c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3">
      <c r="A14" s="2">
        <v>5175799</v>
      </c>
      <c r="B14" s="29">
        <v>15.84</v>
      </c>
      <c r="C14" s="2" t="s">
        <v>96</v>
      </c>
      <c r="D14" s="1"/>
      <c r="E14" s="1"/>
      <c r="F14" s="1"/>
      <c r="G14" s="1"/>
      <c r="H14" s="1"/>
      <c r="I14" s="1"/>
      <c r="J14" s="1"/>
      <c r="K14" s="1"/>
    </row>
    <row r="15" spans="1:12" x14ac:dyDescent="0.3">
      <c r="A15" s="2">
        <v>5040012</v>
      </c>
      <c r="B15" s="29">
        <v>15.84</v>
      </c>
      <c r="C15" s="2" t="s">
        <v>384</v>
      </c>
      <c r="D15" s="1"/>
      <c r="E15" s="1"/>
      <c r="F15" s="1"/>
      <c r="G15" s="1"/>
      <c r="H15" s="1"/>
      <c r="I15" s="1"/>
      <c r="J15" s="1"/>
      <c r="K15" s="1"/>
    </row>
    <row r="16" spans="1:12" x14ac:dyDescent="0.3">
      <c r="A16" s="2">
        <v>5039177</v>
      </c>
      <c r="B16" s="29">
        <v>15.6</v>
      </c>
      <c r="C16" s="2" t="s">
        <v>359</v>
      </c>
      <c r="D16" s="1"/>
      <c r="E16" s="1"/>
      <c r="F16" s="1"/>
      <c r="G16" s="1"/>
      <c r="H16" s="1"/>
      <c r="I16" s="1"/>
      <c r="J16" s="1"/>
      <c r="K16" s="1"/>
    </row>
    <row r="17" spans="1:11" x14ac:dyDescent="0.3">
      <c r="A17" s="2">
        <v>6047045</v>
      </c>
      <c r="B17" s="29">
        <v>15.5</v>
      </c>
      <c r="C17" s="2" t="s">
        <v>228</v>
      </c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s="2">
        <v>5038601</v>
      </c>
      <c r="B18" s="29">
        <v>15.43</v>
      </c>
      <c r="C18" s="2" t="s">
        <v>385</v>
      </c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s="2">
        <v>5945194</v>
      </c>
      <c r="B19" s="29">
        <v>15.38</v>
      </c>
      <c r="C19" s="2" t="s">
        <v>186</v>
      </c>
      <c r="D19" s="1"/>
      <c r="E19" s="1"/>
      <c r="F19" s="1"/>
      <c r="G19" s="1"/>
      <c r="H19" s="1"/>
      <c r="I19" s="1"/>
      <c r="J19" s="1"/>
      <c r="K19" s="1"/>
    </row>
    <row r="20" spans="1:11" x14ac:dyDescent="0.3">
      <c r="A20" s="2">
        <v>5939174</v>
      </c>
      <c r="B20" s="29">
        <v>15.38</v>
      </c>
      <c r="C20" s="2" t="s">
        <v>379</v>
      </c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s="2">
        <v>6023599</v>
      </c>
      <c r="B21" s="29">
        <v>15.38</v>
      </c>
      <c r="C21" s="2" t="s">
        <v>399</v>
      </c>
      <c r="D21" s="1"/>
      <c r="E21" s="1"/>
      <c r="F21" s="1"/>
      <c r="G21" s="1"/>
      <c r="H21" s="1"/>
      <c r="I21" s="1"/>
      <c r="J21" s="1"/>
      <c r="K21" s="1"/>
    </row>
    <row r="22" spans="1:11" x14ac:dyDescent="0.3">
      <c r="A22" s="2">
        <v>5039451</v>
      </c>
      <c r="B22" s="29">
        <v>15.32</v>
      </c>
      <c r="C22" s="2" t="s">
        <v>413</v>
      </c>
      <c r="D22" s="1"/>
      <c r="E22" s="1"/>
      <c r="F22" s="1"/>
      <c r="G22" s="1"/>
      <c r="H22" s="1"/>
      <c r="I22" s="1"/>
      <c r="J22" s="1"/>
      <c r="K22" s="1"/>
    </row>
    <row r="23" spans="1:11" x14ac:dyDescent="0.3">
      <c r="A23" s="2">
        <v>5966108</v>
      </c>
      <c r="B23" s="29">
        <v>15.29</v>
      </c>
      <c r="C23" s="2" t="s">
        <v>335</v>
      </c>
      <c r="D23" s="1"/>
      <c r="E23" s="1"/>
      <c r="F23" s="1"/>
      <c r="G23" s="1"/>
      <c r="H23" s="1"/>
      <c r="I23" s="1"/>
      <c r="J23" s="1"/>
      <c r="K23" s="1"/>
    </row>
    <row r="24" spans="1:11" x14ac:dyDescent="0.3">
      <c r="A24" s="2">
        <v>5954459</v>
      </c>
      <c r="B24" s="29">
        <v>15.23</v>
      </c>
      <c r="C24" s="2" t="s">
        <v>174</v>
      </c>
      <c r="D24" s="1"/>
      <c r="E24" s="1"/>
      <c r="F24" s="1"/>
      <c r="G24" s="1"/>
      <c r="H24" s="1"/>
      <c r="I24" s="1"/>
      <c r="J24" s="1"/>
      <c r="K24" s="1"/>
    </row>
    <row r="25" spans="1:11" x14ac:dyDescent="0.3">
      <c r="A25" s="2">
        <v>5960201</v>
      </c>
      <c r="B25" s="29">
        <v>15.15</v>
      </c>
      <c r="C25" s="2" t="s">
        <v>272</v>
      </c>
      <c r="D25" s="1"/>
      <c r="E25" s="1"/>
      <c r="F25" s="1"/>
      <c r="G25" s="1"/>
      <c r="H25" s="1"/>
      <c r="I25" s="1"/>
      <c r="J25" s="1"/>
      <c r="K25" s="1"/>
    </row>
    <row r="26" spans="1:11" x14ac:dyDescent="0.3">
      <c r="A26" s="2">
        <v>5039280</v>
      </c>
      <c r="B26" s="29">
        <v>15.15</v>
      </c>
      <c r="C26" s="2" t="s">
        <v>343</v>
      </c>
      <c r="D26" s="1"/>
      <c r="E26" s="1"/>
      <c r="F26" s="1"/>
      <c r="G26" s="1"/>
      <c r="H26" s="1"/>
      <c r="I26" s="1"/>
      <c r="J26" s="1"/>
      <c r="K26" s="1"/>
    </row>
    <row r="27" spans="1:11" x14ac:dyDescent="0.3">
      <c r="A27" s="2">
        <v>6093836</v>
      </c>
      <c r="B27" s="29">
        <v>15</v>
      </c>
      <c r="C27" s="2" t="s">
        <v>432</v>
      </c>
    </row>
    <row r="28" spans="1:11" x14ac:dyDescent="0.3">
      <c r="A28" s="2">
        <v>5040369</v>
      </c>
      <c r="B28" s="29">
        <v>15</v>
      </c>
      <c r="C28" s="2" t="s">
        <v>193</v>
      </c>
    </row>
    <row r="29" spans="1:11" x14ac:dyDescent="0.3">
      <c r="A29" s="2">
        <v>5040237</v>
      </c>
      <c r="B29" s="29">
        <v>14.82</v>
      </c>
      <c r="C29" s="2" t="s">
        <v>355</v>
      </c>
    </row>
    <row r="30" spans="1:11" x14ac:dyDescent="0.3">
      <c r="A30" s="2">
        <v>5988313</v>
      </c>
      <c r="B30" s="29">
        <v>14.78</v>
      </c>
      <c r="C30" s="2" t="s">
        <v>98</v>
      </c>
    </row>
    <row r="31" spans="1:11" x14ac:dyDescent="0.3">
      <c r="A31" s="2">
        <v>5041678</v>
      </c>
      <c r="B31" s="29">
        <v>14.78</v>
      </c>
      <c r="C31" s="2" t="s">
        <v>301</v>
      </c>
    </row>
    <row r="32" spans="1:11" x14ac:dyDescent="0.3">
      <c r="A32" s="2">
        <v>5037770</v>
      </c>
      <c r="B32" s="29">
        <v>14.77</v>
      </c>
      <c r="C32" s="2" t="s">
        <v>348</v>
      </c>
    </row>
    <row r="33" spans="1:3" x14ac:dyDescent="0.3">
      <c r="A33" s="2">
        <v>5039859</v>
      </c>
      <c r="B33" s="29">
        <v>14.48</v>
      </c>
      <c r="C33" s="2" t="s">
        <v>429</v>
      </c>
    </row>
    <row r="34" spans="1:3" x14ac:dyDescent="0.3">
      <c r="A34" s="2">
        <v>5039221</v>
      </c>
      <c r="B34" s="29">
        <v>14.43</v>
      </c>
      <c r="C34" s="2" t="s">
        <v>208</v>
      </c>
    </row>
    <row r="35" spans="1:3" x14ac:dyDescent="0.3">
      <c r="A35" s="2">
        <v>5037806</v>
      </c>
      <c r="B35" s="29">
        <v>14.27</v>
      </c>
      <c r="C35" s="2" t="s">
        <v>336</v>
      </c>
    </row>
    <row r="36" spans="1:3" x14ac:dyDescent="0.3">
      <c r="A36" s="2">
        <v>5035989</v>
      </c>
      <c r="B36" s="29">
        <v>14.21</v>
      </c>
      <c r="C36" s="2" t="s">
        <v>294</v>
      </c>
    </row>
    <row r="37" spans="1:3" x14ac:dyDescent="0.3">
      <c r="A37" s="2">
        <v>5040475</v>
      </c>
      <c r="B37" s="29">
        <v>14.16</v>
      </c>
      <c r="C37" s="2" t="s">
        <v>353</v>
      </c>
    </row>
    <row r="38" spans="1:3" x14ac:dyDescent="0.3">
      <c r="A38" s="2">
        <v>5038783</v>
      </c>
      <c r="B38" s="29">
        <v>14.08</v>
      </c>
      <c r="C38" s="2" t="s">
        <v>339</v>
      </c>
    </row>
    <row r="39" spans="1:3" x14ac:dyDescent="0.3">
      <c r="A39" s="2">
        <v>5950504</v>
      </c>
      <c r="B39" s="29">
        <v>14.07</v>
      </c>
      <c r="C39" s="2" t="s">
        <v>195</v>
      </c>
    </row>
    <row r="40" spans="1:3" x14ac:dyDescent="0.3">
      <c r="A40" s="2">
        <v>6086114</v>
      </c>
      <c r="B40" s="29">
        <v>14</v>
      </c>
      <c r="C40" s="2" t="s">
        <v>342</v>
      </c>
    </row>
    <row r="41" spans="1:3" x14ac:dyDescent="0.3">
      <c r="A41" s="2">
        <v>5040417</v>
      </c>
      <c r="B41" s="29">
        <v>13.81</v>
      </c>
      <c r="C41" s="2" t="s">
        <v>362</v>
      </c>
    </row>
    <row r="42" spans="1:3" x14ac:dyDescent="0.3">
      <c r="A42" s="2">
        <v>5039390</v>
      </c>
      <c r="B42" s="29">
        <v>13.72</v>
      </c>
      <c r="C42" s="2" t="s">
        <v>368</v>
      </c>
    </row>
    <row r="43" spans="1:3" x14ac:dyDescent="0.3">
      <c r="A43" s="2">
        <v>5040169</v>
      </c>
      <c r="B43" s="29">
        <v>13.66</v>
      </c>
      <c r="C43" s="2" t="s">
        <v>143</v>
      </c>
    </row>
    <row r="44" spans="1:3" x14ac:dyDescent="0.3">
      <c r="A44" s="2">
        <v>5042963</v>
      </c>
      <c r="B44" s="29">
        <v>13.65</v>
      </c>
      <c r="C44" s="2" t="s">
        <v>259</v>
      </c>
    </row>
    <row r="45" spans="1:3" x14ac:dyDescent="0.3">
      <c r="A45" s="2">
        <v>5098467</v>
      </c>
      <c r="B45" s="29">
        <v>13.38</v>
      </c>
      <c r="C45" s="2" t="s">
        <v>136</v>
      </c>
    </row>
    <row r="46" spans="1:3" x14ac:dyDescent="0.3">
      <c r="A46" s="2">
        <v>5038892</v>
      </c>
      <c r="B46" s="29">
        <v>13.38</v>
      </c>
      <c r="C46" s="2" t="s">
        <v>255</v>
      </c>
    </row>
    <row r="47" spans="1:3" x14ac:dyDescent="0.3">
      <c r="A47" s="2">
        <v>5144835</v>
      </c>
      <c r="B47" s="29">
        <v>13.38</v>
      </c>
      <c r="C47" s="2" t="s">
        <v>291</v>
      </c>
    </row>
    <row r="48" spans="1:3" x14ac:dyDescent="0.3">
      <c r="A48" s="2">
        <v>5972790</v>
      </c>
      <c r="B48" s="29">
        <v>13.37</v>
      </c>
      <c r="C48" s="2" t="s">
        <v>103</v>
      </c>
    </row>
    <row r="49" spans="1:3" x14ac:dyDescent="0.3">
      <c r="A49" s="2">
        <v>5932857</v>
      </c>
      <c r="B49" s="29">
        <v>13.35</v>
      </c>
      <c r="C49" s="2" t="s">
        <v>214</v>
      </c>
    </row>
    <row r="50" spans="1:3" x14ac:dyDescent="0.3">
      <c r="A50" s="2">
        <v>6042555</v>
      </c>
      <c r="B50" s="29">
        <v>13.33</v>
      </c>
      <c r="C50" s="2" t="s">
        <v>219</v>
      </c>
    </row>
    <row r="51" spans="1:3" x14ac:dyDescent="0.3">
      <c r="A51" s="2">
        <v>5039869</v>
      </c>
      <c r="B51" s="29">
        <v>13.33</v>
      </c>
      <c r="C51" s="2" t="s">
        <v>316</v>
      </c>
    </row>
    <row r="52" spans="1:3" x14ac:dyDescent="0.3">
      <c r="A52" s="2">
        <v>5039560</v>
      </c>
      <c r="B52" s="29">
        <v>13.21</v>
      </c>
      <c r="C52" s="2" t="s">
        <v>341</v>
      </c>
    </row>
    <row r="53" spans="1:3" x14ac:dyDescent="0.3">
      <c r="A53" s="2">
        <v>5052828</v>
      </c>
      <c r="B53" s="29">
        <v>13.08</v>
      </c>
      <c r="C53" s="2" t="s">
        <v>236</v>
      </c>
    </row>
    <row r="54" spans="1:3" x14ac:dyDescent="0.3">
      <c r="A54" s="2">
        <v>5040663</v>
      </c>
      <c r="B54" s="29">
        <v>13.07</v>
      </c>
      <c r="C54" s="2" t="s">
        <v>381</v>
      </c>
    </row>
    <row r="55" spans="1:3" x14ac:dyDescent="0.3">
      <c r="A55" s="2">
        <v>5040011</v>
      </c>
      <c r="B55" s="29">
        <v>13.03</v>
      </c>
      <c r="C55" s="2" t="s">
        <v>322</v>
      </c>
    </row>
    <row r="56" spans="1:3" x14ac:dyDescent="0.3">
      <c r="A56" s="2">
        <v>5945188</v>
      </c>
      <c r="B56" s="29">
        <v>12.99</v>
      </c>
      <c r="C56" s="2" t="s">
        <v>139</v>
      </c>
    </row>
    <row r="57" spans="1:3" x14ac:dyDescent="0.3">
      <c r="A57" s="2">
        <v>5941723</v>
      </c>
      <c r="B57" s="29">
        <v>12.99</v>
      </c>
      <c r="C57" s="2" t="s">
        <v>148</v>
      </c>
    </row>
    <row r="58" spans="1:3" x14ac:dyDescent="0.3">
      <c r="A58" s="2">
        <v>5135562</v>
      </c>
      <c r="B58" s="29">
        <v>12.99</v>
      </c>
      <c r="C58" s="2" t="s">
        <v>312</v>
      </c>
    </row>
    <row r="59" spans="1:3" x14ac:dyDescent="0.3">
      <c r="A59" s="2">
        <v>5059484</v>
      </c>
      <c r="B59" s="29">
        <v>12.99</v>
      </c>
      <c r="C59" s="2" t="s">
        <v>333</v>
      </c>
    </row>
    <row r="60" spans="1:3" x14ac:dyDescent="0.3">
      <c r="A60" s="2">
        <v>5042127</v>
      </c>
      <c r="B60" s="29">
        <v>12.98</v>
      </c>
      <c r="C60" s="2" t="s">
        <v>201</v>
      </c>
    </row>
    <row r="61" spans="1:3" x14ac:dyDescent="0.3">
      <c r="A61" s="2">
        <v>5038224</v>
      </c>
      <c r="B61" s="29">
        <v>12.97</v>
      </c>
      <c r="C61" s="2" t="s">
        <v>122</v>
      </c>
    </row>
    <row r="62" spans="1:3" x14ac:dyDescent="0.3">
      <c r="A62" s="2">
        <v>6038806</v>
      </c>
      <c r="B62" s="29">
        <v>12.92</v>
      </c>
      <c r="C62" s="2" t="s">
        <v>176</v>
      </c>
    </row>
    <row r="63" spans="1:3" x14ac:dyDescent="0.3">
      <c r="A63" s="2">
        <v>5040573</v>
      </c>
      <c r="B63" s="29">
        <v>12.82</v>
      </c>
      <c r="C63" s="2" t="s">
        <v>163</v>
      </c>
    </row>
    <row r="64" spans="1:3" x14ac:dyDescent="0.3">
      <c r="A64" s="2">
        <v>5036057</v>
      </c>
      <c r="B64" s="29">
        <v>12.76</v>
      </c>
      <c r="C64" s="2" t="s">
        <v>232</v>
      </c>
    </row>
    <row r="65" spans="1:3" x14ac:dyDescent="0.3">
      <c r="A65" s="2">
        <v>5108591</v>
      </c>
      <c r="B65" s="29">
        <v>12.74</v>
      </c>
      <c r="C65" s="2" t="s">
        <v>110</v>
      </c>
    </row>
    <row r="66" spans="1:3" x14ac:dyDescent="0.3">
      <c r="A66" s="2">
        <v>5038795</v>
      </c>
      <c r="B66" s="29">
        <v>12.7</v>
      </c>
      <c r="C66" s="2" t="s">
        <v>207</v>
      </c>
    </row>
    <row r="67" spans="1:3" x14ac:dyDescent="0.3">
      <c r="A67" s="2">
        <v>6080925</v>
      </c>
      <c r="B67" s="29">
        <v>12.5</v>
      </c>
      <c r="C67" s="2" t="s">
        <v>215</v>
      </c>
    </row>
    <row r="68" spans="1:3" x14ac:dyDescent="0.3">
      <c r="A68" s="2">
        <v>5038990</v>
      </c>
      <c r="B68" s="29">
        <v>12.49</v>
      </c>
      <c r="C68" s="2" t="s">
        <v>152</v>
      </c>
    </row>
    <row r="69" spans="1:3" x14ac:dyDescent="0.3">
      <c r="A69" s="2">
        <v>5154678</v>
      </c>
      <c r="B69" s="29">
        <v>12.48</v>
      </c>
      <c r="C69" s="2" t="s">
        <v>271</v>
      </c>
    </row>
    <row r="70" spans="1:3" x14ac:dyDescent="0.3">
      <c r="A70" s="2">
        <v>5941729</v>
      </c>
      <c r="B70" s="29">
        <v>12.44</v>
      </c>
      <c r="C70" s="2" t="s">
        <v>184</v>
      </c>
    </row>
    <row r="71" spans="1:3" x14ac:dyDescent="0.3">
      <c r="A71" s="2">
        <v>6036729</v>
      </c>
      <c r="B71" s="29">
        <v>12.4</v>
      </c>
      <c r="C71" s="2" t="s">
        <v>352</v>
      </c>
    </row>
    <row r="72" spans="1:3" x14ac:dyDescent="0.3">
      <c r="A72" s="2">
        <v>6031774</v>
      </c>
      <c r="B72" s="29">
        <v>12.3</v>
      </c>
      <c r="C72" s="2" t="s">
        <v>302</v>
      </c>
    </row>
    <row r="73" spans="1:3" x14ac:dyDescent="0.3">
      <c r="A73" s="2">
        <v>5039605</v>
      </c>
      <c r="B73" s="29">
        <v>12.3</v>
      </c>
      <c r="C73" s="2" t="s">
        <v>306</v>
      </c>
    </row>
    <row r="74" spans="1:3" x14ac:dyDescent="0.3">
      <c r="A74" s="2">
        <v>6031280</v>
      </c>
      <c r="B74" s="29">
        <v>12.3</v>
      </c>
      <c r="C74" s="2" t="s">
        <v>349</v>
      </c>
    </row>
    <row r="75" spans="1:3" x14ac:dyDescent="0.3">
      <c r="A75" s="2">
        <v>5936770</v>
      </c>
      <c r="B75" s="29">
        <v>12.3</v>
      </c>
      <c r="C75" s="2" t="s">
        <v>366</v>
      </c>
    </row>
    <row r="76" spans="1:3" x14ac:dyDescent="0.3">
      <c r="A76" s="2">
        <v>5040556</v>
      </c>
      <c r="B76" s="29">
        <v>12.26</v>
      </c>
      <c r="C76" s="2" t="s">
        <v>213</v>
      </c>
    </row>
    <row r="77" spans="1:3" x14ac:dyDescent="0.3">
      <c r="A77" s="2">
        <v>5062249</v>
      </c>
      <c r="B77" s="29">
        <v>12.23</v>
      </c>
      <c r="C77" s="2" t="s">
        <v>410</v>
      </c>
    </row>
    <row r="78" spans="1:3" x14ac:dyDescent="0.3">
      <c r="A78" s="2">
        <v>5039594</v>
      </c>
      <c r="B78" s="29">
        <v>12.2</v>
      </c>
      <c r="C78" s="2" t="s">
        <v>313</v>
      </c>
    </row>
    <row r="79" spans="1:3" x14ac:dyDescent="0.3">
      <c r="A79" s="2">
        <v>5051286</v>
      </c>
      <c r="B79" s="29">
        <v>12.15</v>
      </c>
      <c r="C79" s="2" t="s">
        <v>328</v>
      </c>
    </row>
    <row r="80" spans="1:3" x14ac:dyDescent="0.3">
      <c r="A80" s="2">
        <v>5039423</v>
      </c>
      <c r="B80" s="29">
        <v>12.15</v>
      </c>
      <c r="C80" s="2" t="s">
        <v>377</v>
      </c>
    </row>
    <row r="81" spans="1:3" x14ac:dyDescent="0.3">
      <c r="A81" s="2">
        <v>5039969</v>
      </c>
      <c r="B81" s="29">
        <v>12.15</v>
      </c>
      <c r="C81" s="2" t="s">
        <v>391</v>
      </c>
    </row>
    <row r="82" spans="1:3" x14ac:dyDescent="0.3">
      <c r="A82" s="2">
        <v>5011524</v>
      </c>
      <c r="B82" s="29">
        <v>12.1</v>
      </c>
      <c r="C82" s="2" t="s">
        <v>118</v>
      </c>
    </row>
    <row r="83" spans="1:3" x14ac:dyDescent="0.3">
      <c r="A83" s="2">
        <v>5039878</v>
      </c>
      <c r="B83" s="29">
        <v>12.03</v>
      </c>
      <c r="C83" s="2" t="s">
        <v>409</v>
      </c>
    </row>
    <row r="84" spans="1:3" x14ac:dyDescent="0.3">
      <c r="A84" s="2">
        <v>6089970</v>
      </c>
      <c r="B84" s="29">
        <v>12</v>
      </c>
      <c r="C84" s="2" t="s">
        <v>224</v>
      </c>
    </row>
    <row r="85" spans="1:3" x14ac:dyDescent="0.3">
      <c r="A85" s="2">
        <v>5108699</v>
      </c>
      <c r="B85" s="29">
        <v>11.98</v>
      </c>
      <c r="C85" s="2" t="s">
        <v>178</v>
      </c>
    </row>
    <row r="86" spans="1:3" x14ac:dyDescent="0.3">
      <c r="A86" s="2">
        <v>5053178</v>
      </c>
      <c r="B86" s="29">
        <v>11.98</v>
      </c>
      <c r="C86" s="2" t="s">
        <v>296</v>
      </c>
    </row>
    <row r="87" spans="1:3" x14ac:dyDescent="0.3">
      <c r="A87" s="2">
        <v>5039904</v>
      </c>
      <c r="B87" s="29">
        <v>11.94</v>
      </c>
      <c r="C87" s="2" t="s">
        <v>327</v>
      </c>
    </row>
    <row r="88" spans="1:3" x14ac:dyDescent="0.3">
      <c r="A88" s="2">
        <v>5039388</v>
      </c>
      <c r="B88" s="29">
        <v>11.91</v>
      </c>
      <c r="C88" s="2" t="s">
        <v>237</v>
      </c>
    </row>
    <row r="89" spans="1:3" x14ac:dyDescent="0.3">
      <c r="A89" s="2">
        <v>5939189</v>
      </c>
      <c r="B89" s="29">
        <v>11.91</v>
      </c>
      <c r="C89" s="2" t="s">
        <v>334</v>
      </c>
    </row>
    <row r="90" spans="1:3" x14ac:dyDescent="0.3">
      <c r="A90" s="2">
        <v>5994627</v>
      </c>
      <c r="B90" s="29">
        <v>11.9</v>
      </c>
      <c r="C90" s="2" t="s">
        <v>181</v>
      </c>
    </row>
    <row r="91" spans="1:3" x14ac:dyDescent="0.3">
      <c r="A91" s="2">
        <v>5032724</v>
      </c>
      <c r="B91" s="29">
        <v>11.85</v>
      </c>
      <c r="C91" s="2" t="s">
        <v>253</v>
      </c>
    </row>
    <row r="92" spans="1:3" x14ac:dyDescent="0.3">
      <c r="A92" s="2">
        <v>5122845</v>
      </c>
      <c r="B92" s="29">
        <v>11.85</v>
      </c>
      <c r="C92" s="2" t="s">
        <v>267</v>
      </c>
    </row>
    <row r="93" spans="1:3" x14ac:dyDescent="0.3">
      <c r="A93" s="2">
        <v>5140905</v>
      </c>
      <c r="B93" s="29">
        <v>11.85</v>
      </c>
      <c r="C93" s="2" t="s">
        <v>285</v>
      </c>
    </row>
    <row r="94" spans="1:3" x14ac:dyDescent="0.3">
      <c r="A94" s="2">
        <v>6002817</v>
      </c>
      <c r="B94" s="29">
        <v>11.85</v>
      </c>
      <c r="C94" s="2" t="s">
        <v>386</v>
      </c>
    </row>
    <row r="95" spans="1:3" x14ac:dyDescent="0.3">
      <c r="A95" s="2">
        <v>6023598</v>
      </c>
      <c r="B95" s="29">
        <v>11.85</v>
      </c>
      <c r="C95" s="2" t="s">
        <v>398</v>
      </c>
    </row>
    <row r="96" spans="1:3" x14ac:dyDescent="0.3">
      <c r="A96" s="2">
        <v>6048771</v>
      </c>
      <c r="B96" s="29">
        <v>11.85</v>
      </c>
      <c r="C96" s="2" t="s">
        <v>406</v>
      </c>
    </row>
    <row r="97" spans="1:3" x14ac:dyDescent="0.3">
      <c r="A97" s="2">
        <v>6054217</v>
      </c>
      <c r="B97" s="29">
        <v>11.79</v>
      </c>
      <c r="C97" s="2" t="s">
        <v>370</v>
      </c>
    </row>
    <row r="98" spans="1:3" x14ac:dyDescent="0.3">
      <c r="A98" s="2">
        <v>5065937</v>
      </c>
      <c r="B98" s="29">
        <v>11.71</v>
      </c>
      <c r="C98" s="2" t="s">
        <v>196</v>
      </c>
    </row>
    <row r="99" spans="1:3" x14ac:dyDescent="0.3">
      <c r="A99" s="2">
        <v>5038683</v>
      </c>
      <c r="B99" s="29">
        <v>11.57</v>
      </c>
      <c r="C99" s="2" t="s">
        <v>261</v>
      </c>
    </row>
    <row r="100" spans="1:3" x14ac:dyDescent="0.3">
      <c r="A100" s="2">
        <v>6090062</v>
      </c>
      <c r="B100" s="29">
        <v>11.5</v>
      </c>
      <c r="C100" s="2" t="s">
        <v>338</v>
      </c>
    </row>
    <row r="101" spans="1:3" x14ac:dyDescent="0.3">
      <c r="A101" s="2">
        <v>6090080</v>
      </c>
      <c r="B101" s="29">
        <v>11.5</v>
      </c>
      <c r="C101" s="2" t="s">
        <v>340</v>
      </c>
    </row>
    <row r="102" spans="1:3" x14ac:dyDescent="0.3">
      <c r="A102" s="2">
        <v>5039538</v>
      </c>
      <c r="B102" s="29">
        <v>11.47</v>
      </c>
      <c r="C102" s="2" t="s">
        <v>206</v>
      </c>
    </row>
    <row r="103" spans="1:3" x14ac:dyDescent="0.3">
      <c r="A103" s="2">
        <v>5100978</v>
      </c>
      <c r="B103" s="29">
        <v>11.47</v>
      </c>
      <c r="C103" s="2" t="s">
        <v>243</v>
      </c>
    </row>
    <row r="104" spans="1:3" x14ac:dyDescent="0.3">
      <c r="A104" s="2">
        <v>5108652</v>
      </c>
      <c r="B104" s="29">
        <v>11.41</v>
      </c>
      <c r="C104" s="2" t="s">
        <v>179</v>
      </c>
    </row>
    <row r="105" spans="1:3" x14ac:dyDescent="0.3">
      <c r="A105" s="2">
        <v>5040342</v>
      </c>
      <c r="B105" s="29">
        <v>11.41</v>
      </c>
      <c r="C105" s="2" t="s">
        <v>376</v>
      </c>
    </row>
    <row r="106" spans="1:3" x14ac:dyDescent="0.3">
      <c r="A106" s="2">
        <v>5950839</v>
      </c>
      <c r="B106" s="29">
        <v>11.4</v>
      </c>
      <c r="C106" s="2" t="s">
        <v>160</v>
      </c>
    </row>
    <row r="107" spans="1:3" x14ac:dyDescent="0.3">
      <c r="A107" s="2">
        <v>5040006</v>
      </c>
      <c r="B107" s="29">
        <v>11.4</v>
      </c>
      <c r="C107" s="2" t="s">
        <v>260</v>
      </c>
    </row>
    <row r="108" spans="1:3" x14ac:dyDescent="0.3">
      <c r="A108" s="2">
        <v>5039346</v>
      </c>
      <c r="B108" s="29">
        <v>11.39</v>
      </c>
      <c r="C108" s="2" t="s">
        <v>151</v>
      </c>
    </row>
    <row r="109" spans="1:3" x14ac:dyDescent="0.3">
      <c r="A109" s="2">
        <v>5041146</v>
      </c>
      <c r="B109" s="29">
        <v>11.36</v>
      </c>
      <c r="C109" s="2" t="s">
        <v>330</v>
      </c>
    </row>
    <row r="110" spans="1:3" x14ac:dyDescent="0.3">
      <c r="A110" s="2">
        <v>5108151</v>
      </c>
      <c r="B110" s="29">
        <v>11.35</v>
      </c>
      <c r="C110" s="2" t="s">
        <v>173</v>
      </c>
    </row>
    <row r="111" spans="1:3" x14ac:dyDescent="0.3">
      <c r="A111" s="2">
        <v>6014725</v>
      </c>
      <c r="B111" s="29">
        <v>11.35</v>
      </c>
      <c r="C111" s="2" t="s">
        <v>187</v>
      </c>
    </row>
    <row r="112" spans="1:3" x14ac:dyDescent="0.3">
      <c r="A112" s="2">
        <v>5039806</v>
      </c>
      <c r="B112" s="29">
        <v>11.28</v>
      </c>
      <c r="C112" s="2" t="s">
        <v>120</v>
      </c>
    </row>
    <row r="113" spans="1:3" x14ac:dyDescent="0.3">
      <c r="A113" s="2">
        <v>5040323</v>
      </c>
      <c r="B113" s="29">
        <v>11.28</v>
      </c>
      <c r="C113" s="2" t="s">
        <v>264</v>
      </c>
    </row>
    <row r="114" spans="1:3" x14ac:dyDescent="0.3">
      <c r="A114" s="2">
        <v>5063355</v>
      </c>
      <c r="B114" s="29">
        <v>11.28</v>
      </c>
      <c r="C114" s="2" t="s">
        <v>286</v>
      </c>
    </row>
    <row r="115" spans="1:3" x14ac:dyDescent="0.3">
      <c r="A115" s="2">
        <v>5040465</v>
      </c>
      <c r="B115" s="29">
        <v>11.25</v>
      </c>
      <c r="C115" s="2" t="s">
        <v>150</v>
      </c>
    </row>
    <row r="116" spans="1:3" x14ac:dyDescent="0.3">
      <c r="A116" s="2">
        <v>5039790</v>
      </c>
      <c r="B116" s="29">
        <v>11.24</v>
      </c>
      <c r="C116" s="2" t="s">
        <v>137</v>
      </c>
    </row>
    <row r="117" spans="1:3" x14ac:dyDescent="0.3">
      <c r="A117" s="2">
        <v>5038564</v>
      </c>
      <c r="B117" s="29">
        <v>11.24</v>
      </c>
      <c r="C117" s="2" t="s">
        <v>156</v>
      </c>
    </row>
    <row r="118" spans="1:3" x14ac:dyDescent="0.3">
      <c r="A118" s="2">
        <v>5039324</v>
      </c>
      <c r="B118" s="29">
        <v>11.24</v>
      </c>
      <c r="C118" s="2" t="s">
        <v>190</v>
      </c>
    </row>
    <row r="119" spans="1:3" x14ac:dyDescent="0.3">
      <c r="A119" s="2">
        <v>5039128</v>
      </c>
      <c r="B119" s="29">
        <v>11.24</v>
      </c>
      <c r="C119" s="2" t="s">
        <v>367</v>
      </c>
    </row>
    <row r="120" spans="1:3" x14ac:dyDescent="0.3">
      <c r="A120" s="2">
        <v>5038822</v>
      </c>
      <c r="B120" s="29">
        <v>11.24</v>
      </c>
      <c r="C120" s="2" t="s">
        <v>372</v>
      </c>
    </row>
    <row r="121" spans="1:3" x14ac:dyDescent="0.3">
      <c r="A121" s="2">
        <v>5038631</v>
      </c>
      <c r="B121" s="29">
        <v>11.24</v>
      </c>
      <c r="C121" s="2" t="s">
        <v>393</v>
      </c>
    </row>
    <row r="122" spans="1:3" x14ac:dyDescent="0.3">
      <c r="A122" s="2">
        <v>5108687</v>
      </c>
      <c r="B122" s="29">
        <v>11.24</v>
      </c>
      <c r="C122" s="2" t="s">
        <v>404</v>
      </c>
    </row>
    <row r="123" spans="1:3" x14ac:dyDescent="0.3">
      <c r="A123" s="2">
        <v>5040277</v>
      </c>
      <c r="B123" s="29">
        <v>11.23</v>
      </c>
      <c r="C123" s="2" t="s">
        <v>354</v>
      </c>
    </row>
    <row r="124" spans="1:3" x14ac:dyDescent="0.3">
      <c r="A124" s="2">
        <v>5010661</v>
      </c>
      <c r="B124" s="29">
        <v>11.19</v>
      </c>
      <c r="C124" s="2" t="s">
        <v>273</v>
      </c>
    </row>
    <row r="125" spans="1:3" x14ac:dyDescent="0.3">
      <c r="A125" s="2">
        <v>5066846</v>
      </c>
      <c r="B125" s="29">
        <v>11.18</v>
      </c>
      <c r="C125" s="2" t="s">
        <v>124</v>
      </c>
    </row>
    <row r="126" spans="1:3" x14ac:dyDescent="0.3">
      <c r="A126" s="2">
        <v>5039919</v>
      </c>
      <c r="B126" s="29">
        <v>11.16</v>
      </c>
      <c r="C126" s="2" t="s">
        <v>217</v>
      </c>
    </row>
    <row r="127" spans="1:3" x14ac:dyDescent="0.3">
      <c r="A127" s="2">
        <v>5039202</v>
      </c>
      <c r="B127" s="29">
        <v>11.16</v>
      </c>
      <c r="C127" s="2" t="s">
        <v>241</v>
      </c>
    </row>
    <row r="128" spans="1:3" x14ac:dyDescent="0.3">
      <c r="A128" s="2">
        <v>6017213</v>
      </c>
      <c r="B128" s="29">
        <v>11.15</v>
      </c>
      <c r="C128" s="2" t="s">
        <v>276</v>
      </c>
    </row>
    <row r="129" spans="1:3" x14ac:dyDescent="0.3">
      <c r="A129" s="2">
        <v>5945178</v>
      </c>
      <c r="B129" s="29">
        <v>11.14</v>
      </c>
      <c r="C129" s="2" t="s">
        <v>116</v>
      </c>
    </row>
    <row r="130" spans="1:3" x14ac:dyDescent="0.3">
      <c r="A130" s="2">
        <v>5039970</v>
      </c>
      <c r="B130" s="29">
        <v>11.14</v>
      </c>
      <c r="C130" s="2" t="s">
        <v>127</v>
      </c>
    </row>
    <row r="131" spans="1:3" x14ac:dyDescent="0.3">
      <c r="A131" s="2">
        <v>5013675</v>
      </c>
      <c r="B131" s="29">
        <v>11.14</v>
      </c>
      <c r="C131" s="2" t="s">
        <v>130</v>
      </c>
    </row>
    <row r="132" spans="1:3" x14ac:dyDescent="0.3">
      <c r="A132" s="2">
        <v>5040545</v>
      </c>
      <c r="B132" s="29">
        <v>11.14</v>
      </c>
      <c r="C132" s="2" t="s">
        <v>131</v>
      </c>
    </row>
    <row r="133" spans="1:3" x14ac:dyDescent="0.3">
      <c r="A133" s="2">
        <v>5063145</v>
      </c>
      <c r="B133" s="29">
        <v>11.14</v>
      </c>
      <c r="C133" s="2" t="s">
        <v>135</v>
      </c>
    </row>
    <row r="134" spans="1:3" x14ac:dyDescent="0.3">
      <c r="A134" s="2">
        <v>5159581</v>
      </c>
      <c r="B134" s="29">
        <v>11.14</v>
      </c>
      <c r="C134" s="2" t="s">
        <v>138</v>
      </c>
    </row>
    <row r="135" spans="1:3" x14ac:dyDescent="0.3">
      <c r="A135" s="2">
        <v>5040261</v>
      </c>
      <c r="B135" s="29">
        <v>11.14</v>
      </c>
      <c r="C135" s="2" t="s">
        <v>141</v>
      </c>
    </row>
    <row r="136" spans="1:3" x14ac:dyDescent="0.3">
      <c r="A136" s="2">
        <v>5036204</v>
      </c>
      <c r="B136" s="29">
        <v>11.14</v>
      </c>
      <c r="C136" s="2" t="s">
        <v>149</v>
      </c>
    </row>
    <row r="137" spans="1:3" x14ac:dyDescent="0.3">
      <c r="A137" s="2">
        <v>5040650</v>
      </c>
      <c r="B137" s="29">
        <v>11.14</v>
      </c>
      <c r="C137" s="2" t="s">
        <v>158</v>
      </c>
    </row>
    <row r="138" spans="1:3" x14ac:dyDescent="0.3">
      <c r="A138" s="2">
        <v>5108627</v>
      </c>
      <c r="B138" s="29">
        <v>11.14</v>
      </c>
      <c r="C138" s="2" t="s">
        <v>161</v>
      </c>
    </row>
    <row r="139" spans="1:3" x14ac:dyDescent="0.3">
      <c r="A139" s="2">
        <v>5057021</v>
      </c>
      <c r="B139" s="29">
        <v>11.14</v>
      </c>
      <c r="C139" s="2" t="s">
        <v>165</v>
      </c>
    </row>
    <row r="140" spans="1:3" x14ac:dyDescent="0.3">
      <c r="A140" s="2">
        <v>5031890</v>
      </c>
      <c r="B140" s="29">
        <v>11.14</v>
      </c>
      <c r="C140" s="2" t="s">
        <v>169</v>
      </c>
    </row>
    <row r="141" spans="1:3" x14ac:dyDescent="0.3">
      <c r="A141" s="2">
        <v>5048618</v>
      </c>
      <c r="B141" s="29">
        <v>11.14</v>
      </c>
      <c r="C141" s="2" t="s">
        <v>170</v>
      </c>
    </row>
    <row r="142" spans="1:3" x14ac:dyDescent="0.3">
      <c r="A142" s="2">
        <v>5066181</v>
      </c>
      <c r="B142" s="29">
        <v>11.14</v>
      </c>
      <c r="C142" s="2" t="s">
        <v>182</v>
      </c>
    </row>
    <row r="143" spans="1:3" x14ac:dyDescent="0.3">
      <c r="A143" s="2">
        <v>5039501</v>
      </c>
      <c r="B143" s="29">
        <v>11.14</v>
      </c>
      <c r="C143" s="2" t="s">
        <v>185</v>
      </c>
    </row>
    <row r="144" spans="1:3" x14ac:dyDescent="0.3">
      <c r="A144" s="2">
        <v>5122965</v>
      </c>
      <c r="B144" s="29">
        <v>11.14</v>
      </c>
      <c r="C144" s="2" t="s">
        <v>188</v>
      </c>
    </row>
    <row r="145" spans="1:3" x14ac:dyDescent="0.3">
      <c r="A145" s="2">
        <v>5040279</v>
      </c>
      <c r="B145" s="29">
        <v>11.14</v>
      </c>
      <c r="C145" s="2" t="s">
        <v>189</v>
      </c>
    </row>
    <row r="146" spans="1:3" x14ac:dyDescent="0.3">
      <c r="A146" s="2">
        <v>5165774</v>
      </c>
      <c r="B146" s="29">
        <v>11.14</v>
      </c>
      <c r="C146" s="2" t="s">
        <v>200</v>
      </c>
    </row>
    <row r="147" spans="1:3" x14ac:dyDescent="0.3">
      <c r="A147" s="2">
        <v>5039967</v>
      </c>
      <c r="B147" s="29">
        <v>11.14</v>
      </c>
      <c r="C147" s="2" t="s">
        <v>211</v>
      </c>
    </row>
    <row r="148" spans="1:3" x14ac:dyDescent="0.3">
      <c r="A148" s="2">
        <v>5034768</v>
      </c>
      <c r="B148" s="29">
        <v>11.14</v>
      </c>
      <c r="C148" s="2" t="s">
        <v>235</v>
      </c>
    </row>
    <row r="149" spans="1:3" x14ac:dyDescent="0.3">
      <c r="A149" s="2">
        <v>5039824</v>
      </c>
      <c r="B149" s="29">
        <v>11.14</v>
      </c>
      <c r="C149" s="2" t="s">
        <v>242</v>
      </c>
    </row>
    <row r="150" spans="1:3" x14ac:dyDescent="0.3">
      <c r="A150" s="2">
        <v>5145013</v>
      </c>
      <c r="B150" s="29">
        <v>11.14</v>
      </c>
      <c r="C150" s="2" t="s">
        <v>248</v>
      </c>
    </row>
    <row r="151" spans="1:3" x14ac:dyDescent="0.3">
      <c r="A151" s="2">
        <v>5040543</v>
      </c>
      <c r="B151" s="29">
        <v>11.14</v>
      </c>
      <c r="C151" s="2" t="s">
        <v>251</v>
      </c>
    </row>
    <row r="152" spans="1:3" x14ac:dyDescent="0.3">
      <c r="A152" s="2">
        <v>5039665</v>
      </c>
      <c r="B152" s="29">
        <v>11.14</v>
      </c>
      <c r="C152" s="2" t="s">
        <v>257</v>
      </c>
    </row>
    <row r="153" spans="1:3" x14ac:dyDescent="0.3">
      <c r="A153" s="2">
        <v>5038937</v>
      </c>
      <c r="B153" s="29">
        <v>11.14</v>
      </c>
      <c r="C153" s="2" t="s">
        <v>258</v>
      </c>
    </row>
    <row r="154" spans="1:3" x14ac:dyDescent="0.3">
      <c r="A154" s="2">
        <v>5108594</v>
      </c>
      <c r="B154" s="29">
        <v>11.14</v>
      </c>
      <c r="C154" s="2" t="s">
        <v>268</v>
      </c>
    </row>
    <row r="155" spans="1:3" x14ac:dyDescent="0.3">
      <c r="A155" s="2">
        <v>5038707</v>
      </c>
      <c r="B155" s="29">
        <v>11.14</v>
      </c>
      <c r="C155" s="2" t="s">
        <v>269</v>
      </c>
    </row>
    <row r="156" spans="1:3" x14ac:dyDescent="0.3">
      <c r="A156" s="2">
        <v>5923636</v>
      </c>
      <c r="B156" s="29">
        <v>11.14</v>
      </c>
      <c r="C156" s="2" t="s">
        <v>275</v>
      </c>
    </row>
    <row r="157" spans="1:3" x14ac:dyDescent="0.3">
      <c r="A157" s="2">
        <v>5154970</v>
      </c>
      <c r="B157" s="29">
        <v>11.14</v>
      </c>
      <c r="C157" s="2" t="s">
        <v>277</v>
      </c>
    </row>
    <row r="158" spans="1:3" x14ac:dyDescent="0.3">
      <c r="A158" s="2">
        <v>5040139</v>
      </c>
      <c r="B158" s="29">
        <v>11.14</v>
      </c>
      <c r="C158" s="2" t="s">
        <v>278</v>
      </c>
    </row>
    <row r="159" spans="1:3" x14ac:dyDescent="0.3">
      <c r="A159" s="2">
        <v>5040339</v>
      </c>
      <c r="B159" s="29">
        <v>11.14</v>
      </c>
      <c r="C159" s="2" t="s">
        <v>283</v>
      </c>
    </row>
    <row r="160" spans="1:3" x14ac:dyDescent="0.3">
      <c r="A160" s="2">
        <v>5063924</v>
      </c>
      <c r="B160" s="29">
        <v>11.14</v>
      </c>
      <c r="C160" s="2" t="s">
        <v>284</v>
      </c>
    </row>
    <row r="161" spans="1:3" x14ac:dyDescent="0.3">
      <c r="A161" s="2">
        <v>5040786</v>
      </c>
      <c r="B161" s="29">
        <v>11.14</v>
      </c>
      <c r="C161" s="2" t="s">
        <v>295</v>
      </c>
    </row>
    <row r="162" spans="1:3" x14ac:dyDescent="0.3">
      <c r="A162" s="2">
        <v>5042165</v>
      </c>
      <c r="B162" s="29">
        <v>11.14</v>
      </c>
      <c r="C162" s="2" t="s">
        <v>300</v>
      </c>
    </row>
    <row r="163" spans="1:3" x14ac:dyDescent="0.3">
      <c r="A163" s="2">
        <v>5039120</v>
      </c>
      <c r="B163" s="29">
        <v>11.14</v>
      </c>
      <c r="C163" s="2" t="s">
        <v>304</v>
      </c>
    </row>
    <row r="164" spans="1:3" x14ac:dyDescent="0.3">
      <c r="A164" s="2">
        <v>5038855</v>
      </c>
      <c r="B164" s="29">
        <v>11.14</v>
      </c>
      <c r="C164" s="2" t="s">
        <v>307</v>
      </c>
    </row>
    <row r="165" spans="1:3" x14ac:dyDescent="0.3">
      <c r="A165" s="2">
        <v>5019734</v>
      </c>
      <c r="B165" s="29">
        <v>11.14</v>
      </c>
      <c r="C165" s="2" t="s">
        <v>308</v>
      </c>
    </row>
    <row r="166" spans="1:3" x14ac:dyDescent="0.3">
      <c r="A166" s="2">
        <v>5039167</v>
      </c>
      <c r="B166" s="29">
        <v>11.14</v>
      </c>
      <c r="C166" s="2" t="s">
        <v>319</v>
      </c>
    </row>
    <row r="167" spans="1:3" x14ac:dyDescent="0.3">
      <c r="A167" s="2">
        <v>5086439</v>
      </c>
      <c r="B167" s="29">
        <v>11.14</v>
      </c>
      <c r="C167" s="2" t="s">
        <v>321</v>
      </c>
    </row>
    <row r="168" spans="1:3" x14ac:dyDescent="0.3">
      <c r="A168" s="2">
        <v>5164020</v>
      </c>
      <c r="B168" s="29">
        <v>11.14</v>
      </c>
      <c r="C168" s="2" t="s">
        <v>332</v>
      </c>
    </row>
    <row r="169" spans="1:3" x14ac:dyDescent="0.3">
      <c r="A169" s="2">
        <v>5014063</v>
      </c>
      <c r="B169" s="29">
        <v>11.14</v>
      </c>
      <c r="C169" s="2" t="s">
        <v>346</v>
      </c>
    </row>
    <row r="170" spans="1:3" x14ac:dyDescent="0.3">
      <c r="A170" s="2">
        <v>5145051</v>
      </c>
      <c r="B170" s="29">
        <v>11.14</v>
      </c>
      <c r="C170" s="2" t="s">
        <v>347</v>
      </c>
    </row>
    <row r="171" spans="1:3" x14ac:dyDescent="0.3">
      <c r="A171" s="2">
        <v>5180528</v>
      </c>
      <c r="B171" s="29">
        <v>11.14</v>
      </c>
      <c r="C171" s="2" t="s">
        <v>350</v>
      </c>
    </row>
    <row r="172" spans="1:3" x14ac:dyDescent="0.3">
      <c r="A172" s="2">
        <v>5041931</v>
      </c>
      <c r="B172" s="29">
        <v>11.14</v>
      </c>
      <c r="C172" s="2" t="s">
        <v>356</v>
      </c>
    </row>
    <row r="173" spans="1:3" x14ac:dyDescent="0.3">
      <c r="A173" s="2">
        <v>5039682</v>
      </c>
      <c r="B173" s="29">
        <v>11.14</v>
      </c>
      <c r="C173" s="2" t="s">
        <v>357</v>
      </c>
    </row>
    <row r="174" spans="1:3" x14ac:dyDescent="0.3">
      <c r="A174" s="2">
        <v>5040766</v>
      </c>
      <c r="B174" s="29">
        <v>11.14</v>
      </c>
      <c r="C174" s="2" t="s">
        <v>360</v>
      </c>
    </row>
    <row r="175" spans="1:3" x14ac:dyDescent="0.3">
      <c r="A175" s="2">
        <v>5020229</v>
      </c>
      <c r="B175" s="29">
        <v>11.14</v>
      </c>
      <c r="C175" s="2" t="s">
        <v>364</v>
      </c>
    </row>
    <row r="176" spans="1:3" x14ac:dyDescent="0.3">
      <c r="A176" s="2">
        <v>5039487</v>
      </c>
      <c r="B176" s="29">
        <v>11.14</v>
      </c>
      <c r="C176" s="2" t="s">
        <v>371</v>
      </c>
    </row>
    <row r="177" spans="1:3" x14ac:dyDescent="0.3">
      <c r="A177" s="2">
        <v>5038650</v>
      </c>
      <c r="B177" s="29">
        <v>11.14</v>
      </c>
      <c r="C177" s="2" t="s">
        <v>373</v>
      </c>
    </row>
    <row r="178" spans="1:3" x14ac:dyDescent="0.3">
      <c r="A178" s="2">
        <v>5052945</v>
      </c>
      <c r="B178" s="29">
        <v>11.14</v>
      </c>
      <c r="C178" s="2" t="s">
        <v>374</v>
      </c>
    </row>
    <row r="179" spans="1:3" x14ac:dyDescent="0.3">
      <c r="A179" s="2">
        <v>5038675</v>
      </c>
      <c r="B179" s="29">
        <v>11.14</v>
      </c>
      <c r="C179" s="2" t="s">
        <v>375</v>
      </c>
    </row>
    <row r="180" spans="1:3" x14ac:dyDescent="0.3">
      <c r="A180" s="2">
        <v>5178627</v>
      </c>
      <c r="B180" s="29">
        <v>11.14</v>
      </c>
      <c r="C180" s="2" t="s">
        <v>380</v>
      </c>
    </row>
    <row r="181" spans="1:3" x14ac:dyDescent="0.3">
      <c r="A181" s="2">
        <v>5039071</v>
      </c>
      <c r="B181" s="29">
        <v>11.14</v>
      </c>
      <c r="C181" s="2" t="s">
        <v>389</v>
      </c>
    </row>
    <row r="182" spans="1:3" x14ac:dyDescent="0.3">
      <c r="A182" s="2">
        <v>5038785</v>
      </c>
      <c r="B182" s="29">
        <v>11.14</v>
      </c>
      <c r="C182" s="2" t="s">
        <v>392</v>
      </c>
    </row>
    <row r="183" spans="1:3" x14ac:dyDescent="0.3">
      <c r="A183" s="2">
        <v>5144884</v>
      </c>
      <c r="B183" s="29">
        <v>11.14</v>
      </c>
      <c r="C183" s="2" t="s">
        <v>394</v>
      </c>
    </row>
    <row r="184" spans="1:3" x14ac:dyDescent="0.3">
      <c r="A184" s="2">
        <v>5038626</v>
      </c>
      <c r="B184" s="29">
        <v>11.14</v>
      </c>
      <c r="C184" s="2" t="s">
        <v>408</v>
      </c>
    </row>
    <row r="185" spans="1:3" x14ac:dyDescent="0.3">
      <c r="A185" s="2">
        <v>5038867</v>
      </c>
      <c r="B185" s="29">
        <v>11.14</v>
      </c>
      <c r="C185" s="2" t="s">
        <v>430</v>
      </c>
    </row>
    <row r="186" spans="1:3" x14ac:dyDescent="0.3">
      <c r="A186" s="2">
        <v>5039165</v>
      </c>
      <c r="B186" s="29">
        <v>11.13</v>
      </c>
      <c r="C186" s="2" t="s">
        <v>212</v>
      </c>
    </row>
    <row r="187" spans="1:3" x14ac:dyDescent="0.3">
      <c r="A187" s="2">
        <v>5039447</v>
      </c>
      <c r="B187" s="29">
        <v>11.13</v>
      </c>
      <c r="C187" s="2" t="s">
        <v>222</v>
      </c>
    </row>
    <row r="188" spans="1:3" x14ac:dyDescent="0.3">
      <c r="A188" s="2">
        <v>5040208</v>
      </c>
      <c r="B188" s="29">
        <v>11.13</v>
      </c>
      <c r="C188" s="2" t="s">
        <v>223</v>
      </c>
    </row>
    <row r="189" spans="1:3" x14ac:dyDescent="0.3">
      <c r="A189" s="2">
        <v>5040336</v>
      </c>
      <c r="B189" s="29">
        <v>11.13</v>
      </c>
      <c r="C189" s="2" t="s">
        <v>233</v>
      </c>
    </row>
    <row r="190" spans="1:3" x14ac:dyDescent="0.3">
      <c r="A190" s="2">
        <v>5178623</v>
      </c>
      <c r="B190" s="29">
        <v>11.12</v>
      </c>
      <c r="C190" s="2" t="s">
        <v>107</v>
      </c>
    </row>
    <row r="191" spans="1:3" x14ac:dyDescent="0.3">
      <c r="A191" s="2">
        <v>5997477</v>
      </c>
      <c r="B191" s="29">
        <v>11.12</v>
      </c>
      <c r="C191" s="2" t="s">
        <v>108</v>
      </c>
    </row>
    <row r="192" spans="1:3" x14ac:dyDescent="0.3">
      <c r="A192" s="2">
        <v>6015047</v>
      </c>
      <c r="B192" s="29">
        <v>11.12</v>
      </c>
      <c r="C192" s="2" t="s">
        <v>109</v>
      </c>
    </row>
    <row r="193" spans="1:3" x14ac:dyDescent="0.3">
      <c r="A193" s="2">
        <v>5959358</v>
      </c>
      <c r="B193" s="29">
        <v>11.12</v>
      </c>
      <c r="C193" s="2" t="s">
        <v>111</v>
      </c>
    </row>
    <row r="194" spans="1:3" x14ac:dyDescent="0.3">
      <c r="A194" s="2">
        <v>5144687</v>
      </c>
      <c r="B194" s="29">
        <v>11.12</v>
      </c>
      <c r="C194" s="2" t="s">
        <v>113</v>
      </c>
    </row>
    <row r="195" spans="1:3" x14ac:dyDescent="0.3">
      <c r="A195" s="2">
        <v>5144876</v>
      </c>
      <c r="B195" s="29">
        <v>11.12</v>
      </c>
      <c r="C195" s="2" t="s">
        <v>117</v>
      </c>
    </row>
    <row r="196" spans="1:3" x14ac:dyDescent="0.3">
      <c r="A196" s="2">
        <v>5939178</v>
      </c>
      <c r="B196" s="29">
        <v>11.12</v>
      </c>
      <c r="C196" s="2" t="s">
        <v>119</v>
      </c>
    </row>
    <row r="197" spans="1:3" x14ac:dyDescent="0.3">
      <c r="A197" s="2">
        <v>5039125</v>
      </c>
      <c r="B197" s="29">
        <v>11.12</v>
      </c>
      <c r="C197" s="2" t="s">
        <v>123</v>
      </c>
    </row>
    <row r="198" spans="1:3" x14ac:dyDescent="0.3">
      <c r="A198" s="2">
        <v>5144853</v>
      </c>
      <c r="B198" s="29">
        <v>11.12</v>
      </c>
      <c r="C198" s="2" t="s">
        <v>129</v>
      </c>
    </row>
    <row r="199" spans="1:3" x14ac:dyDescent="0.3">
      <c r="A199" s="2">
        <v>5063743</v>
      </c>
      <c r="B199" s="29">
        <v>11.12</v>
      </c>
      <c r="C199" s="2" t="s">
        <v>134</v>
      </c>
    </row>
    <row r="200" spans="1:3" x14ac:dyDescent="0.3">
      <c r="A200" s="2">
        <v>5144985</v>
      </c>
      <c r="B200" s="29">
        <v>11.12</v>
      </c>
      <c r="C200" s="2" t="s">
        <v>145</v>
      </c>
    </row>
    <row r="201" spans="1:3" x14ac:dyDescent="0.3">
      <c r="A201" s="2">
        <v>5941717</v>
      </c>
      <c r="B201" s="29">
        <v>11.12</v>
      </c>
      <c r="C201" s="2" t="s">
        <v>146</v>
      </c>
    </row>
    <row r="202" spans="1:3" x14ac:dyDescent="0.3">
      <c r="A202" s="2">
        <v>5144828</v>
      </c>
      <c r="B202" s="29">
        <v>11.12</v>
      </c>
      <c r="C202" s="2" t="s">
        <v>147</v>
      </c>
    </row>
    <row r="203" spans="1:3" x14ac:dyDescent="0.3">
      <c r="A203" s="2">
        <v>6015039</v>
      </c>
      <c r="B203" s="29">
        <v>11.12</v>
      </c>
      <c r="C203" s="2" t="s">
        <v>153</v>
      </c>
    </row>
    <row r="204" spans="1:3" x14ac:dyDescent="0.3">
      <c r="A204" s="2">
        <v>5158520</v>
      </c>
      <c r="B204" s="29">
        <v>11.12</v>
      </c>
      <c r="C204" s="2" t="s">
        <v>155</v>
      </c>
    </row>
    <row r="205" spans="1:3" x14ac:dyDescent="0.3">
      <c r="A205" s="2">
        <v>5143758</v>
      </c>
      <c r="B205" s="29">
        <v>11.12</v>
      </c>
      <c r="C205" s="2" t="s">
        <v>157</v>
      </c>
    </row>
    <row r="206" spans="1:3" x14ac:dyDescent="0.3">
      <c r="A206" s="2">
        <v>5973273</v>
      </c>
      <c r="B206" s="29">
        <v>11.12</v>
      </c>
      <c r="C206" s="2" t="s">
        <v>164</v>
      </c>
    </row>
    <row r="207" spans="1:3" x14ac:dyDescent="0.3">
      <c r="A207" s="2">
        <v>5972129</v>
      </c>
      <c r="B207" s="29">
        <v>11.12</v>
      </c>
      <c r="C207" s="2" t="s">
        <v>166</v>
      </c>
    </row>
    <row r="208" spans="1:3" x14ac:dyDescent="0.3">
      <c r="A208" s="2">
        <v>5959355</v>
      </c>
      <c r="B208" s="29">
        <v>11.12</v>
      </c>
      <c r="C208" s="2" t="s">
        <v>167</v>
      </c>
    </row>
    <row r="209" spans="1:3" x14ac:dyDescent="0.3">
      <c r="A209" s="2">
        <v>5994617</v>
      </c>
      <c r="B209" s="29">
        <v>11.12</v>
      </c>
      <c r="C209" s="2" t="s">
        <v>172</v>
      </c>
    </row>
    <row r="210" spans="1:3" x14ac:dyDescent="0.3">
      <c r="A210" s="2">
        <v>5057156</v>
      </c>
      <c r="B210" s="29">
        <v>11.12</v>
      </c>
      <c r="C210" s="2" t="s">
        <v>175</v>
      </c>
    </row>
    <row r="211" spans="1:3" x14ac:dyDescent="0.3">
      <c r="A211" s="2">
        <v>5939172</v>
      </c>
      <c r="B211" s="29">
        <v>11.12</v>
      </c>
      <c r="C211" s="2" t="s">
        <v>177</v>
      </c>
    </row>
    <row r="212" spans="1:3" x14ac:dyDescent="0.3">
      <c r="A212" s="2">
        <v>5128245</v>
      </c>
      <c r="B212" s="29">
        <v>11.12</v>
      </c>
      <c r="C212" s="2" t="s">
        <v>194</v>
      </c>
    </row>
    <row r="213" spans="1:3" x14ac:dyDescent="0.3">
      <c r="A213" s="2">
        <v>5039463</v>
      </c>
      <c r="B213" s="29">
        <v>11.12</v>
      </c>
      <c r="C213" s="2" t="s">
        <v>197</v>
      </c>
    </row>
    <row r="214" spans="1:3" x14ac:dyDescent="0.3">
      <c r="A214" s="2">
        <v>5141023</v>
      </c>
      <c r="B214" s="29">
        <v>11.12</v>
      </c>
      <c r="C214" s="2" t="s">
        <v>198</v>
      </c>
    </row>
    <row r="215" spans="1:3" x14ac:dyDescent="0.3">
      <c r="A215" s="2">
        <v>5996727</v>
      </c>
      <c r="B215" s="29">
        <v>11.12</v>
      </c>
      <c r="C215" s="2" t="s">
        <v>204</v>
      </c>
    </row>
    <row r="216" spans="1:3" x14ac:dyDescent="0.3">
      <c r="A216" s="2">
        <v>5144882</v>
      </c>
      <c r="B216" s="29">
        <v>11.12</v>
      </c>
      <c r="C216" s="2" t="s">
        <v>209</v>
      </c>
    </row>
    <row r="217" spans="1:3" x14ac:dyDescent="0.3">
      <c r="A217" s="2">
        <v>5941712</v>
      </c>
      <c r="B217" s="29">
        <v>11.12</v>
      </c>
      <c r="C217" s="2" t="s">
        <v>210</v>
      </c>
    </row>
    <row r="218" spans="1:3" x14ac:dyDescent="0.3">
      <c r="A218" s="2">
        <v>5139863</v>
      </c>
      <c r="B218" s="29">
        <v>11.12</v>
      </c>
      <c r="C218" s="2" t="s">
        <v>218</v>
      </c>
    </row>
    <row r="219" spans="1:3" x14ac:dyDescent="0.3">
      <c r="A219" s="2">
        <v>6045185</v>
      </c>
      <c r="B219" s="29">
        <v>11.12</v>
      </c>
      <c r="C219" s="2" t="s">
        <v>220</v>
      </c>
    </row>
    <row r="220" spans="1:3" x14ac:dyDescent="0.3">
      <c r="A220" s="2">
        <v>5039539</v>
      </c>
      <c r="B220" s="29">
        <v>11.12</v>
      </c>
      <c r="C220" s="2" t="s">
        <v>227</v>
      </c>
    </row>
    <row r="221" spans="1:3" x14ac:dyDescent="0.3">
      <c r="A221" s="2">
        <v>5039456</v>
      </c>
      <c r="B221" s="29">
        <v>11.12</v>
      </c>
      <c r="C221" s="2" t="s">
        <v>240</v>
      </c>
    </row>
    <row r="222" spans="1:3" x14ac:dyDescent="0.3">
      <c r="A222" s="2">
        <v>5959360</v>
      </c>
      <c r="B222" s="29">
        <v>11.12</v>
      </c>
      <c r="C222" s="2" t="s">
        <v>250</v>
      </c>
    </row>
    <row r="223" spans="1:3" x14ac:dyDescent="0.3">
      <c r="A223" s="2">
        <v>5973272</v>
      </c>
      <c r="B223" s="29">
        <v>11.12</v>
      </c>
      <c r="C223" s="2" t="s">
        <v>254</v>
      </c>
    </row>
    <row r="224" spans="1:3" x14ac:dyDescent="0.3">
      <c r="A224" s="2">
        <v>5977400</v>
      </c>
      <c r="B224" s="29">
        <v>11.12</v>
      </c>
      <c r="C224" s="2" t="s">
        <v>256</v>
      </c>
    </row>
    <row r="225" spans="1:3" x14ac:dyDescent="0.3">
      <c r="A225" s="2">
        <v>5038625</v>
      </c>
      <c r="B225" s="29">
        <v>11.12</v>
      </c>
      <c r="C225" s="2" t="s">
        <v>265</v>
      </c>
    </row>
    <row r="226" spans="1:3" x14ac:dyDescent="0.3">
      <c r="A226" s="2">
        <v>5945186</v>
      </c>
      <c r="B226" s="29">
        <v>11.12</v>
      </c>
      <c r="C226" s="2" t="s">
        <v>270</v>
      </c>
    </row>
    <row r="227" spans="1:3" x14ac:dyDescent="0.3">
      <c r="A227" s="2">
        <v>5939191</v>
      </c>
      <c r="B227" s="29">
        <v>11.12</v>
      </c>
      <c r="C227" s="2" t="s">
        <v>280</v>
      </c>
    </row>
    <row r="228" spans="1:3" x14ac:dyDescent="0.3">
      <c r="A228" s="2">
        <v>5939185</v>
      </c>
      <c r="B228" s="29">
        <v>11.12</v>
      </c>
      <c r="C228" s="2" t="s">
        <v>282</v>
      </c>
    </row>
    <row r="229" spans="1:3" x14ac:dyDescent="0.3">
      <c r="A229" s="2">
        <v>5945192</v>
      </c>
      <c r="B229" s="29">
        <v>11.12</v>
      </c>
      <c r="C229" s="2" t="s">
        <v>297</v>
      </c>
    </row>
    <row r="230" spans="1:3" x14ac:dyDescent="0.3">
      <c r="A230" s="2">
        <v>5973269</v>
      </c>
      <c r="B230" s="29">
        <v>11.12</v>
      </c>
      <c r="C230" s="2" t="s">
        <v>298</v>
      </c>
    </row>
    <row r="231" spans="1:3" x14ac:dyDescent="0.3">
      <c r="A231" s="2">
        <v>5975860</v>
      </c>
      <c r="B231" s="29">
        <v>11.12</v>
      </c>
      <c r="C231" s="2" t="s">
        <v>311</v>
      </c>
    </row>
    <row r="232" spans="1:3" x14ac:dyDescent="0.3">
      <c r="A232" s="2">
        <v>5973270</v>
      </c>
      <c r="B232" s="29">
        <v>11.12</v>
      </c>
      <c r="C232" s="2" t="s">
        <v>314</v>
      </c>
    </row>
    <row r="233" spans="1:3" x14ac:dyDescent="0.3">
      <c r="A233" s="2">
        <v>5941732</v>
      </c>
      <c r="B233" s="29">
        <v>11.12</v>
      </c>
      <c r="C233" s="2" t="s">
        <v>315</v>
      </c>
    </row>
    <row r="234" spans="1:3" x14ac:dyDescent="0.3">
      <c r="A234" s="2">
        <v>5945196</v>
      </c>
      <c r="B234" s="29">
        <v>11.12</v>
      </c>
      <c r="C234" s="2" t="s">
        <v>317</v>
      </c>
    </row>
    <row r="235" spans="1:3" x14ac:dyDescent="0.3">
      <c r="A235" s="2">
        <v>5973263</v>
      </c>
      <c r="B235" s="29">
        <v>11.12</v>
      </c>
      <c r="C235" s="2" t="s">
        <v>318</v>
      </c>
    </row>
    <row r="236" spans="1:3" x14ac:dyDescent="0.3">
      <c r="A236" s="2">
        <v>5972789</v>
      </c>
      <c r="B236" s="29">
        <v>11.12</v>
      </c>
      <c r="C236" s="2" t="s">
        <v>323</v>
      </c>
    </row>
    <row r="237" spans="1:3" x14ac:dyDescent="0.3">
      <c r="A237" s="2">
        <v>5952651</v>
      </c>
      <c r="B237" s="29">
        <v>11.12</v>
      </c>
      <c r="C237" s="2" t="s">
        <v>325</v>
      </c>
    </row>
    <row r="238" spans="1:3" x14ac:dyDescent="0.3">
      <c r="A238" s="2">
        <v>5923634</v>
      </c>
      <c r="B238" s="29">
        <v>11.12</v>
      </c>
      <c r="C238" s="2" t="s">
        <v>361</v>
      </c>
    </row>
    <row r="239" spans="1:3" x14ac:dyDescent="0.3">
      <c r="A239" s="2">
        <v>5178192</v>
      </c>
      <c r="B239" s="29">
        <v>11.12</v>
      </c>
      <c r="C239" s="2" t="s">
        <v>369</v>
      </c>
    </row>
    <row r="240" spans="1:3" x14ac:dyDescent="0.3">
      <c r="A240" s="2">
        <v>5945190</v>
      </c>
      <c r="B240" s="29">
        <v>11.12</v>
      </c>
      <c r="C240" s="2" t="s">
        <v>378</v>
      </c>
    </row>
    <row r="241" spans="1:3" x14ac:dyDescent="0.3">
      <c r="A241" s="2">
        <v>5972133</v>
      </c>
      <c r="B241" s="29">
        <v>11.12</v>
      </c>
      <c r="C241" s="2" t="s">
        <v>382</v>
      </c>
    </row>
    <row r="242" spans="1:3" x14ac:dyDescent="0.3">
      <c r="A242" s="2">
        <v>5039175</v>
      </c>
      <c r="B242" s="29">
        <v>11.12</v>
      </c>
      <c r="C242" s="2" t="s">
        <v>383</v>
      </c>
    </row>
    <row r="243" spans="1:3" x14ac:dyDescent="0.3">
      <c r="A243" s="2">
        <v>5181400</v>
      </c>
      <c r="B243" s="29">
        <v>11.12</v>
      </c>
      <c r="C243" s="2" t="s">
        <v>388</v>
      </c>
    </row>
    <row r="244" spans="1:3" x14ac:dyDescent="0.3">
      <c r="A244" s="2">
        <v>5999279</v>
      </c>
      <c r="B244" s="29">
        <v>11.12</v>
      </c>
      <c r="C244" s="2" t="s">
        <v>395</v>
      </c>
    </row>
    <row r="245" spans="1:3" x14ac:dyDescent="0.3">
      <c r="A245" s="2">
        <v>5973266</v>
      </c>
      <c r="B245" s="29">
        <v>11.12</v>
      </c>
      <c r="C245" s="2" t="s">
        <v>396</v>
      </c>
    </row>
    <row r="246" spans="1:3" x14ac:dyDescent="0.3">
      <c r="A246" s="2">
        <v>5994615</v>
      </c>
      <c r="B246" s="29">
        <v>11.12</v>
      </c>
      <c r="C246" s="2" t="s">
        <v>400</v>
      </c>
    </row>
    <row r="247" spans="1:3" x14ac:dyDescent="0.3">
      <c r="A247" s="2">
        <v>5973162</v>
      </c>
      <c r="B247" s="29">
        <v>11.12</v>
      </c>
      <c r="C247" s="2" t="s">
        <v>402</v>
      </c>
    </row>
    <row r="248" spans="1:3" x14ac:dyDescent="0.3">
      <c r="A248" s="2">
        <v>5939188</v>
      </c>
      <c r="B248" s="29">
        <v>11.12</v>
      </c>
      <c r="C248" s="2" t="s">
        <v>405</v>
      </c>
    </row>
    <row r="249" spans="1:3" x14ac:dyDescent="0.3">
      <c r="A249" s="2">
        <v>5181402</v>
      </c>
      <c r="B249" s="29">
        <v>11.12</v>
      </c>
      <c r="C249" s="2" t="s">
        <v>411</v>
      </c>
    </row>
    <row r="250" spans="1:3" x14ac:dyDescent="0.3">
      <c r="A250" s="2">
        <v>6092441</v>
      </c>
      <c r="B250" s="29">
        <v>11.1</v>
      </c>
      <c r="C250" s="2" t="s">
        <v>121</v>
      </c>
    </row>
    <row r="251" spans="1:3" x14ac:dyDescent="0.3">
      <c r="A251" s="2">
        <v>6092126</v>
      </c>
      <c r="B251" s="29">
        <v>11.1</v>
      </c>
      <c r="C251" s="2" t="s">
        <v>128</v>
      </c>
    </row>
    <row r="252" spans="1:3" x14ac:dyDescent="0.3">
      <c r="A252" s="2">
        <v>6036709</v>
      </c>
      <c r="B252" s="29">
        <v>11.1</v>
      </c>
      <c r="C252" s="2" t="s">
        <v>133</v>
      </c>
    </row>
    <row r="253" spans="1:3" x14ac:dyDescent="0.3">
      <c r="A253" s="2">
        <v>6012624</v>
      </c>
      <c r="B253" s="29">
        <v>11.1</v>
      </c>
      <c r="C253" s="2" t="s">
        <v>140</v>
      </c>
    </row>
    <row r="254" spans="1:3" x14ac:dyDescent="0.3">
      <c r="A254" s="2">
        <v>6038871</v>
      </c>
      <c r="B254" s="29">
        <v>11.1</v>
      </c>
      <c r="C254" s="2" t="s">
        <v>162</v>
      </c>
    </row>
    <row r="255" spans="1:3" x14ac:dyDescent="0.3">
      <c r="A255" s="2">
        <v>5994630</v>
      </c>
      <c r="B255" s="29">
        <v>11.1</v>
      </c>
      <c r="C255" s="2" t="s">
        <v>171</v>
      </c>
    </row>
    <row r="256" spans="1:3" x14ac:dyDescent="0.3">
      <c r="A256" s="2">
        <v>6091941</v>
      </c>
      <c r="B256" s="29">
        <v>11.1</v>
      </c>
      <c r="C256" s="2" t="s">
        <v>183</v>
      </c>
    </row>
    <row r="257" spans="1:3" x14ac:dyDescent="0.3">
      <c r="A257" s="2">
        <v>6086084</v>
      </c>
      <c r="B257" s="29">
        <v>11.1</v>
      </c>
      <c r="C257" s="2" t="s">
        <v>205</v>
      </c>
    </row>
    <row r="258" spans="1:3" x14ac:dyDescent="0.3">
      <c r="A258" s="2">
        <v>6082806</v>
      </c>
      <c r="B258" s="29">
        <v>11.1</v>
      </c>
      <c r="C258" s="2" t="s">
        <v>216</v>
      </c>
    </row>
    <row r="259" spans="1:3" x14ac:dyDescent="0.3">
      <c r="A259" s="2">
        <v>5997485</v>
      </c>
      <c r="B259" s="29">
        <v>11.1</v>
      </c>
      <c r="C259" s="2" t="s">
        <v>230</v>
      </c>
    </row>
    <row r="260" spans="1:3" x14ac:dyDescent="0.3">
      <c r="A260" s="2">
        <v>6092592</v>
      </c>
      <c r="B260" s="29">
        <v>11.1</v>
      </c>
      <c r="C260" s="2" t="s">
        <v>245</v>
      </c>
    </row>
    <row r="261" spans="1:3" x14ac:dyDescent="0.3">
      <c r="A261" s="2">
        <v>6082803</v>
      </c>
      <c r="B261" s="29">
        <v>11.1</v>
      </c>
      <c r="C261" s="2" t="s">
        <v>246</v>
      </c>
    </row>
    <row r="262" spans="1:3" x14ac:dyDescent="0.3">
      <c r="A262" s="2">
        <v>6036784</v>
      </c>
      <c r="B262" s="29">
        <v>11.1</v>
      </c>
      <c r="C262" s="2" t="s">
        <v>252</v>
      </c>
    </row>
    <row r="263" spans="1:3" x14ac:dyDescent="0.3">
      <c r="A263" s="2">
        <v>6031288</v>
      </c>
      <c r="B263" s="29">
        <v>11.1</v>
      </c>
      <c r="C263" s="2" t="s">
        <v>263</v>
      </c>
    </row>
    <row r="264" spans="1:3" x14ac:dyDescent="0.3">
      <c r="A264" s="2">
        <v>6032314</v>
      </c>
      <c r="B264" s="29">
        <v>11.1</v>
      </c>
      <c r="C264" s="2" t="s">
        <v>279</v>
      </c>
    </row>
    <row r="265" spans="1:3" x14ac:dyDescent="0.3">
      <c r="A265" s="2">
        <v>6082786</v>
      </c>
      <c r="B265" s="29">
        <v>11.1</v>
      </c>
      <c r="C265" s="2" t="s">
        <v>289</v>
      </c>
    </row>
    <row r="266" spans="1:3" x14ac:dyDescent="0.3">
      <c r="A266" s="2">
        <v>6031273</v>
      </c>
      <c r="B266" s="29">
        <v>11.1</v>
      </c>
      <c r="C266" s="2" t="s">
        <v>290</v>
      </c>
    </row>
    <row r="267" spans="1:3" x14ac:dyDescent="0.3">
      <c r="A267" s="2">
        <v>5994624</v>
      </c>
      <c r="B267" s="29">
        <v>11.1</v>
      </c>
      <c r="C267" s="2" t="s">
        <v>299</v>
      </c>
    </row>
    <row r="268" spans="1:3" x14ac:dyDescent="0.3">
      <c r="A268" s="2">
        <v>6040233</v>
      </c>
      <c r="B268" s="29">
        <v>11.1</v>
      </c>
      <c r="C268" s="2" t="s">
        <v>320</v>
      </c>
    </row>
    <row r="269" spans="1:3" x14ac:dyDescent="0.3">
      <c r="A269" s="2">
        <v>6086723</v>
      </c>
      <c r="B269" s="29">
        <v>11.1</v>
      </c>
      <c r="C269" s="2" t="s">
        <v>358</v>
      </c>
    </row>
    <row r="270" spans="1:3" x14ac:dyDescent="0.3">
      <c r="A270" s="2">
        <v>6092599</v>
      </c>
      <c r="B270" s="29">
        <v>11.1</v>
      </c>
      <c r="C270" s="2" t="s">
        <v>363</v>
      </c>
    </row>
    <row r="271" spans="1:3" x14ac:dyDescent="0.3">
      <c r="A271" s="2">
        <v>6000501</v>
      </c>
      <c r="B271" s="29">
        <v>11.1</v>
      </c>
      <c r="C271" s="2" t="s">
        <v>387</v>
      </c>
    </row>
    <row r="272" spans="1:3" x14ac:dyDescent="0.3">
      <c r="A272" s="2">
        <v>5994625</v>
      </c>
      <c r="B272" s="29">
        <v>11.1</v>
      </c>
      <c r="C272" s="2" t="s">
        <v>390</v>
      </c>
    </row>
    <row r="273" spans="1:3" x14ac:dyDescent="0.3">
      <c r="A273" s="2">
        <v>6089987</v>
      </c>
      <c r="B273" s="29">
        <v>11.1</v>
      </c>
      <c r="C273" s="2" t="s">
        <v>67</v>
      </c>
    </row>
    <row r="274" spans="1:3" x14ac:dyDescent="0.3">
      <c r="A274" s="2">
        <v>6023600</v>
      </c>
      <c r="B274" s="29">
        <v>11.1</v>
      </c>
      <c r="C274" s="2" t="s">
        <v>403</v>
      </c>
    </row>
    <row r="275" spans="1:3" x14ac:dyDescent="0.3">
      <c r="A275" s="2">
        <v>5038981</v>
      </c>
      <c r="B275" s="29">
        <v>11.09</v>
      </c>
      <c r="C275" s="2" t="s">
        <v>221</v>
      </c>
    </row>
    <row r="276" spans="1:3" x14ac:dyDescent="0.3">
      <c r="A276" s="2">
        <v>5040005</v>
      </c>
      <c r="B276" s="29">
        <v>11.09</v>
      </c>
      <c r="C276" s="2" t="s">
        <v>225</v>
      </c>
    </row>
    <row r="277" spans="1:3" x14ac:dyDescent="0.3">
      <c r="A277" s="2">
        <v>5039972</v>
      </c>
      <c r="B277" s="29">
        <v>11.09</v>
      </c>
      <c r="C277" s="2" t="s">
        <v>226</v>
      </c>
    </row>
    <row r="278" spans="1:3" x14ac:dyDescent="0.3">
      <c r="A278" s="2">
        <v>5939163</v>
      </c>
      <c r="B278" s="29">
        <v>10.76</v>
      </c>
      <c r="C278" s="2" t="s">
        <v>115</v>
      </c>
    </row>
    <row r="279" spans="1:3" x14ac:dyDescent="0.3">
      <c r="A279" s="2">
        <v>6080875</v>
      </c>
      <c r="B279" s="29">
        <v>10.75</v>
      </c>
      <c r="C279" s="2" t="s">
        <v>231</v>
      </c>
    </row>
    <row r="280" spans="1:3" x14ac:dyDescent="0.3">
      <c r="A280" s="2">
        <v>6086101</v>
      </c>
      <c r="B280" s="29">
        <v>10.75</v>
      </c>
      <c r="C280" s="2" t="s">
        <v>234</v>
      </c>
    </row>
    <row r="281" spans="1:3" x14ac:dyDescent="0.3">
      <c r="A281" s="2">
        <v>6087527</v>
      </c>
      <c r="B281" s="29">
        <v>10.75</v>
      </c>
      <c r="C281" s="2" t="s">
        <v>238</v>
      </c>
    </row>
    <row r="282" spans="1:3" x14ac:dyDescent="0.3">
      <c r="A282" s="2">
        <v>6086069</v>
      </c>
      <c r="B282" s="29">
        <v>10.75</v>
      </c>
      <c r="C282" s="2" t="s">
        <v>239</v>
      </c>
    </row>
    <row r="283" spans="1:3" x14ac:dyDescent="0.3">
      <c r="A283" s="2">
        <v>5997476</v>
      </c>
      <c r="B283" s="29">
        <v>10.56</v>
      </c>
      <c r="C283" s="2" t="s">
        <v>114</v>
      </c>
    </row>
    <row r="284" spans="1:3" x14ac:dyDescent="0.3">
      <c r="A284" s="2">
        <v>5994632</v>
      </c>
      <c r="B284" s="29">
        <v>10.56</v>
      </c>
      <c r="C284" s="2" t="s">
        <v>132</v>
      </c>
    </row>
    <row r="285" spans="1:3" x14ac:dyDescent="0.3">
      <c r="A285" s="2">
        <v>5994618</v>
      </c>
      <c r="B285" s="29">
        <v>10.56</v>
      </c>
      <c r="C285" s="2" t="s">
        <v>159</v>
      </c>
    </row>
    <row r="286" spans="1:3" x14ac:dyDescent="0.3">
      <c r="A286" s="2">
        <v>5994633</v>
      </c>
      <c r="B286" s="29">
        <v>10.56</v>
      </c>
      <c r="C286" s="2" t="s">
        <v>168</v>
      </c>
    </row>
    <row r="287" spans="1:3" x14ac:dyDescent="0.3">
      <c r="A287" s="2">
        <v>5994620</v>
      </c>
      <c r="B287" s="29">
        <v>10.56</v>
      </c>
      <c r="C287" s="2" t="s">
        <v>180</v>
      </c>
    </row>
    <row r="288" spans="1:3" x14ac:dyDescent="0.3">
      <c r="A288" s="2">
        <v>5997479</v>
      </c>
      <c r="B288" s="29">
        <v>10.56</v>
      </c>
      <c r="C288" s="2" t="s">
        <v>191</v>
      </c>
    </row>
    <row r="289" spans="1:3" x14ac:dyDescent="0.3">
      <c r="A289" s="2">
        <v>5994631</v>
      </c>
      <c r="B289" s="29">
        <v>10.56</v>
      </c>
      <c r="C289" s="2" t="s">
        <v>202</v>
      </c>
    </row>
    <row r="290" spans="1:3" x14ac:dyDescent="0.3">
      <c r="A290" s="2">
        <v>5994629</v>
      </c>
      <c r="B290" s="29">
        <v>10.56</v>
      </c>
      <c r="C290" s="2" t="s">
        <v>203</v>
      </c>
    </row>
    <row r="291" spans="1:3" x14ac:dyDescent="0.3">
      <c r="A291" s="2">
        <v>5994623</v>
      </c>
      <c r="B291" s="29">
        <v>10.56</v>
      </c>
      <c r="C291" s="2" t="s">
        <v>331</v>
      </c>
    </row>
    <row r="292" spans="1:3" x14ac:dyDescent="0.3">
      <c r="A292" s="2">
        <v>6015705</v>
      </c>
      <c r="B292" s="29">
        <v>10.5</v>
      </c>
      <c r="C292" s="2" t="s">
        <v>344</v>
      </c>
    </row>
    <row r="293" spans="1:3" x14ac:dyDescent="0.3">
      <c r="A293" s="2">
        <v>6018281</v>
      </c>
      <c r="B293" s="29">
        <v>10.38</v>
      </c>
      <c r="C293" s="2" t="s">
        <v>365</v>
      </c>
    </row>
    <row r="294" spans="1:3" x14ac:dyDescent="0.3">
      <c r="A294" s="2">
        <v>6036704</v>
      </c>
      <c r="B294" s="29">
        <v>10.3</v>
      </c>
      <c r="C294" s="2" t="s">
        <v>112</v>
      </c>
    </row>
    <row r="295" spans="1:3" x14ac:dyDescent="0.3">
      <c r="A295" s="2">
        <v>6044006</v>
      </c>
      <c r="B295" s="29">
        <v>10.3</v>
      </c>
      <c r="C295" s="2" t="s">
        <v>125</v>
      </c>
    </row>
    <row r="296" spans="1:3" x14ac:dyDescent="0.3">
      <c r="A296" s="2">
        <v>6044004</v>
      </c>
      <c r="B296" s="29">
        <v>10.3</v>
      </c>
      <c r="C296" s="2" t="s">
        <v>126</v>
      </c>
    </row>
    <row r="297" spans="1:3" x14ac:dyDescent="0.3">
      <c r="A297" s="2">
        <v>6036700</v>
      </c>
      <c r="B297" s="29">
        <v>10.3</v>
      </c>
      <c r="C297" s="2" t="s">
        <v>142</v>
      </c>
    </row>
    <row r="298" spans="1:3" x14ac:dyDescent="0.3">
      <c r="A298" s="2">
        <v>5144824</v>
      </c>
      <c r="B298" s="29">
        <v>10.3</v>
      </c>
      <c r="C298" s="2" t="s">
        <v>144</v>
      </c>
    </row>
    <row r="299" spans="1:3" x14ac:dyDescent="0.3">
      <c r="A299" s="2">
        <v>6040254</v>
      </c>
      <c r="B299" s="29">
        <v>10.3</v>
      </c>
      <c r="C299" s="2" t="s">
        <v>154</v>
      </c>
    </row>
    <row r="300" spans="1:3" x14ac:dyDescent="0.3">
      <c r="A300" s="2">
        <v>6038915</v>
      </c>
      <c r="B300" s="29">
        <v>10.3</v>
      </c>
      <c r="C300" s="2" t="s">
        <v>192</v>
      </c>
    </row>
    <row r="301" spans="1:3" x14ac:dyDescent="0.3">
      <c r="A301" s="2">
        <v>6036697</v>
      </c>
      <c r="B301" s="29">
        <v>10.3</v>
      </c>
      <c r="C301" s="2" t="s">
        <v>199</v>
      </c>
    </row>
    <row r="302" spans="1:3" x14ac:dyDescent="0.3">
      <c r="A302" s="2">
        <v>6082814</v>
      </c>
      <c r="B302" s="29">
        <v>10.3</v>
      </c>
      <c r="C302" s="2" t="s">
        <v>244</v>
      </c>
    </row>
    <row r="303" spans="1:3" x14ac:dyDescent="0.3">
      <c r="A303" s="2">
        <v>6092595</v>
      </c>
      <c r="B303" s="29">
        <v>10.3</v>
      </c>
      <c r="C303" s="2" t="s">
        <v>249</v>
      </c>
    </row>
    <row r="304" spans="1:3" x14ac:dyDescent="0.3">
      <c r="A304" s="2">
        <v>6082780</v>
      </c>
      <c r="B304" s="29">
        <v>10.3</v>
      </c>
      <c r="C304" s="2" t="s">
        <v>262</v>
      </c>
    </row>
    <row r="305" spans="1:3" x14ac:dyDescent="0.3">
      <c r="A305" s="2">
        <v>5994619</v>
      </c>
      <c r="B305" s="29">
        <v>10.3</v>
      </c>
      <c r="C305" s="2" t="s">
        <v>274</v>
      </c>
    </row>
    <row r="306" spans="1:3" x14ac:dyDescent="0.3">
      <c r="A306" s="2">
        <v>6092602</v>
      </c>
      <c r="B306" s="29">
        <v>10.3</v>
      </c>
      <c r="C306" s="2" t="s">
        <v>281</v>
      </c>
    </row>
    <row r="307" spans="1:3" x14ac:dyDescent="0.3">
      <c r="A307" s="2">
        <v>6086081</v>
      </c>
      <c r="B307" s="29">
        <v>10.3</v>
      </c>
      <c r="C307" s="2" t="s">
        <v>293</v>
      </c>
    </row>
    <row r="308" spans="1:3" x14ac:dyDescent="0.3">
      <c r="A308" s="2">
        <v>6036714</v>
      </c>
      <c r="B308" s="29">
        <v>10.3</v>
      </c>
      <c r="C308" s="2" t="s">
        <v>303</v>
      </c>
    </row>
    <row r="309" spans="1:3" x14ac:dyDescent="0.3">
      <c r="A309" s="2">
        <v>6082781</v>
      </c>
      <c r="B309" s="29">
        <v>10.3</v>
      </c>
      <c r="C309" s="2" t="s">
        <v>305</v>
      </c>
    </row>
    <row r="310" spans="1:3" x14ac:dyDescent="0.3">
      <c r="A310" s="2">
        <v>6031281</v>
      </c>
      <c r="B310" s="29">
        <v>10.3</v>
      </c>
      <c r="C310" s="2" t="s">
        <v>309</v>
      </c>
    </row>
    <row r="311" spans="1:3" x14ac:dyDescent="0.3">
      <c r="A311" s="2">
        <v>6092590</v>
      </c>
      <c r="B311" s="29">
        <v>10.3</v>
      </c>
      <c r="C311" s="2" t="s">
        <v>310</v>
      </c>
    </row>
    <row r="312" spans="1:3" x14ac:dyDescent="0.3">
      <c r="A312" s="2">
        <v>6036706</v>
      </c>
      <c r="B312" s="29">
        <v>10.3</v>
      </c>
      <c r="C312" s="2" t="s">
        <v>324</v>
      </c>
    </row>
    <row r="313" spans="1:3" x14ac:dyDescent="0.3">
      <c r="A313" s="2">
        <v>6038820</v>
      </c>
      <c r="B313" s="29">
        <v>10.3</v>
      </c>
      <c r="C313" s="2" t="s">
        <v>326</v>
      </c>
    </row>
    <row r="314" spans="1:3" x14ac:dyDescent="0.3">
      <c r="A314" s="2">
        <v>6090300</v>
      </c>
      <c r="B314" s="29">
        <v>10.3</v>
      </c>
      <c r="C314" s="2" t="s">
        <v>329</v>
      </c>
    </row>
    <row r="315" spans="1:3" x14ac:dyDescent="0.3">
      <c r="A315" s="2">
        <v>6036679</v>
      </c>
      <c r="B315" s="29">
        <v>10.3</v>
      </c>
      <c r="C315" s="2" t="s">
        <v>345</v>
      </c>
    </row>
    <row r="316" spans="1:3" x14ac:dyDescent="0.3">
      <c r="A316" s="2">
        <v>6036690</v>
      </c>
      <c r="B316" s="29">
        <v>10.3</v>
      </c>
      <c r="C316" s="2" t="s">
        <v>351</v>
      </c>
    </row>
    <row r="317" spans="1:3" x14ac:dyDescent="0.3">
      <c r="A317" s="2">
        <v>6090073</v>
      </c>
      <c r="B317" s="29">
        <v>10.3</v>
      </c>
      <c r="C317" s="2" t="s">
        <v>93</v>
      </c>
    </row>
    <row r="318" spans="1:3" x14ac:dyDescent="0.3">
      <c r="A318" s="2">
        <v>6090077</v>
      </c>
      <c r="B318" s="29">
        <v>10.3</v>
      </c>
      <c r="C318" s="2" t="s">
        <v>397</v>
      </c>
    </row>
    <row r="319" spans="1:3" x14ac:dyDescent="0.3">
      <c r="A319" s="2">
        <v>6047070</v>
      </c>
      <c r="B319" s="29">
        <v>10.3</v>
      </c>
      <c r="C319" s="2" t="s">
        <v>401</v>
      </c>
    </row>
    <row r="320" spans="1:3" x14ac:dyDescent="0.3">
      <c r="A320" s="2">
        <v>6091967</v>
      </c>
      <c r="B320" s="29">
        <v>10.3</v>
      </c>
      <c r="C320" s="2" t="s">
        <v>407</v>
      </c>
    </row>
    <row r="321" spans="1:3" x14ac:dyDescent="0.3">
      <c r="A321" s="2">
        <v>5999369</v>
      </c>
      <c r="B321" s="29">
        <v>10.25</v>
      </c>
      <c r="C321" s="2" t="s">
        <v>419</v>
      </c>
    </row>
    <row r="322" spans="1:3" x14ac:dyDescent="0.3">
      <c r="A322" s="2">
        <v>6044459</v>
      </c>
      <c r="B322" s="29">
        <v>10.25</v>
      </c>
      <c r="C322" s="2" t="s">
        <v>422</v>
      </c>
    </row>
    <row r="323" spans="1:3" x14ac:dyDescent="0.3">
      <c r="A323" s="2">
        <v>6092591</v>
      </c>
      <c r="B323" s="29">
        <v>10</v>
      </c>
      <c r="C323" s="2" t="s">
        <v>94</v>
      </c>
    </row>
    <row r="324" spans="1:3" x14ac:dyDescent="0.3">
      <c r="A324" s="2">
        <v>6002960</v>
      </c>
      <c r="B324" s="29">
        <v>9.23</v>
      </c>
      <c r="C324" s="2" t="s">
        <v>418</v>
      </c>
    </row>
    <row r="325" spans="1:3" x14ac:dyDescent="0.3">
      <c r="A325" s="2">
        <v>6003001</v>
      </c>
      <c r="B325" s="29">
        <v>9.23</v>
      </c>
      <c r="C325" s="2" t="s">
        <v>420</v>
      </c>
    </row>
    <row r="326" spans="1:3" x14ac:dyDescent="0.3">
      <c r="A326" s="2">
        <v>6036701</v>
      </c>
      <c r="B326" s="29">
        <v>9.23</v>
      </c>
      <c r="C326" s="2" t="s">
        <v>421</v>
      </c>
    </row>
    <row r="327" spans="1:3" x14ac:dyDescent="0.3">
      <c r="A327" s="2">
        <v>6036720</v>
      </c>
      <c r="B327" s="29">
        <v>9.23</v>
      </c>
      <c r="C327" s="2" t="s">
        <v>423</v>
      </c>
    </row>
    <row r="328" spans="1:3" x14ac:dyDescent="0.3">
      <c r="A328" s="2">
        <v>6042565</v>
      </c>
      <c r="B328" s="29">
        <v>8.1999999999999993</v>
      </c>
      <c r="C328" s="2" t="s">
        <v>100</v>
      </c>
    </row>
    <row r="329" spans="1:3" x14ac:dyDescent="0.3">
      <c r="A329" s="2">
        <v>6053915</v>
      </c>
      <c r="B329" s="29">
        <v>8.1999999999999993</v>
      </c>
      <c r="C329" s="2" t="s">
        <v>414</v>
      </c>
    </row>
    <row r="330" spans="1:3" x14ac:dyDescent="0.3">
      <c r="A330" s="2">
        <v>6044435</v>
      </c>
      <c r="B330" s="29">
        <v>8.1999999999999993</v>
      </c>
      <c r="C330" s="2" t="s">
        <v>416</v>
      </c>
    </row>
    <row r="331" spans="1:3" x14ac:dyDescent="0.3">
      <c r="A331" s="17">
        <v>6003005</v>
      </c>
      <c r="B331" s="29">
        <v>8.1999999999999993</v>
      </c>
      <c r="C331" s="2" t="s">
        <v>417</v>
      </c>
    </row>
    <row r="332" spans="1:3" x14ac:dyDescent="0.3">
      <c r="A332" s="2">
        <v>6047959</v>
      </c>
      <c r="B332" s="29">
        <v>8.1999999999999993</v>
      </c>
      <c r="C332" s="2" t="s">
        <v>428</v>
      </c>
    </row>
    <row r="333" spans="1:3" x14ac:dyDescent="0.3">
      <c r="A333" s="2">
        <v>6084232</v>
      </c>
      <c r="B333" s="29">
        <v>8</v>
      </c>
      <c r="C333" s="2" t="s">
        <v>99</v>
      </c>
    </row>
    <row r="334" spans="1:3" x14ac:dyDescent="0.3">
      <c r="A334" s="2">
        <v>6090317</v>
      </c>
      <c r="B334" s="29">
        <v>8</v>
      </c>
      <c r="C334" s="2" t="s">
        <v>101</v>
      </c>
    </row>
    <row r="335" spans="1:3" x14ac:dyDescent="0.3">
      <c r="A335" s="2">
        <v>6084355</v>
      </c>
      <c r="B335" s="29">
        <v>8</v>
      </c>
      <c r="C335" s="2" t="s">
        <v>105</v>
      </c>
    </row>
    <row r="336" spans="1:3" x14ac:dyDescent="0.3">
      <c r="A336" s="2">
        <v>6085093</v>
      </c>
      <c r="B336" s="29">
        <v>8</v>
      </c>
      <c r="C336" s="2" t="s">
        <v>106</v>
      </c>
    </row>
    <row r="337" spans="1:3" x14ac:dyDescent="0.3">
      <c r="A337" s="2">
        <v>6086674</v>
      </c>
      <c r="B337" s="29">
        <v>8</v>
      </c>
      <c r="C337" s="2" t="s">
        <v>229</v>
      </c>
    </row>
    <row r="338" spans="1:3" x14ac:dyDescent="0.3">
      <c r="A338" s="2">
        <v>6086062</v>
      </c>
      <c r="B338" s="29">
        <v>8</v>
      </c>
      <c r="C338" s="2" t="s">
        <v>415</v>
      </c>
    </row>
    <row r="339" spans="1:3" x14ac:dyDescent="0.3">
      <c r="A339" s="2">
        <v>6086055</v>
      </c>
      <c r="B339" s="29">
        <v>8</v>
      </c>
      <c r="C339" s="2" t="s">
        <v>424</v>
      </c>
    </row>
    <row r="340" spans="1:3" x14ac:dyDescent="0.3">
      <c r="A340" s="2">
        <v>6086168</v>
      </c>
      <c r="B340" s="29">
        <v>8</v>
      </c>
      <c r="C340" s="2" t="s">
        <v>425</v>
      </c>
    </row>
    <row r="341" spans="1:3" x14ac:dyDescent="0.3">
      <c r="A341" s="2">
        <v>6086073</v>
      </c>
      <c r="B341" s="29">
        <v>8</v>
      </c>
      <c r="C341" s="2" t="s">
        <v>426</v>
      </c>
    </row>
    <row r="342" spans="1:3" x14ac:dyDescent="0.3">
      <c r="A342" s="2">
        <v>6090295</v>
      </c>
      <c r="B342" s="29">
        <v>8</v>
      </c>
      <c r="C342" s="2" t="s">
        <v>427</v>
      </c>
    </row>
    <row r="343" spans="1:3" x14ac:dyDescent="0.3">
      <c r="A343" s="2">
        <v>6056272</v>
      </c>
      <c r="B343" s="9">
        <v>10</v>
      </c>
    </row>
    <row r="344" spans="1:3" x14ac:dyDescent="0.3">
      <c r="A344" s="2">
        <v>6003765</v>
      </c>
      <c r="B344" s="9">
        <v>10.75</v>
      </c>
    </row>
    <row r="345" spans="1:3" x14ac:dyDescent="0.3">
      <c r="A345" s="2">
        <v>6053909</v>
      </c>
      <c r="B345" s="9">
        <v>10</v>
      </c>
    </row>
    <row r="346" spans="1:3" x14ac:dyDescent="0.3">
      <c r="A346" s="2">
        <v>6023596</v>
      </c>
      <c r="B346" s="9">
        <v>10.75</v>
      </c>
    </row>
    <row r="347" spans="1:3" x14ac:dyDescent="0.3">
      <c r="A347" s="2">
        <v>6041324</v>
      </c>
      <c r="B347" s="9">
        <v>8</v>
      </c>
    </row>
    <row r="348" spans="1:3" x14ac:dyDescent="0.3">
      <c r="A348" s="2">
        <v>6041355</v>
      </c>
      <c r="B348" s="9">
        <v>8</v>
      </c>
    </row>
    <row r="349" spans="1:3" x14ac:dyDescent="0.3">
      <c r="A349" s="2">
        <v>5992553</v>
      </c>
      <c r="B349" s="9">
        <v>10</v>
      </c>
    </row>
    <row r="350" spans="1:3" x14ac:dyDescent="0.3">
      <c r="A350" s="2">
        <v>5994523</v>
      </c>
      <c r="B350" s="9">
        <v>8</v>
      </c>
    </row>
    <row r="351" spans="1:3" x14ac:dyDescent="0.3">
      <c r="A351" s="2">
        <v>5992550</v>
      </c>
      <c r="B351" s="9">
        <v>8</v>
      </c>
    </row>
    <row r="352" spans="1:3" x14ac:dyDescent="0.3">
      <c r="A352" s="2">
        <v>6012753</v>
      </c>
      <c r="B352" s="9">
        <v>8</v>
      </c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B2:I29"/>
  <sheetViews>
    <sheetView zoomScale="75" zoomScaleNormal="75" workbookViewId="0">
      <selection activeCell="F4" sqref="F4"/>
    </sheetView>
  </sheetViews>
  <sheetFormatPr defaultRowHeight="14.4" x14ac:dyDescent="0.3"/>
  <cols>
    <col min="2" max="2" width="10.44140625" style="2" bestFit="1" customWidth="1"/>
    <col min="3" max="3" width="12.6640625" style="2" bestFit="1" customWidth="1"/>
    <col min="4" max="4" width="11.5546875" bestFit="1" customWidth="1"/>
    <col min="6" max="6" width="40.109375" bestFit="1" customWidth="1"/>
    <col min="8" max="8" width="10.44140625" style="2" bestFit="1" customWidth="1"/>
    <col min="9" max="9" width="11" bestFit="1" customWidth="1"/>
  </cols>
  <sheetData>
    <row r="2" spans="2:9" x14ac:dyDescent="0.3">
      <c r="D2" s="20">
        <v>64501110</v>
      </c>
    </row>
    <row r="4" spans="2:9" ht="28.8" x14ac:dyDescent="0.25">
      <c r="B4" s="11" t="s">
        <v>11</v>
      </c>
      <c r="C4" s="11" t="s">
        <v>58</v>
      </c>
      <c r="D4" s="11" t="s">
        <v>63</v>
      </c>
      <c r="F4" s="11" t="s">
        <v>64</v>
      </c>
      <c r="H4" s="11" t="s">
        <v>11</v>
      </c>
      <c r="I4" s="11" t="s">
        <v>65</v>
      </c>
    </row>
    <row r="5" spans="2:9" x14ac:dyDescent="0.3">
      <c r="B5" s="2">
        <v>41400001</v>
      </c>
      <c r="C5" s="9">
        <v>3853.88</v>
      </c>
      <c r="D5" s="9">
        <f>C5*17.5%</f>
        <v>674.42899999999997</v>
      </c>
      <c r="F5" s="9">
        <v>3817.24</v>
      </c>
      <c r="H5" s="2">
        <v>41400001</v>
      </c>
      <c r="I5" s="9">
        <f>C5-F5</f>
        <v>36.640000000000327</v>
      </c>
    </row>
    <row r="6" spans="2:9" x14ac:dyDescent="0.3">
      <c r="B6" s="2">
        <v>41400002</v>
      </c>
      <c r="C6" s="9">
        <v>34782.86</v>
      </c>
      <c r="D6" s="9">
        <f t="shared" ref="D6:D28" si="0">C6*17.5%</f>
        <v>6087.0005000000001</v>
      </c>
      <c r="F6" s="9">
        <v>37562.93</v>
      </c>
      <c r="H6" s="2">
        <v>41400002</v>
      </c>
      <c r="I6" s="9">
        <f t="shared" ref="I6:I26" si="1">C6-F6</f>
        <v>-2780.0699999999997</v>
      </c>
    </row>
    <row r="7" spans="2:9" x14ac:dyDescent="0.3">
      <c r="B7" s="2">
        <v>41400003</v>
      </c>
      <c r="C7" s="9">
        <v>12647.349999999997</v>
      </c>
      <c r="D7" s="9">
        <f t="shared" si="0"/>
        <v>2213.2862499999992</v>
      </c>
      <c r="F7" s="9">
        <v>13208.78</v>
      </c>
      <c r="H7" s="2">
        <v>41400003</v>
      </c>
      <c r="I7" s="9">
        <f t="shared" si="1"/>
        <v>-561.43000000000393</v>
      </c>
    </row>
    <row r="8" spans="2:9" x14ac:dyDescent="0.3">
      <c r="B8" s="2">
        <v>41400004</v>
      </c>
      <c r="C8" s="9">
        <v>35651.719999999994</v>
      </c>
      <c r="D8" s="9">
        <f t="shared" si="0"/>
        <v>6239.0509999999986</v>
      </c>
      <c r="F8" s="9">
        <v>30603.49</v>
      </c>
      <c r="H8" s="2">
        <v>41400004</v>
      </c>
      <c r="I8" s="9">
        <f t="shared" si="1"/>
        <v>5048.2299999999923</v>
      </c>
    </row>
    <row r="9" spans="2:9" x14ac:dyDescent="0.3">
      <c r="B9" s="2">
        <v>41400005</v>
      </c>
      <c r="C9" s="9">
        <v>953.91000000000008</v>
      </c>
      <c r="D9" s="9">
        <f t="shared" si="0"/>
        <v>166.93424999999999</v>
      </c>
      <c r="F9" s="9">
        <v>569.29999999999995</v>
      </c>
      <c r="H9" s="2">
        <v>41400005</v>
      </c>
      <c r="I9" s="9">
        <f t="shared" si="1"/>
        <v>384.61000000000013</v>
      </c>
    </row>
    <row r="10" spans="2:9" x14ac:dyDescent="0.3">
      <c r="B10" s="2">
        <v>41400006</v>
      </c>
      <c r="C10" s="9">
        <v>2008.7800000000002</v>
      </c>
      <c r="D10" s="9">
        <f t="shared" si="0"/>
        <v>351.53649999999999</v>
      </c>
      <c r="F10" s="9">
        <v>2433.04</v>
      </c>
      <c r="H10" s="2">
        <v>41400006</v>
      </c>
      <c r="I10" s="9">
        <f t="shared" si="1"/>
        <v>-424.25999999999976</v>
      </c>
    </row>
    <row r="11" spans="2:9" x14ac:dyDescent="0.3">
      <c r="B11" s="2">
        <v>41400007</v>
      </c>
      <c r="C11" s="9">
        <v>3829.8299999999995</v>
      </c>
      <c r="D11" s="9">
        <f t="shared" si="0"/>
        <v>670.22024999999985</v>
      </c>
      <c r="F11" s="9">
        <v>3930.29</v>
      </c>
      <c r="H11" s="2">
        <v>41400007</v>
      </c>
      <c r="I11" s="9">
        <f t="shared" si="1"/>
        <v>-100.46000000000049</v>
      </c>
    </row>
    <row r="12" spans="2:9" x14ac:dyDescent="0.3">
      <c r="B12" s="2">
        <v>41400008</v>
      </c>
      <c r="C12" s="9">
        <v>6091.2300000000005</v>
      </c>
      <c r="D12" s="9">
        <f t="shared" si="0"/>
        <v>1065.96525</v>
      </c>
      <c r="F12" s="9">
        <v>4155.3999999999996</v>
      </c>
      <c r="H12" s="2">
        <v>41400008</v>
      </c>
      <c r="I12" s="9">
        <f t="shared" si="1"/>
        <v>1935.8300000000008</v>
      </c>
    </row>
    <row r="13" spans="2:9" x14ac:dyDescent="0.3">
      <c r="B13" s="2">
        <v>41400009</v>
      </c>
      <c r="C13" s="9">
        <v>3095.8999999999996</v>
      </c>
      <c r="D13" s="9">
        <f t="shared" si="0"/>
        <v>541.78249999999991</v>
      </c>
      <c r="F13" s="9">
        <v>3064.22</v>
      </c>
      <c r="H13" s="2">
        <v>41400009</v>
      </c>
      <c r="I13" s="9">
        <f t="shared" si="1"/>
        <v>31.679999999999836</v>
      </c>
    </row>
    <row r="14" spans="2:9" x14ac:dyDescent="0.3">
      <c r="B14" s="2">
        <v>41400010</v>
      </c>
      <c r="C14" s="9">
        <v>2087.9100000000003</v>
      </c>
      <c r="D14" s="9">
        <f t="shared" si="0"/>
        <v>365.38425000000001</v>
      </c>
      <c r="F14" s="9">
        <v>2255.04</v>
      </c>
      <c r="H14" s="2">
        <v>41400010</v>
      </c>
      <c r="I14" s="9">
        <f t="shared" si="1"/>
        <v>-167.12999999999965</v>
      </c>
    </row>
    <row r="15" spans="2:9" x14ac:dyDescent="0.3">
      <c r="B15" s="2">
        <v>41400011</v>
      </c>
      <c r="C15" s="9">
        <v>3639.1500000000005</v>
      </c>
      <c r="D15" s="9">
        <f t="shared" si="0"/>
        <v>636.85125000000005</v>
      </c>
      <c r="F15" s="9">
        <v>4027.85</v>
      </c>
      <c r="H15" s="2">
        <v>41400011</v>
      </c>
      <c r="I15" s="9">
        <f t="shared" si="1"/>
        <v>-388.69999999999936</v>
      </c>
    </row>
    <row r="16" spans="2:9" x14ac:dyDescent="0.3">
      <c r="B16" s="2">
        <v>41400012</v>
      </c>
      <c r="C16" s="9">
        <v>4081.5199999999995</v>
      </c>
      <c r="D16" s="9">
        <f t="shared" si="0"/>
        <v>714.26599999999985</v>
      </c>
      <c r="F16" s="9">
        <v>4213.32</v>
      </c>
      <c r="H16" s="2">
        <v>41400012</v>
      </c>
      <c r="I16" s="9">
        <f t="shared" si="1"/>
        <v>-131.80000000000018</v>
      </c>
    </row>
    <row r="17" spans="2:9" x14ac:dyDescent="0.3">
      <c r="B17" s="2">
        <v>41400013</v>
      </c>
      <c r="C17" s="9">
        <v>3691.8999999999992</v>
      </c>
      <c r="D17" s="9">
        <f t="shared" si="0"/>
        <v>646.08249999999987</v>
      </c>
      <c r="F17" s="9">
        <v>4005.89</v>
      </c>
      <c r="H17" s="2">
        <v>41400013</v>
      </c>
      <c r="I17" s="9">
        <f t="shared" si="1"/>
        <v>-313.99000000000069</v>
      </c>
    </row>
    <row r="18" spans="2:9" x14ac:dyDescent="0.3">
      <c r="B18" s="2">
        <v>41400014</v>
      </c>
      <c r="C18" s="9">
        <v>4914.3</v>
      </c>
      <c r="D18" s="9">
        <f t="shared" si="0"/>
        <v>860.00249999999994</v>
      </c>
      <c r="F18" s="9">
        <v>4876.26</v>
      </c>
      <c r="H18" s="2">
        <v>41400014</v>
      </c>
      <c r="I18" s="9">
        <f t="shared" si="1"/>
        <v>38.039999999999964</v>
      </c>
    </row>
    <row r="19" spans="2:9" x14ac:dyDescent="0.3">
      <c r="B19" s="2">
        <v>41400017</v>
      </c>
      <c r="C19" s="9">
        <v>531.87</v>
      </c>
      <c r="D19" s="9">
        <f t="shared" si="0"/>
        <v>93.077249999999992</v>
      </c>
      <c r="F19" s="9">
        <v>457.18</v>
      </c>
      <c r="H19" s="2">
        <v>41400017</v>
      </c>
      <c r="I19" s="9">
        <f t="shared" si="1"/>
        <v>74.69</v>
      </c>
    </row>
    <row r="20" spans="2:9" x14ac:dyDescent="0.3">
      <c r="B20" s="2">
        <v>41400021</v>
      </c>
      <c r="C20" s="9">
        <v>4037.67</v>
      </c>
      <c r="D20" s="9">
        <f t="shared" si="0"/>
        <v>706.59224999999992</v>
      </c>
      <c r="F20" s="9">
        <v>4039.08</v>
      </c>
      <c r="H20" s="2">
        <v>41400021</v>
      </c>
      <c r="I20" s="9">
        <f t="shared" si="1"/>
        <v>-1.4099999999998545</v>
      </c>
    </row>
    <row r="21" spans="2:9" x14ac:dyDescent="0.3">
      <c r="B21" s="2">
        <v>41400022</v>
      </c>
      <c r="C21" s="9">
        <v>792.53</v>
      </c>
      <c r="D21" s="9">
        <f t="shared" si="0"/>
        <v>138.69274999999999</v>
      </c>
      <c r="F21" s="9">
        <v>994.32</v>
      </c>
      <c r="H21" s="2">
        <v>41400022</v>
      </c>
      <c r="I21" s="9">
        <f t="shared" si="1"/>
        <v>-201.79000000000008</v>
      </c>
    </row>
    <row r="22" spans="2:9" x14ac:dyDescent="0.3">
      <c r="B22" s="2">
        <v>41400023</v>
      </c>
      <c r="C22" s="9">
        <v>454.59</v>
      </c>
      <c r="D22" s="9">
        <f t="shared" si="0"/>
        <v>79.553249999999991</v>
      </c>
      <c r="F22" s="9">
        <v>477.71</v>
      </c>
      <c r="H22" s="2">
        <v>41400023</v>
      </c>
      <c r="I22" s="9">
        <f t="shared" si="1"/>
        <v>-23.120000000000005</v>
      </c>
    </row>
    <row r="23" spans="2:9" x14ac:dyDescent="0.3">
      <c r="B23" s="2">
        <v>41400024</v>
      </c>
      <c r="C23" s="9">
        <v>1945.1</v>
      </c>
      <c r="D23" s="9">
        <f t="shared" si="0"/>
        <v>340.39249999999998</v>
      </c>
      <c r="F23" s="9">
        <v>1628.53</v>
      </c>
      <c r="H23" s="2">
        <v>41400024</v>
      </c>
      <c r="I23" s="9">
        <f t="shared" si="1"/>
        <v>316.56999999999994</v>
      </c>
    </row>
    <row r="24" spans="2:9" x14ac:dyDescent="0.3">
      <c r="B24" s="2">
        <v>41400025</v>
      </c>
      <c r="C24" s="9">
        <v>372.25</v>
      </c>
      <c r="D24" s="9">
        <f t="shared" si="0"/>
        <v>65.143749999999997</v>
      </c>
      <c r="F24" s="9">
        <v>461.64</v>
      </c>
      <c r="H24" s="2">
        <v>41400025</v>
      </c>
      <c r="I24" s="9">
        <f t="shared" si="1"/>
        <v>-89.389999999999986</v>
      </c>
    </row>
    <row r="25" spans="2:9" x14ac:dyDescent="0.3">
      <c r="B25" s="2">
        <v>41400078</v>
      </c>
      <c r="C25" s="9">
        <v>1284.45</v>
      </c>
      <c r="D25" s="9">
        <f t="shared" si="0"/>
        <v>224.77875</v>
      </c>
      <c r="F25" s="9">
        <v>814.15</v>
      </c>
      <c r="H25" s="2">
        <v>41400078</v>
      </c>
      <c r="I25" s="9">
        <f t="shared" si="1"/>
        <v>470.30000000000007</v>
      </c>
    </row>
    <row r="26" spans="2:9" x14ac:dyDescent="0.3">
      <c r="B26" s="2">
        <v>41400079</v>
      </c>
      <c r="C26" s="9">
        <v>417.53</v>
      </c>
      <c r="D26" s="9">
        <f t="shared" si="0"/>
        <v>73.06774999999999</v>
      </c>
      <c r="F26" s="9">
        <v>420.22</v>
      </c>
      <c r="H26" s="2">
        <v>41400079</v>
      </c>
      <c r="I26" s="9">
        <f t="shared" si="1"/>
        <v>-2.6900000000000546</v>
      </c>
    </row>
    <row r="27" spans="2:9" ht="16.2" x14ac:dyDescent="0.45">
      <c r="B27" s="15">
        <v>0</v>
      </c>
      <c r="C27" s="15">
        <v>0</v>
      </c>
      <c r="D27" s="9">
        <f t="shared" si="0"/>
        <v>0</v>
      </c>
      <c r="H27" s="15"/>
      <c r="I27" s="9"/>
    </row>
    <row r="28" spans="2:9" x14ac:dyDescent="0.3">
      <c r="B28" s="14" t="s">
        <v>62</v>
      </c>
      <c r="C28" s="9">
        <v>131166.22999999998</v>
      </c>
      <c r="D28" s="9">
        <f t="shared" si="0"/>
        <v>22954.090249999994</v>
      </c>
      <c r="F28" s="9"/>
      <c r="H28" s="14"/>
      <c r="I28" s="1">
        <f>SUM(I5:I27)</f>
        <v>3150.3499999999904</v>
      </c>
    </row>
    <row r="29" spans="2:9" x14ac:dyDescent="0.3">
      <c r="F29" s="9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2:F30"/>
  <sheetViews>
    <sheetView zoomScale="75" zoomScaleNormal="75" workbookViewId="0">
      <selection activeCell="K27" sqref="K27"/>
    </sheetView>
  </sheetViews>
  <sheetFormatPr defaultRowHeight="13.2" x14ac:dyDescent="0.25"/>
  <cols>
    <col min="3" max="3" width="11.5546875" customWidth="1"/>
  </cols>
  <sheetData>
    <row r="2" spans="2:6" ht="14.4" x14ac:dyDescent="0.3">
      <c r="B2" s="3"/>
      <c r="C2" s="3"/>
      <c r="D2" s="3"/>
      <c r="E2" s="3"/>
      <c r="F2" s="3"/>
    </row>
    <row r="3" spans="2:6" ht="14.4" x14ac:dyDescent="0.3">
      <c r="B3" s="2"/>
      <c r="C3" s="2"/>
      <c r="D3" s="9"/>
      <c r="E3" s="9"/>
      <c r="F3" s="9"/>
    </row>
    <row r="4" spans="2:6" ht="14.4" x14ac:dyDescent="0.3">
      <c r="B4" s="2"/>
      <c r="C4" s="2"/>
      <c r="D4" s="9"/>
      <c r="E4" s="9"/>
      <c r="F4" s="9"/>
    </row>
    <row r="5" spans="2:6" ht="14.4" x14ac:dyDescent="0.3">
      <c r="B5" s="2"/>
      <c r="C5" s="2"/>
      <c r="D5" s="9"/>
      <c r="E5" s="9"/>
      <c r="F5" s="9"/>
    </row>
    <row r="6" spans="2:6" ht="14.4" x14ac:dyDescent="0.3">
      <c r="B6" s="2"/>
      <c r="C6" s="2"/>
      <c r="D6" s="9"/>
      <c r="E6" s="9"/>
      <c r="F6" s="9"/>
    </row>
    <row r="7" spans="2:6" ht="14.4" x14ac:dyDescent="0.3">
      <c r="B7" s="2"/>
      <c r="C7" s="2"/>
      <c r="D7" s="9"/>
      <c r="E7" s="9"/>
      <c r="F7" s="9"/>
    </row>
    <row r="8" spans="2:6" ht="14.4" x14ac:dyDescent="0.3">
      <c r="B8" s="2"/>
      <c r="C8" s="2"/>
      <c r="D8" s="9"/>
      <c r="E8" s="9"/>
      <c r="F8" s="9"/>
    </row>
    <row r="9" spans="2:6" ht="14.4" x14ac:dyDescent="0.3">
      <c r="B9" s="2"/>
      <c r="C9" s="2"/>
      <c r="D9" s="9"/>
      <c r="E9" s="9"/>
      <c r="F9" s="9"/>
    </row>
    <row r="10" spans="2:6" ht="14.4" x14ac:dyDescent="0.3">
      <c r="B10" s="2"/>
      <c r="C10" s="2"/>
      <c r="D10" s="9"/>
      <c r="E10" s="9"/>
      <c r="F10" s="9"/>
    </row>
    <row r="11" spans="2:6" ht="14.4" x14ac:dyDescent="0.3">
      <c r="B11" s="2"/>
      <c r="C11" s="2"/>
      <c r="D11" s="9"/>
      <c r="E11" s="9"/>
      <c r="F11" s="9"/>
    </row>
    <row r="12" spans="2:6" ht="14.4" x14ac:dyDescent="0.3">
      <c r="B12" s="2"/>
      <c r="C12" s="2"/>
      <c r="D12" s="9"/>
      <c r="E12" s="9"/>
      <c r="F12" s="9"/>
    </row>
    <row r="13" spans="2:6" ht="14.4" x14ac:dyDescent="0.3">
      <c r="B13" s="2"/>
      <c r="C13" s="2"/>
      <c r="D13" s="9"/>
      <c r="E13" s="9"/>
      <c r="F13" s="9"/>
    </row>
    <row r="14" spans="2:6" ht="14.4" x14ac:dyDescent="0.3">
      <c r="B14" s="2"/>
      <c r="C14" s="2"/>
      <c r="D14" s="9"/>
      <c r="E14" s="9"/>
      <c r="F14" s="9"/>
    </row>
    <row r="15" spans="2:6" ht="14.4" x14ac:dyDescent="0.3">
      <c r="B15" s="2"/>
      <c r="C15" s="2"/>
      <c r="D15" s="9"/>
      <c r="E15" s="9"/>
      <c r="F15" s="9"/>
    </row>
    <row r="16" spans="2:6" ht="14.4" x14ac:dyDescent="0.3">
      <c r="B16" s="2"/>
      <c r="C16" s="2"/>
      <c r="D16" s="9"/>
      <c r="E16" s="9"/>
      <c r="F16" s="9"/>
    </row>
    <row r="17" spans="2:6" ht="14.4" x14ac:dyDescent="0.3">
      <c r="B17" s="2"/>
      <c r="C17" s="2"/>
      <c r="D17" s="9"/>
      <c r="E17" s="9"/>
      <c r="F17" s="9"/>
    </row>
    <row r="18" spans="2:6" ht="14.4" x14ac:dyDescent="0.3">
      <c r="B18" s="2"/>
      <c r="C18" s="2"/>
      <c r="D18" s="9"/>
      <c r="E18" s="9"/>
      <c r="F18" s="9"/>
    </row>
    <row r="19" spans="2:6" ht="14.4" x14ac:dyDescent="0.3">
      <c r="B19" s="2"/>
      <c r="C19" s="2"/>
      <c r="D19" s="9"/>
      <c r="E19" s="9"/>
      <c r="F19" s="9"/>
    </row>
    <row r="20" spans="2:6" ht="14.4" x14ac:dyDescent="0.3">
      <c r="B20" s="2"/>
      <c r="C20" s="2"/>
      <c r="D20" s="9"/>
      <c r="E20" s="9"/>
      <c r="F20" s="9"/>
    </row>
    <row r="21" spans="2:6" ht="14.4" x14ac:dyDescent="0.3">
      <c r="B21" s="2"/>
      <c r="C21" s="2"/>
      <c r="D21" s="9"/>
      <c r="E21" s="9"/>
      <c r="F21" s="9"/>
    </row>
    <row r="22" spans="2:6" ht="14.4" x14ac:dyDescent="0.3">
      <c r="B22" s="2"/>
      <c r="C22" s="2"/>
      <c r="D22" s="9"/>
      <c r="E22" s="9"/>
      <c r="F22" s="9"/>
    </row>
    <row r="23" spans="2:6" ht="14.4" x14ac:dyDescent="0.3">
      <c r="B23" s="2"/>
      <c r="C23" s="2"/>
      <c r="D23" s="9"/>
      <c r="E23" s="9"/>
      <c r="F23" s="9"/>
    </row>
    <row r="24" spans="2:6" ht="14.4" x14ac:dyDescent="0.3">
      <c r="B24" s="2"/>
      <c r="C24" s="2"/>
      <c r="D24" s="9"/>
      <c r="E24" s="9"/>
      <c r="F24" s="9"/>
    </row>
    <row r="25" spans="2:6" ht="14.4" x14ac:dyDescent="0.3">
      <c r="B25" s="2"/>
      <c r="C25" s="2"/>
      <c r="D25" s="9"/>
      <c r="E25" s="9"/>
      <c r="F25" s="9"/>
    </row>
    <row r="26" spans="2:6" ht="14.4" x14ac:dyDescent="0.3">
      <c r="B26" s="2"/>
      <c r="C26" s="2"/>
      <c r="D26" s="9"/>
      <c r="E26" s="9"/>
      <c r="F26" s="9"/>
    </row>
    <row r="27" spans="2:6" ht="14.4" x14ac:dyDescent="0.3">
      <c r="B27" s="2"/>
      <c r="C27" s="2"/>
      <c r="D27" s="9"/>
      <c r="E27" s="9"/>
      <c r="F27" s="9"/>
    </row>
    <row r="28" spans="2:6" ht="14.4" x14ac:dyDescent="0.3">
      <c r="B28" s="2"/>
      <c r="C28" s="2"/>
      <c r="D28" s="9"/>
      <c r="E28" s="9"/>
      <c r="F28" s="9"/>
    </row>
    <row r="29" spans="2:6" ht="14.4" x14ac:dyDescent="0.3">
      <c r="B29" s="2"/>
      <c r="C29" s="2"/>
      <c r="D29" s="9"/>
      <c r="E29" s="9"/>
      <c r="F29" s="9"/>
    </row>
    <row r="30" spans="2:6" ht="14.4" x14ac:dyDescent="0.3">
      <c r="B30" s="2"/>
      <c r="C30" s="2"/>
      <c r="D30" s="9"/>
      <c r="E30" s="9"/>
      <c r="F30" s="9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325"/>
  <sheetViews>
    <sheetView topLeftCell="A280" workbookViewId="0">
      <selection sqref="A1:B325"/>
    </sheetView>
  </sheetViews>
  <sheetFormatPr defaultRowHeight="13.2" x14ac:dyDescent="0.25"/>
  <sheetData>
    <row r="1" spans="1:2" x14ac:dyDescent="0.25">
      <c r="A1">
        <v>5175799</v>
      </c>
      <c r="B1">
        <v>41400001</v>
      </c>
    </row>
    <row r="2" spans="1:2" x14ac:dyDescent="0.25">
      <c r="A2">
        <v>6003738</v>
      </c>
      <c r="B2">
        <v>41400001</v>
      </c>
    </row>
    <row r="3" spans="1:2" x14ac:dyDescent="0.25">
      <c r="A3">
        <v>5988313</v>
      </c>
      <c r="B3">
        <v>41400001</v>
      </c>
    </row>
    <row r="4" spans="1:2" x14ac:dyDescent="0.25">
      <c r="A4">
        <v>6084232</v>
      </c>
      <c r="B4">
        <v>41400001</v>
      </c>
    </row>
    <row r="5" spans="1:2" x14ac:dyDescent="0.25">
      <c r="A5">
        <v>6042565</v>
      </c>
      <c r="B5">
        <v>41400001</v>
      </c>
    </row>
    <row r="6" spans="1:2" x14ac:dyDescent="0.25">
      <c r="A6">
        <v>5077602</v>
      </c>
      <c r="B6">
        <v>41400001</v>
      </c>
    </row>
    <row r="7" spans="1:2" x14ac:dyDescent="0.25">
      <c r="A7">
        <v>5972790</v>
      </c>
      <c r="B7">
        <v>41400001</v>
      </c>
    </row>
    <row r="8" spans="1:2" x14ac:dyDescent="0.25">
      <c r="A8">
        <v>5056063</v>
      </c>
      <c r="B8">
        <v>41400001</v>
      </c>
    </row>
    <row r="9" spans="1:2" x14ac:dyDescent="0.25">
      <c r="A9">
        <v>6084355</v>
      </c>
      <c r="B9">
        <v>41400001</v>
      </c>
    </row>
    <row r="10" spans="1:2" x14ac:dyDescent="0.25">
      <c r="A10">
        <v>6085093</v>
      </c>
      <c r="B10">
        <v>41400001</v>
      </c>
    </row>
    <row r="11" spans="1:2" x14ac:dyDescent="0.25">
      <c r="A11">
        <v>5178623</v>
      </c>
      <c r="B11">
        <v>41400002</v>
      </c>
    </row>
    <row r="12" spans="1:2" x14ac:dyDescent="0.25">
      <c r="A12">
        <v>5997477</v>
      </c>
      <c r="B12">
        <v>41400002</v>
      </c>
    </row>
    <row r="13" spans="1:2" x14ac:dyDescent="0.25">
      <c r="A13">
        <v>6015047</v>
      </c>
      <c r="B13">
        <v>41400002</v>
      </c>
    </row>
    <row r="14" spans="1:2" x14ac:dyDescent="0.25">
      <c r="A14">
        <v>5108591</v>
      </c>
      <c r="B14">
        <v>41400002</v>
      </c>
    </row>
    <row r="15" spans="1:2" x14ac:dyDescent="0.25">
      <c r="A15">
        <v>5959358</v>
      </c>
      <c r="B15">
        <v>41400002</v>
      </c>
    </row>
    <row r="16" spans="1:2" x14ac:dyDescent="0.25">
      <c r="A16">
        <v>6036704</v>
      </c>
      <c r="B16">
        <v>41400002</v>
      </c>
    </row>
    <row r="17" spans="1:2" x14ac:dyDescent="0.25">
      <c r="A17">
        <v>5144687</v>
      </c>
      <c r="B17">
        <v>41400002</v>
      </c>
    </row>
    <row r="18" spans="1:2" x14ac:dyDescent="0.25">
      <c r="A18">
        <v>5997476</v>
      </c>
      <c r="B18">
        <v>41400002</v>
      </c>
    </row>
    <row r="19" spans="1:2" x14ac:dyDescent="0.25">
      <c r="A19">
        <v>5939163</v>
      </c>
      <c r="B19">
        <v>41400002</v>
      </c>
    </row>
    <row r="20" spans="1:2" x14ac:dyDescent="0.25">
      <c r="A20">
        <v>5945178</v>
      </c>
      <c r="B20">
        <v>41400002</v>
      </c>
    </row>
    <row r="21" spans="1:2" x14ac:dyDescent="0.25">
      <c r="A21">
        <v>5144876</v>
      </c>
      <c r="B21">
        <v>41400002</v>
      </c>
    </row>
    <row r="22" spans="1:2" x14ac:dyDescent="0.25">
      <c r="A22">
        <v>5011524</v>
      </c>
      <c r="B22">
        <v>41400002</v>
      </c>
    </row>
    <row r="23" spans="1:2" x14ac:dyDescent="0.25">
      <c r="A23">
        <v>5939178</v>
      </c>
      <c r="B23">
        <v>41400002</v>
      </c>
    </row>
    <row r="24" spans="1:2" x14ac:dyDescent="0.25">
      <c r="A24">
        <v>5039806</v>
      </c>
      <c r="B24">
        <v>41400002</v>
      </c>
    </row>
    <row r="25" spans="1:2" x14ac:dyDescent="0.25">
      <c r="A25">
        <v>5038224</v>
      </c>
      <c r="B25">
        <v>41400002</v>
      </c>
    </row>
    <row r="26" spans="1:2" x14ac:dyDescent="0.25">
      <c r="A26">
        <v>5039125</v>
      </c>
      <c r="B26">
        <v>41400002</v>
      </c>
    </row>
    <row r="27" spans="1:2" x14ac:dyDescent="0.25">
      <c r="A27">
        <v>5066846</v>
      </c>
      <c r="B27">
        <v>41400002</v>
      </c>
    </row>
    <row r="28" spans="1:2" x14ac:dyDescent="0.25">
      <c r="A28">
        <v>6044006</v>
      </c>
      <c r="B28">
        <v>41400002</v>
      </c>
    </row>
    <row r="29" spans="1:2" x14ac:dyDescent="0.25">
      <c r="A29">
        <v>6044004</v>
      </c>
      <c r="B29">
        <v>41400002</v>
      </c>
    </row>
    <row r="30" spans="1:2" x14ac:dyDescent="0.25">
      <c r="A30">
        <v>5039970</v>
      </c>
      <c r="B30">
        <v>41400002</v>
      </c>
    </row>
    <row r="31" spans="1:2" x14ac:dyDescent="0.25">
      <c r="A31">
        <v>5144853</v>
      </c>
      <c r="B31">
        <v>41400002</v>
      </c>
    </row>
    <row r="32" spans="1:2" x14ac:dyDescent="0.25">
      <c r="A32">
        <v>5013675</v>
      </c>
      <c r="B32">
        <v>41400002</v>
      </c>
    </row>
    <row r="33" spans="1:2" x14ac:dyDescent="0.25">
      <c r="A33">
        <v>5040545</v>
      </c>
      <c r="B33">
        <v>41400002</v>
      </c>
    </row>
    <row r="34" spans="1:2" x14ac:dyDescent="0.25">
      <c r="A34">
        <v>5994632</v>
      </c>
      <c r="B34">
        <v>41400002</v>
      </c>
    </row>
    <row r="35" spans="1:2" x14ac:dyDescent="0.25">
      <c r="A35">
        <v>6036709</v>
      </c>
      <c r="B35">
        <v>41400002</v>
      </c>
    </row>
    <row r="36" spans="1:2" x14ac:dyDescent="0.25">
      <c r="A36">
        <v>5063743</v>
      </c>
      <c r="B36">
        <v>41400002</v>
      </c>
    </row>
    <row r="37" spans="1:2" x14ac:dyDescent="0.25">
      <c r="A37">
        <v>5063145</v>
      </c>
      <c r="B37">
        <v>41400002</v>
      </c>
    </row>
    <row r="38" spans="1:2" x14ac:dyDescent="0.25">
      <c r="A38">
        <v>5098467</v>
      </c>
      <c r="B38">
        <v>41400002</v>
      </c>
    </row>
    <row r="39" spans="1:2" x14ac:dyDescent="0.25">
      <c r="A39">
        <v>5039790</v>
      </c>
      <c r="B39">
        <v>41400002</v>
      </c>
    </row>
    <row r="40" spans="1:2" x14ac:dyDescent="0.25">
      <c r="A40">
        <v>5159581</v>
      </c>
      <c r="B40">
        <v>41400002</v>
      </c>
    </row>
    <row r="41" spans="1:2" x14ac:dyDescent="0.25">
      <c r="A41">
        <v>5945188</v>
      </c>
      <c r="B41">
        <v>41400002</v>
      </c>
    </row>
    <row r="42" spans="1:2" x14ac:dyDescent="0.25">
      <c r="A42">
        <v>6012624</v>
      </c>
      <c r="B42">
        <v>41400002</v>
      </c>
    </row>
    <row r="43" spans="1:2" x14ac:dyDescent="0.25">
      <c r="A43">
        <v>5040261</v>
      </c>
      <c r="B43">
        <v>41400002</v>
      </c>
    </row>
    <row r="44" spans="1:2" x14ac:dyDescent="0.25">
      <c r="A44">
        <v>6036700</v>
      </c>
      <c r="B44">
        <v>41400002</v>
      </c>
    </row>
    <row r="45" spans="1:2" x14ac:dyDescent="0.25">
      <c r="A45">
        <v>5040169</v>
      </c>
      <c r="B45">
        <v>41400002</v>
      </c>
    </row>
    <row r="46" spans="1:2" x14ac:dyDescent="0.25">
      <c r="A46">
        <v>5144824</v>
      </c>
      <c r="B46">
        <v>41400002</v>
      </c>
    </row>
    <row r="47" spans="1:2" x14ac:dyDescent="0.25">
      <c r="A47">
        <v>5144985</v>
      </c>
      <c r="B47">
        <v>41400002</v>
      </c>
    </row>
    <row r="48" spans="1:2" x14ac:dyDescent="0.25">
      <c r="A48">
        <v>5941717</v>
      </c>
      <c r="B48">
        <v>41400002</v>
      </c>
    </row>
    <row r="49" spans="1:2" x14ac:dyDescent="0.25">
      <c r="A49">
        <v>5144828</v>
      </c>
      <c r="B49">
        <v>41400002</v>
      </c>
    </row>
    <row r="50" spans="1:2" x14ac:dyDescent="0.25">
      <c r="A50">
        <v>5941723</v>
      </c>
      <c r="B50">
        <v>41400002</v>
      </c>
    </row>
    <row r="51" spans="1:2" x14ac:dyDescent="0.25">
      <c r="A51">
        <v>5036204</v>
      </c>
      <c r="B51">
        <v>41400002</v>
      </c>
    </row>
    <row r="52" spans="1:2" x14ac:dyDescent="0.25">
      <c r="A52">
        <v>5040465</v>
      </c>
      <c r="B52">
        <v>41400002</v>
      </c>
    </row>
    <row r="53" spans="1:2" x14ac:dyDescent="0.25">
      <c r="A53">
        <v>5039346</v>
      </c>
      <c r="B53">
        <v>41400002</v>
      </c>
    </row>
    <row r="54" spans="1:2" x14ac:dyDescent="0.25">
      <c r="A54">
        <v>5038990</v>
      </c>
      <c r="B54">
        <v>41400002</v>
      </c>
    </row>
    <row r="55" spans="1:2" x14ac:dyDescent="0.25">
      <c r="A55">
        <v>6015039</v>
      </c>
      <c r="B55">
        <v>41400002</v>
      </c>
    </row>
    <row r="56" spans="1:2" x14ac:dyDescent="0.25">
      <c r="A56">
        <v>6040254</v>
      </c>
      <c r="B56">
        <v>41400002</v>
      </c>
    </row>
    <row r="57" spans="1:2" x14ac:dyDescent="0.25">
      <c r="A57">
        <v>5158520</v>
      </c>
      <c r="B57">
        <v>41400002</v>
      </c>
    </row>
    <row r="58" spans="1:2" x14ac:dyDescent="0.25">
      <c r="A58">
        <v>5038564</v>
      </c>
      <c r="B58">
        <v>41400002</v>
      </c>
    </row>
    <row r="59" spans="1:2" x14ac:dyDescent="0.25">
      <c r="A59">
        <v>5143758</v>
      </c>
      <c r="B59">
        <v>41400002</v>
      </c>
    </row>
    <row r="60" spans="1:2" x14ac:dyDescent="0.25">
      <c r="A60">
        <v>5040650</v>
      </c>
      <c r="B60">
        <v>41400002</v>
      </c>
    </row>
    <row r="61" spans="1:2" x14ac:dyDescent="0.25">
      <c r="A61">
        <v>5994618</v>
      </c>
      <c r="B61">
        <v>41400002</v>
      </c>
    </row>
    <row r="62" spans="1:2" x14ac:dyDescent="0.25">
      <c r="A62">
        <v>5950839</v>
      </c>
      <c r="B62">
        <v>41400002</v>
      </c>
    </row>
    <row r="63" spans="1:2" x14ac:dyDescent="0.25">
      <c r="A63">
        <v>5108627</v>
      </c>
      <c r="B63">
        <v>41400002</v>
      </c>
    </row>
    <row r="64" spans="1:2" x14ac:dyDescent="0.25">
      <c r="A64">
        <v>6038871</v>
      </c>
      <c r="B64">
        <v>41400002</v>
      </c>
    </row>
    <row r="65" spans="1:2" x14ac:dyDescent="0.25">
      <c r="A65">
        <v>5040573</v>
      </c>
      <c r="B65">
        <v>41400002</v>
      </c>
    </row>
    <row r="66" spans="1:2" x14ac:dyDescent="0.25">
      <c r="A66">
        <v>5973273</v>
      </c>
      <c r="B66">
        <v>41400002</v>
      </c>
    </row>
    <row r="67" spans="1:2" x14ac:dyDescent="0.25">
      <c r="A67">
        <v>5057021</v>
      </c>
      <c r="B67">
        <v>41400002</v>
      </c>
    </row>
    <row r="68" spans="1:2" x14ac:dyDescent="0.25">
      <c r="A68">
        <v>5972129</v>
      </c>
      <c r="B68">
        <v>41400002</v>
      </c>
    </row>
    <row r="69" spans="1:2" x14ac:dyDescent="0.25">
      <c r="A69">
        <v>5959355</v>
      </c>
      <c r="B69">
        <v>41400002</v>
      </c>
    </row>
    <row r="70" spans="1:2" x14ac:dyDescent="0.25">
      <c r="A70">
        <v>5994633</v>
      </c>
      <c r="B70">
        <v>41400002</v>
      </c>
    </row>
    <row r="71" spans="1:2" x14ac:dyDescent="0.25">
      <c r="A71">
        <v>5031890</v>
      </c>
      <c r="B71">
        <v>41400002</v>
      </c>
    </row>
    <row r="72" spans="1:2" x14ac:dyDescent="0.25">
      <c r="A72">
        <v>5048618</v>
      </c>
      <c r="B72">
        <v>41400002</v>
      </c>
    </row>
    <row r="73" spans="1:2" x14ac:dyDescent="0.25">
      <c r="A73">
        <v>5994630</v>
      </c>
      <c r="B73">
        <v>41400002</v>
      </c>
    </row>
    <row r="74" spans="1:2" x14ac:dyDescent="0.25">
      <c r="A74">
        <v>5994617</v>
      </c>
      <c r="B74">
        <v>41400002</v>
      </c>
    </row>
    <row r="75" spans="1:2" x14ac:dyDescent="0.25">
      <c r="A75">
        <v>5108151</v>
      </c>
      <c r="B75">
        <v>41400002</v>
      </c>
    </row>
    <row r="76" spans="1:2" x14ac:dyDescent="0.25">
      <c r="A76">
        <v>6087518</v>
      </c>
      <c r="B76">
        <v>41400002</v>
      </c>
    </row>
    <row r="77" spans="1:2" x14ac:dyDescent="0.25">
      <c r="A77">
        <v>5954459</v>
      </c>
      <c r="B77">
        <v>41400002</v>
      </c>
    </row>
    <row r="78" spans="1:2" x14ac:dyDescent="0.25">
      <c r="A78">
        <v>5057156</v>
      </c>
      <c r="B78">
        <v>41400002</v>
      </c>
    </row>
    <row r="79" spans="1:2" x14ac:dyDescent="0.25">
      <c r="A79">
        <v>6038806</v>
      </c>
      <c r="B79">
        <v>41400002</v>
      </c>
    </row>
    <row r="80" spans="1:2" x14ac:dyDescent="0.25">
      <c r="A80">
        <v>5939172</v>
      </c>
      <c r="B80">
        <v>41400002</v>
      </c>
    </row>
    <row r="81" spans="1:2" x14ac:dyDescent="0.25">
      <c r="A81">
        <v>5108699</v>
      </c>
      <c r="B81">
        <v>41400002</v>
      </c>
    </row>
    <row r="82" spans="1:2" x14ac:dyDescent="0.25">
      <c r="A82">
        <v>5108652</v>
      </c>
      <c r="B82">
        <v>41400002</v>
      </c>
    </row>
    <row r="83" spans="1:2" x14ac:dyDescent="0.25">
      <c r="A83">
        <v>5994620</v>
      </c>
      <c r="B83">
        <v>41400002</v>
      </c>
    </row>
    <row r="84" spans="1:2" x14ac:dyDescent="0.25">
      <c r="A84">
        <v>5994627</v>
      </c>
      <c r="B84">
        <v>41400002</v>
      </c>
    </row>
    <row r="85" spans="1:2" x14ac:dyDescent="0.25">
      <c r="A85">
        <v>5066181</v>
      </c>
      <c r="B85">
        <v>41400002</v>
      </c>
    </row>
    <row r="86" spans="1:2" x14ac:dyDescent="0.25">
      <c r="A86">
        <v>5941729</v>
      </c>
      <c r="B86">
        <v>41400002</v>
      </c>
    </row>
    <row r="87" spans="1:2" x14ac:dyDescent="0.25">
      <c r="A87">
        <v>5039501</v>
      </c>
      <c r="B87">
        <v>41400002</v>
      </c>
    </row>
    <row r="88" spans="1:2" x14ac:dyDescent="0.25">
      <c r="A88">
        <v>5945194</v>
      </c>
      <c r="B88">
        <v>41400002</v>
      </c>
    </row>
    <row r="89" spans="1:2" x14ac:dyDescent="0.25">
      <c r="A89">
        <v>6014725</v>
      </c>
      <c r="B89">
        <v>41400002</v>
      </c>
    </row>
    <row r="90" spans="1:2" x14ac:dyDescent="0.25">
      <c r="A90">
        <v>5122965</v>
      </c>
      <c r="B90">
        <v>41400002</v>
      </c>
    </row>
    <row r="91" spans="1:2" x14ac:dyDescent="0.25">
      <c r="A91">
        <v>5040279</v>
      </c>
      <c r="B91">
        <v>41400002</v>
      </c>
    </row>
    <row r="92" spans="1:2" x14ac:dyDescent="0.25">
      <c r="A92">
        <v>5039324</v>
      </c>
      <c r="B92">
        <v>41400002</v>
      </c>
    </row>
    <row r="93" spans="1:2" x14ac:dyDescent="0.25">
      <c r="A93">
        <v>5997479</v>
      </c>
      <c r="B93">
        <v>41400002</v>
      </c>
    </row>
    <row r="94" spans="1:2" x14ac:dyDescent="0.25">
      <c r="A94">
        <v>6038915</v>
      </c>
      <c r="B94">
        <v>41400002</v>
      </c>
    </row>
    <row r="95" spans="1:2" x14ac:dyDescent="0.25">
      <c r="A95">
        <v>5040369</v>
      </c>
      <c r="B95">
        <v>41400002</v>
      </c>
    </row>
    <row r="96" spans="1:2" x14ac:dyDescent="0.25">
      <c r="A96">
        <v>5128245</v>
      </c>
      <c r="B96">
        <v>41400002</v>
      </c>
    </row>
    <row r="97" spans="1:2" x14ac:dyDescent="0.25">
      <c r="A97">
        <v>5950504</v>
      </c>
      <c r="B97">
        <v>41400002</v>
      </c>
    </row>
    <row r="98" spans="1:2" x14ac:dyDescent="0.25">
      <c r="A98">
        <v>5065937</v>
      </c>
      <c r="B98">
        <v>41400002</v>
      </c>
    </row>
    <row r="99" spans="1:2" x14ac:dyDescent="0.25">
      <c r="A99">
        <v>5039463</v>
      </c>
      <c r="B99">
        <v>41400002</v>
      </c>
    </row>
    <row r="100" spans="1:2" x14ac:dyDescent="0.25">
      <c r="A100">
        <v>5141023</v>
      </c>
      <c r="B100">
        <v>41400002</v>
      </c>
    </row>
    <row r="101" spans="1:2" x14ac:dyDescent="0.25">
      <c r="A101">
        <v>6036697</v>
      </c>
      <c r="B101">
        <v>41400002</v>
      </c>
    </row>
    <row r="102" spans="1:2" x14ac:dyDescent="0.25">
      <c r="A102">
        <v>5165774</v>
      </c>
      <c r="B102">
        <v>41400002</v>
      </c>
    </row>
    <row r="103" spans="1:2" x14ac:dyDescent="0.25">
      <c r="A103">
        <v>5042127</v>
      </c>
      <c r="B103">
        <v>41400002</v>
      </c>
    </row>
    <row r="104" spans="1:2" x14ac:dyDescent="0.25">
      <c r="A104">
        <v>5994631</v>
      </c>
      <c r="B104">
        <v>41400002</v>
      </c>
    </row>
    <row r="105" spans="1:2" x14ac:dyDescent="0.25">
      <c r="A105">
        <v>5994629</v>
      </c>
      <c r="B105">
        <v>41400002</v>
      </c>
    </row>
    <row r="106" spans="1:2" x14ac:dyDescent="0.25">
      <c r="A106">
        <v>5996727</v>
      </c>
      <c r="B106">
        <v>41400003</v>
      </c>
    </row>
    <row r="107" spans="1:2" x14ac:dyDescent="0.25">
      <c r="A107">
        <v>6086084</v>
      </c>
      <c r="B107">
        <v>41400003</v>
      </c>
    </row>
    <row r="108" spans="1:2" x14ac:dyDescent="0.25">
      <c r="A108">
        <v>5039538</v>
      </c>
      <c r="B108">
        <v>41400003</v>
      </c>
    </row>
    <row r="109" spans="1:2" x14ac:dyDescent="0.25">
      <c r="A109">
        <v>5038795</v>
      </c>
      <c r="B109">
        <v>41400003</v>
      </c>
    </row>
    <row r="110" spans="1:2" x14ac:dyDescent="0.25">
      <c r="A110">
        <v>5039221</v>
      </c>
      <c r="B110">
        <v>41400003</v>
      </c>
    </row>
    <row r="111" spans="1:2" x14ac:dyDescent="0.25">
      <c r="A111">
        <v>5144882</v>
      </c>
      <c r="B111">
        <v>41400003</v>
      </c>
    </row>
    <row r="112" spans="1:2" x14ac:dyDescent="0.25">
      <c r="A112">
        <v>5941712</v>
      </c>
      <c r="B112">
        <v>41400003</v>
      </c>
    </row>
    <row r="113" spans="1:2" x14ac:dyDescent="0.25">
      <c r="A113">
        <v>5039967</v>
      </c>
      <c r="B113">
        <v>41400003</v>
      </c>
    </row>
    <row r="114" spans="1:2" x14ac:dyDescent="0.25">
      <c r="A114">
        <v>5039165</v>
      </c>
      <c r="B114">
        <v>41400003</v>
      </c>
    </row>
    <row r="115" spans="1:2" x14ac:dyDescent="0.25">
      <c r="A115">
        <v>5040556</v>
      </c>
      <c r="B115">
        <v>41400003</v>
      </c>
    </row>
    <row r="116" spans="1:2" x14ac:dyDescent="0.25">
      <c r="A116">
        <v>5932857</v>
      </c>
      <c r="B116">
        <v>41400003</v>
      </c>
    </row>
    <row r="117" spans="1:2" x14ac:dyDescent="0.25">
      <c r="A117">
        <v>6080925</v>
      </c>
      <c r="B117">
        <v>41400003</v>
      </c>
    </row>
    <row r="118" spans="1:2" x14ac:dyDescent="0.25">
      <c r="A118">
        <v>6082806</v>
      </c>
      <c r="B118">
        <v>41400003</v>
      </c>
    </row>
    <row r="119" spans="1:2" x14ac:dyDescent="0.25">
      <c r="A119">
        <v>5039919</v>
      </c>
      <c r="B119">
        <v>41400003</v>
      </c>
    </row>
    <row r="120" spans="1:2" x14ac:dyDescent="0.25">
      <c r="A120">
        <v>5139863</v>
      </c>
      <c r="B120">
        <v>41400003</v>
      </c>
    </row>
    <row r="121" spans="1:2" x14ac:dyDescent="0.25">
      <c r="A121">
        <v>6042555</v>
      </c>
      <c r="B121">
        <v>41400003</v>
      </c>
    </row>
    <row r="122" spans="1:2" x14ac:dyDescent="0.25">
      <c r="A122">
        <v>6045185</v>
      </c>
      <c r="B122">
        <v>41400003</v>
      </c>
    </row>
    <row r="123" spans="1:2" x14ac:dyDescent="0.25">
      <c r="A123">
        <v>5038981</v>
      </c>
      <c r="B123">
        <v>41400003</v>
      </c>
    </row>
    <row r="124" spans="1:2" x14ac:dyDescent="0.25">
      <c r="A124">
        <v>5039447</v>
      </c>
      <c r="B124">
        <v>41400003</v>
      </c>
    </row>
    <row r="125" spans="1:2" x14ac:dyDescent="0.25">
      <c r="A125">
        <v>5040208</v>
      </c>
      <c r="B125">
        <v>41400003</v>
      </c>
    </row>
    <row r="126" spans="1:2" x14ac:dyDescent="0.25">
      <c r="A126">
        <v>6089970</v>
      </c>
      <c r="B126">
        <v>41400003</v>
      </c>
    </row>
    <row r="127" spans="1:2" x14ac:dyDescent="0.25">
      <c r="A127">
        <v>5040005</v>
      </c>
      <c r="B127">
        <v>41400003</v>
      </c>
    </row>
    <row r="128" spans="1:2" x14ac:dyDescent="0.25">
      <c r="A128">
        <v>5039972</v>
      </c>
      <c r="B128">
        <v>41400003</v>
      </c>
    </row>
    <row r="129" spans="1:2" x14ac:dyDescent="0.25">
      <c r="A129">
        <v>5039539</v>
      </c>
      <c r="B129">
        <v>41400003</v>
      </c>
    </row>
    <row r="130" spans="1:2" x14ac:dyDescent="0.25">
      <c r="A130">
        <v>6047045</v>
      </c>
      <c r="B130">
        <v>41400003</v>
      </c>
    </row>
    <row r="131" spans="1:2" x14ac:dyDescent="0.25">
      <c r="A131">
        <v>6086674</v>
      </c>
      <c r="B131">
        <v>41400003</v>
      </c>
    </row>
    <row r="132" spans="1:2" x14ac:dyDescent="0.25">
      <c r="A132">
        <v>5997485</v>
      </c>
      <c r="B132">
        <v>41400003</v>
      </c>
    </row>
    <row r="133" spans="1:2" x14ac:dyDescent="0.25">
      <c r="A133">
        <v>6080875</v>
      </c>
      <c r="B133">
        <v>41400003</v>
      </c>
    </row>
    <row r="134" spans="1:2" x14ac:dyDescent="0.25">
      <c r="A134">
        <v>5036057</v>
      </c>
      <c r="B134">
        <v>41400003</v>
      </c>
    </row>
    <row r="135" spans="1:2" x14ac:dyDescent="0.25">
      <c r="A135">
        <v>5040336</v>
      </c>
      <c r="B135">
        <v>41400003</v>
      </c>
    </row>
    <row r="136" spans="1:2" x14ac:dyDescent="0.25">
      <c r="A136">
        <v>6086101</v>
      </c>
      <c r="B136">
        <v>41400003</v>
      </c>
    </row>
    <row r="137" spans="1:2" x14ac:dyDescent="0.25">
      <c r="A137">
        <v>5034768</v>
      </c>
      <c r="B137">
        <v>41400003</v>
      </c>
    </row>
    <row r="138" spans="1:2" x14ac:dyDescent="0.25">
      <c r="A138">
        <v>5052828</v>
      </c>
      <c r="B138">
        <v>41400003</v>
      </c>
    </row>
    <row r="139" spans="1:2" x14ac:dyDescent="0.25">
      <c r="A139">
        <v>5039388</v>
      </c>
      <c r="B139">
        <v>41400003</v>
      </c>
    </row>
    <row r="140" spans="1:2" x14ac:dyDescent="0.25">
      <c r="A140">
        <v>6087527</v>
      </c>
      <c r="B140">
        <v>41400003</v>
      </c>
    </row>
    <row r="141" spans="1:2" x14ac:dyDescent="0.25">
      <c r="A141">
        <v>6086069</v>
      </c>
      <c r="B141">
        <v>41400003</v>
      </c>
    </row>
    <row r="142" spans="1:2" x14ac:dyDescent="0.25">
      <c r="A142">
        <v>5039456</v>
      </c>
      <c r="B142">
        <v>41400003</v>
      </c>
    </row>
    <row r="143" spans="1:2" x14ac:dyDescent="0.25">
      <c r="A143">
        <v>5039202</v>
      </c>
      <c r="B143">
        <v>41400003</v>
      </c>
    </row>
    <row r="144" spans="1:2" x14ac:dyDescent="0.25">
      <c r="A144">
        <v>5039824</v>
      </c>
      <c r="B144">
        <v>41400004</v>
      </c>
    </row>
    <row r="145" spans="1:2" x14ac:dyDescent="0.25">
      <c r="A145">
        <v>5100978</v>
      </c>
      <c r="B145">
        <v>41400004</v>
      </c>
    </row>
    <row r="146" spans="1:2" x14ac:dyDescent="0.25">
      <c r="A146">
        <v>6082814</v>
      </c>
      <c r="B146">
        <v>41400004</v>
      </c>
    </row>
    <row r="147" spans="1:2" x14ac:dyDescent="0.25">
      <c r="A147">
        <v>6082803</v>
      </c>
      <c r="B147">
        <v>41400004</v>
      </c>
    </row>
    <row r="148" spans="1:2" x14ac:dyDescent="0.25">
      <c r="A148">
        <v>5039023</v>
      </c>
      <c r="B148">
        <v>41400004</v>
      </c>
    </row>
    <row r="149" spans="1:2" x14ac:dyDescent="0.25">
      <c r="A149">
        <v>5145013</v>
      </c>
      <c r="B149">
        <v>41400004</v>
      </c>
    </row>
    <row r="150" spans="1:2" x14ac:dyDescent="0.25">
      <c r="A150">
        <v>5959360</v>
      </c>
      <c r="B150">
        <v>41400004</v>
      </c>
    </row>
    <row r="151" spans="1:2" x14ac:dyDescent="0.25">
      <c r="A151">
        <v>5040543</v>
      </c>
      <c r="B151">
        <v>41400004</v>
      </c>
    </row>
    <row r="152" spans="1:2" x14ac:dyDescent="0.25">
      <c r="A152">
        <v>6036784</v>
      </c>
      <c r="B152">
        <v>41400004</v>
      </c>
    </row>
    <row r="153" spans="1:2" x14ac:dyDescent="0.25">
      <c r="A153">
        <v>5032724</v>
      </c>
      <c r="B153">
        <v>41400004</v>
      </c>
    </row>
    <row r="154" spans="1:2" x14ac:dyDescent="0.25">
      <c r="A154">
        <v>5973272</v>
      </c>
      <c r="B154">
        <v>41400004</v>
      </c>
    </row>
    <row r="155" spans="1:2" x14ac:dyDescent="0.25">
      <c r="A155">
        <v>5038892</v>
      </c>
      <c r="B155">
        <v>41400004</v>
      </c>
    </row>
    <row r="156" spans="1:2" x14ac:dyDescent="0.25">
      <c r="A156">
        <v>5977400</v>
      </c>
      <c r="B156">
        <v>41400004</v>
      </c>
    </row>
    <row r="157" spans="1:2" x14ac:dyDescent="0.25">
      <c r="A157">
        <v>5039665</v>
      </c>
      <c r="B157">
        <v>41400004</v>
      </c>
    </row>
    <row r="158" spans="1:2" x14ac:dyDescent="0.25">
      <c r="A158">
        <v>5038937</v>
      </c>
      <c r="B158">
        <v>41400004</v>
      </c>
    </row>
    <row r="159" spans="1:2" x14ac:dyDescent="0.25">
      <c r="A159">
        <v>5042963</v>
      </c>
      <c r="B159">
        <v>41400004</v>
      </c>
    </row>
    <row r="160" spans="1:2" x14ac:dyDescent="0.25">
      <c r="A160">
        <v>5040006</v>
      </c>
      <c r="B160">
        <v>41400004</v>
      </c>
    </row>
    <row r="161" spans="1:2" x14ac:dyDescent="0.25">
      <c r="A161">
        <v>5038683</v>
      </c>
      <c r="B161">
        <v>41400004</v>
      </c>
    </row>
    <row r="162" spans="1:2" x14ac:dyDescent="0.25">
      <c r="A162">
        <v>6082780</v>
      </c>
      <c r="B162">
        <v>41400004</v>
      </c>
    </row>
    <row r="163" spans="1:2" x14ac:dyDescent="0.25">
      <c r="A163">
        <v>6031288</v>
      </c>
      <c r="B163">
        <v>41400004</v>
      </c>
    </row>
    <row r="164" spans="1:2" x14ac:dyDescent="0.25">
      <c r="A164">
        <v>5040323</v>
      </c>
      <c r="B164">
        <v>41400004</v>
      </c>
    </row>
    <row r="165" spans="1:2" x14ac:dyDescent="0.25">
      <c r="A165">
        <v>5038625</v>
      </c>
      <c r="B165">
        <v>41400004</v>
      </c>
    </row>
    <row r="166" spans="1:2" x14ac:dyDescent="0.25">
      <c r="A166">
        <v>5040298</v>
      </c>
      <c r="B166">
        <v>41400004</v>
      </c>
    </row>
    <row r="167" spans="1:2" x14ac:dyDescent="0.25">
      <c r="A167">
        <v>5122845</v>
      </c>
      <c r="B167">
        <v>41400004</v>
      </c>
    </row>
    <row r="168" spans="1:2" x14ac:dyDescent="0.25">
      <c r="A168">
        <v>5108594</v>
      </c>
      <c r="B168">
        <v>41400004</v>
      </c>
    </row>
    <row r="169" spans="1:2" x14ac:dyDescent="0.25">
      <c r="A169">
        <v>5038707</v>
      </c>
      <c r="B169">
        <v>41400004</v>
      </c>
    </row>
    <row r="170" spans="1:2" x14ac:dyDescent="0.25">
      <c r="A170">
        <v>5973264</v>
      </c>
      <c r="B170">
        <v>41400004</v>
      </c>
    </row>
    <row r="171" spans="1:2" x14ac:dyDescent="0.25">
      <c r="A171">
        <v>5945186</v>
      </c>
      <c r="B171">
        <v>41400004</v>
      </c>
    </row>
    <row r="172" spans="1:2" x14ac:dyDescent="0.25">
      <c r="A172">
        <v>5154678</v>
      </c>
      <c r="B172">
        <v>41400004</v>
      </c>
    </row>
    <row r="173" spans="1:2" x14ac:dyDescent="0.25">
      <c r="A173">
        <v>5960201</v>
      </c>
      <c r="B173">
        <v>41400004</v>
      </c>
    </row>
    <row r="174" spans="1:2" x14ac:dyDescent="0.25">
      <c r="A174">
        <v>5010661</v>
      </c>
      <c r="B174">
        <v>41400004</v>
      </c>
    </row>
    <row r="175" spans="1:2" x14ac:dyDescent="0.25">
      <c r="A175">
        <v>5923636</v>
      </c>
      <c r="B175">
        <v>41400004</v>
      </c>
    </row>
    <row r="176" spans="1:2" x14ac:dyDescent="0.25">
      <c r="A176">
        <v>6017213</v>
      </c>
      <c r="B176">
        <v>41400004</v>
      </c>
    </row>
    <row r="177" spans="1:2" x14ac:dyDescent="0.25">
      <c r="A177">
        <v>5154970</v>
      </c>
      <c r="B177">
        <v>41400004</v>
      </c>
    </row>
    <row r="178" spans="1:2" x14ac:dyDescent="0.25">
      <c r="A178">
        <v>5040139</v>
      </c>
      <c r="B178">
        <v>41400004</v>
      </c>
    </row>
    <row r="179" spans="1:2" x14ac:dyDescent="0.25">
      <c r="A179">
        <v>6032314</v>
      </c>
      <c r="B179">
        <v>41400004</v>
      </c>
    </row>
    <row r="180" spans="1:2" x14ac:dyDescent="0.25">
      <c r="A180">
        <v>5939191</v>
      </c>
      <c r="B180">
        <v>41400004</v>
      </c>
    </row>
    <row r="181" spans="1:2" x14ac:dyDescent="0.25">
      <c r="A181">
        <v>5939185</v>
      </c>
      <c r="B181">
        <v>41400004</v>
      </c>
    </row>
    <row r="182" spans="1:2" x14ac:dyDescent="0.25">
      <c r="A182">
        <v>5040339</v>
      </c>
      <c r="B182">
        <v>41400004</v>
      </c>
    </row>
    <row r="183" spans="1:2" x14ac:dyDescent="0.25">
      <c r="A183">
        <v>5063924</v>
      </c>
      <c r="B183">
        <v>41400004</v>
      </c>
    </row>
    <row r="184" spans="1:2" x14ac:dyDescent="0.25">
      <c r="A184">
        <v>5140905</v>
      </c>
      <c r="B184">
        <v>41400004</v>
      </c>
    </row>
    <row r="185" spans="1:2" x14ac:dyDescent="0.25">
      <c r="A185">
        <v>5063355</v>
      </c>
      <c r="B185">
        <v>41400004</v>
      </c>
    </row>
    <row r="186" spans="1:2" x14ac:dyDescent="0.25">
      <c r="A186">
        <v>5055925</v>
      </c>
      <c r="B186">
        <v>41400004</v>
      </c>
    </row>
    <row r="187" spans="1:2" x14ac:dyDescent="0.25">
      <c r="A187">
        <v>5040082</v>
      </c>
      <c r="B187">
        <v>41400004</v>
      </c>
    </row>
    <row r="188" spans="1:2" x14ac:dyDescent="0.25">
      <c r="A188">
        <v>6082786</v>
      </c>
      <c r="B188">
        <v>41400004</v>
      </c>
    </row>
    <row r="189" spans="1:2" x14ac:dyDescent="0.25">
      <c r="A189">
        <v>6031273</v>
      </c>
      <c r="B189">
        <v>41400004</v>
      </c>
    </row>
    <row r="190" spans="1:2" x14ac:dyDescent="0.25">
      <c r="A190">
        <v>5144835</v>
      </c>
      <c r="B190">
        <v>41400004</v>
      </c>
    </row>
    <row r="191" spans="1:2" x14ac:dyDescent="0.25">
      <c r="A191">
        <v>5144048</v>
      </c>
      <c r="B191">
        <v>41400004</v>
      </c>
    </row>
    <row r="192" spans="1:2" x14ac:dyDescent="0.25">
      <c r="A192">
        <v>6086081</v>
      </c>
      <c r="B192">
        <v>41400004</v>
      </c>
    </row>
    <row r="193" spans="1:2" x14ac:dyDescent="0.25">
      <c r="A193">
        <v>5035989</v>
      </c>
      <c r="B193">
        <v>41400004</v>
      </c>
    </row>
    <row r="194" spans="1:2" x14ac:dyDescent="0.25">
      <c r="A194">
        <v>5040786</v>
      </c>
      <c r="B194">
        <v>41400004</v>
      </c>
    </row>
    <row r="195" spans="1:2" x14ac:dyDescent="0.25">
      <c r="A195">
        <v>5053178</v>
      </c>
      <c r="B195">
        <v>41400004</v>
      </c>
    </row>
    <row r="196" spans="1:2" x14ac:dyDescent="0.25">
      <c r="A196">
        <v>5945192</v>
      </c>
      <c r="B196">
        <v>41400004</v>
      </c>
    </row>
    <row r="197" spans="1:2" x14ac:dyDescent="0.25">
      <c r="A197">
        <v>5973269</v>
      </c>
      <c r="B197">
        <v>41400004</v>
      </c>
    </row>
    <row r="198" spans="1:2" x14ac:dyDescent="0.25">
      <c r="A198">
        <v>5994624</v>
      </c>
      <c r="B198">
        <v>41400004</v>
      </c>
    </row>
    <row r="199" spans="1:2" x14ac:dyDescent="0.25">
      <c r="A199">
        <v>5042165</v>
      </c>
      <c r="B199">
        <v>41400004</v>
      </c>
    </row>
    <row r="200" spans="1:2" x14ac:dyDescent="0.25">
      <c r="A200">
        <v>5041678</v>
      </c>
      <c r="B200">
        <v>41400004</v>
      </c>
    </row>
    <row r="201" spans="1:2" x14ac:dyDescent="0.25">
      <c r="A201">
        <v>6031774</v>
      </c>
      <c r="B201">
        <v>41400004</v>
      </c>
    </row>
    <row r="202" spans="1:2" x14ac:dyDescent="0.25">
      <c r="A202">
        <v>6036714</v>
      </c>
      <c r="B202">
        <v>41400004</v>
      </c>
    </row>
    <row r="203" spans="1:2" x14ac:dyDescent="0.25">
      <c r="A203">
        <v>5039120</v>
      </c>
      <c r="B203">
        <v>41400004</v>
      </c>
    </row>
    <row r="204" spans="1:2" x14ac:dyDescent="0.25">
      <c r="A204">
        <v>6082781</v>
      </c>
      <c r="B204">
        <v>41400004</v>
      </c>
    </row>
    <row r="205" spans="1:2" x14ac:dyDescent="0.25">
      <c r="A205">
        <v>5039605</v>
      </c>
      <c r="B205">
        <v>41400004</v>
      </c>
    </row>
    <row r="206" spans="1:2" x14ac:dyDescent="0.25">
      <c r="A206">
        <v>5038855</v>
      </c>
      <c r="B206">
        <v>41400004</v>
      </c>
    </row>
    <row r="207" spans="1:2" x14ac:dyDescent="0.25">
      <c r="A207">
        <v>5019734</v>
      </c>
      <c r="B207">
        <v>41400004</v>
      </c>
    </row>
    <row r="208" spans="1:2" x14ac:dyDescent="0.25">
      <c r="A208">
        <v>6031281</v>
      </c>
      <c r="B208">
        <v>41400004</v>
      </c>
    </row>
    <row r="209" spans="1:2" x14ac:dyDescent="0.25">
      <c r="A209">
        <v>5975860</v>
      </c>
      <c r="B209">
        <v>41400004</v>
      </c>
    </row>
    <row r="210" spans="1:2" x14ac:dyDescent="0.25">
      <c r="A210">
        <v>5135562</v>
      </c>
      <c r="B210">
        <v>41400004</v>
      </c>
    </row>
    <row r="211" spans="1:2" x14ac:dyDescent="0.25">
      <c r="A211">
        <v>5039594</v>
      </c>
      <c r="B211">
        <v>41400004</v>
      </c>
    </row>
    <row r="212" spans="1:2" x14ac:dyDescent="0.25">
      <c r="A212">
        <v>5973270</v>
      </c>
      <c r="B212">
        <v>41400004</v>
      </c>
    </row>
    <row r="213" spans="1:2" x14ac:dyDescent="0.25">
      <c r="A213">
        <v>5941732</v>
      </c>
      <c r="B213">
        <v>41400004</v>
      </c>
    </row>
    <row r="214" spans="1:2" x14ac:dyDescent="0.25">
      <c r="A214">
        <v>5945200</v>
      </c>
      <c r="B214">
        <v>41400004</v>
      </c>
    </row>
    <row r="215" spans="1:2" x14ac:dyDescent="0.25">
      <c r="A215">
        <v>5039869</v>
      </c>
      <c r="B215">
        <v>41400005</v>
      </c>
    </row>
    <row r="216" spans="1:2" x14ac:dyDescent="0.25">
      <c r="A216">
        <v>5945196</v>
      </c>
      <c r="B216">
        <v>41400005</v>
      </c>
    </row>
    <row r="217" spans="1:2" x14ac:dyDescent="0.25">
      <c r="A217">
        <v>5973263</v>
      </c>
      <c r="B217">
        <v>41400006</v>
      </c>
    </row>
    <row r="218" spans="1:2" x14ac:dyDescent="0.25">
      <c r="A218">
        <v>5039167</v>
      </c>
      <c r="B218">
        <v>41400006</v>
      </c>
    </row>
    <row r="219" spans="1:2" x14ac:dyDescent="0.25">
      <c r="A219">
        <v>6040233</v>
      </c>
      <c r="B219">
        <v>41400006</v>
      </c>
    </row>
    <row r="220" spans="1:2" x14ac:dyDescent="0.25">
      <c r="A220">
        <v>5086439</v>
      </c>
      <c r="B220">
        <v>41400006</v>
      </c>
    </row>
    <row r="221" spans="1:2" x14ac:dyDescent="0.25">
      <c r="A221">
        <v>5040011</v>
      </c>
      <c r="B221">
        <v>41400006</v>
      </c>
    </row>
    <row r="222" spans="1:2" x14ac:dyDescent="0.25">
      <c r="A222">
        <v>5972789</v>
      </c>
      <c r="B222">
        <v>41400007</v>
      </c>
    </row>
    <row r="223" spans="1:2" x14ac:dyDescent="0.25">
      <c r="A223">
        <v>6036706</v>
      </c>
      <c r="B223">
        <v>41400007</v>
      </c>
    </row>
    <row r="224" spans="1:2" x14ac:dyDescent="0.25">
      <c r="A224">
        <v>5952651</v>
      </c>
      <c r="B224">
        <v>41400007</v>
      </c>
    </row>
    <row r="225" spans="1:2" x14ac:dyDescent="0.25">
      <c r="A225">
        <v>6038820</v>
      </c>
      <c r="B225">
        <v>41400007</v>
      </c>
    </row>
    <row r="226" spans="1:2" x14ac:dyDescent="0.25">
      <c r="A226">
        <v>5039904</v>
      </c>
      <c r="B226">
        <v>41400007</v>
      </c>
    </row>
    <row r="227" spans="1:2" x14ac:dyDescent="0.25">
      <c r="A227">
        <v>5051286</v>
      </c>
      <c r="B227">
        <v>41400007</v>
      </c>
    </row>
    <row r="228" spans="1:2" x14ac:dyDescent="0.25">
      <c r="A228">
        <v>6090300</v>
      </c>
      <c r="B228">
        <v>41400007</v>
      </c>
    </row>
    <row r="229" spans="1:2" x14ac:dyDescent="0.25">
      <c r="A229">
        <v>5041146</v>
      </c>
      <c r="B229">
        <v>41400007</v>
      </c>
    </row>
    <row r="230" spans="1:2" x14ac:dyDescent="0.25">
      <c r="A230">
        <v>5994623</v>
      </c>
      <c r="B230">
        <v>41400007</v>
      </c>
    </row>
    <row r="231" spans="1:2" x14ac:dyDescent="0.25">
      <c r="A231">
        <v>5164020</v>
      </c>
      <c r="B231">
        <v>41400007</v>
      </c>
    </row>
    <row r="232" spans="1:2" x14ac:dyDescent="0.25">
      <c r="A232">
        <v>5059484</v>
      </c>
      <c r="B232">
        <v>41400007</v>
      </c>
    </row>
    <row r="233" spans="1:2" x14ac:dyDescent="0.25">
      <c r="A233">
        <v>5939189</v>
      </c>
      <c r="B233">
        <v>41400008</v>
      </c>
    </row>
    <row r="234" spans="1:2" x14ac:dyDescent="0.25">
      <c r="A234">
        <v>5966108</v>
      </c>
      <c r="B234">
        <v>41400008</v>
      </c>
    </row>
    <row r="235" spans="1:2" x14ac:dyDescent="0.25">
      <c r="A235">
        <v>5037806</v>
      </c>
      <c r="B235">
        <v>41400008</v>
      </c>
    </row>
    <row r="236" spans="1:2" x14ac:dyDescent="0.25">
      <c r="A236">
        <v>6034165</v>
      </c>
      <c r="B236">
        <v>41400008</v>
      </c>
    </row>
    <row r="237" spans="1:2" x14ac:dyDescent="0.25">
      <c r="A237">
        <v>5038783</v>
      </c>
      <c r="B237">
        <v>41400008</v>
      </c>
    </row>
    <row r="238" spans="1:2" x14ac:dyDescent="0.25">
      <c r="A238">
        <v>5039560</v>
      </c>
      <c r="B238">
        <v>41400008</v>
      </c>
    </row>
    <row r="239" spans="1:2" x14ac:dyDescent="0.25">
      <c r="A239">
        <v>6086114</v>
      </c>
      <c r="B239">
        <v>41400008</v>
      </c>
    </row>
    <row r="240" spans="1:2" x14ac:dyDescent="0.25">
      <c r="A240">
        <v>5039280</v>
      </c>
      <c r="B240">
        <v>41400008</v>
      </c>
    </row>
    <row r="241" spans="1:2" x14ac:dyDescent="0.25">
      <c r="A241">
        <v>6015705</v>
      </c>
      <c r="B241">
        <v>41400008</v>
      </c>
    </row>
    <row r="242" spans="1:2" x14ac:dyDescent="0.25">
      <c r="A242">
        <v>6036679</v>
      </c>
      <c r="B242">
        <v>41400009</v>
      </c>
    </row>
    <row r="243" spans="1:2" x14ac:dyDescent="0.25">
      <c r="A243">
        <v>5014063</v>
      </c>
      <c r="B243">
        <v>41400009</v>
      </c>
    </row>
    <row r="244" spans="1:2" x14ac:dyDescent="0.25">
      <c r="A244">
        <v>5145051</v>
      </c>
      <c r="B244">
        <v>41400009</v>
      </c>
    </row>
    <row r="245" spans="1:2" x14ac:dyDescent="0.25">
      <c r="A245">
        <v>5037770</v>
      </c>
      <c r="B245">
        <v>41400009</v>
      </c>
    </row>
    <row r="246" spans="1:2" x14ac:dyDescent="0.25">
      <c r="A246">
        <v>6031280</v>
      </c>
      <c r="B246">
        <v>41400009</v>
      </c>
    </row>
    <row r="247" spans="1:2" x14ac:dyDescent="0.25">
      <c r="A247">
        <v>5180528</v>
      </c>
      <c r="B247">
        <v>41400009</v>
      </c>
    </row>
    <row r="248" spans="1:2" x14ac:dyDescent="0.25">
      <c r="A248">
        <v>6036690</v>
      </c>
      <c r="B248">
        <v>41400009</v>
      </c>
    </row>
    <row r="249" spans="1:2" x14ac:dyDescent="0.25">
      <c r="A249">
        <v>6036729</v>
      </c>
      <c r="B249">
        <v>41400010</v>
      </c>
    </row>
    <row r="250" spans="1:2" x14ac:dyDescent="0.25">
      <c r="A250">
        <v>5040475</v>
      </c>
      <c r="B250">
        <v>41400010</v>
      </c>
    </row>
    <row r="251" spans="1:2" x14ac:dyDescent="0.25">
      <c r="A251">
        <v>5040277</v>
      </c>
      <c r="B251">
        <v>41400010</v>
      </c>
    </row>
    <row r="252" spans="1:2" x14ac:dyDescent="0.25">
      <c r="A252">
        <v>5040237</v>
      </c>
      <c r="B252">
        <v>41400010</v>
      </c>
    </row>
    <row r="253" spans="1:2" x14ac:dyDescent="0.25">
      <c r="A253">
        <v>5041931</v>
      </c>
      <c r="B253">
        <v>41400010</v>
      </c>
    </row>
    <row r="254" spans="1:2" x14ac:dyDescent="0.25">
      <c r="A254">
        <v>5039682</v>
      </c>
      <c r="B254">
        <v>41400010</v>
      </c>
    </row>
    <row r="255" spans="1:2" x14ac:dyDescent="0.25">
      <c r="A255">
        <v>6086723</v>
      </c>
      <c r="B255">
        <v>41400011</v>
      </c>
    </row>
    <row r="256" spans="1:2" x14ac:dyDescent="0.25">
      <c r="A256">
        <v>5039177</v>
      </c>
      <c r="B256">
        <v>41400011</v>
      </c>
    </row>
    <row r="257" spans="1:2" x14ac:dyDescent="0.25">
      <c r="A257">
        <v>5040766</v>
      </c>
      <c r="B257">
        <v>41400011</v>
      </c>
    </row>
    <row r="258" spans="1:2" x14ac:dyDescent="0.25">
      <c r="A258">
        <v>5923634</v>
      </c>
      <c r="B258">
        <v>41400011</v>
      </c>
    </row>
    <row r="259" spans="1:2" x14ac:dyDescent="0.25">
      <c r="A259">
        <v>5040417</v>
      </c>
      <c r="B259">
        <v>41400011</v>
      </c>
    </row>
    <row r="260" spans="1:2" x14ac:dyDescent="0.25">
      <c r="A260">
        <v>5020229</v>
      </c>
      <c r="B260">
        <v>41400011</v>
      </c>
    </row>
    <row r="261" spans="1:2" x14ac:dyDescent="0.25">
      <c r="A261">
        <v>6018281</v>
      </c>
      <c r="B261">
        <v>41400011</v>
      </c>
    </row>
    <row r="262" spans="1:2" x14ac:dyDescent="0.25">
      <c r="A262">
        <v>5936770</v>
      </c>
      <c r="B262">
        <v>41400011</v>
      </c>
    </row>
    <row r="263" spans="1:2" x14ac:dyDescent="0.25">
      <c r="A263">
        <v>5039128</v>
      </c>
      <c r="B263">
        <v>41400011</v>
      </c>
    </row>
    <row r="264" spans="1:2" x14ac:dyDescent="0.25">
      <c r="A264">
        <v>5039390</v>
      </c>
      <c r="B264">
        <v>41400012</v>
      </c>
    </row>
    <row r="265" spans="1:2" x14ac:dyDescent="0.25">
      <c r="A265">
        <v>5178192</v>
      </c>
      <c r="B265">
        <v>41400012</v>
      </c>
    </row>
    <row r="266" spans="1:2" x14ac:dyDescent="0.25">
      <c r="A266">
        <v>6054217</v>
      </c>
      <c r="B266">
        <v>41400012</v>
      </c>
    </row>
    <row r="267" spans="1:2" x14ac:dyDescent="0.25">
      <c r="A267">
        <v>5962921</v>
      </c>
      <c r="B267">
        <v>41400012</v>
      </c>
    </row>
    <row r="268" spans="1:2" x14ac:dyDescent="0.25">
      <c r="A268">
        <v>5039487</v>
      </c>
      <c r="B268">
        <v>41400012</v>
      </c>
    </row>
    <row r="269" spans="1:2" x14ac:dyDescent="0.25">
      <c r="A269">
        <v>5038822</v>
      </c>
      <c r="B269">
        <v>41400012</v>
      </c>
    </row>
    <row r="270" spans="1:2" x14ac:dyDescent="0.25">
      <c r="A270">
        <v>5038650</v>
      </c>
      <c r="B270">
        <v>41400012</v>
      </c>
    </row>
    <row r="271" spans="1:2" x14ac:dyDescent="0.25">
      <c r="A271">
        <v>5052945</v>
      </c>
      <c r="B271">
        <v>41400012</v>
      </c>
    </row>
    <row r="272" spans="1:2" x14ac:dyDescent="0.25">
      <c r="A272">
        <v>5038675</v>
      </c>
      <c r="B272">
        <v>41400012</v>
      </c>
    </row>
    <row r="273" spans="1:2" x14ac:dyDescent="0.25">
      <c r="A273">
        <v>5040342</v>
      </c>
      <c r="B273">
        <v>41400013</v>
      </c>
    </row>
    <row r="274" spans="1:2" x14ac:dyDescent="0.25">
      <c r="A274">
        <v>5039818</v>
      </c>
      <c r="B274">
        <v>41400013</v>
      </c>
    </row>
    <row r="275" spans="1:2" x14ac:dyDescent="0.25">
      <c r="A275">
        <v>5039423</v>
      </c>
      <c r="B275">
        <v>41400013</v>
      </c>
    </row>
    <row r="276" spans="1:2" x14ac:dyDescent="0.25">
      <c r="A276">
        <v>5945190</v>
      </c>
      <c r="B276">
        <v>41400013</v>
      </c>
    </row>
    <row r="277" spans="1:2" x14ac:dyDescent="0.25">
      <c r="A277">
        <v>5939174</v>
      </c>
      <c r="B277">
        <v>41400013</v>
      </c>
    </row>
    <row r="278" spans="1:2" x14ac:dyDescent="0.25">
      <c r="A278">
        <v>5178627</v>
      </c>
      <c r="B278">
        <v>41400013</v>
      </c>
    </row>
    <row r="279" spans="1:2" x14ac:dyDescent="0.25">
      <c r="A279">
        <v>5040663</v>
      </c>
      <c r="B279">
        <v>41400013</v>
      </c>
    </row>
    <row r="280" spans="1:2" x14ac:dyDescent="0.25">
      <c r="A280">
        <v>5972133</v>
      </c>
      <c r="B280">
        <v>41400013</v>
      </c>
    </row>
    <row r="281" spans="1:2" x14ac:dyDescent="0.25">
      <c r="A281">
        <v>5039175</v>
      </c>
      <c r="B281">
        <v>41400013</v>
      </c>
    </row>
    <row r="282" spans="1:2" x14ac:dyDescent="0.25">
      <c r="A282">
        <v>5040012</v>
      </c>
      <c r="B282">
        <v>41400014</v>
      </c>
    </row>
    <row r="283" spans="1:2" x14ac:dyDescent="0.25">
      <c r="A283">
        <v>5038601</v>
      </c>
      <c r="B283">
        <v>41400014</v>
      </c>
    </row>
    <row r="284" spans="1:2" x14ac:dyDescent="0.25">
      <c r="A284">
        <v>6002817</v>
      </c>
      <c r="B284">
        <v>41400014</v>
      </c>
    </row>
    <row r="285" spans="1:2" x14ac:dyDescent="0.25">
      <c r="A285">
        <v>6000501</v>
      </c>
      <c r="B285">
        <v>41400014</v>
      </c>
    </row>
    <row r="286" spans="1:2" x14ac:dyDescent="0.25">
      <c r="A286">
        <v>5181400</v>
      </c>
      <c r="B286">
        <v>41400014</v>
      </c>
    </row>
    <row r="287" spans="1:2" x14ac:dyDescent="0.25">
      <c r="A287">
        <v>5039071</v>
      </c>
      <c r="B287">
        <v>41400014</v>
      </c>
    </row>
    <row r="288" spans="1:2" x14ac:dyDescent="0.25">
      <c r="A288">
        <v>5994625</v>
      </c>
      <c r="B288">
        <v>41400014</v>
      </c>
    </row>
    <row r="289" spans="1:2" x14ac:dyDescent="0.25">
      <c r="A289">
        <v>5039969</v>
      </c>
      <c r="B289">
        <v>41400014</v>
      </c>
    </row>
    <row r="290" spans="1:2" x14ac:dyDescent="0.25">
      <c r="A290">
        <v>5038785</v>
      </c>
      <c r="B290">
        <v>41400014</v>
      </c>
    </row>
    <row r="291" spans="1:2" x14ac:dyDescent="0.25">
      <c r="A291">
        <v>5038631</v>
      </c>
      <c r="B291">
        <v>41400014</v>
      </c>
    </row>
    <row r="292" spans="1:2" x14ac:dyDescent="0.25">
      <c r="A292">
        <v>5144884</v>
      </c>
      <c r="B292">
        <v>41400014</v>
      </c>
    </row>
    <row r="293" spans="1:2" x14ac:dyDescent="0.25">
      <c r="A293">
        <v>5999279</v>
      </c>
      <c r="B293">
        <v>41400017</v>
      </c>
    </row>
    <row r="294" spans="1:2" x14ac:dyDescent="0.25">
      <c r="A294">
        <v>5973266</v>
      </c>
      <c r="B294">
        <v>41400021</v>
      </c>
    </row>
    <row r="295" spans="1:2" x14ac:dyDescent="0.25">
      <c r="A295">
        <v>6023598</v>
      </c>
      <c r="B295">
        <v>41400021</v>
      </c>
    </row>
    <row r="296" spans="1:2" x14ac:dyDescent="0.25">
      <c r="A296">
        <v>6023599</v>
      </c>
      <c r="B296">
        <v>41400021</v>
      </c>
    </row>
    <row r="297" spans="1:2" x14ac:dyDescent="0.25">
      <c r="A297">
        <v>5994615</v>
      </c>
      <c r="B297">
        <v>41400021</v>
      </c>
    </row>
    <row r="298" spans="1:2" x14ac:dyDescent="0.25">
      <c r="A298">
        <v>6047070</v>
      </c>
      <c r="B298">
        <v>41400021</v>
      </c>
    </row>
    <row r="299" spans="1:2" x14ac:dyDescent="0.25">
      <c r="A299">
        <v>5973162</v>
      </c>
      <c r="B299">
        <v>41400021</v>
      </c>
    </row>
    <row r="300" spans="1:2" x14ac:dyDescent="0.25">
      <c r="A300">
        <v>6023600</v>
      </c>
      <c r="B300">
        <v>41400021</v>
      </c>
    </row>
    <row r="301" spans="1:2" x14ac:dyDescent="0.25">
      <c r="A301">
        <v>5108687</v>
      </c>
      <c r="B301">
        <v>41400021</v>
      </c>
    </row>
    <row r="302" spans="1:2" x14ac:dyDescent="0.25">
      <c r="A302">
        <v>5939188</v>
      </c>
      <c r="B302">
        <v>41400021</v>
      </c>
    </row>
    <row r="303" spans="1:2" x14ac:dyDescent="0.25">
      <c r="A303">
        <v>6048771</v>
      </c>
      <c r="B303">
        <v>41400021</v>
      </c>
    </row>
    <row r="304" spans="1:2" x14ac:dyDescent="0.25">
      <c r="A304">
        <v>5038626</v>
      </c>
      <c r="B304">
        <v>41400022</v>
      </c>
    </row>
    <row r="305" spans="1:2" x14ac:dyDescent="0.25">
      <c r="A305">
        <v>5039878</v>
      </c>
      <c r="B305">
        <v>41400022</v>
      </c>
    </row>
    <row r="306" spans="1:2" x14ac:dyDescent="0.25">
      <c r="A306">
        <v>5062249</v>
      </c>
      <c r="B306">
        <v>41400023</v>
      </c>
    </row>
    <row r="307" spans="1:2" x14ac:dyDescent="0.25">
      <c r="A307">
        <v>5181402</v>
      </c>
      <c r="B307">
        <v>41400024</v>
      </c>
    </row>
    <row r="308" spans="1:2" x14ac:dyDescent="0.25">
      <c r="A308">
        <v>5039076</v>
      </c>
      <c r="B308">
        <v>41400024</v>
      </c>
    </row>
    <row r="309" spans="1:2" x14ac:dyDescent="0.25">
      <c r="A309">
        <v>5039451</v>
      </c>
      <c r="B309">
        <v>41400024</v>
      </c>
    </row>
    <row r="310" spans="1:2" x14ac:dyDescent="0.25">
      <c r="A310">
        <v>6053915</v>
      </c>
      <c r="B310">
        <v>41400025</v>
      </c>
    </row>
    <row r="311" spans="1:2" x14ac:dyDescent="0.25">
      <c r="A311">
        <v>6086062</v>
      </c>
      <c r="B311">
        <v>41400025</v>
      </c>
    </row>
    <row r="312" spans="1:2" x14ac:dyDescent="0.25">
      <c r="A312">
        <v>6044435</v>
      </c>
      <c r="B312">
        <v>41400025</v>
      </c>
    </row>
    <row r="313" spans="1:2" x14ac:dyDescent="0.25">
      <c r="A313">
        <v>6003005</v>
      </c>
      <c r="B313">
        <v>41400025</v>
      </c>
    </row>
    <row r="314" spans="1:2" x14ac:dyDescent="0.25">
      <c r="A314">
        <v>6002960</v>
      </c>
      <c r="B314">
        <v>41400025</v>
      </c>
    </row>
    <row r="315" spans="1:2" x14ac:dyDescent="0.25">
      <c r="A315">
        <v>5999369</v>
      </c>
      <c r="B315">
        <v>41400025</v>
      </c>
    </row>
    <row r="316" spans="1:2" x14ac:dyDescent="0.25">
      <c r="A316">
        <v>6003001</v>
      </c>
      <c r="B316">
        <v>41400025</v>
      </c>
    </row>
    <row r="317" spans="1:2" x14ac:dyDescent="0.25">
      <c r="A317">
        <v>6036701</v>
      </c>
      <c r="B317">
        <v>41400025</v>
      </c>
    </row>
    <row r="318" spans="1:2" x14ac:dyDescent="0.25">
      <c r="A318">
        <v>6044459</v>
      </c>
      <c r="B318">
        <v>41400025</v>
      </c>
    </row>
    <row r="319" spans="1:2" x14ac:dyDescent="0.25">
      <c r="A319">
        <v>6036720</v>
      </c>
      <c r="B319">
        <v>41400025</v>
      </c>
    </row>
    <row r="320" spans="1:2" x14ac:dyDescent="0.25">
      <c r="A320">
        <v>6086055</v>
      </c>
      <c r="B320">
        <v>41400025</v>
      </c>
    </row>
    <row r="321" spans="1:2" x14ac:dyDescent="0.25">
      <c r="A321">
        <v>6086168</v>
      </c>
      <c r="B321">
        <v>41400025</v>
      </c>
    </row>
    <row r="322" spans="1:2" x14ac:dyDescent="0.25">
      <c r="A322">
        <v>6086073</v>
      </c>
      <c r="B322">
        <v>41400025</v>
      </c>
    </row>
    <row r="323" spans="1:2" x14ac:dyDescent="0.25">
      <c r="A323">
        <v>6047959</v>
      </c>
      <c r="B323">
        <v>41400025</v>
      </c>
    </row>
    <row r="324" spans="1:2" x14ac:dyDescent="0.25">
      <c r="A324">
        <v>5039859</v>
      </c>
      <c r="B324">
        <v>41400078</v>
      </c>
    </row>
    <row r="325" spans="1:2" x14ac:dyDescent="0.25">
      <c r="A325">
        <v>5038867</v>
      </c>
      <c r="B325">
        <v>41400079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29"/>
  <sheetViews>
    <sheetView zoomScale="75" zoomScaleNormal="75" workbookViewId="0">
      <selection sqref="A1:B27"/>
    </sheetView>
  </sheetViews>
  <sheetFormatPr defaultRowHeight="13.2" x14ac:dyDescent="0.25"/>
  <cols>
    <col min="1" max="2" width="15.6640625" customWidth="1"/>
    <col min="3" max="3" width="29.5546875" customWidth="1"/>
  </cols>
  <sheetData>
    <row r="1" spans="1:3" ht="14.4" x14ac:dyDescent="0.3">
      <c r="A1" s="2">
        <v>41400001</v>
      </c>
      <c r="B1" s="9">
        <v>5128.2299999999996</v>
      </c>
      <c r="C1" s="2" t="s">
        <v>433</v>
      </c>
    </row>
    <row r="2" spans="1:3" ht="14.4" x14ac:dyDescent="0.3">
      <c r="A2" s="2">
        <v>41400002</v>
      </c>
      <c r="B2" s="9">
        <v>35034.54</v>
      </c>
      <c r="C2" s="2" t="s">
        <v>433</v>
      </c>
    </row>
    <row r="3" spans="1:3" ht="14.4" x14ac:dyDescent="0.3">
      <c r="A3" s="2">
        <v>41400003</v>
      </c>
      <c r="B3" s="9">
        <v>13495.84</v>
      </c>
      <c r="C3" s="2" t="s">
        <v>433</v>
      </c>
    </row>
    <row r="4" spans="1:3" ht="14.4" x14ac:dyDescent="0.3">
      <c r="A4" s="2">
        <v>41400004</v>
      </c>
      <c r="B4" s="9">
        <v>32054.1</v>
      </c>
      <c r="C4" s="2" t="s">
        <v>433</v>
      </c>
    </row>
    <row r="5" spans="1:3" ht="14.4" x14ac:dyDescent="0.3">
      <c r="A5" s="2">
        <v>41400005</v>
      </c>
      <c r="B5" s="9">
        <v>954.31</v>
      </c>
      <c r="C5" s="2" t="s">
        <v>433</v>
      </c>
    </row>
    <row r="6" spans="1:3" ht="14.4" x14ac:dyDescent="0.3">
      <c r="A6" s="2">
        <v>41400006</v>
      </c>
      <c r="B6" s="9">
        <v>2107.4299999999998</v>
      </c>
      <c r="C6" s="2" t="s">
        <v>433</v>
      </c>
    </row>
    <row r="7" spans="1:3" ht="14.4" x14ac:dyDescent="0.3">
      <c r="A7" s="2">
        <v>41400007</v>
      </c>
      <c r="B7" s="9">
        <v>4040.7</v>
      </c>
      <c r="C7" s="2" t="s">
        <v>433</v>
      </c>
    </row>
    <row r="8" spans="1:3" ht="14.4" x14ac:dyDescent="0.3">
      <c r="A8" s="2">
        <v>41400008</v>
      </c>
      <c r="B8" s="9">
        <v>7034.68</v>
      </c>
      <c r="C8" s="2" t="s">
        <v>433</v>
      </c>
    </row>
    <row r="9" spans="1:3" ht="14.4" x14ac:dyDescent="0.3">
      <c r="A9" s="2">
        <v>41400009</v>
      </c>
      <c r="B9" s="9">
        <v>3184.36</v>
      </c>
      <c r="C9" s="2" t="s">
        <v>433</v>
      </c>
    </row>
    <row r="10" spans="1:3" ht="14.4" x14ac:dyDescent="0.3">
      <c r="A10" s="2">
        <v>41400010</v>
      </c>
      <c r="B10" s="9">
        <v>2781.68</v>
      </c>
      <c r="C10" s="2" t="s">
        <v>433</v>
      </c>
    </row>
    <row r="11" spans="1:3" ht="14.4" x14ac:dyDescent="0.3">
      <c r="A11" s="2">
        <v>41400011</v>
      </c>
      <c r="B11" s="9">
        <v>4373.88</v>
      </c>
      <c r="C11" s="2" t="s">
        <v>433</v>
      </c>
    </row>
    <row r="12" spans="1:3" ht="14.4" x14ac:dyDescent="0.3">
      <c r="A12" s="2">
        <v>41400012</v>
      </c>
      <c r="B12" s="9">
        <v>3072.91</v>
      </c>
      <c r="C12" s="2" t="s">
        <v>433</v>
      </c>
    </row>
    <row r="13" spans="1:3" ht="14.4" x14ac:dyDescent="0.3">
      <c r="A13" s="2">
        <v>41400013</v>
      </c>
      <c r="B13" s="9">
        <v>3840.86</v>
      </c>
      <c r="C13" s="2" t="s">
        <v>433</v>
      </c>
    </row>
    <row r="14" spans="1:3" ht="14.4" x14ac:dyDescent="0.3">
      <c r="A14" s="2">
        <v>41400014</v>
      </c>
      <c r="B14" s="9">
        <v>4637.25</v>
      </c>
      <c r="C14" s="2" t="s">
        <v>433</v>
      </c>
    </row>
    <row r="15" spans="1:3" ht="14.4" x14ac:dyDescent="0.3">
      <c r="A15" s="2">
        <v>41400015</v>
      </c>
      <c r="B15" s="9">
        <v>0</v>
      </c>
      <c r="C15" s="2" t="s">
        <v>433</v>
      </c>
    </row>
    <row r="16" spans="1:3" ht="14.4" x14ac:dyDescent="0.3">
      <c r="A16" s="2">
        <v>41400016</v>
      </c>
      <c r="B16" s="9">
        <v>0</v>
      </c>
      <c r="C16" s="2" t="s">
        <v>433</v>
      </c>
    </row>
    <row r="17" spans="1:3" ht="14.4" x14ac:dyDescent="0.3">
      <c r="A17" s="2">
        <v>41400017</v>
      </c>
      <c r="B17" s="9">
        <v>561.63</v>
      </c>
      <c r="C17" s="2" t="s">
        <v>433</v>
      </c>
    </row>
    <row r="18" spans="1:3" ht="14.4" x14ac:dyDescent="0.3">
      <c r="A18" s="2">
        <v>41400020</v>
      </c>
      <c r="B18" s="9">
        <v>0</v>
      </c>
      <c r="C18" s="2" t="s">
        <v>433</v>
      </c>
    </row>
    <row r="19" spans="1:3" ht="14.4" x14ac:dyDescent="0.3">
      <c r="A19" s="2">
        <v>41400021</v>
      </c>
      <c r="B19" s="9">
        <v>5114.42</v>
      </c>
      <c r="C19" s="2" t="s">
        <v>433</v>
      </c>
    </row>
    <row r="20" spans="1:3" ht="14.4" x14ac:dyDescent="0.3">
      <c r="A20" s="2">
        <v>41400022</v>
      </c>
      <c r="B20" s="9">
        <v>773.8</v>
      </c>
      <c r="C20" s="2" t="s">
        <v>433</v>
      </c>
    </row>
    <row r="21" spans="1:3" ht="14.4" x14ac:dyDescent="0.3">
      <c r="A21" s="2">
        <v>41400023</v>
      </c>
      <c r="B21" s="9">
        <v>458.53</v>
      </c>
      <c r="C21" s="2" t="s">
        <v>433</v>
      </c>
    </row>
    <row r="22" spans="1:3" ht="14.4" x14ac:dyDescent="0.3">
      <c r="A22" s="2">
        <v>41400024</v>
      </c>
      <c r="B22" s="9">
        <v>1609.13</v>
      </c>
      <c r="C22" s="2" t="s">
        <v>433</v>
      </c>
    </row>
    <row r="23" spans="1:3" ht="14.4" x14ac:dyDescent="0.3">
      <c r="A23" s="2">
        <v>41400025</v>
      </c>
      <c r="B23" s="9">
        <v>677.99</v>
      </c>
      <c r="C23" s="2" t="s">
        <v>433</v>
      </c>
    </row>
    <row r="24" spans="1:3" ht="14.4" x14ac:dyDescent="0.3">
      <c r="A24" s="2">
        <v>41400050</v>
      </c>
      <c r="B24" s="9">
        <v>0</v>
      </c>
      <c r="C24" s="2" t="s">
        <v>433</v>
      </c>
    </row>
    <row r="25" spans="1:3" ht="14.4" x14ac:dyDescent="0.3">
      <c r="A25" s="2">
        <v>41400078</v>
      </c>
      <c r="B25" s="9">
        <v>378.36</v>
      </c>
      <c r="C25" s="2" t="s">
        <v>433</v>
      </c>
    </row>
    <row r="26" spans="1:3" ht="14.4" x14ac:dyDescent="0.3">
      <c r="A26" s="2">
        <v>41400079</v>
      </c>
      <c r="B26" s="9">
        <v>420.2</v>
      </c>
      <c r="C26" s="2" t="s">
        <v>433</v>
      </c>
    </row>
    <row r="27" spans="1:3" ht="14.4" x14ac:dyDescent="0.3">
      <c r="A27" s="2">
        <v>41400090</v>
      </c>
      <c r="B27" s="9">
        <v>0</v>
      </c>
      <c r="C27" s="2" t="s">
        <v>433</v>
      </c>
    </row>
    <row r="28" spans="1:3" ht="14.4" x14ac:dyDescent="0.3">
      <c r="A28" s="2"/>
      <c r="B28" s="2"/>
    </row>
    <row r="29" spans="1:3" ht="14.4" x14ac:dyDescent="0.3">
      <c r="A29" s="2"/>
      <c r="B2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</vt:i4>
      </vt:variant>
    </vt:vector>
  </HeadingPairs>
  <TitlesOfParts>
    <vt:vector size="39" baseType="lpstr">
      <vt:lpstr>01x</vt:lpstr>
      <vt:lpstr>02x</vt:lpstr>
      <vt:lpstr>03x</vt:lpstr>
      <vt:lpstr>04x</vt:lpstr>
      <vt:lpstr>05x</vt:lpstr>
      <vt:lpstr>06x</vt:lpstr>
      <vt:lpstr>07x</vt:lpstr>
      <vt:lpstr>08x</vt:lpstr>
      <vt:lpstr>09x</vt:lpstr>
      <vt:lpstr>10x</vt:lpstr>
      <vt:lpstr>11x</vt:lpstr>
      <vt:lpstr>12x</vt:lpstr>
      <vt:lpstr>13x</vt:lpstr>
      <vt:lpstr>14x</vt:lpstr>
      <vt:lpstr>17x</vt:lpstr>
      <vt:lpstr>21x</vt:lpstr>
      <vt:lpstr>22x</vt:lpstr>
      <vt:lpstr>23x</vt:lpstr>
      <vt:lpstr>24x</vt:lpstr>
      <vt:lpstr>25x</vt:lpstr>
      <vt:lpstr>78x</vt:lpstr>
      <vt:lpstr>79x</vt:lpstr>
      <vt:lpstr>Data</vt:lpstr>
      <vt:lpstr>fData</vt:lpstr>
      <vt:lpstr>Summary</vt:lpstr>
      <vt:lpstr>infRates</vt:lpstr>
      <vt:lpstr>Frmlas</vt:lpstr>
      <vt:lpstr>lstProc</vt:lpstr>
      <vt:lpstr>Header</vt:lpstr>
      <vt:lpstr>Comments</vt:lpstr>
      <vt:lpstr>infTypes</vt:lpstr>
      <vt:lpstr>r</vt:lpstr>
      <vt:lpstr>Sheet1</vt:lpstr>
      <vt:lpstr>Adj</vt:lpstr>
      <vt:lpstr>Sheet4</vt:lpstr>
      <vt:lpstr>Sheet2</vt:lpstr>
      <vt:lpstr>Summary!Print_Area</vt:lpstr>
      <vt:lpstr>tblAccrual</vt:lpstr>
      <vt:lpstr>tblEmplUnit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wsnyder</dc:creator>
  <cp:lastModifiedBy>wsnyder</cp:lastModifiedBy>
  <cp:lastPrinted>2011-12-16T19:22:13Z</cp:lastPrinted>
  <dcterms:created xsi:type="dcterms:W3CDTF">2011-02-07T12:43:43Z</dcterms:created>
  <dcterms:modified xsi:type="dcterms:W3CDTF">2015-04-06T04:00:12Z</dcterms:modified>
</cp:coreProperties>
</file>