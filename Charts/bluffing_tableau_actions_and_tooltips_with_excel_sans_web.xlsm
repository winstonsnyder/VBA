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030" codeName="{1563B04E-AB91-75FE-B8BC-B18F01832D5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winston\Downloads\"/>
    </mc:Choice>
  </mc:AlternateContent>
  <bookViews>
    <workbookView xWindow="0" yWindow="0" windowWidth="28800" windowHeight="12210"/>
  </bookViews>
  <sheets>
    <sheet name="Dashboard" sheetId="3" r:id="rId1"/>
    <sheet name="Data" sheetId="2" r:id="rId2"/>
    <sheet name="Calculations" sheetId="4" r:id="rId3"/>
  </sheets>
  <functionGroups builtInGroupCount="18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yActualPositions">Calculations!$F$15:$F$64</definedName>
    <definedName name="myActualPositionStart">Calculations!$F$14</definedName>
    <definedName name="myActualSelection">Calculations!$D$8</definedName>
    <definedName name="myActualSnapshotStart">Calculations!$D$7</definedName>
    <definedName name="myActualURL">Calculations!$D$10</definedName>
    <definedName name="myOutputTable">Dashboard!$B$20:$J$29</definedName>
    <definedName name="myRawDataPosition">Calculations!$D$9</definedName>
    <definedName name="mySelectionNoStart">Calculations!$E$68</definedName>
    <definedName name="mySelectionPosStart">Calculations!$F$68</definedName>
    <definedName name="myTooltipBubbleStart">Calculations!$R$14</definedName>
  </definedNames>
  <calcPr calcId="171027"/>
</workbook>
</file>

<file path=xl/calcChain.xml><?xml version="1.0" encoding="utf-8"?>
<calcChain xmlns="http://schemas.openxmlformats.org/spreadsheetml/2006/main">
  <c r="R15" i="4" l="1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C64" i="4" l="1"/>
  <c r="D64" i="4" s="1"/>
  <c r="C63" i="4"/>
  <c r="D63" i="4" s="1"/>
  <c r="C62" i="4"/>
  <c r="D62" i="4" s="1"/>
  <c r="C61" i="4"/>
  <c r="D61" i="4" s="1"/>
  <c r="C60" i="4"/>
  <c r="D60" i="4" s="1"/>
  <c r="C59" i="4"/>
  <c r="D59" i="4" s="1"/>
  <c r="C58" i="4"/>
  <c r="D58" i="4" s="1"/>
  <c r="C57" i="4"/>
  <c r="D57" i="4" s="1"/>
  <c r="C56" i="4"/>
  <c r="D56" i="4" s="1"/>
  <c r="C55" i="4"/>
  <c r="D55" i="4" s="1"/>
  <c r="C54" i="4"/>
  <c r="D54" i="4" s="1"/>
  <c r="C53" i="4"/>
  <c r="D53" i="4" s="1"/>
  <c r="C52" i="4"/>
  <c r="D52" i="4" s="1"/>
  <c r="C51" i="4"/>
  <c r="D51" i="4" s="1"/>
  <c r="C50" i="4"/>
  <c r="D50" i="4" s="1"/>
  <c r="C49" i="4"/>
  <c r="D49" i="4" s="1"/>
  <c r="C48" i="4"/>
  <c r="D48" i="4" s="1"/>
  <c r="C47" i="4"/>
  <c r="D47" i="4" s="1"/>
  <c r="C46" i="4"/>
  <c r="D46" i="4" s="1"/>
  <c r="C45" i="4"/>
  <c r="D45" i="4" s="1"/>
  <c r="C44" i="4"/>
  <c r="D44" i="4" s="1"/>
  <c r="C43" i="4"/>
  <c r="D43" i="4" s="1"/>
  <c r="C42" i="4"/>
  <c r="D42" i="4" s="1"/>
  <c r="C41" i="4"/>
  <c r="D41" i="4" s="1"/>
  <c r="C40" i="4"/>
  <c r="D40" i="4" s="1"/>
  <c r="C39" i="4"/>
  <c r="D39" i="4" s="1"/>
  <c r="C38" i="4"/>
  <c r="D38" i="4" s="1"/>
  <c r="C37" i="4"/>
  <c r="D37" i="4" s="1"/>
  <c r="C36" i="4"/>
  <c r="D36" i="4" s="1"/>
  <c r="C35" i="4"/>
  <c r="D35" i="4" s="1"/>
  <c r="C34" i="4"/>
  <c r="D34" i="4" s="1"/>
  <c r="C33" i="4"/>
  <c r="D33" i="4" s="1"/>
  <c r="C32" i="4"/>
  <c r="D32" i="4" s="1"/>
  <c r="C31" i="4"/>
  <c r="D31" i="4" s="1"/>
  <c r="C30" i="4"/>
  <c r="D30" i="4" s="1"/>
  <c r="C29" i="4"/>
  <c r="D29" i="4" s="1"/>
  <c r="C28" i="4"/>
  <c r="D28" i="4" s="1"/>
  <c r="C27" i="4"/>
  <c r="D27" i="4" s="1"/>
  <c r="C26" i="4"/>
  <c r="D26" i="4" s="1"/>
  <c r="C25" i="4"/>
  <c r="D25" i="4" s="1"/>
  <c r="C24" i="4"/>
  <c r="D24" i="4" s="1"/>
  <c r="C23" i="4"/>
  <c r="D23" i="4" s="1"/>
  <c r="C22" i="4"/>
  <c r="D22" i="4" s="1"/>
  <c r="C21" i="4"/>
  <c r="D21" i="4" s="1"/>
  <c r="C20" i="4"/>
  <c r="D20" i="4" s="1"/>
  <c r="C19" i="4"/>
  <c r="D19" i="4" s="1"/>
  <c r="C18" i="4"/>
  <c r="D18" i="4" s="1"/>
  <c r="C17" i="4"/>
  <c r="D17" i="4" s="1"/>
  <c r="C16" i="4"/>
  <c r="D16" i="4" s="1"/>
  <c r="C15" i="4"/>
  <c r="D15" i="4" s="1"/>
  <c r="D10" i="4"/>
  <c r="E73" i="4"/>
  <c r="B24" i="3" s="1"/>
  <c r="E74" i="4"/>
  <c r="B25" i="3" s="1"/>
  <c r="E75" i="4"/>
  <c r="B26" i="3" s="1"/>
  <c r="E76" i="4"/>
  <c r="B27" i="3" s="1"/>
  <c r="E77" i="4"/>
  <c r="B28" i="3" s="1"/>
  <c r="E78" i="4"/>
  <c r="B29" i="3" s="1"/>
  <c r="E72" i="4"/>
  <c r="B23" i="3" s="1"/>
  <c r="E71" i="4"/>
  <c r="B22" i="3" s="1"/>
  <c r="E70" i="4"/>
  <c r="B21" i="3" s="1"/>
  <c r="E69" i="4"/>
  <c r="B20" i="3" s="1"/>
  <c r="F19" i="3"/>
  <c r="E19" i="3"/>
  <c r="I19" i="3"/>
  <c r="G19" i="3"/>
  <c r="D19" i="3"/>
  <c r="C19" i="3"/>
  <c r="E26" i="4" l="1"/>
  <c r="F26" i="4" s="1"/>
  <c r="P26" i="4" s="1"/>
  <c r="E35" i="4"/>
  <c r="F35" i="4" s="1"/>
  <c r="J35" i="4" s="1"/>
  <c r="E64" i="4"/>
  <c r="F64" i="4" s="1"/>
  <c r="L64" i="4" s="1"/>
  <c r="E44" i="4"/>
  <c r="F44" i="4" s="1"/>
  <c r="L44" i="4" s="1"/>
  <c r="E52" i="4"/>
  <c r="F52" i="4" s="1"/>
  <c r="O52" i="4" s="1"/>
  <c r="E55" i="4"/>
  <c r="F55" i="4" s="1"/>
  <c r="L55" i="4" s="1"/>
  <c r="E46" i="4"/>
  <c r="F46" i="4" s="1"/>
  <c r="L46" i="4" s="1"/>
  <c r="E36" i="4"/>
  <c r="F36" i="4" s="1"/>
  <c r="K36" i="4" s="1"/>
  <c r="E51" i="4"/>
  <c r="F51" i="4" s="1"/>
  <c r="I51" i="4" s="1"/>
  <c r="E53" i="4"/>
  <c r="F53" i="4" s="1"/>
  <c r="E19" i="4"/>
  <c r="F19" i="4" s="1"/>
  <c r="G19" i="4" s="1"/>
  <c r="E41" i="4"/>
  <c r="F41" i="4" s="1"/>
  <c r="G41" i="4" s="1"/>
  <c r="E30" i="4"/>
  <c r="F30" i="4" s="1"/>
  <c r="O30" i="4" s="1"/>
  <c r="E16" i="4"/>
  <c r="F16" i="4" s="1"/>
  <c r="H16" i="4" s="1"/>
  <c r="E24" i="4"/>
  <c r="F24" i="4" s="1"/>
  <c r="K24" i="4" s="1"/>
  <c r="E29" i="4"/>
  <c r="F29" i="4" s="1"/>
  <c r="P29" i="4" s="1"/>
  <c r="E39" i="4"/>
  <c r="F39" i="4" s="1"/>
  <c r="K39" i="4" s="1"/>
  <c r="E32" i="4"/>
  <c r="F32" i="4" s="1"/>
  <c r="L32" i="4" s="1"/>
  <c r="E17" i="4"/>
  <c r="F17" i="4" s="1"/>
  <c r="H17" i="4" s="1"/>
  <c r="E23" i="4"/>
  <c r="F23" i="4" s="1"/>
  <c r="K23" i="4" s="1"/>
  <c r="E54" i="4"/>
  <c r="F54" i="4" s="1"/>
  <c r="L54" i="4" s="1"/>
  <c r="E59" i="4"/>
  <c r="F59" i="4" s="1"/>
  <c r="I59" i="4" s="1"/>
  <c r="E31" i="4"/>
  <c r="F31" i="4" s="1"/>
  <c r="K31" i="4" s="1"/>
  <c r="E27" i="4"/>
  <c r="F27" i="4" s="1"/>
  <c r="J27" i="4" s="1"/>
  <c r="E42" i="4"/>
  <c r="F42" i="4" s="1"/>
  <c r="I42" i="4" s="1"/>
  <c r="E38" i="4"/>
  <c r="F38" i="4" s="1"/>
  <c r="I38" i="4" s="1"/>
  <c r="E63" i="4"/>
  <c r="F63" i="4" s="1"/>
  <c r="I63" i="4" s="1"/>
  <c r="E20" i="4"/>
  <c r="F20" i="4" s="1"/>
  <c r="J20" i="4" s="1"/>
  <c r="E48" i="4"/>
  <c r="F48" i="4" s="1"/>
  <c r="O48" i="4" s="1"/>
  <c r="G26" i="4"/>
  <c r="E25" i="4"/>
  <c r="F25" i="4" s="1"/>
  <c r="H25" i="4" s="1"/>
  <c r="E15" i="4"/>
  <c r="F15" i="4" s="1"/>
  <c r="J15" i="4" s="1"/>
  <c r="E37" i="4"/>
  <c r="F37" i="4" s="1"/>
  <c r="K37" i="4" s="1"/>
  <c r="E58" i="4"/>
  <c r="F58" i="4" s="1"/>
  <c r="L58" i="4" s="1"/>
  <c r="G52" i="4"/>
  <c r="E45" i="4"/>
  <c r="F45" i="4" s="1"/>
  <c r="G45" i="4" s="1"/>
  <c r="E57" i="4"/>
  <c r="F57" i="4" s="1"/>
  <c r="E49" i="4"/>
  <c r="F49" i="4" s="1"/>
  <c r="E21" i="4"/>
  <c r="F21" i="4" s="1"/>
  <c r="G30" i="4"/>
  <c r="E47" i="4"/>
  <c r="F47" i="4" s="1"/>
  <c r="E50" i="4"/>
  <c r="F50" i="4" s="1"/>
  <c r="E22" i="4"/>
  <c r="F22" i="4" s="1"/>
  <c r="E62" i="4"/>
  <c r="F62" i="4" s="1"/>
  <c r="E33" i="4"/>
  <c r="F33" i="4" s="1"/>
  <c r="E34" i="4"/>
  <c r="F34" i="4" s="1"/>
  <c r="E28" i="4"/>
  <c r="F28" i="4" s="1"/>
  <c r="E60" i="4"/>
  <c r="F60" i="4" s="1"/>
  <c r="E43" i="4"/>
  <c r="F43" i="4" s="1"/>
  <c r="E40" i="4"/>
  <c r="F40" i="4" s="1"/>
  <c r="E61" i="4"/>
  <c r="F61" i="4" s="1"/>
  <c r="E56" i="4"/>
  <c r="F56" i="4" s="1"/>
  <c r="E18" i="4"/>
  <c r="F18" i="4" s="1"/>
  <c r="L52" i="4"/>
  <c r="H46" i="4" l="1"/>
  <c r="K46" i="4"/>
  <c r="J64" i="4"/>
  <c r="H64" i="4"/>
  <c r="J26" i="4"/>
  <c r="I36" i="4"/>
  <c r="K55" i="4"/>
  <c r="G23" i="4"/>
  <c r="O16" i="4"/>
  <c r="G20" i="4"/>
  <c r="G55" i="4"/>
  <c r="K32" i="4"/>
  <c r="H27" i="4"/>
  <c r="O38" i="4"/>
  <c r="J52" i="4"/>
  <c r="I29" i="4"/>
  <c r="G38" i="4"/>
  <c r="P59" i="4"/>
  <c r="I64" i="4"/>
  <c r="K64" i="4"/>
  <c r="J59" i="4"/>
  <c r="P52" i="4"/>
  <c r="O26" i="4"/>
  <c r="I52" i="4"/>
  <c r="J23" i="4"/>
  <c r="K16" i="4"/>
  <c r="L29" i="4"/>
  <c r="O32" i="4"/>
  <c r="P36" i="4"/>
  <c r="J36" i="4"/>
  <c r="G27" i="4"/>
  <c r="J38" i="4"/>
  <c r="G59" i="4"/>
  <c r="I55" i="4"/>
  <c r="K59" i="4"/>
  <c r="O36" i="4"/>
  <c r="H35" i="4"/>
  <c r="H15" i="4"/>
  <c r="J17" i="4"/>
  <c r="I39" i="4"/>
  <c r="H36" i="4"/>
  <c r="L36" i="4"/>
  <c r="K63" i="4"/>
  <c r="H55" i="4"/>
  <c r="J55" i="4"/>
  <c r="K25" i="4"/>
  <c r="I48" i="4"/>
  <c r="G36" i="4"/>
  <c r="P55" i="4"/>
  <c r="P44" i="4"/>
  <c r="O17" i="4"/>
  <c r="I31" i="4"/>
  <c r="P63" i="4"/>
  <c r="P51" i="4"/>
  <c r="P64" i="4"/>
  <c r="H26" i="4"/>
  <c r="O45" i="4"/>
  <c r="O20" i="4"/>
  <c r="L15" i="4"/>
  <c r="K52" i="4"/>
  <c r="H52" i="4"/>
  <c r="L26" i="4"/>
  <c r="K26" i="4"/>
  <c r="O64" i="4"/>
  <c r="F73" i="4"/>
  <c r="K24" i="3" s="1"/>
  <c r="I23" i="4"/>
  <c r="L23" i="4"/>
  <c r="P16" i="4"/>
  <c r="J29" i="4"/>
  <c r="P32" i="4"/>
  <c r="I32" i="4"/>
  <c r="P27" i="4"/>
  <c r="H38" i="4"/>
  <c r="K20" i="4"/>
  <c r="I20" i="4"/>
  <c r="L59" i="4"/>
  <c r="O59" i="4"/>
  <c r="O15" i="4"/>
  <c r="P20" i="4"/>
  <c r="H59" i="4"/>
  <c r="K58" i="4"/>
  <c r="I35" i="4"/>
  <c r="F69" i="4"/>
  <c r="K20" i="3" s="1"/>
  <c r="F76" i="4"/>
  <c r="K27" i="3" s="1"/>
  <c r="G64" i="4"/>
  <c r="F75" i="4"/>
  <c r="K26" i="3" s="1"/>
  <c r="I26" i="4"/>
  <c r="P19" i="4"/>
  <c r="O24" i="4"/>
  <c r="G42" i="4"/>
  <c r="J54" i="4"/>
  <c r="L37" i="4"/>
  <c r="G44" i="4"/>
  <c r="P54" i="4"/>
  <c r="G35" i="4"/>
  <c r="P35" i="4"/>
  <c r="K35" i="4"/>
  <c r="L35" i="4"/>
  <c r="O35" i="4"/>
  <c r="O19" i="4"/>
  <c r="L30" i="4"/>
  <c r="I30" i="4"/>
  <c r="P24" i="4"/>
  <c r="P39" i="4"/>
  <c r="K17" i="4"/>
  <c r="G17" i="4"/>
  <c r="H31" i="4"/>
  <c r="P42" i="4"/>
  <c r="H63" i="4"/>
  <c r="I54" i="4"/>
  <c r="I46" i="4"/>
  <c r="F77" i="4"/>
  <c r="N77" i="4" s="1"/>
  <c r="G37" i="4"/>
  <c r="G25" i="4"/>
  <c r="K44" i="4"/>
  <c r="G48" i="4"/>
  <c r="K48" i="4"/>
  <c r="O46" i="4"/>
  <c r="K54" i="4"/>
  <c r="I19" i="4"/>
  <c r="K30" i="4"/>
  <c r="P30" i="4"/>
  <c r="L24" i="4"/>
  <c r="L39" i="4"/>
  <c r="I17" i="4"/>
  <c r="L17" i="4"/>
  <c r="P17" i="4"/>
  <c r="G31" i="4"/>
  <c r="J31" i="4"/>
  <c r="O42" i="4"/>
  <c r="H42" i="4"/>
  <c r="G63" i="4"/>
  <c r="J63" i="4"/>
  <c r="H54" i="4"/>
  <c r="G54" i="4"/>
  <c r="G46" i="4"/>
  <c r="J46" i="4"/>
  <c r="H37" i="4"/>
  <c r="P25" i="4"/>
  <c r="I44" i="4"/>
  <c r="J44" i="4"/>
  <c r="L48" i="4"/>
  <c r="H48" i="4"/>
  <c r="J48" i="4"/>
  <c r="P46" i="4"/>
  <c r="P48" i="4"/>
  <c r="O54" i="4"/>
  <c r="J51" i="4"/>
  <c r="H44" i="4"/>
  <c r="K51" i="4"/>
  <c r="O44" i="4"/>
  <c r="O51" i="4"/>
  <c r="H58" i="4"/>
  <c r="H51" i="4"/>
  <c r="I58" i="4"/>
  <c r="O58" i="4"/>
  <c r="O55" i="4"/>
  <c r="G51" i="4"/>
  <c r="L51" i="4"/>
  <c r="J58" i="4"/>
  <c r="P58" i="4"/>
  <c r="G58" i="4"/>
  <c r="J49" i="4"/>
  <c r="H49" i="4"/>
  <c r="I49" i="4"/>
  <c r="L49" i="4"/>
  <c r="P49" i="4"/>
  <c r="O49" i="4"/>
  <c r="G49" i="4"/>
  <c r="K49" i="4"/>
  <c r="L45" i="4"/>
  <c r="H45" i="4"/>
  <c r="J45" i="4"/>
  <c r="P45" i="4"/>
  <c r="K45" i="4"/>
  <c r="I45" i="4"/>
  <c r="I15" i="4"/>
  <c r="P15" i="4"/>
  <c r="G15" i="4"/>
  <c r="K15" i="4"/>
  <c r="L20" i="4"/>
  <c r="H20" i="4"/>
  <c r="P38" i="4"/>
  <c r="L38" i="4"/>
  <c r="K38" i="4"/>
  <c r="I27" i="4"/>
  <c r="L27" i="4"/>
  <c r="O27" i="4"/>
  <c r="K27" i="4"/>
  <c r="H23" i="4"/>
  <c r="P23" i="4"/>
  <c r="O23" i="4"/>
  <c r="H32" i="4"/>
  <c r="G32" i="4"/>
  <c r="J32" i="4"/>
  <c r="H29" i="4"/>
  <c r="K29" i="4"/>
  <c r="O29" i="4"/>
  <c r="G29" i="4"/>
  <c r="I16" i="4"/>
  <c r="J16" i="4"/>
  <c r="L16" i="4"/>
  <c r="G16" i="4"/>
  <c r="L41" i="4"/>
  <c r="O41" i="4"/>
  <c r="I41" i="4"/>
  <c r="H41" i="4"/>
  <c r="F72" i="4"/>
  <c r="K41" i="4"/>
  <c r="J41" i="4"/>
  <c r="P41" i="4"/>
  <c r="P53" i="4"/>
  <c r="J53" i="4"/>
  <c r="L53" i="4"/>
  <c r="I53" i="4"/>
  <c r="K53" i="4"/>
  <c r="O53" i="4"/>
  <c r="H53" i="4"/>
  <c r="G53" i="4"/>
  <c r="L21" i="4"/>
  <c r="O21" i="4"/>
  <c r="H21" i="4"/>
  <c r="K21" i="4"/>
  <c r="J21" i="4"/>
  <c r="P21" i="4"/>
  <c r="G21" i="4"/>
  <c r="I21" i="4"/>
  <c r="J57" i="4"/>
  <c r="G57" i="4"/>
  <c r="P57" i="4"/>
  <c r="H57" i="4"/>
  <c r="O57" i="4"/>
  <c r="L57" i="4"/>
  <c r="I57" i="4"/>
  <c r="K57" i="4"/>
  <c r="O37" i="4"/>
  <c r="I37" i="4"/>
  <c r="P37" i="4"/>
  <c r="J37" i="4"/>
  <c r="L25" i="4"/>
  <c r="I25" i="4"/>
  <c r="J25" i="4"/>
  <c r="O25" i="4"/>
  <c r="O63" i="4"/>
  <c r="L63" i="4"/>
  <c r="K42" i="4"/>
  <c r="L42" i="4"/>
  <c r="J42" i="4"/>
  <c r="P31" i="4"/>
  <c r="O31" i="4"/>
  <c r="L31" i="4"/>
  <c r="H39" i="4"/>
  <c r="G39" i="4"/>
  <c r="O39" i="4"/>
  <c r="J39" i="4"/>
  <c r="F70" i="4"/>
  <c r="I24" i="4"/>
  <c r="J24" i="4"/>
  <c r="G24" i="4"/>
  <c r="H24" i="4"/>
  <c r="J30" i="4"/>
  <c r="H30" i="4"/>
  <c r="K19" i="4"/>
  <c r="J19" i="4"/>
  <c r="H19" i="4"/>
  <c r="L19" i="4"/>
  <c r="I56" i="4"/>
  <c r="J56" i="4"/>
  <c r="P56" i="4"/>
  <c r="G56" i="4"/>
  <c r="L56" i="4"/>
  <c r="O56" i="4"/>
  <c r="H56" i="4"/>
  <c r="K56" i="4"/>
  <c r="P40" i="4"/>
  <c r="K40" i="4"/>
  <c r="L40" i="4"/>
  <c r="J40" i="4"/>
  <c r="I40" i="4"/>
  <c r="G40" i="4"/>
  <c r="O40" i="4"/>
  <c r="H40" i="4"/>
  <c r="F71" i="4"/>
  <c r="G60" i="4"/>
  <c r="O60" i="4"/>
  <c r="K60" i="4"/>
  <c r="P60" i="4"/>
  <c r="I60" i="4"/>
  <c r="L60" i="4"/>
  <c r="H60" i="4"/>
  <c r="J60" i="4"/>
  <c r="P34" i="4"/>
  <c r="G34" i="4"/>
  <c r="J34" i="4"/>
  <c r="K34" i="4"/>
  <c r="L34" i="4"/>
  <c r="I34" i="4"/>
  <c r="H34" i="4"/>
  <c r="O34" i="4"/>
  <c r="H62" i="4"/>
  <c r="I62" i="4"/>
  <c r="O62" i="4"/>
  <c r="G62" i="4"/>
  <c r="L62" i="4"/>
  <c r="J62" i="4"/>
  <c r="P62" i="4"/>
  <c r="K62" i="4"/>
  <c r="H50" i="4"/>
  <c r="L50" i="4"/>
  <c r="K50" i="4"/>
  <c r="G50" i="4"/>
  <c r="I50" i="4"/>
  <c r="O50" i="4"/>
  <c r="P50" i="4"/>
  <c r="J50" i="4"/>
  <c r="K18" i="4"/>
  <c r="H18" i="4"/>
  <c r="L18" i="4"/>
  <c r="P18" i="4"/>
  <c r="J18" i="4"/>
  <c r="G18" i="4"/>
  <c r="I18" i="4"/>
  <c r="O18" i="4"/>
  <c r="L61" i="4"/>
  <c r="P61" i="4"/>
  <c r="G61" i="4"/>
  <c r="O61" i="4"/>
  <c r="I61" i="4"/>
  <c r="K61" i="4"/>
  <c r="J61" i="4"/>
  <c r="H61" i="4"/>
  <c r="F74" i="4"/>
  <c r="G43" i="4"/>
  <c r="H43" i="4"/>
  <c r="P43" i="4"/>
  <c r="L43" i="4"/>
  <c r="K43" i="4"/>
  <c r="J43" i="4"/>
  <c r="O43" i="4"/>
  <c r="I43" i="4"/>
  <c r="H28" i="4"/>
  <c r="L28" i="4"/>
  <c r="P28" i="4"/>
  <c r="J28" i="4"/>
  <c r="O28" i="4"/>
  <c r="K28" i="4"/>
  <c r="G28" i="4"/>
  <c r="I28" i="4"/>
  <c r="H33" i="4"/>
  <c r="L33" i="4"/>
  <c r="G33" i="4"/>
  <c r="O33" i="4"/>
  <c r="K33" i="4"/>
  <c r="I33" i="4"/>
  <c r="J33" i="4"/>
  <c r="P33" i="4"/>
  <c r="I22" i="4"/>
  <c r="O22" i="4"/>
  <c r="J22" i="4"/>
  <c r="P22" i="4"/>
  <c r="H22" i="4"/>
  <c r="L22" i="4"/>
  <c r="G22" i="4"/>
  <c r="K22" i="4"/>
  <c r="I47" i="4"/>
  <c r="O47" i="4"/>
  <c r="K47" i="4"/>
  <c r="K78" i="4" s="1"/>
  <c r="E29" i="3" s="1"/>
  <c r="F78" i="4"/>
  <c r="P47" i="4"/>
  <c r="H47" i="4"/>
  <c r="L47" i="4"/>
  <c r="G47" i="4"/>
  <c r="J47" i="4"/>
  <c r="H78" i="4" l="1"/>
  <c r="D29" i="3" s="1"/>
  <c r="L70" i="4"/>
  <c r="F21" i="3" s="1"/>
  <c r="I70" i="4"/>
  <c r="G21" i="3" s="1"/>
  <c r="G70" i="4"/>
  <c r="C21" i="3" s="1"/>
  <c r="H73" i="4"/>
  <c r="D24" i="3" s="1"/>
  <c r="I74" i="4"/>
  <c r="G25" i="3" s="1"/>
  <c r="I73" i="4"/>
  <c r="G24" i="3" s="1"/>
  <c r="G73" i="4"/>
  <c r="C24" i="3" s="1"/>
  <c r="K28" i="3"/>
  <c r="I77" i="4"/>
  <c r="G28" i="3" s="1"/>
  <c r="M73" i="4"/>
  <c r="M77" i="4"/>
  <c r="K70" i="4"/>
  <c r="E21" i="3" s="1"/>
  <c r="G76" i="4"/>
  <c r="C27" i="3" s="1"/>
  <c r="I71" i="4"/>
  <c r="G22" i="3" s="1"/>
  <c r="H71" i="4"/>
  <c r="D22" i="3" s="1"/>
  <c r="G71" i="4"/>
  <c r="C22" i="3" s="1"/>
  <c r="J71" i="4"/>
  <c r="I22" i="3" s="1"/>
  <c r="K71" i="4"/>
  <c r="E22" i="3" s="1"/>
  <c r="G77" i="4"/>
  <c r="C28" i="3" s="1"/>
  <c r="I69" i="4"/>
  <c r="K72" i="4"/>
  <c r="E23" i="3" s="1"/>
  <c r="H72" i="4"/>
  <c r="D23" i="3" s="1"/>
  <c r="H69" i="4"/>
  <c r="D20" i="3" s="1"/>
  <c r="J69" i="4"/>
  <c r="L72" i="4"/>
  <c r="F23" i="3" s="1"/>
  <c r="G69" i="4"/>
  <c r="C20" i="3" s="1"/>
  <c r="H77" i="4"/>
  <c r="D28" i="3" s="1"/>
  <c r="J78" i="4"/>
  <c r="I29" i="3" s="1"/>
  <c r="L78" i="4"/>
  <c r="F29" i="3" s="1"/>
  <c r="G72" i="4"/>
  <c r="C23" i="3" s="1"/>
  <c r="G78" i="4"/>
  <c r="C29" i="3" s="1"/>
  <c r="J74" i="4"/>
  <c r="I25" i="3" s="1"/>
  <c r="L74" i="4"/>
  <c r="F25" i="3" s="1"/>
  <c r="H74" i="4"/>
  <c r="D25" i="3" s="1"/>
  <c r="K74" i="4"/>
  <c r="E25" i="3" s="1"/>
  <c r="G74" i="4"/>
  <c r="C25" i="3" s="1"/>
  <c r="J70" i="4"/>
  <c r="I21" i="3" s="1"/>
  <c r="L73" i="4"/>
  <c r="F24" i="3" s="1"/>
  <c r="H70" i="4"/>
  <c r="D21" i="3" s="1"/>
  <c r="J73" i="4"/>
  <c r="K73" i="4"/>
  <c r="E24" i="3" s="1"/>
  <c r="L76" i="4"/>
  <c r="F27" i="3" s="1"/>
  <c r="I78" i="4"/>
  <c r="G29" i="3" s="1"/>
  <c r="J72" i="4"/>
  <c r="I23" i="3" s="1"/>
  <c r="I72" i="4"/>
  <c r="G23" i="3" s="1"/>
  <c r="L69" i="4"/>
  <c r="F20" i="3" s="1"/>
  <c r="I76" i="4"/>
  <c r="H76" i="4"/>
  <c r="D27" i="3" s="1"/>
  <c r="K75" i="4"/>
  <c r="E26" i="3" s="1"/>
  <c r="K77" i="4"/>
  <c r="E28" i="3" s="1"/>
  <c r="I75" i="4"/>
  <c r="L71" i="4"/>
  <c r="F22" i="3" s="1"/>
  <c r="L75" i="4"/>
  <c r="F26" i="3" s="1"/>
  <c r="K69" i="4"/>
  <c r="E20" i="3" s="1"/>
  <c r="K76" i="4"/>
  <c r="E27" i="3" s="1"/>
  <c r="J76" i="4"/>
  <c r="G75" i="4"/>
  <c r="C26" i="3" s="1"/>
  <c r="H75" i="4"/>
  <c r="D26" i="3" s="1"/>
  <c r="L77" i="4"/>
  <c r="F28" i="3" s="1"/>
  <c r="J75" i="4"/>
  <c r="J77" i="4"/>
  <c r="I28" i="3" s="1"/>
  <c r="K21" i="3"/>
  <c r="N70" i="4"/>
  <c r="M70" i="4"/>
  <c r="K23" i="3"/>
  <c r="N72" i="4"/>
  <c r="M72" i="4"/>
  <c r="O69" i="4"/>
  <c r="P69" i="4"/>
  <c r="N78" i="4"/>
  <c r="K29" i="3"/>
  <c r="M78" i="4"/>
  <c r="M74" i="4"/>
  <c r="K25" i="3"/>
  <c r="N71" i="4"/>
  <c r="K22" i="3"/>
  <c r="M71" i="4"/>
  <c r="N74" i="4" l="1"/>
  <c r="G27" i="3"/>
  <c r="M76" i="4"/>
  <c r="I27" i="3"/>
  <c r="N76" i="4"/>
  <c r="I20" i="3"/>
  <c r="N69" i="4"/>
  <c r="G20" i="3"/>
  <c r="M69" i="4"/>
  <c r="I24" i="3"/>
  <c r="N73" i="4"/>
  <c r="G26" i="3"/>
  <c r="M75" i="4"/>
  <c r="I26" i="3"/>
  <c r="N75" i="4"/>
</calcChain>
</file>

<file path=xl/sharedStrings.xml><?xml version="1.0" encoding="utf-8"?>
<sst xmlns="http://schemas.openxmlformats.org/spreadsheetml/2006/main" count="300" uniqueCount="252">
  <si>
    <t>Summit Name</t>
  </si>
  <si>
    <t>Country</t>
  </si>
  <si>
    <t>Mt. Everest</t>
  </si>
  <si>
    <t>Nepal/Tibet</t>
  </si>
  <si>
    <t>Aconcagua</t>
  </si>
  <si>
    <t>Argentina</t>
  </si>
  <si>
    <t>Mt. McKinley (Denali)</t>
  </si>
  <si>
    <t>US</t>
  </si>
  <si>
    <t>Kilimanjaro</t>
  </si>
  <si>
    <t>Tanzania</t>
  </si>
  <si>
    <t>Cristobal Colon</t>
  </si>
  <si>
    <t>Colombia</t>
  </si>
  <si>
    <t>Mt. Logan</t>
  </si>
  <si>
    <t>Canada</t>
  </si>
  <si>
    <t>Pico de Orizaba (Citlaltepetl)</t>
  </si>
  <si>
    <t>Mexico</t>
  </si>
  <si>
    <t>Vinson Massif</t>
  </si>
  <si>
    <t>Antarctica</t>
  </si>
  <si>
    <t>Puncak Jaya</t>
  </si>
  <si>
    <t>Indonesia</t>
  </si>
  <si>
    <t>Gora Elbrus</t>
  </si>
  <si>
    <t>Russia</t>
  </si>
  <si>
    <t>Mont Blanc</t>
  </si>
  <si>
    <t>France/Italy</t>
  </si>
  <si>
    <t>Damavand</t>
  </si>
  <si>
    <t>Iran</t>
  </si>
  <si>
    <t>Klyuchevskaya Volcano</t>
  </si>
  <si>
    <t>Nanga Parbat</t>
  </si>
  <si>
    <t>Pakistan</t>
  </si>
  <si>
    <t>Mauna Kea</t>
  </si>
  <si>
    <t>Jengish Chokusu (ex. Pik Pobedy)</t>
  </si>
  <si>
    <t>Kyrgyzstan/China</t>
  </si>
  <si>
    <t>Chimborazo</t>
  </si>
  <si>
    <t>Ecuador</t>
  </si>
  <si>
    <t>Bogda Shan</t>
  </si>
  <si>
    <t>China</t>
  </si>
  <si>
    <t>Namcha Barwa</t>
  </si>
  <si>
    <t>Kinabalu</t>
  </si>
  <si>
    <t>Malaysia</t>
  </si>
  <si>
    <t>Mt. Rainier</t>
  </si>
  <si>
    <t>K2</t>
  </si>
  <si>
    <t>Pakistan/China</t>
  </si>
  <si>
    <t>Ras Dejen</t>
  </si>
  <si>
    <t>Ethiopia</t>
  </si>
  <si>
    <t>Volcan Tajumulco</t>
  </si>
  <si>
    <t>Guatemala</t>
  </si>
  <si>
    <t>Pico Bolivar</t>
  </si>
  <si>
    <t>Venezuela</t>
  </si>
  <si>
    <t>Mt. Fairweather</t>
  </si>
  <si>
    <t>US/Canada</t>
  </si>
  <si>
    <t>Yu Shan</t>
  </si>
  <si>
    <t>Taiwan</t>
  </si>
  <si>
    <t>Ngaliema (Mt. Stanley)</t>
  </si>
  <si>
    <t>Congo/Uganda</t>
  </si>
  <si>
    <t>Kangchenjunga</t>
  </si>
  <si>
    <t>India/Nepal</t>
  </si>
  <si>
    <t>Tirich Mir</t>
  </si>
  <si>
    <t>Mt. Cameroon</t>
  </si>
  <si>
    <t>Cameroon</t>
  </si>
  <si>
    <t>Mt. Kenya</t>
  </si>
  <si>
    <t>Kenya</t>
  </si>
  <si>
    <t>Gunung Kerinci</t>
  </si>
  <si>
    <t>Mt. Erebus</t>
  </si>
  <si>
    <t>Fuji San</t>
  </si>
  <si>
    <t>Japan</t>
  </si>
  <si>
    <t>Mt. Cook</t>
  </si>
  <si>
    <t>New Zealand</t>
  </si>
  <si>
    <t>Jebel Toubkal</t>
  </si>
  <si>
    <t>Morocco</t>
  </si>
  <si>
    <t>Cerro Chirripo</t>
  </si>
  <si>
    <t>Costa Rica</t>
  </si>
  <si>
    <t>Gunung Rinjani</t>
  </si>
  <si>
    <t>Pico Teide</t>
  </si>
  <si>
    <t>Spain</t>
  </si>
  <si>
    <t>Monte San Valentin</t>
  </si>
  <si>
    <t>Chile</t>
  </si>
  <si>
    <t>Gunnbjørnsfjeld</t>
  </si>
  <si>
    <t>Greenland</t>
  </si>
  <si>
    <t>Nevado Ojos del Salado</t>
  </si>
  <si>
    <t>Argentina/Chile</t>
  </si>
  <si>
    <t>Gunung Semeru</t>
  </si>
  <si>
    <t>Finisterre Range HP</t>
  </si>
  <si>
    <t>Papua New Guinea</t>
  </si>
  <si>
    <t>Ritacuba Blanco</t>
  </si>
  <si>
    <t>Minya Konka</t>
  </si>
  <si>
    <t>Mt. Ararat (Agri Dagi)</t>
  </si>
  <si>
    <t>Turkey</t>
  </si>
  <si>
    <t>Kongur Shan</t>
  </si>
  <si>
    <t>Mt. Blackburn</t>
  </si>
  <si>
    <t>Elevation in m</t>
  </si>
  <si>
    <t>Prominence in m</t>
  </si>
  <si>
    <t>Aerial link</t>
  </si>
  <si>
    <t>Latitude</t>
  </si>
  <si>
    <t>Longitude</t>
  </si>
  <si>
    <t>Matthias Zurbriggen</t>
  </si>
  <si>
    <t>Hudson Stuck</t>
  </si>
  <si>
    <t>Hans Meyer, Ludwig Purtscheller, Yohani Kinyala Lauwo</t>
  </si>
  <si>
    <t>Edmund Hillary, Tenzing Norgay</t>
  </si>
  <si>
    <t>Albert H. MacCarthy, W. W. Foster</t>
  </si>
  <si>
    <t>F. Maynard, G. Reynolds</t>
  </si>
  <si>
    <t>Nicholas Clinch</t>
  </si>
  <si>
    <t>1966</t>
  </si>
  <si>
    <t>1874</t>
  </si>
  <si>
    <t>Florence Crauford Grove, Frederick Gardner, Horace Walker, Peter Knubel</t>
  </si>
  <si>
    <t>Jacques Balmat, Michel-Gabriel Paccard</t>
  </si>
  <si>
    <t>Hermann Buhl</t>
  </si>
  <si>
    <t>Edward Whymper</t>
  </si>
  <si>
    <t>1880</t>
  </si>
  <si>
    <t>Richard Francis Burton, Gustav Mann</t>
  </si>
  <si>
    <t>1861</t>
  </si>
  <si>
    <t>Halford Mackinder, Cesar Ollier, Joseph Brocherel</t>
  </si>
  <si>
    <t>1899</t>
  </si>
  <si>
    <t>Tannatt David,Douglas Mawson</t>
  </si>
  <si>
    <t>1908</t>
  </si>
  <si>
    <t>Justyn Wojsznis, Jan Szczepanski</t>
  </si>
  <si>
    <t xml:space="preserve">Enrique Bourgoin, H. Márquez Molina, Domingo Peña </t>
  </si>
  <si>
    <t>1935</t>
  </si>
  <si>
    <t>Allen Carpé, Terris Moore</t>
  </si>
  <si>
    <t>1931</t>
  </si>
  <si>
    <t>Unknown monk</t>
  </si>
  <si>
    <t>663</t>
  </si>
  <si>
    <t>Tom Fyfe, George Graham, Jack Clarke</t>
  </si>
  <si>
    <t>1894</t>
  </si>
  <si>
    <t>J. J. Friedrich Parrot jun.</t>
  </si>
  <si>
    <t>1829</t>
  </si>
  <si>
    <t>Bruce Gilbert, Dick Wahlstrom, Hans Gmoser, Adolf Bitterlich, Leon Blumer</t>
  </si>
  <si>
    <t>1958</t>
  </si>
  <si>
    <t>http://maps.google.com/maps?ll=27.986519,86.919708&amp;spn=.429142,.595562&amp;t=k&amp;hl=en&amp;output=embed</t>
  </si>
  <si>
    <t>http://maps.google.com/maps?ll=-32.656286,-70.015783&amp;spn=.204576,.297781&amp;t=k&amp;hl=en&amp;output=embed</t>
  </si>
  <si>
    <t>http://maps.google.com/maps?ll=63.098487,-151.001587&amp;spn=.219883,.595562&amp;t=k&amp;hl=en&amp;output=embed</t>
  </si>
  <si>
    <t>http://maps.google.com/maps?ll=-3.058239,37.346649&amp;spn=.121320,.148890&amp;t=k&amp;hl=en&amp;output=embed</t>
  </si>
  <si>
    <t>http://maps.google.com/maps?ll=10.829765,-73.701096&amp;spn=.238659,.297781&amp;t=k&amp;hl=en&amp;output=embed</t>
  </si>
  <si>
    <t>http://maps.google.com/maps?ll=60.633469,-140.439606&amp;spn=.119159,.297781&amp;t=k&amp;hl=en&amp;output=embed</t>
  </si>
  <si>
    <t>http://maps.google.com/maps?ll=19.030000,-97.266600&amp;spn=.229706,.297781&amp;t=k&amp;hl=en&amp;output=embed</t>
  </si>
  <si>
    <t>http://maps.google.com/maps?ll=-78.510000,-85.600000&amp;spn=6.274193,38.115967&amp;t=k&amp;hl=en&amp;output=embed</t>
  </si>
  <si>
    <t>http://maps.google.com/maps?ll=-4.066600,137.183330&amp;spn=.242375,.297781&amp;t=k&amp;hl=en&amp;output=embed</t>
  </si>
  <si>
    <t>http://maps.google.com/maps?ll=43.350000,42.433300&amp;spn=.353386,.595562&amp;t=k&amp;hl=en&amp;output=embed</t>
  </si>
  <si>
    <t>http://maps.google.com/maps?ll=45.833000,6.866000&amp;spn=.169301,.297781&amp;t=k&amp;hl=en&amp;output=embed</t>
  </si>
  <si>
    <t>http://maps.google.com/maps?ll=35.954387,52.111244&amp;spn=.196694,.297781&amp;t=k&amp;hl=en&amp;output=embed</t>
  </si>
  <si>
    <t>http://maps.google.com/maps?ll=56.060153,160.631790&amp;spn=.271330,.595562&amp;t=k&amp;hl=en&amp;output=embed</t>
  </si>
  <si>
    <t>http://maps.google.com/maps?ll=35.233300,74.600000&amp;spn=.396945,.595562&amp;t=k&amp;hl=en&amp;output=embed</t>
  </si>
  <si>
    <t>http://maps.google.com/maps?ll=19.824204,-155.467529&amp;spn=.228587,.297781&amp;t=k&amp;hl=en&amp;output=embed</t>
  </si>
  <si>
    <t>http://maps.google.com/maps?ll=42.033300,80.116666&amp;spn=.360958,.595562&amp;t=k&amp;hl=en&amp;output=embed</t>
  </si>
  <si>
    <t>http://maps.google.com/maps?ll=-1.467544,-78.816090&amp;spn=.242907,.297781&amp;t=k&amp;hl=en&amp;output=embed</t>
  </si>
  <si>
    <t>http://maps.google.com/maps?ll=43.800000,88.333000&amp;spn=.175378,.297781&amp;t=k&amp;hl=en&amp;output=embed</t>
  </si>
  <si>
    <t>http://maps.google.com/maps?ll=29.633300,95.050000&amp;spn=.211205,.297781&amp;t=k&amp;hl=en&amp;output=embed</t>
  </si>
  <si>
    <t>http://maps.google.com/maps?ll=6.0666,116.56666&amp;spn=.211205,.297781&amp;t=k&amp;hl=en&amp;output=embed</t>
  </si>
  <si>
    <t>http://maps.google.com/maps?ll=46.850000,-121.766600&amp;spn=.166181,.297781&amp;t=k&amp;hl=en&amp;output=embed</t>
  </si>
  <si>
    <t>http://maps.google.com/maps?ll=35.892110,76.514626&amp;spn=.196849,.297781&amp;t=k&amp;hl=en&amp;output=embed</t>
  </si>
  <si>
    <t>http://maps.google.com/maps?ll=13.233300,38.366600&amp;spn=.236534,.297781&amp;t=k&amp;hl=en&amp;output=embed</t>
  </si>
  <si>
    <t>http://maps.google.com/maps?ll=15.041954,-91.903725&amp;spn=.234661,.297781&amp;t=k&amp;hl=en&amp;output=embed</t>
  </si>
  <si>
    <t>http://maps.google.com/maps?ll=8.539602,-71.047554&amp;spn=.240293,.297781&amp;t=k&amp;hl=en&amp;output=embed</t>
  </si>
  <si>
    <t>http://maps.google.com/maps?ll=58.907660,-137.519646&amp;spn=.125483,.297781&amp;t=k&amp;hl=en&amp;output=embed</t>
  </si>
  <si>
    <t>http://maps.google.com/maps?ll=23.468915,120.957928&amp;spn=.111443,.148890&amp;t=k&amp;hl=en&amp;output=embed</t>
  </si>
  <si>
    <t>http://maps.google.com/maps?ll=.383333,29.866660&amp;spn=.485961,.595562&amp;t=k&amp;hl=en&amp;output=embed</t>
  </si>
  <si>
    <t>http://maps.google.com/maps?ll=27.718181,88.154297&amp;spn=.430205,.595562&amp;t=k&amp;hl=en&amp;output=embed</t>
  </si>
  <si>
    <t>http://maps.google.com/maps?ll=36.255625,71.842003&amp;spn=.195941,.297781&amp;t=k&amp;hl=en&amp;output=embed</t>
  </si>
  <si>
    <t>http://maps.google.com/maps?ll=4.211262,9.176502&amp;spn=.242330,.297781&amp;t=k&amp;hl=en&amp;output=embed</t>
  </si>
  <si>
    <t>http://maps.google.com/maps?ll=-.153637,37.310600&amp;spn=.242986,.297781&amp;t=k&amp;hl=en&amp;output=embed</t>
  </si>
  <si>
    <t>http://maps.google.com/maps?ll=-1.695767,101.265793&amp;spn=.121440,.148890&amp;t=k&amp;hl=en&amp;output=embed</t>
  </si>
  <si>
    <t>http://maps.google.com/maps?ll=-77.523122,167.299805&amp;spn=3.370119,19.057983&amp;t=k&amp;hl=en&amp;output=embed</t>
  </si>
  <si>
    <t>http://maps.google.com/maps?ll=35.359500,138.732375&amp;spn=0.099078,.148890&amp;t=k&amp;hl=en&amp;output=embed</t>
  </si>
  <si>
    <t>http://maps.google.com/maps?ll=-43.592328,170.141487&amp;spn=.175987,.297781&amp;t=k&amp;hl=en&amp;output=embed</t>
  </si>
  <si>
    <t>http://maps.google.com/maps?ll=31.066600,-7.913330&amp;spn=.208134,.297781&amp;t=k&amp;hl=en&amp;output=embed</t>
  </si>
  <si>
    <t>http://maps.google.com/maps?ll=9.483330,-83.513330&amp;spn=.239666,.297781&amp;t=k&amp;hl=en&amp;output=embed</t>
  </si>
  <si>
    <t>http://maps.google.com/maps?ll=-8.415999,116.462631&amp;spn=.120185,.148890&amp;t=k&amp;hl=en&amp;output=embed</t>
  </si>
  <si>
    <t>http://maps.google.com/maps?ll=28.272335,-16.642399&amp;spn=.107000,.148890&amp;t=k&amp;hl=en&amp;output=embed</t>
  </si>
  <si>
    <t>http://maps.google.com/maps?ll=-46.600000,-73.333300&amp;spn=.667820,1.191124&amp;t=k&amp;hl=en&amp;output=embed</t>
  </si>
  <si>
    <t>http://maps.google.com/maps?ll=68.913330,-29.900000&amp;spn=1.398864,4.764496&amp;t=k&amp;hl=en&amp;output=embed</t>
  </si>
  <si>
    <t>http://maps.google.com/maps?ll=-27.118424,-68.530312&amp;spn=.216274,.297781&amp;t=k&amp;hl=en&amp;output=embed</t>
  </si>
  <si>
    <t>http://maps.google.com/maps?ll=-8.110556,112.923317&amp;spn=.240556,.297781&amp;t=k&amp;hl=en&amp;output=embed</t>
  </si>
  <si>
    <t>http://maps.google.com/maps?ll=-5.950000,146.366660&amp;spn=.241678,.297781&amp;t=k&amp;hl=en&amp;output=embed</t>
  </si>
  <si>
    <t>http://maps.google.com/maps?ll=6.373306,-72.298279&amp;spn=.482968,.595562&amp;t=k&amp;hl=en&amp;output=embed</t>
  </si>
  <si>
    <t>http://maps.google.com/maps?ll=29.600000,101.883330&amp;spn=.422549,.595562&amp;t=k&amp;hl=en&amp;output=embed</t>
  </si>
  <si>
    <t>http://maps.google.com/maps?ll=39.708243,44.290009&amp;spn=.186931,.297781&amp;t=k&amp;hl=en&amp;output=embed</t>
  </si>
  <si>
    <t>http://maps.google.com/maps?ll=38.588967,75.297546&amp;spn=.759711,1.191124&amp;t=k&amp;hl=en&amp;output=embed</t>
  </si>
  <si>
    <t>http://maps.google.com/maps?ll=61.732217,-143.425999&amp;spn=.230152,.595562&amp;t=k&amp;hl=en&amp;output=embed</t>
  </si>
  <si>
    <t>Hazard Stevens, P.B. Van Trump</t>
  </si>
  <si>
    <t>1870</t>
  </si>
  <si>
    <t>Sir Edmund Scory</t>
  </si>
  <si>
    <t>1582</t>
  </si>
  <si>
    <t>US american explorer team</t>
  </si>
  <si>
    <t>1932</t>
  </si>
  <si>
    <t>George Band, Joe Brown</t>
  </si>
  <si>
    <t>Arne Næss, P. Kvernberg, H. Berg, Tony Streather</t>
  </si>
  <si>
    <t>1950</t>
  </si>
  <si>
    <t>Augustine Cortauld, Jack Longland, Ebbe Munck, H.G. Wager, Laurence Wager</t>
  </si>
  <si>
    <t>Chris Bonington, Al Rouse, Peter Boardman, Joe Tasker</t>
  </si>
  <si>
    <t>1981</t>
  </si>
  <si>
    <t>Bianba Zaxi  et al.</t>
  </si>
  <si>
    <t>1992</t>
  </si>
  <si>
    <t>Daniel Gauss et al.</t>
  </si>
  <si>
    <t>1788</t>
  </si>
  <si>
    <t>Heinrich Harrer et al.</t>
  </si>
  <si>
    <t>1962</t>
  </si>
  <si>
    <t>Abu Dolaf Kazraji</t>
  </si>
  <si>
    <t>905</t>
  </si>
  <si>
    <t>Hasselt, Veth</t>
  </si>
  <si>
    <t>1877</t>
  </si>
  <si>
    <t>Marquis de Segonzac, V. Berger, H. Dolbeau</t>
  </si>
  <si>
    <t>Witali Abalakow et al.</t>
  </si>
  <si>
    <t>1956</t>
  </si>
  <si>
    <t>H. Low, S. St. John</t>
  </si>
  <si>
    <t>1858</t>
  </si>
  <si>
    <t>Ferret, Galinier</t>
  </si>
  <si>
    <t>1841</t>
  </si>
  <si>
    <t>K. Stopel</t>
  </si>
  <si>
    <t>1898</t>
  </si>
  <si>
    <t>Duke of the Abruzzi et al.</t>
  </si>
  <si>
    <t>1906</t>
  </si>
  <si>
    <t>Hugo Zöller</t>
  </si>
  <si>
    <t>1889</t>
  </si>
  <si>
    <t>Year</t>
  </si>
  <si>
    <t>1953</t>
  </si>
  <si>
    <t>1897</t>
  </si>
  <si>
    <t>1913</t>
  </si>
  <si>
    <t>1925</t>
  </si>
  <si>
    <t>1848</t>
  </si>
  <si>
    <t>1954</t>
  </si>
  <si>
    <t>1923</t>
  </si>
  <si>
    <t>1937</t>
  </si>
  <si>
    <t>-</t>
  </si>
  <si>
    <t>Achille Compagnoni, Lino Lacedelli</t>
  </si>
  <si>
    <t>First Ascent by</t>
  </si>
  <si>
    <t>1955</t>
  </si>
  <si>
    <t xml:space="preserve">1786 </t>
  </si>
  <si>
    <t>No.</t>
  </si>
  <si>
    <t>Sort Criterion</t>
  </si>
  <si>
    <t>Sort Dummy</t>
  </si>
  <si>
    <t>Sorted Values</t>
  </si>
  <si>
    <t>Position</t>
  </si>
  <si>
    <t>Calculations</t>
  </si>
  <si>
    <t>Control parameters</t>
  </si>
  <si>
    <t>Sort Table</t>
  </si>
  <si>
    <t>Dashboard Snapshot</t>
  </si>
  <si>
    <t>Actual sort criterion</t>
  </si>
  <si>
    <t>Actual URL</t>
  </si>
  <si>
    <t>Actual snapshot start</t>
  </si>
  <si>
    <t>Actual selection in table</t>
  </si>
  <si>
    <t>Actual selection in raw data</t>
  </si>
  <si>
    <t>Max Elevation</t>
  </si>
  <si>
    <t>Max Prominence</t>
  </si>
  <si>
    <t>www.clearlyandsimply.com</t>
  </si>
  <si>
    <t>Data - 50 selected summits</t>
  </si>
  <si>
    <t>Highlight Elevation</t>
  </si>
  <si>
    <t>Highlight Prominence</t>
  </si>
  <si>
    <t>Lat changed</t>
  </si>
  <si>
    <t>Long changed</t>
  </si>
  <si>
    <t>Lat highlight</t>
  </si>
  <si>
    <t>Long highlight</t>
  </si>
  <si>
    <t>Tooltip Bubble</t>
  </si>
  <si>
    <t>50 Most Prominent Summits on Earth - Bluffing Tableau Actions and Tooltips with Microsoft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</si>
</sst>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,##0.000000"/>
    <numFmt numFmtId="165" formatCode=";;;"/>
    <numFmt numFmtId="166" formatCode="#,##0.0000"/>
    <numFmt numFmtId="167" formatCode="#,##0_ ;[Red]\-#,##0\ "/>
  </numFmts>
  <fonts count="6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1" xfId="0" applyFont="1" applyBorder="1" applyAlignment="1" applyProtection="1">
      <alignment horizontal="left" vertical="center" indent="1"/>
      <protection hidden="1"/>
    </xf>
    <xf numFmtId="0" fontId="2" fillId="0" borderId="1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2" xfId="0" applyFont="1" applyBorder="1" applyAlignment="1" applyProtection="1">
      <alignment vertical="center"/>
      <protection hidden="1"/>
    </xf>
    <xf numFmtId="3" fontId="2" fillId="0" borderId="3" xfId="0" applyNumberFormat="1" applyFont="1" applyBorder="1" applyAlignment="1" applyProtection="1">
      <alignment vertical="center"/>
      <protection hidden="1"/>
    </xf>
    <xf numFmtId="3" fontId="2" fillId="0" borderId="4" xfId="0" applyNumberFormat="1" applyFont="1" applyBorder="1" applyAlignment="1" applyProtection="1">
      <alignment vertical="center"/>
      <protection hidden="1"/>
    </xf>
    <xf numFmtId="0" fontId="2" fillId="0" borderId="0" xfId="0" applyNumberFormat="1" applyFont="1" applyProtection="1">
      <protection hidden="1"/>
    </xf>
    <xf numFmtId="0" fontId="2" fillId="0" borderId="0" xfId="0" applyNumberFormat="1" applyFont="1" applyAlignment="1" applyProtection="1">
      <alignment horizontal="left"/>
      <protection hidden="1"/>
    </xf>
    <xf numFmtId="0" fontId="1" fillId="0" borderId="1" xfId="0" applyNumberFormat="1" applyFont="1" applyBorder="1" applyAlignment="1" applyProtection="1">
      <alignment horizontal="left" vertical="center" indent="1"/>
      <protection hidden="1"/>
    </xf>
    <xf numFmtId="0" fontId="2" fillId="0" borderId="1" xfId="0" applyNumberFormat="1" applyFont="1" applyBorder="1" applyProtection="1">
      <protection hidden="1"/>
    </xf>
    <xf numFmtId="0" fontId="2" fillId="0" borderId="1" xfId="0" applyNumberFormat="1" applyFont="1" applyBorder="1" applyAlignment="1" applyProtection="1">
      <alignment horizontal="left"/>
      <protection hidden="1"/>
    </xf>
    <xf numFmtId="0" fontId="2" fillId="0" borderId="0" xfId="0" applyNumberFormat="1" applyFont="1" applyBorder="1" applyProtection="1">
      <protection hidden="1"/>
    </xf>
    <xf numFmtId="0" fontId="2" fillId="0" borderId="5" xfId="0" applyNumberFormat="1" applyFont="1" applyFill="1" applyBorder="1" applyAlignment="1" applyProtection="1">
      <alignment horizontal="center" vertical="center"/>
      <protection hidden="1"/>
    </xf>
    <xf numFmtId="0" fontId="2" fillId="0" borderId="5" xfId="0" applyNumberFormat="1" applyFont="1" applyFill="1" applyBorder="1" applyAlignment="1" applyProtection="1">
      <alignment horizontal="left" vertical="center" indent="1"/>
      <protection hidden="1"/>
    </xf>
    <xf numFmtId="0" fontId="2" fillId="0" borderId="6" xfId="0" applyNumberFormat="1" applyFont="1" applyFill="1" applyBorder="1" applyAlignment="1" applyProtection="1">
      <alignment horizontal="center" vertical="center"/>
      <protection hidden="1"/>
    </xf>
    <xf numFmtId="0" fontId="2" fillId="0" borderId="6" xfId="0" applyNumberFormat="1" applyFont="1" applyFill="1" applyBorder="1" applyAlignment="1" applyProtection="1">
      <alignment horizontal="left" vertical="center" indent="1"/>
      <protection hidden="1"/>
    </xf>
    <xf numFmtId="0" fontId="2" fillId="0" borderId="7" xfId="0" applyNumberFormat="1" applyFont="1" applyFill="1" applyBorder="1" applyAlignment="1" applyProtection="1">
      <alignment horizontal="center" vertical="center"/>
      <protection hidden="1"/>
    </xf>
    <xf numFmtId="0" fontId="2" fillId="0" borderId="7" xfId="0" applyNumberFormat="1" applyFont="1" applyFill="1" applyBorder="1" applyAlignment="1" applyProtection="1">
      <alignment horizontal="left" vertical="center" indent="1"/>
      <protection hidden="1"/>
    </xf>
    <xf numFmtId="0" fontId="2" fillId="0" borderId="0" xfId="0" applyNumberFormat="1" applyFont="1" applyAlignment="1" applyProtection="1">
      <alignment vertical="center"/>
      <protection hidden="1"/>
    </xf>
    <xf numFmtId="0" fontId="2" fillId="0" borderId="8" xfId="0" applyNumberFormat="1" applyFont="1" applyBorder="1" applyAlignment="1" applyProtection="1">
      <alignment vertical="center"/>
      <protection hidden="1"/>
    </xf>
    <xf numFmtId="0" fontId="2" fillId="0" borderId="8" xfId="0" applyNumberFormat="1" applyFont="1" applyBorder="1" applyAlignment="1" applyProtection="1">
      <alignment horizontal="left" vertical="center"/>
      <protection hidden="1"/>
    </xf>
    <xf numFmtId="0" fontId="2" fillId="0" borderId="3" xfId="0" applyNumberFormat="1" applyFont="1" applyBorder="1" applyAlignment="1" applyProtection="1">
      <alignment vertical="center"/>
      <protection hidden="1"/>
    </xf>
    <xf numFmtId="0" fontId="2" fillId="0" borderId="4" xfId="0" applyNumberFormat="1" applyFont="1" applyBorder="1" applyAlignment="1" applyProtection="1">
      <alignment vertical="center"/>
      <protection hidden="1"/>
    </xf>
    <xf numFmtId="0" fontId="2" fillId="0" borderId="2" xfId="0" applyNumberFormat="1" applyFont="1" applyBorder="1" applyAlignment="1" applyProtection="1">
      <alignment vertical="center"/>
      <protection hidden="1"/>
    </xf>
    <xf numFmtId="0" fontId="2" fillId="0" borderId="2" xfId="0" applyNumberFormat="1" applyFon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left" vertical="center" indent="1"/>
      <protection hidden="1"/>
    </xf>
    <xf numFmtId="164" fontId="2" fillId="0" borderId="3" xfId="0" applyNumberFormat="1" applyFont="1" applyBorder="1" applyAlignment="1" applyProtection="1">
      <alignment vertical="center"/>
      <protection hidden="1"/>
    </xf>
    <xf numFmtId="164" fontId="2" fillId="0" borderId="4" xfId="0" applyNumberFormat="1" applyFont="1" applyBorder="1" applyAlignment="1" applyProtection="1">
      <alignment vertical="center"/>
      <protection hidden="1"/>
    </xf>
    <xf numFmtId="0" fontId="2" fillId="2" borderId="0" xfId="0" applyNumberFormat="1" applyFont="1" applyFill="1" applyAlignment="1" applyProtection="1">
      <alignment vertical="center"/>
      <protection locked="0" hidden="1"/>
    </xf>
    <xf numFmtId="0" fontId="3" fillId="0" borderId="8" xfId="0" applyNumberFormat="1" applyFont="1" applyBorder="1" applyAlignment="1" applyProtection="1">
      <alignment horizontal="center" vertical="center"/>
      <protection hidden="1"/>
    </xf>
    <xf numFmtId="0" fontId="3" fillId="0" borderId="8" xfId="0" applyNumberFormat="1" applyFont="1" applyBorder="1" applyAlignment="1" applyProtection="1">
      <alignment horizontal="left" vertical="center" indent="1"/>
      <protection hidden="1"/>
    </xf>
    <xf numFmtId="0" fontId="3" fillId="0" borderId="9" xfId="0" applyNumberFormat="1" applyFont="1" applyBorder="1" applyAlignment="1" applyProtection="1">
      <alignment horizontal="left" vertical="center" indent="1"/>
      <protection hidden="1"/>
    </xf>
    <xf numFmtId="0" fontId="3" fillId="0" borderId="10" xfId="0" applyNumberFormat="1" applyFont="1" applyBorder="1" applyAlignment="1" applyProtection="1">
      <alignment horizontal="center" vertical="center"/>
      <protection hidden="1"/>
    </xf>
    <xf numFmtId="3" fontId="2" fillId="2" borderId="8" xfId="0" applyNumberFormat="1" applyFont="1" applyFill="1" applyBorder="1" applyAlignment="1" applyProtection="1">
      <alignment vertical="center"/>
      <protection hidden="1"/>
    </xf>
    <xf numFmtId="3" fontId="2" fillId="2" borderId="3" xfId="0" applyNumberFormat="1" applyFont="1" applyFill="1" applyBorder="1" applyAlignment="1" applyProtection="1">
      <alignment vertical="center"/>
      <protection hidden="1"/>
    </xf>
    <xf numFmtId="164" fontId="2" fillId="2" borderId="8" xfId="0" applyNumberFormat="1" applyFont="1" applyFill="1" applyBorder="1" applyAlignment="1" applyProtection="1">
      <alignment vertical="center"/>
      <protection hidden="1"/>
    </xf>
    <xf numFmtId="0" fontId="2" fillId="2" borderId="8" xfId="0" applyNumberFormat="1" applyFont="1" applyFill="1" applyBorder="1" applyAlignment="1" applyProtection="1">
      <alignment vertical="center"/>
      <protection hidden="1"/>
    </xf>
    <xf numFmtId="164" fontId="2" fillId="2" borderId="3" xfId="0" applyNumberFormat="1" applyFont="1" applyFill="1" applyBorder="1" applyAlignment="1" applyProtection="1">
      <alignment vertical="center"/>
      <protection hidden="1"/>
    </xf>
    <xf numFmtId="0" fontId="2" fillId="2" borderId="3" xfId="0" applyNumberFormat="1" applyFont="1" applyFill="1" applyBorder="1" applyAlignment="1" applyProtection="1">
      <alignment vertical="center"/>
      <protection hidden="1"/>
    </xf>
    <xf numFmtId="0" fontId="2" fillId="0" borderId="1" xfId="0" applyNumberFormat="1" applyFont="1" applyBorder="1" applyAlignment="1" applyProtection="1">
      <alignment vertical="center"/>
      <protection hidden="1"/>
    </xf>
    <xf numFmtId="0" fontId="2" fillId="0" borderId="1" xfId="0" applyNumberFormat="1" applyFont="1" applyBorder="1" applyAlignment="1" applyProtection="1">
      <alignment horizontal="left" vertical="center"/>
      <protection hidden="1"/>
    </xf>
    <xf numFmtId="0" fontId="2" fillId="2" borderId="8" xfId="0" applyNumberFormat="1" applyFont="1" applyFill="1" applyBorder="1" applyAlignment="1" applyProtection="1">
      <alignment horizontal="left" vertical="center"/>
      <protection hidden="1"/>
    </xf>
    <xf numFmtId="0" fontId="2" fillId="0" borderId="3" xfId="0" applyNumberFormat="1" applyFont="1" applyBorder="1" applyAlignment="1" applyProtection="1">
      <alignment horizontal="left" vertical="center"/>
      <protection hidden="1"/>
    </xf>
    <xf numFmtId="0" fontId="2" fillId="2" borderId="3" xfId="0" applyNumberFormat="1" applyFont="1" applyFill="1" applyBorder="1" applyAlignment="1" applyProtection="1">
      <alignment horizontal="left" vertical="center"/>
      <protection hidden="1"/>
    </xf>
    <xf numFmtId="0" fontId="2" fillId="0" borderId="3" xfId="0" applyNumberFormat="1" applyFont="1" applyBorder="1" applyAlignment="1" applyProtection="1">
      <alignment vertical="center" wrapText="1"/>
      <protection hidden="1"/>
    </xf>
    <xf numFmtId="0" fontId="2" fillId="0" borderId="4" xfId="0" applyNumberFormat="1" applyFont="1" applyBorder="1" applyAlignment="1" applyProtection="1">
      <alignment horizontal="left" vertical="center"/>
      <protection hidden="1"/>
    </xf>
    <xf numFmtId="0" fontId="2" fillId="0" borderId="0" xfId="0" applyNumberFormat="1" applyFont="1" applyAlignment="1" applyProtection="1">
      <alignment horizontal="left" vertical="center"/>
      <protection hidden="1"/>
    </xf>
    <xf numFmtId="166" fontId="2" fillId="2" borderId="8" xfId="0" applyNumberFormat="1" applyFont="1" applyFill="1" applyBorder="1" applyAlignment="1" applyProtection="1">
      <alignment vertical="center"/>
      <protection hidden="1"/>
    </xf>
    <xf numFmtId="166" fontId="2" fillId="0" borderId="3" xfId="0" applyNumberFormat="1" applyFont="1" applyBorder="1" applyAlignment="1" applyProtection="1">
      <alignment vertical="center"/>
      <protection hidden="1"/>
    </xf>
    <xf numFmtId="166" fontId="2" fillId="2" borderId="3" xfId="0" applyNumberFormat="1" applyFont="1" applyFill="1" applyBorder="1" applyAlignment="1" applyProtection="1">
      <alignment vertical="center"/>
      <protection hidden="1"/>
    </xf>
    <xf numFmtId="166" fontId="2" fillId="0" borderId="4" xfId="0" applyNumberFormat="1" applyFont="1" applyBorder="1" applyAlignment="1" applyProtection="1">
      <alignment vertical="center"/>
      <protection hidden="1"/>
    </xf>
    <xf numFmtId="0" fontId="2" fillId="0" borderId="0" xfId="0" applyNumberFormat="1" applyFont="1" applyBorder="1" applyAlignment="1" applyProtection="1">
      <alignment horizontal="left"/>
      <protection hidden="1"/>
    </xf>
    <xf numFmtId="0" fontId="5" fillId="0" borderId="1" xfId="1" applyNumberFormat="1" applyBorder="1" applyAlignment="1" applyProtection="1">
      <alignment horizontal="right" vertical="center"/>
      <protection hidden="1"/>
    </xf>
    <xf numFmtId="0" fontId="2" fillId="0" borderId="11" xfId="0" applyNumberFormat="1" applyFont="1" applyFill="1" applyBorder="1" applyAlignment="1" applyProtection="1">
      <alignment horizontal="center" vertical="center"/>
      <protection hidden="1"/>
    </xf>
    <xf numFmtId="0" fontId="2" fillId="0" borderId="12" xfId="0" applyNumberFormat="1" applyFont="1" applyFill="1" applyBorder="1" applyAlignment="1" applyProtection="1">
      <alignment horizontal="center" vertical="center"/>
      <protection hidden="1"/>
    </xf>
    <xf numFmtId="0" fontId="2" fillId="0" borderId="13" xfId="0" applyNumberFormat="1" applyFont="1" applyFill="1" applyBorder="1" applyAlignment="1" applyProtection="1">
      <alignment horizontal="center" vertical="center"/>
      <protection hidden="1"/>
    </xf>
    <xf numFmtId="167" fontId="2" fillId="0" borderId="14" xfId="0" applyNumberFormat="1" applyFont="1" applyFill="1" applyBorder="1" applyAlignment="1" applyProtection="1">
      <alignment horizontal="right" vertical="center"/>
      <protection hidden="1"/>
    </xf>
    <xf numFmtId="167" fontId="2" fillId="0" borderId="15" xfId="0" applyNumberFormat="1" applyFont="1" applyFill="1" applyBorder="1" applyAlignment="1" applyProtection="1">
      <alignment horizontal="right" vertical="center"/>
      <protection hidden="1"/>
    </xf>
    <xf numFmtId="167" fontId="2" fillId="0" borderId="16" xfId="0" applyNumberFormat="1" applyFont="1" applyFill="1" applyBorder="1" applyAlignment="1" applyProtection="1">
      <alignment horizontal="right" vertical="center"/>
      <protection hidden="1"/>
    </xf>
    <xf numFmtId="166" fontId="2" fillId="2" borderId="8" xfId="0" applyNumberFormat="1" applyFont="1" applyFill="1" applyBorder="1" applyAlignment="1" applyProtection="1">
      <alignment horizontal="right" vertical="center"/>
      <protection hidden="1"/>
    </xf>
    <xf numFmtId="166" fontId="2" fillId="0" borderId="3" xfId="0" applyNumberFormat="1" applyFont="1" applyBorder="1" applyAlignment="1" applyProtection="1">
      <alignment horizontal="right" vertical="center"/>
      <protection hidden="1"/>
    </xf>
    <xf numFmtId="166" fontId="2" fillId="2" borderId="3" xfId="0" applyNumberFormat="1" applyFont="1" applyFill="1" applyBorder="1" applyAlignment="1" applyProtection="1">
      <alignment horizontal="right" vertical="center"/>
      <protection hidden="1"/>
    </xf>
    <xf numFmtId="166" fontId="2" fillId="0" borderId="4" xfId="0" applyNumberFormat="1" applyFont="1" applyBorder="1" applyAlignment="1" applyProtection="1">
      <alignment horizontal="right" vertical="center"/>
      <protection hidden="1"/>
    </xf>
    <xf numFmtId="165" fontId="2" fillId="0" borderId="0" xfId="0" applyNumberFormat="1" applyFont="1" applyProtection="1">
      <protection hidden="1"/>
    </xf>
  </cellXfs>
  <cellStyles count="2">
    <cellStyle name="Hyperlink" xfId="1" builtinId="8"/>
    <cellStyle name="Normal" xfId="0" builtinId="0"/>
  </cellStyles>
  <dxfs count="3">
    <dxf>
      <font>
        <b/>
        <i val="0"/>
        <condense val="0"/>
        <extend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F8F8F8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0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about:blank"/>
</ax:ocx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763440860215055E-2"/>
          <c:y val="8.425527126337895E-2"/>
          <c:w val="0.94623655913978499"/>
          <c:h val="0.8432362480692755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Calculations!$I$68</c:f>
              <c:strCache>
                <c:ptCount val="1"/>
                <c:pt idx="0">
                  <c:v>Elevation in m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invertIfNegative val="0"/>
          <c:val>
            <c:numRef>
              <c:f>Dashboard!$G$20:$G$29</c:f>
              <c:numCache>
                <c:formatCode>#,##0_ ;[Red]\-#,##0\ </c:formatCode>
                <c:ptCount val="10"/>
                <c:pt idx="0">
                  <c:v>8125</c:v>
                </c:pt>
                <c:pt idx="1">
                  <c:v>4205</c:v>
                </c:pt>
                <c:pt idx="2">
                  <c:v>7439</c:v>
                </c:pt>
                <c:pt idx="3">
                  <c:v>5445</c:v>
                </c:pt>
                <c:pt idx="4">
                  <c:v>6267</c:v>
                </c:pt>
                <c:pt idx="5">
                  <c:v>7782</c:v>
                </c:pt>
                <c:pt idx="6">
                  <c:v>4095</c:v>
                </c:pt>
                <c:pt idx="7">
                  <c:v>4393</c:v>
                </c:pt>
                <c:pt idx="8">
                  <c:v>8611</c:v>
                </c:pt>
                <c:pt idx="9">
                  <c:v>4220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90-4E36-9A22-F804F8E6F561}"/>
            </c:ext>
          </c:extLst>
        </c:ser>
        <c:ser>
          <c:idx val="2"/>
          <c:order val="1"/>
          <c:tx>
            <c:strRef>
              <c:f>Calculations!$M$68</c:f>
              <c:strCache>
                <c:ptCount val="1"/>
                <c:pt idx="0">
                  <c:v>Highlight Elevation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val>
            <c:numRef>
              <c:f>Calculations!$M$69:$M$78</c:f>
              <c:numCache>
                <c:formatCode>#,##0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6267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90-4E36-9A22-F804F8E6F561}"/>
            </c:ext>
          </c:extLst>
        </c:ser>
        <c:ser>
          <c:idx val="1"/>
          <c:order val="2"/>
          <c:tx>
            <c:strRef>
              <c:f>Calculations!$O$68</c:f>
              <c:strCache>
                <c:ptCount val="1"/>
                <c:pt idx="0">
                  <c:v>Max Elevation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Calculations!$O$69:$O$78</c:f>
              <c:numCache>
                <c:formatCode>#,##0</c:formatCode>
                <c:ptCount val="10"/>
                <c:pt idx="0">
                  <c:v>8848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90-4E36-9A22-F804F8E6F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22863744"/>
        <c:axId val="222865280"/>
      </c:barChart>
      <c:catAx>
        <c:axId val="222863744"/>
        <c:scaling>
          <c:orientation val="maxMin"/>
        </c:scaling>
        <c:delete val="1"/>
        <c:axPos val="l"/>
        <c:majorTickMark val="out"/>
        <c:minorTickMark val="none"/>
        <c:tickLblPos val="nextTo"/>
        <c:crossAx val="222865280"/>
        <c:crosses val="autoZero"/>
        <c:auto val="1"/>
        <c:lblAlgn val="ctr"/>
        <c:lblOffset val="100"/>
        <c:noMultiLvlLbl val="0"/>
      </c:catAx>
      <c:valAx>
        <c:axId val="222865280"/>
        <c:scaling>
          <c:orientation val="minMax"/>
        </c:scaling>
        <c:delete val="1"/>
        <c:axPos val="t"/>
        <c:numFmt formatCode="#,##0_ ;[Red]\-#,##0\ " sourceLinked="1"/>
        <c:majorTickMark val="out"/>
        <c:minorTickMark val="none"/>
        <c:tickLblPos val="nextTo"/>
        <c:crossAx val="2228637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763440860215055E-2"/>
          <c:y val="8.425527126337895E-2"/>
          <c:w val="0.94623655913978499"/>
          <c:h val="0.8432362480692755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Calculations!$J$68</c:f>
              <c:strCache>
                <c:ptCount val="1"/>
                <c:pt idx="0">
                  <c:v>Prominence in m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invertIfNegative val="0"/>
          <c:val>
            <c:numRef>
              <c:f>Dashboard!$I$20:$I$29</c:f>
              <c:numCache>
                <c:formatCode>#,##0_ ;[Red]\-#,##0\ </c:formatCode>
                <c:ptCount val="10"/>
                <c:pt idx="0">
                  <c:v>4608</c:v>
                </c:pt>
                <c:pt idx="1">
                  <c:v>4205</c:v>
                </c:pt>
                <c:pt idx="2">
                  <c:v>4148</c:v>
                </c:pt>
                <c:pt idx="3">
                  <c:v>4122</c:v>
                </c:pt>
                <c:pt idx="4">
                  <c:v>4122</c:v>
                </c:pt>
                <c:pt idx="5">
                  <c:v>4106</c:v>
                </c:pt>
                <c:pt idx="6">
                  <c:v>4095</c:v>
                </c:pt>
                <c:pt idx="7">
                  <c:v>4023</c:v>
                </c:pt>
                <c:pt idx="8">
                  <c:v>4017</c:v>
                </c:pt>
                <c:pt idx="9">
                  <c:v>3980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0E-4C5B-964C-EE642A61D8FD}"/>
            </c:ext>
          </c:extLst>
        </c:ser>
        <c:ser>
          <c:idx val="2"/>
          <c:order val="1"/>
          <c:tx>
            <c:strRef>
              <c:f>Calculations!$N$68</c:f>
              <c:strCache>
                <c:ptCount val="1"/>
                <c:pt idx="0">
                  <c:v>Highlight Prominence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val>
            <c:numRef>
              <c:f>Calculations!$N$69:$N$78</c:f>
              <c:numCache>
                <c:formatCode>#,##0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4122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0E-4C5B-964C-EE642A61D8FD}"/>
            </c:ext>
          </c:extLst>
        </c:ser>
        <c:ser>
          <c:idx val="1"/>
          <c:order val="2"/>
          <c:tx>
            <c:strRef>
              <c:f>Calculations!$P$68</c:f>
              <c:strCache>
                <c:ptCount val="1"/>
                <c:pt idx="0">
                  <c:v>Max Prominence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Calculations!$P$69:$P$78</c:f>
              <c:numCache>
                <c:formatCode>#,##0</c:formatCode>
                <c:ptCount val="10"/>
                <c:pt idx="0">
                  <c:v>8848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0E-4C5B-964C-EE642A61D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25122944"/>
        <c:axId val="225128832"/>
      </c:barChart>
      <c:catAx>
        <c:axId val="225122944"/>
        <c:scaling>
          <c:orientation val="maxMin"/>
        </c:scaling>
        <c:delete val="1"/>
        <c:axPos val="l"/>
        <c:majorTickMark val="out"/>
        <c:minorTickMark val="none"/>
        <c:tickLblPos val="nextTo"/>
        <c:crossAx val="225128832"/>
        <c:crosses val="autoZero"/>
        <c:auto val="1"/>
        <c:lblAlgn val="ctr"/>
        <c:lblOffset val="100"/>
        <c:noMultiLvlLbl val="0"/>
      </c:catAx>
      <c:valAx>
        <c:axId val="225128832"/>
        <c:scaling>
          <c:orientation val="minMax"/>
        </c:scaling>
        <c:delete val="1"/>
        <c:axPos val="t"/>
        <c:numFmt formatCode="#,##0_ ;[Red]\-#,##0\ " sourceLinked="1"/>
        <c:majorTickMark val="out"/>
        <c:minorTickMark val="none"/>
        <c:tickLblPos val="nextTo"/>
        <c:crossAx val="2251229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0250426876474298E-2"/>
          <c:y val="7.0716846358205446E-3"/>
          <c:w val="0.97960557831852901"/>
          <c:h val="0.98117716465409854"/>
        </c:manualLayout>
      </c:layout>
      <c:bubbleChart>
        <c:varyColors val="0"/>
        <c:ser>
          <c:idx val="0"/>
          <c:order val="0"/>
          <c:tx>
            <c:v>All Summits</c:v>
          </c:tx>
          <c:spPr>
            <a:solidFill>
              <a:schemeClr val="bg1">
                <a:lumMod val="50000"/>
              </a:schemeClr>
            </a:solidFill>
            <a:ln>
              <a:noFill/>
            </a:ln>
          </c:spPr>
          <c:invertIfNegative val="0"/>
          <c:xVal>
            <c:numRef>
              <c:f>Calculations!$N$15:$N$64</c:f>
              <c:numCache>
                <c:formatCode>#,##0.0000</c:formatCode>
                <c:ptCount val="50"/>
                <c:pt idx="0">
                  <c:v>85.4</c:v>
                </c:pt>
                <c:pt idx="1">
                  <c:v>-68.8</c:v>
                </c:pt>
                <c:pt idx="2">
                  <c:v>-148.9</c:v>
                </c:pt>
                <c:pt idx="3">
                  <c:v>37.4</c:v>
                </c:pt>
                <c:pt idx="4">
                  <c:v>-72.5</c:v>
                </c:pt>
                <c:pt idx="5">
                  <c:v>-138.30000000000001</c:v>
                </c:pt>
                <c:pt idx="6">
                  <c:v>-95.7</c:v>
                </c:pt>
                <c:pt idx="7">
                  <c:v>-84.6</c:v>
                </c:pt>
                <c:pt idx="8">
                  <c:v>136.30000000000001</c:v>
                </c:pt>
                <c:pt idx="9">
                  <c:v>42.3</c:v>
                </c:pt>
                <c:pt idx="10">
                  <c:v>6.8659999999999997</c:v>
                </c:pt>
                <c:pt idx="11">
                  <c:v>52</c:v>
                </c:pt>
                <c:pt idx="12">
                  <c:v>159.30000000000001</c:v>
                </c:pt>
                <c:pt idx="13">
                  <c:v>73.2</c:v>
                </c:pt>
                <c:pt idx="14">
                  <c:v>-153.5</c:v>
                </c:pt>
                <c:pt idx="15">
                  <c:v>79.5</c:v>
                </c:pt>
                <c:pt idx="16">
                  <c:v>-77.7</c:v>
                </c:pt>
                <c:pt idx="17">
                  <c:v>87.9</c:v>
                </c:pt>
                <c:pt idx="18">
                  <c:v>94.2</c:v>
                </c:pt>
                <c:pt idx="19">
                  <c:v>115.8</c:v>
                </c:pt>
                <c:pt idx="20">
                  <c:v>-120.4</c:v>
                </c:pt>
                <c:pt idx="21">
                  <c:v>75.7</c:v>
                </c:pt>
                <c:pt idx="22">
                  <c:v>37.9</c:v>
                </c:pt>
                <c:pt idx="23">
                  <c:v>-90.8</c:v>
                </c:pt>
                <c:pt idx="24">
                  <c:v>-69.8</c:v>
                </c:pt>
                <c:pt idx="25">
                  <c:v>-135.5</c:v>
                </c:pt>
                <c:pt idx="26">
                  <c:v>120.5</c:v>
                </c:pt>
                <c:pt idx="27">
                  <c:v>30</c:v>
                </c:pt>
                <c:pt idx="28">
                  <c:v>87.4</c:v>
                </c:pt>
                <c:pt idx="29">
                  <c:v>70.8</c:v>
                </c:pt>
                <c:pt idx="30">
                  <c:v>9.1765019999999993</c:v>
                </c:pt>
                <c:pt idx="31">
                  <c:v>37.299999999999997</c:v>
                </c:pt>
                <c:pt idx="32">
                  <c:v>100.6</c:v>
                </c:pt>
                <c:pt idx="33">
                  <c:v>165.4</c:v>
                </c:pt>
                <c:pt idx="34">
                  <c:v>137.69999999999999</c:v>
                </c:pt>
                <c:pt idx="35">
                  <c:v>168.1</c:v>
                </c:pt>
                <c:pt idx="36">
                  <c:v>-7.5999999999999943</c:v>
                </c:pt>
                <c:pt idx="37">
                  <c:v>-82.2</c:v>
                </c:pt>
                <c:pt idx="38">
                  <c:v>115.5</c:v>
                </c:pt>
                <c:pt idx="39">
                  <c:v>-16.3</c:v>
                </c:pt>
                <c:pt idx="40">
                  <c:v>-72.2</c:v>
                </c:pt>
                <c:pt idx="41">
                  <c:v>-29.1</c:v>
                </c:pt>
                <c:pt idx="42">
                  <c:v>-67.8</c:v>
                </c:pt>
                <c:pt idx="43">
                  <c:v>112.3</c:v>
                </c:pt>
                <c:pt idx="44">
                  <c:v>145.5</c:v>
                </c:pt>
                <c:pt idx="45">
                  <c:v>-71.099999999999994</c:v>
                </c:pt>
                <c:pt idx="46">
                  <c:v>100.9</c:v>
                </c:pt>
                <c:pt idx="47">
                  <c:v>43.8</c:v>
                </c:pt>
                <c:pt idx="48">
                  <c:v>74.5</c:v>
                </c:pt>
                <c:pt idx="49">
                  <c:v>-141.5</c:v>
                </c:pt>
              </c:numCache>
            </c:numRef>
          </c:xVal>
          <c:yVal>
            <c:numRef>
              <c:f>Calculations!$M$15:$M$64</c:f>
              <c:numCache>
                <c:formatCode>#,##0.0000</c:formatCode>
                <c:ptCount val="50"/>
                <c:pt idx="0">
                  <c:v>25.2</c:v>
                </c:pt>
                <c:pt idx="1">
                  <c:v>-16</c:v>
                </c:pt>
                <c:pt idx="2">
                  <c:v>59.3</c:v>
                </c:pt>
                <c:pt idx="3">
                  <c:v>4.3000000000000114</c:v>
                </c:pt>
                <c:pt idx="4">
                  <c:v>13.3</c:v>
                </c:pt>
                <c:pt idx="5">
                  <c:v>55.9</c:v>
                </c:pt>
                <c:pt idx="6">
                  <c:v>18.7</c:v>
                </c:pt>
                <c:pt idx="7">
                  <c:v>-78.510000000000005</c:v>
                </c:pt>
                <c:pt idx="8">
                  <c:v>3.5</c:v>
                </c:pt>
                <c:pt idx="9">
                  <c:v>37.700000000000003</c:v>
                </c:pt>
                <c:pt idx="10">
                  <c:v>39.5</c:v>
                </c:pt>
                <c:pt idx="11">
                  <c:v>31.1</c:v>
                </c:pt>
                <c:pt idx="12">
                  <c:v>49.9</c:v>
                </c:pt>
                <c:pt idx="13">
                  <c:v>30.5</c:v>
                </c:pt>
                <c:pt idx="14">
                  <c:v>19.399999999999999</c:v>
                </c:pt>
                <c:pt idx="15">
                  <c:v>36.299999999999997</c:v>
                </c:pt>
                <c:pt idx="16">
                  <c:v>5.5</c:v>
                </c:pt>
                <c:pt idx="17">
                  <c:v>37.9</c:v>
                </c:pt>
                <c:pt idx="18">
                  <c:v>26.2</c:v>
                </c:pt>
                <c:pt idx="19">
                  <c:v>10</c:v>
                </c:pt>
                <c:pt idx="20">
                  <c:v>40.799999999999997</c:v>
                </c:pt>
                <c:pt idx="21">
                  <c:v>31.2</c:v>
                </c:pt>
                <c:pt idx="22">
                  <c:v>14.8</c:v>
                </c:pt>
                <c:pt idx="23">
                  <c:v>16.2</c:v>
                </c:pt>
                <c:pt idx="24">
                  <c:v>11.8</c:v>
                </c:pt>
                <c:pt idx="25">
                  <c:v>53.9</c:v>
                </c:pt>
                <c:pt idx="26">
                  <c:v>21.6</c:v>
                </c:pt>
                <c:pt idx="27">
                  <c:v>6.5</c:v>
                </c:pt>
                <c:pt idx="28">
                  <c:v>25</c:v>
                </c:pt>
                <c:pt idx="29">
                  <c:v>31.3</c:v>
                </c:pt>
                <c:pt idx="30">
                  <c:v>8.9000000000000057</c:v>
                </c:pt>
                <c:pt idx="31">
                  <c:v>6.2</c:v>
                </c:pt>
                <c:pt idx="32">
                  <c:v>5</c:v>
                </c:pt>
                <c:pt idx="33">
                  <c:v>-75.900000000000006</c:v>
                </c:pt>
                <c:pt idx="34">
                  <c:v>30.2</c:v>
                </c:pt>
                <c:pt idx="35">
                  <c:v>-25.1</c:v>
                </c:pt>
                <c:pt idx="36">
                  <c:v>27.4</c:v>
                </c:pt>
                <c:pt idx="37">
                  <c:v>12.5</c:v>
                </c:pt>
                <c:pt idx="38">
                  <c:v>0.80000000000001137</c:v>
                </c:pt>
                <c:pt idx="39">
                  <c:v>25.2</c:v>
                </c:pt>
                <c:pt idx="40">
                  <c:v>-28.1</c:v>
                </c:pt>
                <c:pt idx="41">
                  <c:v>68.5</c:v>
                </c:pt>
                <c:pt idx="42">
                  <c:v>-12.1</c:v>
                </c:pt>
                <c:pt idx="43">
                  <c:v>0.90000000000000568</c:v>
                </c:pt>
                <c:pt idx="44">
                  <c:v>2.3000000000000114</c:v>
                </c:pt>
                <c:pt idx="45">
                  <c:v>10.5</c:v>
                </c:pt>
                <c:pt idx="46">
                  <c:v>26.3</c:v>
                </c:pt>
                <c:pt idx="47">
                  <c:v>34.1</c:v>
                </c:pt>
                <c:pt idx="48">
                  <c:v>33.4</c:v>
                </c:pt>
                <c:pt idx="49">
                  <c:v>57.3</c:v>
                </c:pt>
              </c:numCache>
            </c:numRef>
          </c:yVal>
          <c:bubbleSize>
            <c:numRef>
              <c:f>Data!$F$5:$F$54</c:f>
              <c:numCache>
                <c:formatCode>#,##0</c:formatCode>
                <c:ptCount val="50"/>
                <c:pt idx="0">
                  <c:v>8848</c:v>
                </c:pt>
                <c:pt idx="1">
                  <c:v>6962</c:v>
                </c:pt>
                <c:pt idx="2">
                  <c:v>6194</c:v>
                </c:pt>
                <c:pt idx="3">
                  <c:v>5895</c:v>
                </c:pt>
                <c:pt idx="4">
                  <c:v>5700</c:v>
                </c:pt>
                <c:pt idx="5">
                  <c:v>5959</c:v>
                </c:pt>
                <c:pt idx="6">
                  <c:v>5636</c:v>
                </c:pt>
                <c:pt idx="7">
                  <c:v>4892</c:v>
                </c:pt>
                <c:pt idx="8">
                  <c:v>4884</c:v>
                </c:pt>
                <c:pt idx="9">
                  <c:v>5642</c:v>
                </c:pt>
                <c:pt idx="10">
                  <c:v>4809</c:v>
                </c:pt>
                <c:pt idx="11">
                  <c:v>5610</c:v>
                </c:pt>
                <c:pt idx="12">
                  <c:v>4750</c:v>
                </c:pt>
                <c:pt idx="13">
                  <c:v>8125</c:v>
                </c:pt>
                <c:pt idx="14">
                  <c:v>4205</c:v>
                </c:pt>
                <c:pt idx="15">
                  <c:v>7439</c:v>
                </c:pt>
                <c:pt idx="16">
                  <c:v>6267</c:v>
                </c:pt>
                <c:pt idx="17">
                  <c:v>5445</c:v>
                </c:pt>
                <c:pt idx="18">
                  <c:v>7782</c:v>
                </c:pt>
                <c:pt idx="19">
                  <c:v>4095</c:v>
                </c:pt>
                <c:pt idx="20">
                  <c:v>4393</c:v>
                </c:pt>
                <c:pt idx="21">
                  <c:v>8611</c:v>
                </c:pt>
                <c:pt idx="22">
                  <c:v>4533</c:v>
                </c:pt>
                <c:pt idx="23">
                  <c:v>4220</c:v>
                </c:pt>
                <c:pt idx="24">
                  <c:v>4981</c:v>
                </c:pt>
                <c:pt idx="25">
                  <c:v>4671</c:v>
                </c:pt>
                <c:pt idx="26">
                  <c:v>3952</c:v>
                </c:pt>
                <c:pt idx="27">
                  <c:v>5109</c:v>
                </c:pt>
                <c:pt idx="28">
                  <c:v>8586</c:v>
                </c:pt>
                <c:pt idx="29">
                  <c:v>7708</c:v>
                </c:pt>
                <c:pt idx="30">
                  <c:v>4040</c:v>
                </c:pt>
                <c:pt idx="31">
                  <c:v>5199</c:v>
                </c:pt>
                <c:pt idx="32">
                  <c:v>3805</c:v>
                </c:pt>
                <c:pt idx="33">
                  <c:v>3794</c:v>
                </c:pt>
                <c:pt idx="34">
                  <c:v>3776</c:v>
                </c:pt>
                <c:pt idx="35">
                  <c:v>3755</c:v>
                </c:pt>
                <c:pt idx="36">
                  <c:v>4167</c:v>
                </c:pt>
                <c:pt idx="37">
                  <c:v>3820</c:v>
                </c:pt>
                <c:pt idx="38">
                  <c:v>3726</c:v>
                </c:pt>
                <c:pt idx="39">
                  <c:v>3718</c:v>
                </c:pt>
                <c:pt idx="40">
                  <c:v>4058</c:v>
                </c:pt>
                <c:pt idx="41">
                  <c:v>3694</c:v>
                </c:pt>
                <c:pt idx="42">
                  <c:v>6893</c:v>
                </c:pt>
                <c:pt idx="43">
                  <c:v>3676</c:v>
                </c:pt>
                <c:pt idx="44">
                  <c:v>4125</c:v>
                </c:pt>
                <c:pt idx="45">
                  <c:v>5410</c:v>
                </c:pt>
                <c:pt idx="46">
                  <c:v>7556</c:v>
                </c:pt>
                <c:pt idx="47">
                  <c:v>5137</c:v>
                </c:pt>
                <c:pt idx="48">
                  <c:v>7649</c:v>
                </c:pt>
                <c:pt idx="49">
                  <c:v>4996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8E0C-4145-8543-9CB697B4906D}"/>
            </c:ext>
          </c:extLst>
        </c:ser>
        <c:ser>
          <c:idx val="1"/>
          <c:order val="1"/>
          <c:tx>
            <c:v>Highlight Selection</c:v>
          </c:tx>
          <c:spPr>
            <a:solidFill>
              <a:srgbClr val="C00000"/>
            </a:solidFill>
            <a:ln w="25400">
              <a:noFill/>
            </a:ln>
          </c:spPr>
          <c:invertIfNegative val="0"/>
          <c:xVal>
            <c:numRef>
              <c:f>Calculations!$P$15:$P$64</c:f>
              <c:numCache>
                <c:formatCode>#,##0.0000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-77.7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Calculations!$O$15:$O$64</c:f>
              <c:numCache>
                <c:formatCode>#,##0.0000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5.5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bubbleSize>
            <c:numRef>
              <c:f>Calculations!$I$15:$I$64</c:f>
              <c:numCache>
                <c:formatCode>#,##0</c:formatCode>
                <c:ptCount val="50"/>
                <c:pt idx="0">
                  <c:v>8848</c:v>
                </c:pt>
                <c:pt idx="1">
                  <c:v>6962</c:v>
                </c:pt>
                <c:pt idx="2">
                  <c:v>6194</c:v>
                </c:pt>
                <c:pt idx="3">
                  <c:v>5895</c:v>
                </c:pt>
                <c:pt idx="4">
                  <c:v>5700</c:v>
                </c:pt>
                <c:pt idx="5">
                  <c:v>5959</c:v>
                </c:pt>
                <c:pt idx="6">
                  <c:v>5636</c:v>
                </c:pt>
                <c:pt idx="7">
                  <c:v>4892</c:v>
                </c:pt>
                <c:pt idx="8">
                  <c:v>4884</c:v>
                </c:pt>
                <c:pt idx="9">
                  <c:v>5642</c:v>
                </c:pt>
                <c:pt idx="10">
                  <c:v>4809</c:v>
                </c:pt>
                <c:pt idx="11">
                  <c:v>5610</c:v>
                </c:pt>
                <c:pt idx="12">
                  <c:v>4750</c:v>
                </c:pt>
                <c:pt idx="13">
                  <c:v>8125</c:v>
                </c:pt>
                <c:pt idx="14">
                  <c:v>4205</c:v>
                </c:pt>
                <c:pt idx="15">
                  <c:v>7439</c:v>
                </c:pt>
                <c:pt idx="16">
                  <c:v>5445</c:v>
                </c:pt>
                <c:pt idx="17">
                  <c:v>6267</c:v>
                </c:pt>
                <c:pt idx="18">
                  <c:v>7782</c:v>
                </c:pt>
                <c:pt idx="19">
                  <c:v>4095</c:v>
                </c:pt>
                <c:pt idx="20">
                  <c:v>4393</c:v>
                </c:pt>
                <c:pt idx="21">
                  <c:v>8611</c:v>
                </c:pt>
                <c:pt idx="22">
                  <c:v>4220</c:v>
                </c:pt>
                <c:pt idx="23">
                  <c:v>4533</c:v>
                </c:pt>
                <c:pt idx="24">
                  <c:v>4981</c:v>
                </c:pt>
                <c:pt idx="25">
                  <c:v>4671</c:v>
                </c:pt>
                <c:pt idx="26">
                  <c:v>3952</c:v>
                </c:pt>
                <c:pt idx="27">
                  <c:v>5109</c:v>
                </c:pt>
                <c:pt idx="28">
                  <c:v>8586</c:v>
                </c:pt>
                <c:pt idx="29">
                  <c:v>7708</c:v>
                </c:pt>
                <c:pt idx="30">
                  <c:v>4040</c:v>
                </c:pt>
                <c:pt idx="31">
                  <c:v>5199</c:v>
                </c:pt>
                <c:pt idx="32">
                  <c:v>3805</c:v>
                </c:pt>
                <c:pt idx="33">
                  <c:v>3794</c:v>
                </c:pt>
                <c:pt idx="34">
                  <c:v>3776</c:v>
                </c:pt>
                <c:pt idx="35">
                  <c:v>4167</c:v>
                </c:pt>
                <c:pt idx="36">
                  <c:v>3755</c:v>
                </c:pt>
                <c:pt idx="37">
                  <c:v>3820</c:v>
                </c:pt>
                <c:pt idx="38">
                  <c:v>3726</c:v>
                </c:pt>
                <c:pt idx="39">
                  <c:v>3718</c:v>
                </c:pt>
                <c:pt idx="40">
                  <c:v>4058</c:v>
                </c:pt>
                <c:pt idx="41">
                  <c:v>3694</c:v>
                </c:pt>
                <c:pt idx="42">
                  <c:v>6893</c:v>
                </c:pt>
                <c:pt idx="43">
                  <c:v>3676</c:v>
                </c:pt>
                <c:pt idx="44">
                  <c:v>4125</c:v>
                </c:pt>
                <c:pt idx="45">
                  <c:v>5410</c:v>
                </c:pt>
                <c:pt idx="46">
                  <c:v>7556</c:v>
                </c:pt>
                <c:pt idx="47">
                  <c:v>5137</c:v>
                </c:pt>
                <c:pt idx="48">
                  <c:v>7649</c:v>
                </c:pt>
                <c:pt idx="49">
                  <c:v>4996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8E0C-4145-8543-9CB697B49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"/>
        <c:showNegBubbles val="0"/>
        <c:axId val="225166080"/>
        <c:axId val="225167616"/>
      </c:bubbleChart>
      <c:valAx>
        <c:axId val="225166080"/>
        <c:scaling>
          <c:orientation val="minMax"/>
          <c:max val="200"/>
          <c:min val="-200"/>
        </c:scaling>
        <c:delete val="1"/>
        <c:axPos val="b"/>
        <c:numFmt formatCode="#,##0.0000" sourceLinked="1"/>
        <c:majorTickMark val="out"/>
        <c:minorTickMark val="none"/>
        <c:tickLblPos val="nextTo"/>
        <c:crossAx val="225167616"/>
        <c:crosses val="autoZero"/>
        <c:crossBetween val="midCat"/>
      </c:valAx>
      <c:valAx>
        <c:axId val="225167616"/>
        <c:scaling>
          <c:orientation val="minMax"/>
          <c:max val="75"/>
          <c:min val="-85"/>
        </c:scaling>
        <c:delete val="1"/>
        <c:axPos val="l"/>
        <c:numFmt formatCode="#,##0.0000" sourceLinked="1"/>
        <c:majorTickMark val="out"/>
        <c:minorTickMark val="none"/>
        <c:tickLblPos val="nextTo"/>
        <c:crossAx val="2251660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stretch>
        <a:fillRect/>
      </a:stretch>
    </a:blip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trlProps/ctrlProp1.xml><?xml version="1.0" encoding="utf-8"?>
<formControlPr xmlns="http://schemas.microsoft.com/office/spreadsheetml/2009/9/main" objectType="Radio" firstButton="1" fmlaLink="Calculations!$D$6" lockText="1"/>
</file>

<file path=xl/ctrlProps/ctrlProp2.xml><?xml version="1.0" encoding="utf-8"?>
<formControlPr xmlns="http://schemas.microsoft.com/office/spreadsheetml/2009/9/main" objectType="Radio" checked="Checked" lockText="1"/>
</file>

<file path=xl/ctrlProps/ctrlProp3.xml><?xml version="1.0" encoding="utf-8"?>
<formControlPr xmlns="http://schemas.microsoft.com/office/spreadsheetml/2009/9/main" objectType="Scroll" dx="16" fmlaLink="Calculations!$D$7" max="41" min="1" page="5" val="1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1838325</xdr:colOff>
          <xdr:row>2</xdr:row>
          <xdr:rowOff>57150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1028" name="WebBrowser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18</xdr:row>
      <xdr:rowOff>0</xdr:rowOff>
    </xdr:from>
    <xdr:to>
      <xdr:col>8</xdr:col>
      <xdr:colOff>0</xdr:colOff>
      <xdr:row>30</xdr:row>
      <xdr:rowOff>38100</xdr:rowOff>
    </xdr:to>
    <xdr:graphicFrame macro="">
      <xdr:nvGraphicFramePr>
        <xdr:cNvPr id="1051982" name="Bar 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30</xdr:row>
      <xdr:rowOff>38100</xdr:rowOff>
    </xdr:to>
    <xdr:graphicFrame macro="">
      <xdr:nvGraphicFramePr>
        <xdr:cNvPr id="1051983" name="Bar 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381000</xdr:colOff>
      <xdr:row>2</xdr:row>
      <xdr:rowOff>57150</xdr:rowOff>
    </xdr:from>
    <xdr:to>
      <xdr:col>4</xdr:col>
      <xdr:colOff>1733550</xdr:colOff>
      <xdr:row>17</xdr:row>
      <xdr:rowOff>0</xdr:rowOff>
    </xdr:to>
    <xdr:graphicFrame macro="">
      <xdr:nvGraphicFramePr>
        <xdr:cNvPr id="1051984" name="Bubble 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923925</xdr:colOff>
          <xdr:row>18</xdr:row>
          <xdr:rowOff>0</xdr:rowOff>
        </xdr:from>
        <xdr:to>
          <xdr:col>8</xdr:col>
          <xdr:colOff>9525</xdr:colOff>
          <xdr:row>18</xdr:row>
          <xdr:rowOff>209550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933450</xdr:colOff>
          <xdr:row>18</xdr:row>
          <xdr:rowOff>0</xdr:rowOff>
        </xdr:from>
        <xdr:to>
          <xdr:col>10</xdr:col>
          <xdr:colOff>9525</xdr:colOff>
          <xdr:row>18</xdr:row>
          <xdr:rowOff>209550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29</xdr:row>
          <xdr:rowOff>47625</xdr:rowOff>
        </xdr:to>
        <xdr:sp macro="" textlink="">
          <xdr:nvSpPr>
            <xdr:cNvPr id="1027" name="Scroll Bar 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2</xdr:col>
      <xdr:colOff>1587500</xdr:colOff>
      <xdr:row>9</xdr:row>
      <xdr:rowOff>8835</xdr:rowOff>
    </xdr:from>
    <xdr:ext cx="1434596" cy="426390"/>
    <xdr:sp macro="" textlink="">
      <xdr:nvSpPr>
        <xdr:cNvPr id="9" name="myshpTooltip" hidden="1"/>
        <xdr:cNvSpPr/>
      </xdr:nvSpPr>
      <xdr:spPr>
        <a:xfrm>
          <a:off x="2082800" y="1875735"/>
          <a:ext cx="1434596" cy="42639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6350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anchor="t" anchorCtr="0">
          <a:sp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de-DE" sz="600">
              <a:solidFill>
                <a:srgbClr val="000000"/>
              </a:solidFill>
              <a:latin typeface="Arial" panose="020B0604020202020204" pitchFamily="34" charset="0"/>
            </a:rPr>
            <a:t>Cerro Chirripo, (Costa Rica)
Elevation: 3.820 m
Prominence: 3.727 m
First ascent by: - (-)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learlyandsimply.com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B1:K29"/>
  <sheetViews>
    <sheetView showGridLines="0" tabSelected="1" zoomScale="115" zoomScaleNormal="115" workbookViewId="0"/>
  </sheetViews>
  <sheetFormatPr defaultColWidth="10.7109375" defaultRowHeight="12.75" x14ac:dyDescent="0.2"/>
  <cols>
    <col min="1" max="1" width="1.7109375" style="7" customWidth="1"/>
    <col min="2" max="2" width="5.7109375" style="7" customWidth="1"/>
    <col min="3" max="3" width="30.85546875" style="7" bestFit="1" customWidth="1"/>
    <col min="4" max="4" width="18.28515625" style="7" customWidth="1"/>
    <col min="5" max="5" width="51.42578125" style="7" customWidth="1"/>
    <col min="6" max="6" width="10.7109375" style="8" customWidth="1"/>
    <col min="7" max="7" width="9.5703125" style="7" customWidth="1"/>
    <col min="8" max="8" width="17.7109375" style="7" customWidth="1"/>
    <col min="9" max="9" width="9.5703125" style="7" customWidth="1"/>
    <col min="10" max="10" width="17.7109375" style="7" customWidth="1"/>
    <col min="11" max="11" width="2.42578125" style="7" customWidth="1"/>
    <col min="12" max="12" width="1.7109375" style="7" customWidth="1"/>
    <col min="13" max="16384" width="10.7109375" style="7"/>
  </cols>
  <sheetData>
    <row r="1" spans="2:11" ht="5.0999999999999996" customHeight="1" x14ac:dyDescent="0.2"/>
    <row r="2" spans="2:11" ht="30" customHeight="1" thickBot="1" x14ac:dyDescent="0.25">
      <c r="B2" s="9" t="s">
        <v>251</v>
      </c>
      <c r="C2" s="10"/>
      <c r="D2" s="10"/>
      <c r="E2" s="10"/>
      <c r="F2" s="11"/>
      <c r="G2" s="10"/>
      <c r="H2" s="10"/>
      <c r="I2" s="10"/>
      <c r="J2" s="53" t="s">
        <v>242</v>
      </c>
      <c r="K2" s="10"/>
    </row>
    <row r="3" spans="2:11" ht="5.0999999999999996" customHeight="1" x14ac:dyDescent="0.2"/>
    <row r="4" spans="2:11" ht="18" customHeight="1" x14ac:dyDescent="0.2">
      <c r="F4" s="52"/>
      <c r="G4" s="12"/>
      <c r="H4" s="12"/>
      <c r="I4" s="12"/>
      <c r="J4" s="12"/>
    </row>
    <row r="5" spans="2:11" ht="18" customHeight="1" x14ac:dyDescent="0.2">
      <c r="F5" s="52"/>
      <c r="G5" s="12"/>
      <c r="H5" s="12"/>
      <c r="I5" s="12"/>
      <c r="J5" s="12"/>
    </row>
    <row r="6" spans="2:11" ht="18" customHeight="1" x14ac:dyDescent="0.2">
      <c r="F6" s="52"/>
      <c r="G6" s="12"/>
      <c r="H6" s="12"/>
      <c r="I6" s="12"/>
      <c r="J6" s="12"/>
    </row>
    <row r="7" spans="2:11" ht="18" customHeight="1" x14ac:dyDescent="0.2">
      <c r="F7" s="52"/>
      <c r="G7" s="12"/>
      <c r="H7" s="12"/>
      <c r="I7" s="12"/>
      <c r="J7" s="12"/>
    </row>
    <row r="8" spans="2:11" ht="18" customHeight="1" x14ac:dyDescent="0.2">
      <c r="F8" s="52"/>
      <c r="G8" s="12"/>
      <c r="H8" s="12"/>
      <c r="I8" s="12"/>
      <c r="J8" s="12"/>
    </row>
    <row r="9" spans="2:11" ht="18" customHeight="1" x14ac:dyDescent="0.2">
      <c r="F9" s="52"/>
      <c r="G9" s="12"/>
      <c r="H9" s="12"/>
      <c r="I9" s="12"/>
      <c r="J9" s="12"/>
    </row>
    <row r="10" spans="2:11" ht="18" customHeight="1" x14ac:dyDescent="0.2">
      <c r="F10" s="52"/>
      <c r="G10" s="12"/>
      <c r="H10" s="12"/>
      <c r="I10" s="12"/>
      <c r="J10" s="12"/>
    </row>
    <row r="11" spans="2:11" ht="18" customHeight="1" x14ac:dyDescent="0.2">
      <c r="F11" s="52"/>
      <c r="G11" s="12"/>
      <c r="H11" s="12"/>
      <c r="I11" s="12"/>
      <c r="J11" s="12"/>
    </row>
    <row r="12" spans="2:11" ht="18" customHeight="1" x14ac:dyDescent="0.2">
      <c r="F12" s="52"/>
      <c r="G12" s="12"/>
      <c r="H12" s="12"/>
      <c r="I12" s="12"/>
      <c r="J12" s="12"/>
    </row>
    <row r="13" spans="2:11" ht="18" customHeight="1" x14ac:dyDescent="0.2">
      <c r="F13" s="52"/>
      <c r="G13" s="12"/>
      <c r="H13" s="12"/>
      <c r="I13" s="12"/>
      <c r="J13" s="12"/>
    </row>
    <row r="14" spans="2:11" ht="18" customHeight="1" x14ac:dyDescent="0.2">
      <c r="F14" s="52"/>
      <c r="G14" s="12"/>
      <c r="H14" s="12"/>
      <c r="I14" s="12"/>
      <c r="J14" s="12"/>
    </row>
    <row r="15" spans="2:11" ht="18" customHeight="1" x14ac:dyDescent="0.2">
      <c r="F15" s="52"/>
      <c r="G15" s="12"/>
      <c r="H15" s="12"/>
      <c r="I15" s="12"/>
      <c r="J15" s="12"/>
    </row>
    <row r="16" spans="2:11" ht="18" customHeight="1" x14ac:dyDescent="0.2">
      <c r="F16" s="52"/>
      <c r="G16" s="12"/>
      <c r="H16" s="12"/>
      <c r="I16" s="12"/>
      <c r="J16" s="12"/>
    </row>
    <row r="17" spans="2:11" ht="18" customHeight="1" x14ac:dyDescent="0.2">
      <c r="F17" s="52"/>
      <c r="G17" s="12"/>
      <c r="H17" s="12"/>
      <c r="I17" s="12"/>
      <c r="J17" s="12"/>
    </row>
    <row r="18" spans="2:11" ht="5.0999999999999996" customHeight="1" x14ac:dyDescent="0.2"/>
    <row r="19" spans="2:11" ht="18" customHeight="1" x14ac:dyDescent="0.2">
      <c r="B19" s="30" t="s">
        <v>226</v>
      </c>
      <c r="C19" s="31" t="str">
        <f>Data!B4</f>
        <v>Summit Name</v>
      </c>
      <c r="D19" s="31" t="str">
        <f>Data!C4</f>
        <v>Country</v>
      </c>
      <c r="E19" s="31" t="str">
        <f>Data!H4</f>
        <v>First Ascent by</v>
      </c>
      <c r="F19" s="30" t="str">
        <f>Data!I4</f>
        <v>Year</v>
      </c>
      <c r="G19" s="32" t="str">
        <f>Data!F4</f>
        <v>Elevation in m</v>
      </c>
      <c r="H19" s="33"/>
      <c r="I19" s="32" t="str">
        <f>Data!G4</f>
        <v>Prominence in m</v>
      </c>
      <c r="J19" s="33"/>
    </row>
    <row r="20" spans="2:11" ht="18" customHeight="1" x14ac:dyDescent="0.2">
      <c r="B20" s="13">
        <f ca="1">Calculations!E69</f>
        <v>14</v>
      </c>
      <c r="C20" s="14" t="str">
        <f ca="1">Calculations!G69</f>
        <v>Nanga Parbat</v>
      </c>
      <c r="D20" s="14" t="str">
        <f ca="1">Calculations!H69</f>
        <v>Pakistan</v>
      </c>
      <c r="E20" s="14" t="str">
        <f ca="1">Calculations!K69</f>
        <v>Hermann Buhl</v>
      </c>
      <c r="F20" s="13" t="str">
        <f ca="1">Calculations!L69</f>
        <v>1953</v>
      </c>
      <c r="G20" s="57">
        <f ca="1">Calculations!I69</f>
        <v>8125</v>
      </c>
      <c r="H20" s="54"/>
      <c r="I20" s="57">
        <f ca="1">Calculations!J69</f>
        <v>4608</v>
      </c>
      <c r="J20" s="54"/>
      <c r="K20" s="64">
        <f ca="1">Calculations!$F69</f>
        <v>14</v>
      </c>
    </row>
    <row r="21" spans="2:11" ht="18" customHeight="1" x14ac:dyDescent="0.2">
      <c r="B21" s="15">
        <f ca="1">Calculations!E70</f>
        <v>15</v>
      </c>
      <c r="C21" s="16" t="str">
        <f ca="1">Calculations!G70</f>
        <v>Mauna Kea</v>
      </c>
      <c r="D21" s="16" t="str">
        <f ca="1">Calculations!H70</f>
        <v>US</v>
      </c>
      <c r="E21" s="16" t="str">
        <f ca="1">Calculations!K70</f>
        <v>-</v>
      </c>
      <c r="F21" s="15" t="str">
        <f ca="1">Calculations!L70</f>
        <v>-</v>
      </c>
      <c r="G21" s="58">
        <f ca="1">Calculations!I70</f>
        <v>4205</v>
      </c>
      <c r="H21" s="55"/>
      <c r="I21" s="58">
        <f ca="1">Calculations!J70</f>
        <v>4205</v>
      </c>
      <c r="J21" s="55"/>
      <c r="K21" s="64">
        <f ca="1">Calculations!$F70</f>
        <v>15</v>
      </c>
    </row>
    <row r="22" spans="2:11" ht="18" customHeight="1" x14ac:dyDescent="0.2">
      <c r="B22" s="15">
        <f ca="1">Calculations!E71</f>
        <v>16</v>
      </c>
      <c r="C22" s="16" t="str">
        <f ca="1">Calculations!G71</f>
        <v>Jengish Chokusu (ex. Pik Pobedy)</v>
      </c>
      <c r="D22" s="16" t="str">
        <f ca="1">Calculations!H71</f>
        <v>Kyrgyzstan/China</v>
      </c>
      <c r="E22" s="16" t="str">
        <f ca="1">Calculations!K71</f>
        <v>Witali Abalakow et al.</v>
      </c>
      <c r="F22" s="15" t="str">
        <f ca="1">Calculations!L71</f>
        <v>1956</v>
      </c>
      <c r="G22" s="58">
        <f ca="1">Calculations!I71</f>
        <v>7439</v>
      </c>
      <c r="H22" s="55"/>
      <c r="I22" s="58">
        <f ca="1">Calculations!J71</f>
        <v>4148</v>
      </c>
      <c r="J22" s="55"/>
      <c r="K22" s="64">
        <f ca="1">Calculations!$F71</f>
        <v>16</v>
      </c>
    </row>
    <row r="23" spans="2:11" ht="18" customHeight="1" x14ac:dyDescent="0.2">
      <c r="B23" s="15">
        <f ca="1">Calculations!E72</f>
        <v>17</v>
      </c>
      <c r="C23" s="16" t="str">
        <f ca="1">Calculations!G72</f>
        <v>Bogda Shan</v>
      </c>
      <c r="D23" s="16" t="str">
        <f ca="1">Calculations!H72</f>
        <v>China</v>
      </c>
      <c r="E23" s="16" t="str">
        <f ca="1">Calculations!K72</f>
        <v>-</v>
      </c>
      <c r="F23" s="15" t="str">
        <f ca="1">Calculations!L72</f>
        <v>-</v>
      </c>
      <c r="G23" s="58">
        <f ca="1">Calculations!I72</f>
        <v>5445</v>
      </c>
      <c r="H23" s="55"/>
      <c r="I23" s="58">
        <f ca="1">Calculations!J72</f>
        <v>4122</v>
      </c>
      <c r="J23" s="55"/>
      <c r="K23" s="64">
        <f ca="1">Calculations!$F72</f>
        <v>18</v>
      </c>
    </row>
    <row r="24" spans="2:11" ht="18" customHeight="1" x14ac:dyDescent="0.2">
      <c r="B24" s="15">
        <f ca="1">Calculations!E73</f>
        <v>18</v>
      </c>
      <c r="C24" s="16" t="str">
        <f ca="1">Calculations!G73</f>
        <v>Chimborazo</v>
      </c>
      <c r="D24" s="16" t="str">
        <f ca="1">Calculations!H73</f>
        <v>Ecuador</v>
      </c>
      <c r="E24" s="16" t="str">
        <f ca="1">Calculations!K73</f>
        <v>Edward Whymper</v>
      </c>
      <c r="F24" s="15" t="str">
        <f ca="1">Calculations!L73</f>
        <v>1880</v>
      </c>
      <c r="G24" s="58">
        <f ca="1">Calculations!I73</f>
        <v>6267</v>
      </c>
      <c r="H24" s="55"/>
      <c r="I24" s="58">
        <f ca="1">Calculations!J73</f>
        <v>4122</v>
      </c>
      <c r="J24" s="55"/>
      <c r="K24" s="64">
        <f ca="1">Calculations!$F73</f>
        <v>17</v>
      </c>
    </row>
    <row r="25" spans="2:11" ht="18" customHeight="1" x14ac:dyDescent="0.2">
      <c r="B25" s="15">
        <f ca="1">Calculations!E74</f>
        <v>19</v>
      </c>
      <c r="C25" s="16" t="str">
        <f ca="1">Calculations!G74</f>
        <v>Namcha Barwa</v>
      </c>
      <c r="D25" s="16" t="str">
        <f ca="1">Calculations!H74</f>
        <v>China</v>
      </c>
      <c r="E25" s="16" t="str">
        <f ca="1">Calculations!K74</f>
        <v>Bianba Zaxi  et al.</v>
      </c>
      <c r="F25" s="15" t="str">
        <f ca="1">Calculations!L74</f>
        <v>1992</v>
      </c>
      <c r="G25" s="58">
        <f ca="1">Calculations!I74</f>
        <v>7782</v>
      </c>
      <c r="H25" s="55"/>
      <c r="I25" s="58">
        <f ca="1">Calculations!J74</f>
        <v>4106</v>
      </c>
      <c r="J25" s="55"/>
      <c r="K25" s="64">
        <f ca="1">Calculations!$F74</f>
        <v>19</v>
      </c>
    </row>
    <row r="26" spans="2:11" ht="18" customHeight="1" x14ac:dyDescent="0.2">
      <c r="B26" s="15">
        <f ca="1">Calculations!E75</f>
        <v>20</v>
      </c>
      <c r="C26" s="16" t="str">
        <f ca="1">Calculations!G75</f>
        <v>Kinabalu</v>
      </c>
      <c r="D26" s="16" t="str">
        <f ca="1">Calculations!H75</f>
        <v>Malaysia</v>
      </c>
      <c r="E26" s="16" t="str">
        <f ca="1">Calculations!K75</f>
        <v>H. Low, S. St. John</v>
      </c>
      <c r="F26" s="15" t="str">
        <f ca="1">Calculations!L75</f>
        <v>1858</v>
      </c>
      <c r="G26" s="58">
        <f ca="1">Calculations!I75</f>
        <v>4095</v>
      </c>
      <c r="H26" s="55"/>
      <c r="I26" s="58">
        <f ca="1">Calculations!J75</f>
        <v>4095</v>
      </c>
      <c r="J26" s="55"/>
      <c r="K26" s="64">
        <f ca="1">Calculations!$F75</f>
        <v>20</v>
      </c>
    </row>
    <row r="27" spans="2:11" ht="18" customHeight="1" x14ac:dyDescent="0.2">
      <c r="B27" s="15">
        <f ca="1">Calculations!E76</f>
        <v>21</v>
      </c>
      <c r="C27" s="16" t="str">
        <f ca="1">Calculations!G76</f>
        <v>Mt. Rainier</v>
      </c>
      <c r="D27" s="16" t="str">
        <f ca="1">Calculations!H76</f>
        <v>US</v>
      </c>
      <c r="E27" s="16" t="str">
        <f ca="1">Calculations!K76</f>
        <v>Hazard Stevens, P.B. Van Trump</v>
      </c>
      <c r="F27" s="15" t="str">
        <f ca="1">Calculations!L76</f>
        <v>1870</v>
      </c>
      <c r="G27" s="58">
        <f ca="1">Calculations!I76</f>
        <v>4393</v>
      </c>
      <c r="H27" s="55"/>
      <c r="I27" s="58">
        <f ca="1">Calculations!J76</f>
        <v>4023</v>
      </c>
      <c r="J27" s="55"/>
      <c r="K27" s="64">
        <f ca="1">Calculations!$F76</f>
        <v>21</v>
      </c>
    </row>
    <row r="28" spans="2:11" ht="18" customHeight="1" x14ac:dyDescent="0.2">
      <c r="B28" s="15">
        <f ca="1">Calculations!E77</f>
        <v>22</v>
      </c>
      <c r="C28" s="16" t="str">
        <f ca="1">Calculations!G77</f>
        <v>K2</v>
      </c>
      <c r="D28" s="16" t="str">
        <f ca="1">Calculations!H77</f>
        <v>Pakistan/China</v>
      </c>
      <c r="E28" s="16" t="str">
        <f ca="1">Calculations!K77</f>
        <v>Achille Compagnoni, Lino Lacedelli</v>
      </c>
      <c r="F28" s="15" t="str">
        <f ca="1">Calculations!L77</f>
        <v>1954</v>
      </c>
      <c r="G28" s="58">
        <f ca="1">Calculations!I77</f>
        <v>8611</v>
      </c>
      <c r="H28" s="55"/>
      <c r="I28" s="58">
        <f ca="1">Calculations!J77</f>
        <v>4017</v>
      </c>
      <c r="J28" s="55"/>
      <c r="K28" s="64">
        <f ca="1">Calculations!$F77</f>
        <v>22</v>
      </c>
    </row>
    <row r="29" spans="2:11" ht="18" customHeight="1" x14ac:dyDescent="0.2">
      <c r="B29" s="17">
        <f ca="1">Calculations!E78</f>
        <v>23</v>
      </c>
      <c r="C29" s="18" t="str">
        <f ca="1">Calculations!G78</f>
        <v>Volcan Tajumulco</v>
      </c>
      <c r="D29" s="18" t="str">
        <f ca="1">Calculations!H78</f>
        <v>Guatemala</v>
      </c>
      <c r="E29" s="18" t="str">
        <f ca="1">Calculations!K78</f>
        <v>-</v>
      </c>
      <c r="F29" s="17" t="str">
        <f ca="1">Calculations!L78</f>
        <v>-</v>
      </c>
      <c r="G29" s="59">
        <f ca="1">Calculations!I78</f>
        <v>4220</v>
      </c>
      <c r="H29" s="56"/>
      <c r="I29" s="59">
        <f ca="1">Calculations!J78</f>
        <v>3980</v>
      </c>
      <c r="J29" s="56"/>
      <c r="K29" s="64">
        <f ca="1">Calculations!$F78</f>
        <v>24</v>
      </c>
    </row>
  </sheetData>
  <phoneticPr fontId="4" type="noConversion"/>
  <conditionalFormatting sqref="B20:J29">
    <cfRule type="expression" dxfId="0" priority="2" stopIfTrue="1">
      <formula>$K20=myRawDataPosition</formula>
    </cfRule>
  </conditionalFormatting>
  <hyperlinks>
    <hyperlink ref="J2" r:id="rId1"/>
  </hyperlinks>
  <pageMargins left="0.19685039370078741" right="0.19685039370078741" top="0.39370078740157483" bottom="0.19685039370078741" header="0.19685039370078741" footer="0.19685039370078741"/>
  <pageSetup paperSize="9" scale="79" orientation="landscape" r:id="rId2"/>
  <drawing r:id="rId3"/>
  <legacyDrawing r:id="rId4"/>
  <controls>
    <mc:AlternateContent xmlns:mc="http://schemas.openxmlformats.org/markup-compatibility/2006">
      <mc:Choice Requires="x14">
        <control shapeId="1028" r:id="rId5" name="WebBrowser1">
          <controlPr autoLine="0" autoPict="0" r:id="rId6">
            <anchor moveWithCells="1">
              <from>
                <xdr:col>4</xdr:col>
                <xdr:colOff>1838325</xdr:colOff>
                <xdr:row>2</xdr:row>
                <xdr:rowOff>57150</xdr:rowOff>
              </from>
              <to>
                <xdr:col>10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8" r:id="rId5" name="WebBrowser1"/>
      </mc:Fallback>
    </mc:AlternateContent>
    <mc:AlternateContent xmlns:mc="http://schemas.openxmlformats.org/markup-compatibility/2006">
      <mc:Choice Requires="x14">
        <control shapeId="1025" r:id="rId7" name="Option Button 1">
          <controlPr defaultSize="0" autoFill="0" autoLine="0" autoPict="0" macro="[0]!Navigate_In_Table_After_Sort">
            <anchor moveWithCells="1">
              <from>
                <xdr:col>7</xdr:col>
                <xdr:colOff>923925</xdr:colOff>
                <xdr:row>18</xdr:row>
                <xdr:rowOff>0</xdr:rowOff>
              </from>
              <to>
                <xdr:col>8</xdr:col>
                <xdr:colOff>9525</xdr:colOff>
                <xdr:row>18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8" name="Option Button 2">
          <controlPr defaultSize="0" autoFill="0" autoLine="0" autoPict="0" macro="[0]!Navigate_In_Table_After_Sort">
            <anchor moveWithCells="1">
              <from>
                <xdr:col>9</xdr:col>
                <xdr:colOff>933450</xdr:colOff>
                <xdr:row>18</xdr:row>
                <xdr:rowOff>0</xdr:rowOff>
              </from>
              <to>
                <xdr:col>10</xdr:col>
                <xdr:colOff>9525</xdr:colOff>
                <xdr:row>18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9" name="Scroll Bar 1">
          <controlPr defaultSize="0" autoPict="0">
            <anchor moveWithCells="1">
              <from>
                <xdr:col>10</xdr:col>
                <xdr:colOff>0</xdr:colOff>
                <xdr:row>19</xdr:row>
                <xdr:rowOff>0</xdr:rowOff>
              </from>
              <to>
                <xdr:col>11</xdr:col>
                <xdr:colOff>0</xdr:colOff>
                <xdr:row>29</xdr:row>
                <xdr:rowOff>47625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B2:J54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ColWidth="10.7109375" defaultRowHeight="12.75" x14ac:dyDescent="0.25"/>
  <cols>
    <col min="1" max="1" width="1.7109375" style="19" customWidth="1"/>
    <col min="2" max="2" width="30.5703125" style="19" bestFit="1" customWidth="1"/>
    <col min="3" max="3" width="17.28515625" style="19" bestFit="1" customWidth="1"/>
    <col min="4" max="7" width="15.7109375" style="19" customWidth="1"/>
    <col min="8" max="8" width="68.5703125" style="19" bestFit="1" customWidth="1"/>
    <col min="9" max="9" width="6" style="47" bestFit="1" customWidth="1"/>
    <col min="10" max="10" width="95.42578125" style="19" bestFit="1" customWidth="1"/>
    <col min="11" max="11" width="1.7109375" style="19" customWidth="1"/>
    <col min="12" max="16384" width="10.7109375" style="19"/>
  </cols>
  <sheetData>
    <row r="2" spans="2:10" ht="30" customHeight="1" thickBot="1" x14ac:dyDescent="0.3">
      <c r="B2" s="9" t="s">
        <v>243</v>
      </c>
      <c r="C2" s="40"/>
      <c r="D2" s="40"/>
      <c r="E2" s="40"/>
      <c r="F2" s="40"/>
      <c r="G2" s="40"/>
      <c r="H2" s="40"/>
      <c r="I2" s="41"/>
      <c r="J2" s="40"/>
    </row>
    <row r="4" spans="2:10" x14ac:dyDescent="0.25">
      <c r="B4" s="24" t="s">
        <v>0</v>
      </c>
      <c r="C4" s="24" t="s">
        <v>1</v>
      </c>
      <c r="D4" s="24" t="s">
        <v>92</v>
      </c>
      <c r="E4" s="24" t="s">
        <v>93</v>
      </c>
      <c r="F4" s="24" t="s">
        <v>89</v>
      </c>
      <c r="G4" s="24" t="s">
        <v>90</v>
      </c>
      <c r="H4" s="24" t="s">
        <v>223</v>
      </c>
      <c r="I4" s="25" t="s">
        <v>212</v>
      </c>
      <c r="J4" s="24" t="s">
        <v>91</v>
      </c>
    </row>
    <row r="5" spans="2:10" x14ac:dyDescent="0.25">
      <c r="B5" s="37" t="s">
        <v>2</v>
      </c>
      <c r="C5" s="37" t="s">
        <v>3</v>
      </c>
      <c r="D5" s="48">
        <v>27.986519000000001</v>
      </c>
      <c r="E5" s="48">
        <v>86.919708</v>
      </c>
      <c r="F5" s="34">
        <v>8848</v>
      </c>
      <c r="G5" s="34">
        <v>8848</v>
      </c>
      <c r="H5" s="37" t="s">
        <v>97</v>
      </c>
      <c r="I5" s="42" t="s">
        <v>213</v>
      </c>
      <c r="J5" s="37" t="s">
        <v>127</v>
      </c>
    </row>
    <row r="6" spans="2:10" x14ac:dyDescent="0.25">
      <c r="B6" s="22" t="s">
        <v>4</v>
      </c>
      <c r="C6" s="22" t="s">
        <v>5</v>
      </c>
      <c r="D6" s="49">
        <v>-32.656286000000001</v>
      </c>
      <c r="E6" s="49">
        <v>-70.015782999999999</v>
      </c>
      <c r="F6" s="5">
        <v>6962</v>
      </c>
      <c r="G6" s="5">
        <v>6962</v>
      </c>
      <c r="H6" s="22" t="s">
        <v>94</v>
      </c>
      <c r="I6" s="43" t="s">
        <v>214</v>
      </c>
      <c r="J6" s="22" t="s">
        <v>128</v>
      </c>
    </row>
    <row r="7" spans="2:10" x14ac:dyDescent="0.25">
      <c r="B7" s="39" t="s">
        <v>6</v>
      </c>
      <c r="C7" s="39" t="s">
        <v>7</v>
      </c>
      <c r="D7" s="50">
        <v>63.098486999999999</v>
      </c>
      <c r="E7" s="50">
        <v>-151.001587</v>
      </c>
      <c r="F7" s="35">
        <v>6194</v>
      </c>
      <c r="G7" s="35">
        <v>6138</v>
      </c>
      <c r="H7" s="39" t="s">
        <v>95</v>
      </c>
      <c r="I7" s="44" t="s">
        <v>215</v>
      </c>
      <c r="J7" s="39" t="s">
        <v>129</v>
      </c>
    </row>
    <row r="8" spans="2:10" x14ac:dyDescent="0.25">
      <c r="B8" s="22" t="s">
        <v>8</v>
      </c>
      <c r="C8" s="22" t="s">
        <v>9</v>
      </c>
      <c r="D8" s="49">
        <v>-3.0582389999999999</v>
      </c>
      <c r="E8" s="49">
        <v>37.346648999999999</v>
      </c>
      <c r="F8" s="5">
        <v>5895</v>
      </c>
      <c r="G8" s="5">
        <v>5885</v>
      </c>
      <c r="H8" s="45" t="s">
        <v>96</v>
      </c>
      <c r="I8" s="43" t="s">
        <v>211</v>
      </c>
      <c r="J8" s="22" t="s">
        <v>130</v>
      </c>
    </row>
    <row r="9" spans="2:10" x14ac:dyDescent="0.25">
      <c r="B9" s="39" t="s">
        <v>10</v>
      </c>
      <c r="C9" s="39" t="s">
        <v>11</v>
      </c>
      <c r="D9" s="50">
        <v>10.829765</v>
      </c>
      <c r="E9" s="50">
        <v>-73.701096000000007</v>
      </c>
      <c r="F9" s="35">
        <v>5700</v>
      </c>
      <c r="G9" s="35">
        <v>5509</v>
      </c>
      <c r="H9" s="39" t="s">
        <v>221</v>
      </c>
      <c r="I9" s="44" t="s">
        <v>221</v>
      </c>
      <c r="J9" s="39" t="s">
        <v>131</v>
      </c>
    </row>
    <row r="10" spans="2:10" x14ac:dyDescent="0.25">
      <c r="B10" s="22" t="s">
        <v>12</v>
      </c>
      <c r="C10" s="22" t="s">
        <v>13</v>
      </c>
      <c r="D10" s="49">
        <v>60.633468999999998</v>
      </c>
      <c r="E10" s="49">
        <v>-140.439606</v>
      </c>
      <c r="F10" s="5">
        <v>5959</v>
      </c>
      <c r="G10" s="5">
        <v>5250</v>
      </c>
      <c r="H10" s="22" t="s">
        <v>98</v>
      </c>
      <c r="I10" s="43" t="s">
        <v>216</v>
      </c>
      <c r="J10" s="22" t="s">
        <v>132</v>
      </c>
    </row>
    <row r="11" spans="2:10" x14ac:dyDescent="0.25">
      <c r="B11" s="39" t="s">
        <v>14</v>
      </c>
      <c r="C11" s="39" t="s">
        <v>15</v>
      </c>
      <c r="D11" s="50">
        <v>19.03</v>
      </c>
      <c r="E11" s="50">
        <v>-97.266599999999997</v>
      </c>
      <c r="F11" s="35">
        <v>5636</v>
      </c>
      <c r="G11" s="35">
        <v>4922</v>
      </c>
      <c r="H11" s="39" t="s">
        <v>99</v>
      </c>
      <c r="I11" s="44" t="s">
        <v>217</v>
      </c>
      <c r="J11" s="39" t="s">
        <v>133</v>
      </c>
    </row>
    <row r="12" spans="2:10" x14ac:dyDescent="0.25">
      <c r="B12" s="22" t="s">
        <v>16</v>
      </c>
      <c r="C12" s="22" t="s">
        <v>17</v>
      </c>
      <c r="D12" s="49">
        <v>-78.510000000000005</v>
      </c>
      <c r="E12" s="49">
        <v>-85.6</v>
      </c>
      <c r="F12" s="5">
        <v>4892</v>
      </c>
      <c r="G12" s="5">
        <v>4892</v>
      </c>
      <c r="H12" s="22" t="s">
        <v>100</v>
      </c>
      <c r="I12" s="43" t="s">
        <v>101</v>
      </c>
      <c r="J12" s="22" t="s">
        <v>134</v>
      </c>
    </row>
    <row r="13" spans="2:10" x14ac:dyDescent="0.25">
      <c r="B13" s="39" t="s">
        <v>18</v>
      </c>
      <c r="C13" s="39" t="s">
        <v>19</v>
      </c>
      <c r="D13" s="50">
        <v>-4.0666000000000002</v>
      </c>
      <c r="E13" s="50">
        <v>137.18333000000001</v>
      </c>
      <c r="F13" s="35">
        <v>4884</v>
      </c>
      <c r="G13" s="35">
        <v>4884</v>
      </c>
      <c r="H13" s="39" t="s">
        <v>193</v>
      </c>
      <c r="I13" s="44" t="s">
        <v>194</v>
      </c>
      <c r="J13" s="39" t="s">
        <v>135</v>
      </c>
    </row>
    <row r="14" spans="2:10" x14ac:dyDescent="0.25">
      <c r="B14" s="22" t="s">
        <v>20</v>
      </c>
      <c r="C14" s="22" t="s">
        <v>21</v>
      </c>
      <c r="D14" s="49">
        <v>43.35</v>
      </c>
      <c r="E14" s="49">
        <v>42.433300000000003</v>
      </c>
      <c r="F14" s="5">
        <v>5642</v>
      </c>
      <c r="G14" s="5">
        <v>4741</v>
      </c>
      <c r="H14" s="22" t="s">
        <v>103</v>
      </c>
      <c r="I14" s="43" t="s">
        <v>102</v>
      </c>
      <c r="J14" s="22" t="s">
        <v>136</v>
      </c>
    </row>
    <row r="15" spans="2:10" x14ac:dyDescent="0.25">
      <c r="B15" s="39" t="s">
        <v>22</v>
      </c>
      <c r="C15" s="39" t="s">
        <v>23</v>
      </c>
      <c r="D15" s="50">
        <v>45.832999999999998</v>
      </c>
      <c r="E15" s="50">
        <v>6.8659999999999997</v>
      </c>
      <c r="F15" s="35">
        <v>4809</v>
      </c>
      <c r="G15" s="35">
        <v>4696</v>
      </c>
      <c r="H15" s="39" t="s">
        <v>104</v>
      </c>
      <c r="I15" s="44" t="s">
        <v>225</v>
      </c>
      <c r="J15" s="39" t="s">
        <v>137</v>
      </c>
    </row>
    <row r="16" spans="2:10" x14ac:dyDescent="0.25">
      <c r="B16" s="22" t="s">
        <v>24</v>
      </c>
      <c r="C16" s="22" t="s">
        <v>25</v>
      </c>
      <c r="D16" s="49">
        <v>35.954386999999997</v>
      </c>
      <c r="E16" s="49">
        <v>52.111243999999999</v>
      </c>
      <c r="F16" s="5">
        <v>5610</v>
      </c>
      <c r="G16" s="5">
        <v>4667</v>
      </c>
      <c r="H16" s="22" t="s">
        <v>195</v>
      </c>
      <c r="I16" s="43" t="s">
        <v>196</v>
      </c>
      <c r="J16" s="22" t="s">
        <v>138</v>
      </c>
    </row>
    <row r="17" spans="2:10" x14ac:dyDescent="0.25">
      <c r="B17" s="39" t="s">
        <v>26</v>
      </c>
      <c r="C17" s="39" t="s">
        <v>21</v>
      </c>
      <c r="D17" s="50">
        <v>56.060153</v>
      </c>
      <c r="E17" s="50">
        <v>160.63179</v>
      </c>
      <c r="F17" s="35">
        <v>4750</v>
      </c>
      <c r="G17" s="35">
        <v>4649</v>
      </c>
      <c r="H17" s="39" t="s">
        <v>191</v>
      </c>
      <c r="I17" s="44" t="s">
        <v>192</v>
      </c>
      <c r="J17" s="39" t="s">
        <v>139</v>
      </c>
    </row>
    <row r="18" spans="2:10" x14ac:dyDescent="0.25">
      <c r="B18" s="22" t="s">
        <v>27</v>
      </c>
      <c r="C18" s="22" t="s">
        <v>28</v>
      </c>
      <c r="D18" s="49">
        <v>35.2333</v>
      </c>
      <c r="E18" s="49">
        <v>74.599999999999994</v>
      </c>
      <c r="F18" s="5">
        <v>8125</v>
      </c>
      <c r="G18" s="5">
        <v>4608</v>
      </c>
      <c r="H18" s="22" t="s">
        <v>105</v>
      </c>
      <c r="I18" s="43" t="s">
        <v>213</v>
      </c>
      <c r="J18" s="22" t="s">
        <v>140</v>
      </c>
    </row>
    <row r="19" spans="2:10" x14ac:dyDescent="0.25">
      <c r="B19" s="39" t="s">
        <v>29</v>
      </c>
      <c r="C19" s="39" t="s">
        <v>7</v>
      </c>
      <c r="D19" s="50">
        <v>19.824204000000002</v>
      </c>
      <c r="E19" s="50">
        <v>-155.46752900000001</v>
      </c>
      <c r="F19" s="35">
        <v>4205</v>
      </c>
      <c r="G19" s="35">
        <v>4205</v>
      </c>
      <c r="H19" s="39" t="s">
        <v>221</v>
      </c>
      <c r="I19" s="44" t="s">
        <v>221</v>
      </c>
      <c r="J19" s="39" t="s">
        <v>141</v>
      </c>
    </row>
    <row r="20" spans="2:10" x14ac:dyDescent="0.25">
      <c r="B20" s="22" t="s">
        <v>30</v>
      </c>
      <c r="C20" s="22" t="s">
        <v>31</v>
      </c>
      <c r="D20" s="49">
        <v>42.033299999999997</v>
      </c>
      <c r="E20" s="49">
        <v>80.116665999999995</v>
      </c>
      <c r="F20" s="5">
        <v>7439</v>
      </c>
      <c r="G20" s="5">
        <v>4148</v>
      </c>
      <c r="H20" s="22" t="s">
        <v>200</v>
      </c>
      <c r="I20" s="43" t="s">
        <v>201</v>
      </c>
      <c r="J20" s="22" t="s">
        <v>142</v>
      </c>
    </row>
    <row r="21" spans="2:10" x14ac:dyDescent="0.25">
      <c r="B21" s="39" t="s">
        <v>32</v>
      </c>
      <c r="C21" s="39" t="s">
        <v>33</v>
      </c>
      <c r="D21" s="50">
        <v>-1.467544</v>
      </c>
      <c r="E21" s="50">
        <v>-78.816090000000003</v>
      </c>
      <c r="F21" s="35">
        <v>6267</v>
      </c>
      <c r="G21" s="35">
        <v>4122</v>
      </c>
      <c r="H21" s="39" t="s">
        <v>106</v>
      </c>
      <c r="I21" s="44" t="s">
        <v>107</v>
      </c>
      <c r="J21" s="39" t="s">
        <v>143</v>
      </c>
    </row>
    <row r="22" spans="2:10" x14ac:dyDescent="0.25">
      <c r="B22" s="22" t="s">
        <v>34</v>
      </c>
      <c r="C22" s="22" t="s">
        <v>35</v>
      </c>
      <c r="D22" s="49">
        <v>43.8</v>
      </c>
      <c r="E22" s="49">
        <v>88.332999999999998</v>
      </c>
      <c r="F22" s="5">
        <v>5445</v>
      </c>
      <c r="G22" s="5">
        <v>4122</v>
      </c>
      <c r="H22" s="22" t="s">
        <v>221</v>
      </c>
      <c r="I22" s="43" t="s">
        <v>221</v>
      </c>
      <c r="J22" s="22" t="s">
        <v>144</v>
      </c>
    </row>
    <row r="23" spans="2:10" x14ac:dyDescent="0.25">
      <c r="B23" s="39" t="s">
        <v>36</v>
      </c>
      <c r="C23" s="39" t="s">
        <v>35</v>
      </c>
      <c r="D23" s="50">
        <v>29.633299999999998</v>
      </c>
      <c r="E23" s="50">
        <v>95.05</v>
      </c>
      <c r="F23" s="35">
        <v>7782</v>
      </c>
      <c r="G23" s="35">
        <v>4106</v>
      </c>
      <c r="H23" s="39" t="s">
        <v>189</v>
      </c>
      <c r="I23" s="44" t="s">
        <v>190</v>
      </c>
      <c r="J23" s="39" t="s">
        <v>145</v>
      </c>
    </row>
    <row r="24" spans="2:10" x14ac:dyDescent="0.25">
      <c r="B24" s="22" t="s">
        <v>37</v>
      </c>
      <c r="C24" s="22" t="s">
        <v>38</v>
      </c>
      <c r="D24" s="49">
        <v>6.0666000000000002</v>
      </c>
      <c r="E24" s="49">
        <v>116.56666</v>
      </c>
      <c r="F24" s="5">
        <v>4095</v>
      </c>
      <c r="G24" s="5">
        <v>4095</v>
      </c>
      <c r="H24" s="22" t="s">
        <v>202</v>
      </c>
      <c r="I24" s="43" t="s">
        <v>203</v>
      </c>
      <c r="J24" s="22" t="s">
        <v>146</v>
      </c>
    </row>
    <row r="25" spans="2:10" x14ac:dyDescent="0.25">
      <c r="B25" s="39" t="s">
        <v>39</v>
      </c>
      <c r="C25" s="39" t="s">
        <v>7</v>
      </c>
      <c r="D25" s="50">
        <v>46.85</v>
      </c>
      <c r="E25" s="50">
        <v>-121.7666</v>
      </c>
      <c r="F25" s="35">
        <v>4393</v>
      </c>
      <c r="G25" s="35">
        <v>4023</v>
      </c>
      <c r="H25" s="39" t="s">
        <v>177</v>
      </c>
      <c r="I25" s="44" t="s">
        <v>178</v>
      </c>
      <c r="J25" s="39" t="s">
        <v>147</v>
      </c>
    </row>
    <row r="26" spans="2:10" x14ac:dyDescent="0.25">
      <c r="B26" s="22" t="s">
        <v>40</v>
      </c>
      <c r="C26" s="22" t="s">
        <v>41</v>
      </c>
      <c r="D26" s="49">
        <v>35.892110000000002</v>
      </c>
      <c r="E26" s="49">
        <v>76.514626000000007</v>
      </c>
      <c r="F26" s="5">
        <v>8611</v>
      </c>
      <c r="G26" s="5">
        <v>4017</v>
      </c>
      <c r="H26" s="22" t="s">
        <v>222</v>
      </c>
      <c r="I26" s="43" t="s">
        <v>218</v>
      </c>
      <c r="J26" s="22" t="s">
        <v>148</v>
      </c>
    </row>
    <row r="27" spans="2:10" x14ac:dyDescent="0.25">
      <c r="B27" s="39" t="s">
        <v>42</v>
      </c>
      <c r="C27" s="39" t="s">
        <v>43</v>
      </c>
      <c r="D27" s="50">
        <v>13.2333</v>
      </c>
      <c r="E27" s="50">
        <v>38.366599999999998</v>
      </c>
      <c r="F27" s="35">
        <v>4533</v>
      </c>
      <c r="G27" s="35">
        <v>3980</v>
      </c>
      <c r="H27" s="39" t="s">
        <v>204</v>
      </c>
      <c r="I27" s="44" t="s">
        <v>205</v>
      </c>
      <c r="J27" s="39" t="s">
        <v>149</v>
      </c>
    </row>
    <row r="28" spans="2:10" x14ac:dyDescent="0.25">
      <c r="B28" s="22" t="s">
        <v>44</v>
      </c>
      <c r="C28" s="22" t="s">
        <v>45</v>
      </c>
      <c r="D28" s="49">
        <v>15.041954</v>
      </c>
      <c r="E28" s="49">
        <v>-91.903724999999994</v>
      </c>
      <c r="F28" s="5">
        <v>4220</v>
      </c>
      <c r="G28" s="5">
        <v>3980</v>
      </c>
      <c r="H28" s="22" t="s">
        <v>221</v>
      </c>
      <c r="I28" s="43" t="s">
        <v>221</v>
      </c>
      <c r="J28" s="22" t="s">
        <v>150</v>
      </c>
    </row>
    <row r="29" spans="2:10" x14ac:dyDescent="0.25">
      <c r="B29" s="39" t="s">
        <v>46</v>
      </c>
      <c r="C29" s="39" t="s">
        <v>47</v>
      </c>
      <c r="D29" s="50">
        <v>8.5396020000000004</v>
      </c>
      <c r="E29" s="50">
        <v>-71.047554000000005</v>
      </c>
      <c r="F29" s="35">
        <v>4981</v>
      </c>
      <c r="G29" s="35">
        <v>3957</v>
      </c>
      <c r="H29" s="39" t="s">
        <v>115</v>
      </c>
      <c r="I29" s="44" t="s">
        <v>116</v>
      </c>
      <c r="J29" s="39" t="s">
        <v>151</v>
      </c>
    </row>
    <row r="30" spans="2:10" x14ac:dyDescent="0.25">
      <c r="B30" s="22" t="s">
        <v>48</v>
      </c>
      <c r="C30" s="22" t="s">
        <v>49</v>
      </c>
      <c r="D30" s="49">
        <v>58.90766</v>
      </c>
      <c r="E30" s="49">
        <v>-137.51964599999999</v>
      </c>
      <c r="F30" s="5">
        <v>4671</v>
      </c>
      <c r="G30" s="5">
        <v>3955</v>
      </c>
      <c r="H30" s="22" t="s">
        <v>117</v>
      </c>
      <c r="I30" s="43" t="s">
        <v>118</v>
      </c>
      <c r="J30" s="22" t="s">
        <v>152</v>
      </c>
    </row>
    <row r="31" spans="2:10" x14ac:dyDescent="0.25">
      <c r="B31" s="39" t="s">
        <v>50</v>
      </c>
      <c r="C31" s="39" t="s">
        <v>51</v>
      </c>
      <c r="D31" s="50">
        <v>23.468914999999999</v>
      </c>
      <c r="E31" s="50">
        <v>120.957928</v>
      </c>
      <c r="F31" s="35">
        <v>3952</v>
      </c>
      <c r="G31" s="35">
        <v>3952</v>
      </c>
      <c r="H31" s="39" t="s">
        <v>206</v>
      </c>
      <c r="I31" s="44" t="s">
        <v>207</v>
      </c>
      <c r="J31" s="39" t="s">
        <v>153</v>
      </c>
    </row>
    <row r="32" spans="2:10" x14ac:dyDescent="0.25">
      <c r="B32" s="22" t="s">
        <v>52</v>
      </c>
      <c r="C32" s="22" t="s">
        <v>53</v>
      </c>
      <c r="D32" s="49">
        <v>0.38333299999999998</v>
      </c>
      <c r="E32" s="49">
        <v>29.86666</v>
      </c>
      <c r="F32" s="5">
        <v>5109</v>
      </c>
      <c r="G32" s="5">
        <v>3951</v>
      </c>
      <c r="H32" s="22" t="s">
        <v>208</v>
      </c>
      <c r="I32" s="43" t="s">
        <v>209</v>
      </c>
      <c r="J32" s="22" t="s">
        <v>154</v>
      </c>
    </row>
    <row r="33" spans="2:10" x14ac:dyDescent="0.25">
      <c r="B33" s="39" t="s">
        <v>54</v>
      </c>
      <c r="C33" s="39" t="s">
        <v>55</v>
      </c>
      <c r="D33" s="50">
        <v>27.718181000000001</v>
      </c>
      <c r="E33" s="50">
        <v>88.154297</v>
      </c>
      <c r="F33" s="35">
        <v>8586</v>
      </c>
      <c r="G33" s="35">
        <v>3922</v>
      </c>
      <c r="H33" s="39" t="s">
        <v>183</v>
      </c>
      <c r="I33" s="44" t="s">
        <v>224</v>
      </c>
      <c r="J33" s="39" t="s">
        <v>155</v>
      </c>
    </row>
    <row r="34" spans="2:10" x14ac:dyDescent="0.25">
      <c r="B34" s="22" t="s">
        <v>56</v>
      </c>
      <c r="C34" s="22" t="s">
        <v>28</v>
      </c>
      <c r="D34" s="49">
        <v>36.255625000000002</v>
      </c>
      <c r="E34" s="49">
        <v>71.842003000000005</v>
      </c>
      <c r="F34" s="5">
        <v>7708</v>
      </c>
      <c r="G34" s="5">
        <v>3910</v>
      </c>
      <c r="H34" s="22" t="s">
        <v>184</v>
      </c>
      <c r="I34" s="43" t="s">
        <v>185</v>
      </c>
      <c r="J34" s="22" t="s">
        <v>156</v>
      </c>
    </row>
    <row r="35" spans="2:10" x14ac:dyDescent="0.25">
      <c r="B35" s="39" t="s">
        <v>57</v>
      </c>
      <c r="C35" s="39" t="s">
        <v>58</v>
      </c>
      <c r="D35" s="50">
        <v>4.2112619999999996</v>
      </c>
      <c r="E35" s="50">
        <v>9.1765019999999993</v>
      </c>
      <c r="F35" s="35">
        <v>4040</v>
      </c>
      <c r="G35" s="35">
        <v>3901</v>
      </c>
      <c r="H35" s="39" t="s">
        <v>108</v>
      </c>
      <c r="I35" s="44" t="s">
        <v>109</v>
      </c>
      <c r="J35" s="39" t="s">
        <v>157</v>
      </c>
    </row>
    <row r="36" spans="2:10" x14ac:dyDescent="0.25">
      <c r="B36" s="22" t="s">
        <v>59</v>
      </c>
      <c r="C36" s="22" t="s">
        <v>60</v>
      </c>
      <c r="D36" s="49">
        <v>-0.153637</v>
      </c>
      <c r="E36" s="49">
        <v>37.310600000000001</v>
      </c>
      <c r="F36" s="5">
        <v>5199</v>
      </c>
      <c r="G36" s="5">
        <v>3825</v>
      </c>
      <c r="H36" s="22" t="s">
        <v>110</v>
      </c>
      <c r="I36" s="43" t="s">
        <v>111</v>
      </c>
      <c r="J36" s="22" t="s">
        <v>158</v>
      </c>
    </row>
    <row r="37" spans="2:10" x14ac:dyDescent="0.25">
      <c r="B37" s="39" t="s">
        <v>61</v>
      </c>
      <c r="C37" s="39" t="s">
        <v>19</v>
      </c>
      <c r="D37" s="50">
        <v>-1.695767</v>
      </c>
      <c r="E37" s="50">
        <v>101.265793</v>
      </c>
      <c r="F37" s="35">
        <v>3805</v>
      </c>
      <c r="G37" s="35">
        <v>3805</v>
      </c>
      <c r="H37" s="39" t="s">
        <v>197</v>
      </c>
      <c r="I37" s="44" t="s">
        <v>198</v>
      </c>
      <c r="J37" s="39" t="s">
        <v>159</v>
      </c>
    </row>
    <row r="38" spans="2:10" x14ac:dyDescent="0.25">
      <c r="B38" s="22" t="s">
        <v>62</v>
      </c>
      <c r="C38" s="22" t="s">
        <v>17</v>
      </c>
      <c r="D38" s="49">
        <v>-77.523122000000001</v>
      </c>
      <c r="E38" s="49">
        <v>167.29980499999999</v>
      </c>
      <c r="F38" s="5">
        <v>3794</v>
      </c>
      <c r="G38" s="5">
        <v>3794</v>
      </c>
      <c r="H38" s="22" t="s">
        <v>112</v>
      </c>
      <c r="I38" s="43" t="s">
        <v>113</v>
      </c>
      <c r="J38" s="22" t="s">
        <v>160</v>
      </c>
    </row>
    <row r="39" spans="2:10" x14ac:dyDescent="0.25">
      <c r="B39" s="39" t="s">
        <v>63</v>
      </c>
      <c r="C39" s="39" t="s">
        <v>64</v>
      </c>
      <c r="D39" s="50">
        <v>35.359499999999997</v>
      </c>
      <c r="E39" s="50">
        <v>138.73237499999999</v>
      </c>
      <c r="F39" s="35">
        <v>3776</v>
      </c>
      <c r="G39" s="35">
        <v>3776</v>
      </c>
      <c r="H39" s="39" t="s">
        <v>119</v>
      </c>
      <c r="I39" s="44" t="s">
        <v>120</v>
      </c>
      <c r="J39" s="39" t="s">
        <v>161</v>
      </c>
    </row>
    <row r="40" spans="2:10" x14ac:dyDescent="0.25">
      <c r="B40" s="22" t="s">
        <v>65</v>
      </c>
      <c r="C40" s="22" t="s">
        <v>66</v>
      </c>
      <c r="D40" s="49">
        <v>-43.592328000000002</v>
      </c>
      <c r="E40" s="49">
        <v>170.14148700000001</v>
      </c>
      <c r="F40" s="5">
        <v>3755</v>
      </c>
      <c r="G40" s="5">
        <v>3755</v>
      </c>
      <c r="H40" s="22" t="s">
        <v>121</v>
      </c>
      <c r="I40" s="43" t="s">
        <v>122</v>
      </c>
      <c r="J40" s="22" t="s">
        <v>162</v>
      </c>
    </row>
    <row r="41" spans="2:10" x14ac:dyDescent="0.25">
      <c r="B41" s="39" t="s">
        <v>67</v>
      </c>
      <c r="C41" s="39" t="s">
        <v>68</v>
      </c>
      <c r="D41" s="50">
        <v>31.066600000000001</v>
      </c>
      <c r="E41" s="50">
        <v>-7.9133300000000002</v>
      </c>
      <c r="F41" s="35">
        <v>4167</v>
      </c>
      <c r="G41" s="35">
        <v>3755</v>
      </c>
      <c r="H41" s="39" t="s">
        <v>199</v>
      </c>
      <c r="I41" s="44" t="s">
        <v>219</v>
      </c>
      <c r="J41" s="39" t="s">
        <v>163</v>
      </c>
    </row>
    <row r="42" spans="2:10" x14ac:dyDescent="0.25">
      <c r="B42" s="22" t="s">
        <v>69</v>
      </c>
      <c r="C42" s="22" t="s">
        <v>70</v>
      </c>
      <c r="D42" s="49">
        <v>9.4833300000000005</v>
      </c>
      <c r="E42" s="49">
        <v>-83.513329999999996</v>
      </c>
      <c r="F42" s="5">
        <v>3820</v>
      </c>
      <c r="G42" s="5">
        <v>3727</v>
      </c>
      <c r="H42" s="22" t="s">
        <v>221</v>
      </c>
      <c r="I42" s="43" t="s">
        <v>221</v>
      </c>
      <c r="J42" s="22" t="s">
        <v>164</v>
      </c>
    </row>
    <row r="43" spans="2:10" x14ac:dyDescent="0.25">
      <c r="B43" s="39" t="s">
        <v>71</v>
      </c>
      <c r="C43" s="39" t="s">
        <v>19</v>
      </c>
      <c r="D43" s="50">
        <v>-8.4159989999999993</v>
      </c>
      <c r="E43" s="50">
        <v>116.462631</v>
      </c>
      <c r="F43" s="35">
        <v>3726</v>
      </c>
      <c r="G43" s="35">
        <v>3726</v>
      </c>
      <c r="H43" s="39" t="s">
        <v>221</v>
      </c>
      <c r="I43" s="44" t="s">
        <v>221</v>
      </c>
      <c r="J43" s="39" t="s">
        <v>165</v>
      </c>
    </row>
    <row r="44" spans="2:10" x14ac:dyDescent="0.25">
      <c r="B44" s="22" t="s">
        <v>72</v>
      </c>
      <c r="C44" s="22" t="s">
        <v>73</v>
      </c>
      <c r="D44" s="49">
        <v>28.272335000000002</v>
      </c>
      <c r="E44" s="49">
        <v>-16.642399000000001</v>
      </c>
      <c r="F44" s="5">
        <v>3718</v>
      </c>
      <c r="G44" s="5">
        <v>3718</v>
      </c>
      <c r="H44" s="19" t="s">
        <v>179</v>
      </c>
      <c r="I44" s="43" t="s">
        <v>180</v>
      </c>
      <c r="J44" s="22" t="s">
        <v>166</v>
      </c>
    </row>
    <row r="45" spans="2:10" x14ac:dyDescent="0.25">
      <c r="B45" s="39" t="s">
        <v>74</v>
      </c>
      <c r="C45" s="39" t="s">
        <v>75</v>
      </c>
      <c r="D45" s="50">
        <v>-46.6</v>
      </c>
      <c r="E45" s="50">
        <v>-73.333299999999994</v>
      </c>
      <c r="F45" s="35">
        <v>4058</v>
      </c>
      <c r="G45" s="35">
        <v>3696</v>
      </c>
      <c r="H45" s="39" t="s">
        <v>221</v>
      </c>
      <c r="I45" s="44" t="s">
        <v>221</v>
      </c>
      <c r="J45" s="39" t="s">
        <v>167</v>
      </c>
    </row>
    <row r="46" spans="2:10" x14ac:dyDescent="0.25">
      <c r="B46" s="22" t="s">
        <v>76</v>
      </c>
      <c r="C46" s="22" t="s">
        <v>77</v>
      </c>
      <c r="D46" s="49">
        <v>68.913330000000002</v>
      </c>
      <c r="E46" s="49">
        <v>-29.9</v>
      </c>
      <c r="F46" s="5">
        <v>3694</v>
      </c>
      <c r="G46" s="5">
        <v>3694</v>
      </c>
      <c r="H46" s="22" t="s">
        <v>186</v>
      </c>
      <c r="I46" s="43" t="s">
        <v>116</v>
      </c>
      <c r="J46" s="22" t="s">
        <v>168</v>
      </c>
    </row>
    <row r="47" spans="2:10" x14ac:dyDescent="0.25">
      <c r="B47" s="39" t="s">
        <v>78</v>
      </c>
      <c r="C47" s="39" t="s">
        <v>79</v>
      </c>
      <c r="D47" s="50">
        <v>-27.118424000000001</v>
      </c>
      <c r="E47" s="50">
        <v>-68.530311999999995</v>
      </c>
      <c r="F47" s="35">
        <v>6893</v>
      </c>
      <c r="G47" s="35">
        <v>3688</v>
      </c>
      <c r="H47" s="39" t="s">
        <v>114</v>
      </c>
      <c r="I47" s="44" t="s">
        <v>220</v>
      </c>
      <c r="J47" s="39" t="s">
        <v>169</v>
      </c>
    </row>
    <row r="48" spans="2:10" x14ac:dyDescent="0.25">
      <c r="B48" s="22" t="s">
        <v>80</v>
      </c>
      <c r="C48" s="22" t="s">
        <v>19</v>
      </c>
      <c r="D48" s="49">
        <v>-8.1105560000000008</v>
      </c>
      <c r="E48" s="49">
        <v>112.923317</v>
      </c>
      <c r="F48" s="5">
        <v>3676</v>
      </c>
      <c r="G48" s="5">
        <v>3676</v>
      </c>
      <c r="H48" s="22" t="s">
        <v>221</v>
      </c>
      <c r="I48" s="43" t="s">
        <v>221</v>
      </c>
      <c r="J48" s="22" t="s">
        <v>170</v>
      </c>
    </row>
    <row r="49" spans="2:10" x14ac:dyDescent="0.25">
      <c r="B49" s="39" t="s">
        <v>81</v>
      </c>
      <c r="C49" s="39" t="s">
        <v>82</v>
      </c>
      <c r="D49" s="50">
        <v>-5.95</v>
      </c>
      <c r="E49" s="50">
        <v>146.36666</v>
      </c>
      <c r="F49" s="35">
        <v>4125</v>
      </c>
      <c r="G49" s="35">
        <v>3675</v>
      </c>
      <c r="H49" s="39" t="s">
        <v>210</v>
      </c>
      <c r="I49" s="44" t="s">
        <v>211</v>
      </c>
      <c r="J49" s="39" t="s">
        <v>171</v>
      </c>
    </row>
    <row r="50" spans="2:10" x14ac:dyDescent="0.25">
      <c r="B50" s="22" t="s">
        <v>83</v>
      </c>
      <c r="C50" s="22" t="s">
        <v>11</v>
      </c>
      <c r="D50" s="49">
        <v>6.3733060000000004</v>
      </c>
      <c r="E50" s="49">
        <v>-72.298278999999994</v>
      </c>
      <c r="F50" s="5">
        <v>5410</v>
      </c>
      <c r="G50" s="5">
        <v>3645</v>
      </c>
      <c r="H50" s="22" t="s">
        <v>221</v>
      </c>
      <c r="I50" s="43" t="s">
        <v>221</v>
      </c>
      <c r="J50" s="22" t="s">
        <v>172</v>
      </c>
    </row>
    <row r="51" spans="2:10" x14ac:dyDescent="0.25">
      <c r="B51" s="39" t="s">
        <v>84</v>
      </c>
      <c r="C51" s="39" t="s">
        <v>35</v>
      </c>
      <c r="D51" s="50">
        <v>29.6</v>
      </c>
      <c r="E51" s="50">
        <v>101.88333</v>
      </c>
      <c r="F51" s="35">
        <v>7556</v>
      </c>
      <c r="G51" s="35">
        <v>3642</v>
      </c>
      <c r="H51" s="39" t="s">
        <v>181</v>
      </c>
      <c r="I51" s="44" t="s">
        <v>182</v>
      </c>
      <c r="J51" s="39" t="s">
        <v>173</v>
      </c>
    </row>
    <row r="52" spans="2:10" x14ac:dyDescent="0.25">
      <c r="B52" s="22" t="s">
        <v>85</v>
      </c>
      <c r="C52" s="22" t="s">
        <v>86</v>
      </c>
      <c r="D52" s="49">
        <v>39.708243000000003</v>
      </c>
      <c r="E52" s="49">
        <v>44.290008999999998</v>
      </c>
      <c r="F52" s="5">
        <v>5137</v>
      </c>
      <c r="G52" s="5">
        <v>3611</v>
      </c>
      <c r="H52" s="22" t="s">
        <v>123</v>
      </c>
      <c r="I52" s="43" t="s">
        <v>124</v>
      </c>
      <c r="J52" s="22" t="s">
        <v>174</v>
      </c>
    </row>
    <row r="53" spans="2:10" x14ac:dyDescent="0.25">
      <c r="B53" s="39" t="s">
        <v>87</v>
      </c>
      <c r="C53" s="39" t="s">
        <v>35</v>
      </c>
      <c r="D53" s="50">
        <v>38.588966999999997</v>
      </c>
      <c r="E53" s="50">
        <v>75.297545999999997</v>
      </c>
      <c r="F53" s="35">
        <v>7649</v>
      </c>
      <c r="G53" s="35">
        <v>3585</v>
      </c>
      <c r="H53" s="39" t="s">
        <v>187</v>
      </c>
      <c r="I53" s="44" t="s">
        <v>188</v>
      </c>
      <c r="J53" s="39" t="s">
        <v>175</v>
      </c>
    </row>
    <row r="54" spans="2:10" x14ac:dyDescent="0.25">
      <c r="B54" s="23" t="s">
        <v>88</v>
      </c>
      <c r="C54" s="23" t="s">
        <v>7</v>
      </c>
      <c r="D54" s="51">
        <v>61.732216999999999</v>
      </c>
      <c r="E54" s="51">
        <v>-143.42599899999999</v>
      </c>
      <c r="F54" s="6">
        <v>4996</v>
      </c>
      <c r="G54" s="6">
        <v>3535</v>
      </c>
      <c r="H54" s="23" t="s">
        <v>125</v>
      </c>
      <c r="I54" s="46" t="s">
        <v>126</v>
      </c>
      <c r="J54" s="23" t="s">
        <v>176</v>
      </c>
    </row>
  </sheetData>
  <phoneticPr fontId="4" type="noConversion"/>
  <pageMargins left="0.19685039370078741" right="0.19685039370078741" top="0.39370078740157483" bottom="0.39370078740157483" header="0.19685039370078741" footer="0.19685039370078741"/>
  <pageSetup paperSize="9" scale="5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B2:R78"/>
  <sheetViews>
    <sheetView showGridLines="0" zoomScale="85" zoomScaleNormal="85" workbookViewId="0"/>
  </sheetViews>
  <sheetFormatPr defaultColWidth="10.7109375" defaultRowHeight="12.75" x14ac:dyDescent="0.25"/>
  <cols>
    <col min="1" max="1" width="1.7109375" style="19" customWidth="1"/>
    <col min="2" max="6" width="15.7109375" style="19" customWidth="1"/>
    <col min="7" max="7" width="35.7109375" style="19" customWidth="1"/>
    <col min="8" max="8" width="20.7109375" style="19" customWidth="1"/>
    <col min="9" max="10" width="18.7109375" style="19" customWidth="1"/>
    <col min="11" max="11" width="72.7109375" style="19" customWidth="1"/>
    <col min="12" max="12" width="8.7109375" style="19" customWidth="1"/>
    <col min="13" max="16" width="18.7109375" style="19" customWidth="1"/>
    <col min="17" max="17" width="1.7109375" style="19" customWidth="1"/>
    <col min="18" max="18" width="146.7109375" style="19" customWidth="1"/>
    <col min="19" max="19" width="1.7109375" style="19" customWidth="1"/>
    <col min="20" max="16384" width="10.7109375" style="19"/>
  </cols>
  <sheetData>
    <row r="2" spans="2:18" s="3" customFormat="1" ht="30" customHeight="1" thickBot="1" x14ac:dyDescent="0.3">
      <c r="B2" s="1" t="s">
        <v>231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5">
      <c r="I3" s="3"/>
    </row>
    <row r="4" spans="2:18" ht="20.100000000000001" customHeight="1" thickBot="1" x14ac:dyDescent="0.3">
      <c r="B4" s="26" t="s">
        <v>232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6" spans="2:18" x14ac:dyDescent="0.25">
      <c r="B6" s="19" t="s">
        <v>235</v>
      </c>
      <c r="D6" s="29">
        <v>2</v>
      </c>
    </row>
    <row r="7" spans="2:18" x14ac:dyDescent="0.25">
      <c r="B7" s="19" t="s">
        <v>237</v>
      </c>
      <c r="D7" s="29">
        <v>14</v>
      </c>
    </row>
    <row r="8" spans="2:18" x14ac:dyDescent="0.25">
      <c r="B8" s="19" t="s">
        <v>238</v>
      </c>
      <c r="D8" s="29">
        <v>18</v>
      </c>
    </row>
    <row r="9" spans="2:18" x14ac:dyDescent="0.25">
      <c r="B9" s="19" t="s">
        <v>239</v>
      </c>
      <c r="D9" s="29">
        <v>17</v>
      </c>
    </row>
    <row r="10" spans="2:18" x14ac:dyDescent="0.25">
      <c r="B10" s="19" t="s">
        <v>236</v>
      </c>
      <c r="D10" s="19" t="str">
        <f>INDEX(Data!$J$5:$J$54,$D$9,1)</f>
        <v>http://maps.google.com/maps?ll=-1.467544,-78.816090&amp;spn=.242907,.297781&amp;t=k&amp;hl=en&amp;output=embed</v>
      </c>
    </row>
    <row r="12" spans="2:18" ht="20.100000000000001" customHeight="1" thickBot="1" x14ac:dyDescent="0.3">
      <c r="B12" s="26" t="s">
        <v>233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4" spans="2:18" x14ac:dyDescent="0.25">
      <c r="B14" s="20" t="s">
        <v>226</v>
      </c>
      <c r="C14" s="20" t="s">
        <v>227</v>
      </c>
      <c r="D14" s="20" t="s">
        <v>228</v>
      </c>
      <c r="E14" s="20" t="s">
        <v>229</v>
      </c>
      <c r="F14" s="20" t="s">
        <v>230</v>
      </c>
      <c r="G14" s="20" t="s">
        <v>0</v>
      </c>
      <c r="H14" s="20" t="s">
        <v>1</v>
      </c>
      <c r="I14" s="20" t="s">
        <v>89</v>
      </c>
      <c r="J14" s="20" t="s">
        <v>90</v>
      </c>
      <c r="K14" s="20" t="s">
        <v>223</v>
      </c>
      <c r="L14" s="21" t="s">
        <v>212</v>
      </c>
      <c r="M14" s="24" t="s">
        <v>246</v>
      </c>
      <c r="N14" s="24" t="s">
        <v>247</v>
      </c>
      <c r="O14" s="4" t="s">
        <v>248</v>
      </c>
      <c r="P14" s="4" t="s">
        <v>249</v>
      </c>
      <c r="R14" s="20" t="s">
        <v>250</v>
      </c>
    </row>
    <row r="15" spans="2:18" ht="12.75" customHeight="1" x14ac:dyDescent="0.25">
      <c r="B15" s="34">
        <v>1</v>
      </c>
      <c r="C15" s="34">
        <f ca="1">OFFSET(Data!E5,0,$D$6)</f>
        <v>8848</v>
      </c>
      <c r="D15" s="36">
        <f ca="1">C15+B15/1000000</f>
        <v>8848.0000010000003</v>
      </c>
      <c r="E15" s="36">
        <f ca="1">LARGE($D$15:$D$64,B15)</f>
        <v>8848.0000010000003</v>
      </c>
      <c r="F15" s="34">
        <f ca="1">MATCH(E15,$D$15:$D$64,0)</f>
        <v>1</v>
      </c>
      <c r="G15" s="37" t="str">
        <f ca="1">INDEX(Data!B$5:B$54,$F15,1)</f>
        <v>Mt. Everest</v>
      </c>
      <c r="H15" s="37" t="str">
        <f ca="1">INDEX(Data!C$5:C$54,$F15,1)</f>
        <v>Nepal/Tibet</v>
      </c>
      <c r="I15" s="34">
        <f ca="1">INDEX(Data!F$5:F$54,$F15,1)</f>
        <v>8848</v>
      </c>
      <c r="J15" s="34">
        <f ca="1">INDEX(Data!G$5:G$54,$F15,1)</f>
        <v>8848</v>
      </c>
      <c r="K15" s="37" t="str">
        <f ca="1">INDEX(Data!H$5:H$54,$F15,1)</f>
        <v>Edmund Hillary, Tenzing Norgay</v>
      </c>
      <c r="L15" s="37" t="str">
        <f ca="1">INDEX(Data!I$5:I$54,$F15,1)</f>
        <v>1953</v>
      </c>
      <c r="M15" s="48">
        <v>25.2</v>
      </c>
      <c r="N15" s="48">
        <v>85.4</v>
      </c>
      <c r="O15" s="60" t="e">
        <f ca="1">IF($F15=myRawDataPosition,INDEX(M$15:M$64,$F15,1),NA())</f>
        <v>#N/A</v>
      </c>
      <c r="P15" s="60" t="e">
        <f ca="1">IF($F15=myRawDataPosition,INDEX(N$15:N$64,$F15,1),NA())</f>
        <v>#N/A</v>
      </c>
      <c r="R15" s="37" t="str">
        <f>Data!B5&amp;", ("&amp;Data!C5&amp;")"&amp;CHAR(10)&amp;
"Elevation: "&amp;TEXT(Data!F5,"#.###")&amp;" m"&amp;CHAR(10)&amp;
"Prominence: "&amp;TEXT(Data!G5,"#.###")&amp;" m"&amp;CHAR(10)&amp;
"First ascent by: "&amp;Data!H5&amp;" ("&amp;Data!I5&amp;")"</f>
        <v>Mt. Everest, (Nepal/Tibet)
Elevation: 8848. m
Prominence: 8848. m
First ascent by: Edmund Hillary, Tenzing Norgay (1953)</v>
      </c>
    </row>
    <row r="16" spans="2:18" ht="12.75" customHeight="1" x14ac:dyDescent="0.25">
      <c r="B16" s="5">
        <v>2</v>
      </c>
      <c r="C16" s="5">
        <f ca="1">OFFSET(Data!E6,0,$D$6)</f>
        <v>6962</v>
      </c>
      <c r="D16" s="27">
        <f t="shared" ref="D16:D64" ca="1" si="0">C16+B16/1000000</f>
        <v>6962.0000019999998</v>
      </c>
      <c r="E16" s="27">
        <f t="shared" ref="E16:E64" ca="1" si="1">LARGE($D$15:$D$64,B16)</f>
        <v>6962.0000019999998</v>
      </c>
      <c r="F16" s="5">
        <f t="shared" ref="F16:F64" ca="1" si="2">MATCH(E16,$D$15:$D$64,0)</f>
        <v>2</v>
      </c>
      <c r="G16" s="22" t="str">
        <f ca="1">INDEX(Data!B$5:B$54,$F16,1)</f>
        <v>Aconcagua</v>
      </c>
      <c r="H16" s="22" t="str">
        <f ca="1">INDEX(Data!C$5:C$54,$F16,1)</f>
        <v>Argentina</v>
      </c>
      <c r="I16" s="5">
        <f ca="1">INDEX(Data!F$5:F$54,$F16,1)</f>
        <v>6962</v>
      </c>
      <c r="J16" s="5">
        <f ca="1">INDEX(Data!G$5:G$54,$F16,1)</f>
        <v>6962</v>
      </c>
      <c r="K16" s="22" t="str">
        <f ca="1">INDEX(Data!H$5:H$54,$F16,1)</f>
        <v>Matthias Zurbriggen</v>
      </c>
      <c r="L16" s="22" t="str">
        <f ca="1">INDEX(Data!I$5:I$54,$F16,1)</f>
        <v>1897</v>
      </c>
      <c r="M16" s="49">
        <v>-16</v>
      </c>
      <c r="N16" s="49">
        <v>-68.8</v>
      </c>
      <c r="O16" s="61" t="e">
        <f ca="1">IF($F16=myRawDataPosition,INDEX(Calculations!M$15:M$64,$F16,1),NA())</f>
        <v>#N/A</v>
      </c>
      <c r="P16" s="61" t="e">
        <f ca="1">IF($F16=myRawDataPosition,INDEX(Calculations!N$15:N$64,$F16,1),NA())</f>
        <v>#N/A</v>
      </c>
      <c r="R16" s="22" t="str">
        <f>Data!B6&amp;", ("&amp;Data!C6&amp;")"&amp;CHAR(10)&amp;
"Elevation: "&amp;TEXT(Data!F6,"#.###")&amp;" m"&amp;CHAR(10)&amp;
"Prominence: "&amp;TEXT(Data!G6,"#.###")&amp;" m"&amp;CHAR(10)&amp;
"First ascent by: "&amp;Data!H6&amp;" ("&amp;Data!I6&amp;")"</f>
        <v>Aconcagua, (Argentina)
Elevation: 6962. m
Prominence: 6962. m
First ascent by: Matthias Zurbriggen (1897)</v>
      </c>
    </row>
    <row r="17" spans="2:18" ht="12.75" customHeight="1" x14ac:dyDescent="0.25">
      <c r="B17" s="35">
        <v>3</v>
      </c>
      <c r="C17" s="35">
        <f ca="1">OFFSET(Data!E7,0,$D$6)</f>
        <v>6138</v>
      </c>
      <c r="D17" s="38">
        <f t="shared" ca="1" si="0"/>
        <v>6138.0000030000001</v>
      </c>
      <c r="E17" s="38">
        <f t="shared" ca="1" si="1"/>
        <v>6138.0000030000001</v>
      </c>
      <c r="F17" s="35">
        <f t="shared" ca="1" si="2"/>
        <v>3</v>
      </c>
      <c r="G17" s="39" t="str">
        <f ca="1">INDEX(Data!B$5:B$54,$F17,1)</f>
        <v>Mt. McKinley (Denali)</v>
      </c>
      <c r="H17" s="39" t="str">
        <f ca="1">INDEX(Data!C$5:C$54,$F17,1)</f>
        <v>US</v>
      </c>
      <c r="I17" s="35">
        <f ca="1">INDEX(Data!F$5:F$54,$F17,1)</f>
        <v>6194</v>
      </c>
      <c r="J17" s="35">
        <f ca="1">INDEX(Data!G$5:G$54,$F17,1)</f>
        <v>6138</v>
      </c>
      <c r="K17" s="39" t="str">
        <f ca="1">INDEX(Data!H$5:H$54,$F17,1)</f>
        <v>Hudson Stuck</v>
      </c>
      <c r="L17" s="39" t="str">
        <f ca="1">INDEX(Data!I$5:I$54,$F17,1)</f>
        <v>1913</v>
      </c>
      <c r="M17" s="50">
        <v>59.3</v>
      </c>
      <c r="N17" s="50">
        <v>-148.9</v>
      </c>
      <c r="O17" s="62" t="e">
        <f ca="1">IF($F17=myRawDataPosition,INDEX(Calculations!M$15:M$64,$F17,1),NA())</f>
        <v>#N/A</v>
      </c>
      <c r="P17" s="62" t="e">
        <f ca="1">IF($F17=myRawDataPosition,INDEX(Calculations!N$15:N$64,$F17,1),NA())</f>
        <v>#N/A</v>
      </c>
      <c r="R17" s="39" t="str">
        <f>Data!B7&amp;", ("&amp;Data!C7&amp;")"&amp;CHAR(10)&amp;
"Elevation: "&amp;TEXT(Data!F7,"#.###")&amp;" m"&amp;CHAR(10)&amp;
"Prominence: "&amp;TEXT(Data!G7,"#.###")&amp;" m"&amp;CHAR(10)&amp;
"First ascent by: "&amp;Data!H7&amp;" ("&amp;Data!I7&amp;")"</f>
        <v>Mt. McKinley (Denali), (US)
Elevation: 6194. m
Prominence: 6138. m
First ascent by: Hudson Stuck (1913)</v>
      </c>
    </row>
    <row r="18" spans="2:18" ht="12.75" customHeight="1" x14ac:dyDescent="0.25">
      <c r="B18" s="5">
        <v>4</v>
      </c>
      <c r="C18" s="5">
        <f ca="1">OFFSET(Data!E8,0,$D$6)</f>
        <v>5885</v>
      </c>
      <c r="D18" s="27">
        <f t="shared" ca="1" si="0"/>
        <v>5885.0000040000004</v>
      </c>
      <c r="E18" s="27">
        <f t="shared" ca="1" si="1"/>
        <v>5885.0000040000004</v>
      </c>
      <c r="F18" s="5">
        <f t="shared" ca="1" si="2"/>
        <v>4</v>
      </c>
      <c r="G18" s="22" t="str">
        <f ca="1">INDEX(Data!B$5:B$54,$F18,1)</f>
        <v>Kilimanjaro</v>
      </c>
      <c r="H18" s="22" t="str">
        <f ca="1">INDEX(Data!C$5:C$54,$F18,1)</f>
        <v>Tanzania</v>
      </c>
      <c r="I18" s="5">
        <f ca="1">INDEX(Data!F$5:F$54,$F18,1)</f>
        <v>5895</v>
      </c>
      <c r="J18" s="5">
        <f ca="1">INDEX(Data!G$5:G$54,$F18,1)</f>
        <v>5885</v>
      </c>
      <c r="K18" s="22" t="str">
        <f ca="1">INDEX(Data!H$5:H$54,$F18,1)</f>
        <v>Hans Meyer, Ludwig Purtscheller, Yohani Kinyala Lauwo</v>
      </c>
      <c r="L18" s="22" t="str">
        <f ca="1">INDEX(Data!I$5:I$54,$F18,1)</f>
        <v>1889</v>
      </c>
      <c r="M18" s="49">
        <v>4.3000000000000114</v>
      </c>
      <c r="N18" s="49">
        <v>37.4</v>
      </c>
      <c r="O18" s="61" t="e">
        <f ca="1">IF($F18=myRawDataPosition,INDEX(Calculations!M$15:M$64,$F18,1),NA())</f>
        <v>#N/A</v>
      </c>
      <c r="P18" s="61" t="e">
        <f ca="1">IF($F18=myRawDataPosition,INDEX(Calculations!N$15:N$64,$F18,1),NA())</f>
        <v>#N/A</v>
      </c>
      <c r="R18" s="22" t="str">
        <f>Data!B8&amp;", ("&amp;Data!C8&amp;")"&amp;CHAR(10)&amp;
"Elevation: "&amp;TEXT(Data!F8,"#.###")&amp;" m"&amp;CHAR(10)&amp;
"Prominence: "&amp;TEXT(Data!G8,"#.###")&amp;" m"&amp;CHAR(10)&amp;
"First ascent by: "&amp;Data!H8&amp;" ("&amp;Data!I8&amp;")"</f>
        <v>Kilimanjaro, (Tanzania)
Elevation: 5895. m
Prominence: 5885. m
First ascent by: Hans Meyer, Ludwig Purtscheller, Yohani Kinyala Lauwo (1889)</v>
      </c>
    </row>
    <row r="19" spans="2:18" ht="12.75" customHeight="1" x14ac:dyDescent="0.25">
      <c r="B19" s="35">
        <v>5</v>
      </c>
      <c r="C19" s="35">
        <f ca="1">OFFSET(Data!E9,0,$D$6)</f>
        <v>5509</v>
      </c>
      <c r="D19" s="38">
        <f t="shared" ca="1" si="0"/>
        <v>5509.0000049999999</v>
      </c>
      <c r="E19" s="38">
        <f t="shared" ca="1" si="1"/>
        <v>5509.0000049999999</v>
      </c>
      <c r="F19" s="35">
        <f t="shared" ca="1" si="2"/>
        <v>5</v>
      </c>
      <c r="G19" s="39" t="str">
        <f ca="1">INDEX(Data!B$5:B$54,$F19,1)</f>
        <v>Cristobal Colon</v>
      </c>
      <c r="H19" s="39" t="str">
        <f ca="1">INDEX(Data!C$5:C$54,$F19,1)</f>
        <v>Colombia</v>
      </c>
      <c r="I19" s="35">
        <f ca="1">INDEX(Data!F$5:F$54,$F19,1)</f>
        <v>5700</v>
      </c>
      <c r="J19" s="35">
        <f ca="1">INDEX(Data!G$5:G$54,$F19,1)</f>
        <v>5509</v>
      </c>
      <c r="K19" s="39" t="str">
        <f ca="1">INDEX(Data!H$5:H$54,$F19,1)</f>
        <v>-</v>
      </c>
      <c r="L19" s="39" t="str">
        <f ca="1">INDEX(Data!I$5:I$54,$F19,1)</f>
        <v>-</v>
      </c>
      <c r="M19" s="50">
        <v>13.3</v>
      </c>
      <c r="N19" s="50">
        <v>-72.5</v>
      </c>
      <c r="O19" s="62" t="e">
        <f ca="1">IF($F19=myRawDataPosition,INDEX(Calculations!M$15:M$64,$F19,1),NA())</f>
        <v>#N/A</v>
      </c>
      <c r="P19" s="62" t="e">
        <f ca="1">IF($F19=myRawDataPosition,INDEX(Calculations!N$15:N$64,$F19,1),NA())</f>
        <v>#N/A</v>
      </c>
      <c r="R19" s="39" t="str">
        <f>Data!B9&amp;", ("&amp;Data!C9&amp;")"&amp;CHAR(10)&amp;
"Elevation: "&amp;TEXT(Data!F9,"#.###")&amp;" m"&amp;CHAR(10)&amp;
"Prominence: "&amp;TEXT(Data!G9,"#.###")&amp;" m"&amp;CHAR(10)&amp;
"First ascent by: "&amp;Data!H9&amp;" ("&amp;Data!I9&amp;")"</f>
        <v>Cristobal Colon, (Colombia)
Elevation: 5700. m
Prominence: 5509. m
First ascent by: - (-)</v>
      </c>
    </row>
    <row r="20" spans="2:18" ht="12.75" customHeight="1" x14ac:dyDescent="0.25">
      <c r="B20" s="5">
        <v>6</v>
      </c>
      <c r="C20" s="5">
        <f ca="1">OFFSET(Data!E10,0,$D$6)</f>
        <v>5250</v>
      </c>
      <c r="D20" s="27">
        <f t="shared" ca="1" si="0"/>
        <v>5250.0000060000002</v>
      </c>
      <c r="E20" s="27">
        <f t="shared" ca="1" si="1"/>
        <v>5250.0000060000002</v>
      </c>
      <c r="F20" s="5">
        <f t="shared" ca="1" si="2"/>
        <v>6</v>
      </c>
      <c r="G20" s="22" t="str">
        <f ca="1">INDEX(Data!B$5:B$54,$F20,1)</f>
        <v>Mt. Logan</v>
      </c>
      <c r="H20" s="22" t="str">
        <f ca="1">INDEX(Data!C$5:C$54,$F20,1)</f>
        <v>Canada</v>
      </c>
      <c r="I20" s="5">
        <f ca="1">INDEX(Data!F$5:F$54,$F20,1)</f>
        <v>5959</v>
      </c>
      <c r="J20" s="5">
        <f ca="1">INDEX(Data!G$5:G$54,$F20,1)</f>
        <v>5250</v>
      </c>
      <c r="K20" s="22" t="str">
        <f ca="1">INDEX(Data!H$5:H$54,$F20,1)</f>
        <v>Albert H. MacCarthy, W. W. Foster</v>
      </c>
      <c r="L20" s="22" t="str">
        <f ca="1">INDEX(Data!I$5:I$54,$F20,1)</f>
        <v>1925</v>
      </c>
      <c r="M20" s="49">
        <v>55.9</v>
      </c>
      <c r="N20" s="49">
        <v>-138.30000000000001</v>
      </c>
      <c r="O20" s="61" t="e">
        <f ca="1">IF($F20=myRawDataPosition,INDEX(Calculations!M$15:M$64,$F20,1),NA())</f>
        <v>#N/A</v>
      </c>
      <c r="P20" s="61" t="e">
        <f ca="1">IF($F20=myRawDataPosition,INDEX(Calculations!N$15:N$64,$F20,1),NA())</f>
        <v>#N/A</v>
      </c>
      <c r="R20" s="22" t="str">
        <f>Data!B10&amp;", ("&amp;Data!C10&amp;")"&amp;CHAR(10)&amp;
"Elevation: "&amp;TEXT(Data!F10,"#.###")&amp;" m"&amp;CHAR(10)&amp;
"Prominence: "&amp;TEXT(Data!G10,"#.###")&amp;" m"&amp;CHAR(10)&amp;
"First ascent by: "&amp;Data!H10&amp;" ("&amp;Data!I10&amp;")"</f>
        <v>Mt. Logan, (Canada)
Elevation: 5959. m
Prominence: 5250. m
First ascent by: Albert H. MacCarthy, W. W. Foster (1925)</v>
      </c>
    </row>
    <row r="21" spans="2:18" ht="12.75" customHeight="1" x14ac:dyDescent="0.25">
      <c r="B21" s="35">
        <v>7</v>
      </c>
      <c r="C21" s="35">
        <f ca="1">OFFSET(Data!E11,0,$D$6)</f>
        <v>4922</v>
      </c>
      <c r="D21" s="38">
        <f t="shared" ca="1" si="0"/>
        <v>4922.0000069999996</v>
      </c>
      <c r="E21" s="38">
        <f t="shared" ca="1" si="1"/>
        <v>4922.0000069999996</v>
      </c>
      <c r="F21" s="35">
        <f t="shared" ca="1" si="2"/>
        <v>7</v>
      </c>
      <c r="G21" s="39" t="str">
        <f ca="1">INDEX(Data!B$5:B$54,$F21,1)</f>
        <v>Pico de Orizaba (Citlaltepetl)</v>
      </c>
      <c r="H21" s="39" t="str">
        <f ca="1">INDEX(Data!C$5:C$54,$F21,1)</f>
        <v>Mexico</v>
      </c>
      <c r="I21" s="35">
        <f ca="1">INDEX(Data!F$5:F$54,$F21,1)</f>
        <v>5636</v>
      </c>
      <c r="J21" s="35">
        <f ca="1">INDEX(Data!G$5:G$54,$F21,1)</f>
        <v>4922</v>
      </c>
      <c r="K21" s="39" t="str">
        <f ca="1">INDEX(Data!H$5:H$54,$F21,1)</f>
        <v>F. Maynard, G. Reynolds</v>
      </c>
      <c r="L21" s="39" t="str">
        <f ca="1">INDEX(Data!I$5:I$54,$F21,1)</f>
        <v>1848</v>
      </c>
      <c r="M21" s="50">
        <v>18.7</v>
      </c>
      <c r="N21" s="50">
        <v>-95.7</v>
      </c>
      <c r="O21" s="62" t="e">
        <f ca="1">IF($F21=myRawDataPosition,INDEX(Calculations!M$15:M$64,$F21,1),NA())</f>
        <v>#N/A</v>
      </c>
      <c r="P21" s="62" t="e">
        <f ca="1">IF($F21=myRawDataPosition,INDEX(Calculations!N$15:N$64,$F21,1),NA())</f>
        <v>#N/A</v>
      </c>
      <c r="R21" s="39" t="str">
        <f>Data!B11&amp;", ("&amp;Data!C11&amp;")"&amp;CHAR(10)&amp;
"Elevation: "&amp;TEXT(Data!F11,"#.###")&amp;" m"&amp;CHAR(10)&amp;
"Prominence: "&amp;TEXT(Data!G11,"#.###")&amp;" m"&amp;CHAR(10)&amp;
"First ascent by: "&amp;Data!H11&amp;" ("&amp;Data!I11&amp;")"</f>
        <v>Pico de Orizaba (Citlaltepetl), (Mexico)
Elevation: 5636. m
Prominence: 4922. m
First ascent by: F. Maynard, G. Reynolds (1848)</v>
      </c>
    </row>
    <row r="22" spans="2:18" ht="12.75" customHeight="1" x14ac:dyDescent="0.25">
      <c r="B22" s="5">
        <v>8</v>
      </c>
      <c r="C22" s="5">
        <f ca="1">OFFSET(Data!E12,0,$D$6)</f>
        <v>4892</v>
      </c>
      <c r="D22" s="27">
        <f t="shared" ca="1" si="0"/>
        <v>4892.000008</v>
      </c>
      <c r="E22" s="27">
        <f t="shared" ca="1" si="1"/>
        <v>4892.000008</v>
      </c>
      <c r="F22" s="5">
        <f t="shared" ca="1" si="2"/>
        <v>8</v>
      </c>
      <c r="G22" s="22" t="str">
        <f ca="1">INDEX(Data!B$5:B$54,$F22,1)</f>
        <v>Vinson Massif</v>
      </c>
      <c r="H22" s="22" t="str">
        <f ca="1">INDEX(Data!C$5:C$54,$F22,1)</f>
        <v>Antarctica</v>
      </c>
      <c r="I22" s="5">
        <f ca="1">INDEX(Data!F$5:F$54,$F22,1)</f>
        <v>4892</v>
      </c>
      <c r="J22" s="5">
        <f ca="1">INDEX(Data!G$5:G$54,$F22,1)</f>
        <v>4892</v>
      </c>
      <c r="K22" s="22" t="str">
        <f ca="1">INDEX(Data!H$5:H$54,$F22,1)</f>
        <v>Nicholas Clinch</v>
      </c>
      <c r="L22" s="22" t="str">
        <f ca="1">INDEX(Data!I$5:I$54,$F22,1)</f>
        <v>1966</v>
      </c>
      <c r="M22" s="49">
        <v>-78.510000000000005</v>
      </c>
      <c r="N22" s="49">
        <v>-84.6</v>
      </c>
      <c r="O22" s="61" t="e">
        <f ca="1">IF($F22=myRawDataPosition,INDEX(Calculations!M$15:M$64,$F22,1),NA())</f>
        <v>#N/A</v>
      </c>
      <c r="P22" s="61" t="e">
        <f ca="1">IF($F22=myRawDataPosition,INDEX(Calculations!N$15:N$64,$F22,1),NA())</f>
        <v>#N/A</v>
      </c>
      <c r="R22" s="22" t="str">
        <f>Data!B12&amp;", ("&amp;Data!C12&amp;")"&amp;CHAR(10)&amp;
"Elevation: "&amp;TEXT(Data!F12,"#.###")&amp;" m"&amp;CHAR(10)&amp;
"Prominence: "&amp;TEXT(Data!G12,"#.###")&amp;" m"&amp;CHAR(10)&amp;
"First ascent by: "&amp;Data!H12&amp;" ("&amp;Data!I12&amp;")"</f>
        <v>Vinson Massif, (Antarctica)
Elevation: 4892. m
Prominence: 4892. m
First ascent by: Nicholas Clinch (1966)</v>
      </c>
    </row>
    <row r="23" spans="2:18" ht="12.75" customHeight="1" x14ac:dyDescent="0.25">
      <c r="B23" s="35">
        <v>9</v>
      </c>
      <c r="C23" s="35">
        <f ca="1">OFFSET(Data!E13,0,$D$6)</f>
        <v>4884</v>
      </c>
      <c r="D23" s="38">
        <f t="shared" ca="1" si="0"/>
        <v>4884.0000090000003</v>
      </c>
      <c r="E23" s="38">
        <f t="shared" ca="1" si="1"/>
        <v>4884.0000090000003</v>
      </c>
      <c r="F23" s="35">
        <f t="shared" ca="1" si="2"/>
        <v>9</v>
      </c>
      <c r="G23" s="39" t="str">
        <f ca="1">INDEX(Data!B$5:B$54,$F23,1)</f>
        <v>Puncak Jaya</v>
      </c>
      <c r="H23" s="39" t="str">
        <f ca="1">INDEX(Data!C$5:C$54,$F23,1)</f>
        <v>Indonesia</v>
      </c>
      <c r="I23" s="35">
        <f ca="1">INDEX(Data!F$5:F$54,$F23,1)</f>
        <v>4884</v>
      </c>
      <c r="J23" s="35">
        <f ca="1">INDEX(Data!G$5:G$54,$F23,1)</f>
        <v>4884</v>
      </c>
      <c r="K23" s="39" t="str">
        <f ca="1">INDEX(Data!H$5:H$54,$F23,1)</f>
        <v>Heinrich Harrer et al.</v>
      </c>
      <c r="L23" s="39" t="str">
        <f ca="1">INDEX(Data!I$5:I$54,$F23,1)</f>
        <v>1962</v>
      </c>
      <c r="M23" s="50">
        <v>3.5</v>
      </c>
      <c r="N23" s="50">
        <v>136.30000000000001</v>
      </c>
      <c r="O23" s="62" t="e">
        <f ca="1">IF($F23=myRawDataPosition,INDEX(Calculations!M$15:M$64,$F23,1),NA())</f>
        <v>#N/A</v>
      </c>
      <c r="P23" s="62" t="e">
        <f ca="1">IF($F23=myRawDataPosition,INDEX(Calculations!N$15:N$64,$F23,1),NA())</f>
        <v>#N/A</v>
      </c>
      <c r="R23" s="39" t="str">
        <f>Data!B13&amp;", ("&amp;Data!C13&amp;")"&amp;CHAR(10)&amp;
"Elevation: "&amp;TEXT(Data!F13,"#.###")&amp;" m"&amp;CHAR(10)&amp;
"Prominence: "&amp;TEXT(Data!G13,"#.###")&amp;" m"&amp;CHAR(10)&amp;
"First ascent by: "&amp;Data!H13&amp;" ("&amp;Data!I13&amp;")"</f>
        <v>Puncak Jaya, (Indonesia)
Elevation: 4884. m
Prominence: 4884. m
First ascent by: Heinrich Harrer et al. (1962)</v>
      </c>
    </row>
    <row r="24" spans="2:18" ht="12.75" customHeight="1" x14ac:dyDescent="0.25">
      <c r="B24" s="5">
        <v>10</v>
      </c>
      <c r="C24" s="5">
        <f ca="1">OFFSET(Data!E14,0,$D$6)</f>
        <v>4741</v>
      </c>
      <c r="D24" s="27">
        <f t="shared" ca="1" si="0"/>
        <v>4741.0000099999997</v>
      </c>
      <c r="E24" s="27">
        <f t="shared" ca="1" si="1"/>
        <v>4741.0000099999997</v>
      </c>
      <c r="F24" s="5">
        <f t="shared" ca="1" si="2"/>
        <v>10</v>
      </c>
      <c r="G24" s="22" t="str">
        <f ca="1">INDEX(Data!B$5:B$54,$F24,1)</f>
        <v>Gora Elbrus</v>
      </c>
      <c r="H24" s="22" t="str">
        <f ca="1">INDEX(Data!C$5:C$54,$F24,1)</f>
        <v>Russia</v>
      </c>
      <c r="I24" s="5">
        <f ca="1">INDEX(Data!F$5:F$54,$F24,1)</f>
        <v>5642</v>
      </c>
      <c r="J24" s="5">
        <f ca="1">INDEX(Data!G$5:G$54,$F24,1)</f>
        <v>4741</v>
      </c>
      <c r="K24" s="22" t="str">
        <f ca="1">INDEX(Data!H$5:H$54,$F24,1)</f>
        <v>Florence Crauford Grove, Frederick Gardner, Horace Walker, Peter Knubel</v>
      </c>
      <c r="L24" s="22" t="str">
        <f ca="1">INDEX(Data!I$5:I$54,$F24,1)</f>
        <v>1874</v>
      </c>
      <c r="M24" s="49">
        <v>37.700000000000003</v>
      </c>
      <c r="N24" s="49">
        <v>42.3</v>
      </c>
      <c r="O24" s="61" t="e">
        <f ca="1">IF($F24=myRawDataPosition,INDEX(Calculations!M$15:M$64,$F24,1),NA())</f>
        <v>#N/A</v>
      </c>
      <c r="P24" s="61" t="e">
        <f ca="1">IF($F24=myRawDataPosition,INDEX(Calculations!N$15:N$64,$F24,1),NA())</f>
        <v>#N/A</v>
      </c>
      <c r="R24" s="22" t="str">
        <f>Data!B14&amp;", ("&amp;Data!C14&amp;")"&amp;CHAR(10)&amp;
"Elevation: "&amp;TEXT(Data!F14,"#.###")&amp;" m"&amp;CHAR(10)&amp;
"Prominence: "&amp;TEXT(Data!G14,"#.###")&amp;" m"&amp;CHAR(10)&amp;
"First ascent by: "&amp;Data!H14&amp;" ("&amp;Data!I14&amp;")"</f>
        <v>Gora Elbrus, (Russia)
Elevation: 5642. m
Prominence: 4741. m
First ascent by: Florence Crauford Grove, Frederick Gardner, Horace Walker, Peter Knubel (1874)</v>
      </c>
    </row>
    <row r="25" spans="2:18" ht="12.75" customHeight="1" x14ac:dyDescent="0.25">
      <c r="B25" s="35">
        <v>11</v>
      </c>
      <c r="C25" s="35">
        <f ca="1">OFFSET(Data!E15,0,$D$6)</f>
        <v>4696</v>
      </c>
      <c r="D25" s="38">
        <f t="shared" ca="1" si="0"/>
        <v>4696.0000110000001</v>
      </c>
      <c r="E25" s="38">
        <f t="shared" ca="1" si="1"/>
        <v>4696.0000110000001</v>
      </c>
      <c r="F25" s="35">
        <f t="shared" ca="1" si="2"/>
        <v>11</v>
      </c>
      <c r="G25" s="39" t="str">
        <f ca="1">INDEX(Data!B$5:B$54,$F25,1)</f>
        <v>Mont Blanc</v>
      </c>
      <c r="H25" s="39" t="str">
        <f ca="1">INDEX(Data!C$5:C$54,$F25,1)</f>
        <v>France/Italy</v>
      </c>
      <c r="I25" s="35">
        <f ca="1">INDEX(Data!F$5:F$54,$F25,1)</f>
        <v>4809</v>
      </c>
      <c r="J25" s="35">
        <f ca="1">INDEX(Data!G$5:G$54,$F25,1)</f>
        <v>4696</v>
      </c>
      <c r="K25" s="39" t="str">
        <f ca="1">INDEX(Data!H$5:H$54,$F25,1)</f>
        <v>Jacques Balmat, Michel-Gabriel Paccard</v>
      </c>
      <c r="L25" s="39" t="str">
        <f ca="1">INDEX(Data!I$5:I$54,$F25,1)</f>
        <v xml:space="preserve">1786 </v>
      </c>
      <c r="M25" s="50">
        <v>39.5</v>
      </c>
      <c r="N25" s="50">
        <v>6.8659999999999997</v>
      </c>
      <c r="O25" s="62" t="e">
        <f ca="1">IF($F25=myRawDataPosition,INDEX(Calculations!M$15:M$64,$F25,1),NA())</f>
        <v>#N/A</v>
      </c>
      <c r="P25" s="62" t="e">
        <f ca="1">IF($F25=myRawDataPosition,INDEX(Calculations!N$15:N$64,$F25,1),NA())</f>
        <v>#N/A</v>
      </c>
      <c r="R25" s="39" t="str">
        <f>Data!B15&amp;", ("&amp;Data!C15&amp;")"&amp;CHAR(10)&amp;
"Elevation: "&amp;TEXT(Data!F15,"#.###")&amp;" m"&amp;CHAR(10)&amp;
"Prominence: "&amp;TEXT(Data!G15,"#.###")&amp;" m"&amp;CHAR(10)&amp;
"First ascent by: "&amp;Data!H15&amp;" ("&amp;Data!I15&amp;")"</f>
        <v>Mont Blanc, (France/Italy)
Elevation: 4809. m
Prominence: 4696. m
First ascent by: Jacques Balmat, Michel-Gabriel Paccard (1786 )</v>
      </c>
    </row>
    <row r="26" spans="2:18" ht="12.75" customHeight="1" x14ac:dyDescent="0.25">
      <c r="B26" s="5">
        <v>12</v>
      </c>
      <c r="C26" s="5">
        <f ca="1">OFFSET(Data!E16,0,$D$6)</f>
        <v>4667</v>
      </c>
      <c r="D26" s="27">
        <f t="shared" ca="1" si="0"/>
        <v>4667.0000120000004</v>
      </c>
      <c r="E26" s="27">
        <f t="shared" ca="1" si="1"/>
        <v>4667.0000120000004</v>
      </c>
      <c r="F26" s="5">
        <f t="shared" ca="1" si="2"/>
        <v>12</v>
      </c>
      <c r="G26" s="22" t="str">
        <f ca="1">INDEX(Data!B$5:B$54,$F26,1)</f>
        <v>Damavand</v>
      </c>
      <c r="H26" s="22" t="str">
        <f ca="1">INDEX(Data!C$5:C$54,$F26,1)</f>
        <v>Iran</v>
      </c>
      <c r="I26" s="5">
        <f ca="1">INDEX(Data!F$5:F$54,$F26,1)</f>
        <v>5610</v>
      </c>
      <c r="J26" s="5">
        <f ca="1">INDEX(Data!G$5:G$54,$F26,1)</f>
        <v>4667</v>
      </c>
      <c r="K26" s="22" t="str">
        <f ca="1">INDEX(Data!H$5:H$54,$F26,1)</f>
        <v>Abu Dolaf Kazraji</v>
      </c>
      <c r="L26" s="22" t="str">
        <f ca="1">INDEX(Data!I$5:I$54,$F26,1)</f>
        <v>905</v>
      </c>
      <c r="M26" s="49">
        <v>31.1</v>
      </c>
      <c r="N26" s="49">
        <v>52</v>
      </c>
      <c r="O26" s="61" t="e">
        <f ca="1">IF($F26=myRawDataPosition,INDEX(Calculations!M$15:M$64,$F26,1),NA())</f>
        <v>#N/A</v>
      </c>
      <c r="P26" s="61" t="e">
        <f ca="1">IF($F26=myRawDataPosition,INDEX(Calculations!N$15:N$64,$F26,1),NA())</f>
        <v>#N/A</v>
      </c>
      <c r="R26" s="22" t="str">
        <f>Data!B16&amp;", ("&amp;Data!C16&amp;")"&amp;CHAR(10)&amp;
"Elevation: "&amp;TEXT(Data!F16,"#.###")&amp;" m"&amp;CHAR(10)&amp;
"Prominence: "&amp;TEXT(Data!G16,"#.###")&amp;" m"&amp;CHAR(10)&amp;
"First ascent by: "&amp;Data!H16&amp;" ("&amp;Data!I16&amp;")"</f>
        <v>Damavand, (Iran)
Elevation: 5610. m
Prominence: 4667. m
First ascent by: Abu Dolaf Kazraji (905)</v>
      </c>
    </row>
    <row r="27" spans="2:18" ht="12.75" customHeight="1" x14ac:dyDescent="0.25">
      <c r="B27" s="35">
        <v>13</v>
      </c>
      <c r="C27" s="35">
        <f ca="1">OFFSET(Data!E17,0,$D$6)</f>
        <v>4649</v>
      </c>
      <c r="D27" s="38">
        <f t="shared" ca="1" si="0"/>
        <v>4649.0000129999999</v>
      </c>
      <c r="E27" s="38">
        <f t="shared" ca="1" si="1"/>
        <v>4649.0000129999999</v>
      </c>
      <c r="F27" s="35">
        <f t="shared" ca="1" si="2"/>
        <v>13</v>
      </c>
      <c r="G27" s="39" t="str">
        <f ca="1">INDEX(Data!B$5:B$54,$F27,1)</f>
        <v>Klyuchevskaya Volcano</v>
      </c>
      <c r="H27" s="39" t="str">
        <f ca="1">INDEX(Data!C$5:C$54,$F27,1)</f>
        <v>Russia</v>
      </c>
      <c r="I27" s="35">
        <f ca="1">INDEX(Data!F$5:F$54,$F27,1)</f>
        <v>4750</v>
      </c>
      <c r="J27" s="35">
        <f ca="1">INDEX(Data!G$5:G$54,$F27,1)</f>
        <v>4649</v>
      </c>
      <c r="K27" s="39" t="str">
        <f ca="1">INDEX(Data!H$5:H$54,$F27,1)</f>
        <v>Daniel Gauss et al.</v>
      </c>
      <c r="L27" s="39" t="str">
        <f ca="1">INDEX(Data!I$5:I$54,$F27,1)</f>
        <v>1788</v>
      </c>
      <c r="M27" s="50">
        <v>49.9</v>
      </c>
      <c r="N27" s="50">
        <v>159.30000000000001</v>
      </c>
      <c r="O27" s="62" t="e">
        <f ca="1">IF($F27=myRawDataPosition,INDEX(Calculations!M$15:M$64,$F27,1),NA())</f>
        <v>#N/A</v>
      </c>
      <c r="P27" s="62" t="e">
        <f ca="1">IF($F27=myRawDataPosition,INDEX(Calculations!N$15:N$64,$F27,1),NA())</f>
        <v>#N/A</v>
      </c>
      <c r="R27" s="39" t="str">
        <f>Data!B17&amp;", ("&amp;Data!C17&amp;")"&amp;CHAR(10)&amp;
"Elevation: "&amp;TEXT(Data!F17,"#.###")&amp;" m"&amp;CHAR(10)&amp;
"Prominence: "&amp;TEXT(Data!G17,"#.###")&amp;" m"&amp;CHAR(10)&amp;
"First ascent by: "&amp;Data!H17&amp;" ("&amp;Data!I17&amp;")"</f>
        <v>Klyuchevskaya Volcano, (Russia)
Elevation: 4750. m
Prominence: 4649. m
First ascent by: Daniel Gauss et al. (1788)</v>
      </c>
    </row>
    <row r="28" spans="2:18" ht="12.75" customHeight="1" x14ac:dyDescent="0.25">
      <c r="B28" s="5">
        <v>14</v>
      </c>
      <c r="C28" s="5">
        <f ca="1">OFFSET(Data!E18,0,$D$6)</f>
        <v>4608</v>
      </c>
      <c r="D28" s="27">
        <f t="shared" ca="1" si="0"/>
        <v>4608.0000140000002</v>
      </c>
      <c r="E28" s="27">
        <f t="shared" ca="1" si="1"/>
        <v>4608.0000140000002</v>
      </c>
      <c r="F28" s="5">
        <f t="shared" ca="1" si="2"/>
        <v>14</v>
      </c>
      <c r="G28" s="22" t="str">
        <f ca="1">INDEX(Data!B$5:B$54,$F28,1)</f>
        <v>Nanga Parbat</v>
      </c>
      <c r="H28" s="22" t="str">
        <f ca="1">INDEX(Data!C$5:C$54,$F28,1)</f>
        <v>Pakistan</v>
      </c>
      <c r="I28" s="5">
        <f ca="1">INDEX(Data!F$5:F$54,$F28,1)</f>
        <v>8125</v>
      </c>
      <c r="J28" s="5">
        <f ca="1">INDEX(Data!G$5:G$54,$F28,1)</f>
        <v>4608</v>
      </c>
      <c r="K28" s="22" t="str">
        <f ca="1">INDEX(Data!H$5:H$54,$F28,1)</f>
        <v>Hermann Buhl</v>
      </c>
      <c r="L28" s="22" t="str">
        <f ca="1">INDEX(Data!I$5:I$54,$F28,1)</f>
        <v>1953</v>
      </c>
      <c r="M28" s="49">
        <v>30.5</v>
      </c>
      <c r="N28" s="49">
        <v>73.2</v>
      </c>
      <c r="O28" s="61" t="e">
        <f ca="1">IF($F28=myRawDataPosition,INDEX(Calculations!M$15:M$64,$F28,1),NA())</f>
        <v>#N/A</v>
      </c>
      <c r="P28" s="61" t="e">
        <f ca="1">IF($F28=myRawDataPosition,INDEX(Calculations!N$15:N$64,$F28,1),NA())</f>
        <v>#N/A</v>
      </c>
      <c r="R28" s="22" t="str">
        <f>Data!B18&amp;", ("&amp;Data!C18&amp;")"&amp;CHAR(10)&amp;
"Elevation: "&amp;TEXT(Data!F18,"#.###")&amp;" m"&amp;CHAR(10)&amp;
"Prominence: "&amp;TEXT(Data!G18,"#.###")&amp;" m"&amp;CHAR(10)&amp;
"First ascent by: "&amp;Data!H18&amp;" ("&amp;Data!I18&amp;")"</f>
        <v>Nanga Parbat, (Pakistan)
Elevation: 8125. m
Prominence: 4608. m
First ascent by: Hermann Buhl (1953)</v>
      </c>
    </row>
    <row r="29" spans="2:18" ht="12.75" customHeight="1" x14ac:dyDescent="0.25">
      <c r="B29" s="35">
        <v>15</v>
      </c>
      <c r="C29" s="35">
        <f ca="1">OFFSET(Data!E19,0,$D$6)</f>
        <v>4205</v>
      </c>
      <c r="D29" s="38">
        <f t="shared" ca="1" si="0"/>
        <v>4205.0000149999996</v>
      </c>
      <c r="E29" s="38">
        <f t="shared" ca="1" si="1"/>
        <v>4205.0000149999996</v>
      </c>
      <c r="F29" s="35">
        <f t="shared" ca="1" si="2"/>
        <v>15</v>
      </c>
      <c r="G29" s="39" t="str">
        <f ca="1">INDEX(Data!B$5:B$54,$F29,1)</f>
        <v>Mauna Kea</v>
      </c>
      <c r="H29" s="39" t="str">
        <f ca="1">INDEX(Data!C$5:C$54,$F29,1)</f>
        <v>US</v>
      </c>
      <c r="I29" s="35">
        <f ca="1">INDEX(Data!F$5:F$54,$F29,1)</f>
        <v>4205</v>
      </c>
      <c r="J29" s="35">
        <f ca="1">INDEX(Data!G$5:G$54,$F29,1)</f>
        <v>4205</v>
      </c>
      <c r="K29" s="39" t="str">
        <f ca="1">INDEX(Data!H$5:H$54,$F29,1)</f>
        <v>-</v>
      </c>
      <c r="L29" s="39" t="str">
        <f ca="1">INDEX(Data!I$5:I$54,$F29,1)</f>
        <v>-</v>
      </c>
      <c r="M29" s="50">
        <v>19.399999999999999</v>
      </c>
      <c r="N29" s="50">
        <v>-153.5</v>
      </c>
      <c r="O29" s="62" t="e">
        <f ca="1">IF($F29=myRawDataPosition,INDEX(Calculations!M$15:M$64,$F29,1),NA())</f>
        <v>#N/A</v>
      </c>
      <c r="P29" s="62" t="e">
        <f ca="1">IF($F29=myRawDataPosition,INDEX(Calculations!N$15:N$64,$F29,1),NA())</f>
        <v>#N/A</v>
      </c>
      <c r="R29" s="39" t="str">
        <f>Data!B19&amp;", ("&amp;Data!C19&amp;")"&amp;CHAR(10)&amp;
"Elevation: "&amp;TEXT(Data!F19,"#.###")&amp;" m"&amp;CHAR(10)&amp;
"Prominence: "&amp;TEXT(Data!G19,"#.###")&amp;" m"&amp;CHAR(10)&amp;
"First ascent by: "&amp;Data!H19&amp;" ("&amp;Data!I19&amp;")"</f>
        <v>Mauna Kea, (US)
Elevation: 4205. m
Prominence: 4205. m
First ascent by: - (-)</v>
      </c>
    </row>
    <row r="30" spans="2:18" ht="12.75" customHeight="1" x14ac:dyDescent="0.25">
      <c r="B30" s="5">
        <v>16</v>
      </c>
      <c r="C30" s="5">
        <f ca="1">OFFSET(Data!E20,0,$D$6)</f>
        <v>4148</v>
      </c>
      <c r="D30" s="27">
        <f t="shared" ca="1" si="0"/>
        <v>4148.000016</v>
      </c>
      <c r="E30" s="27">
        <f t="shared" ca="1" si="1"/>
        <v>4148.000016</v>
      </c>
      <c r="F30" s="5">
        <f t="shared" ca="1" si="2"/>
        <v>16</v>
      </c>
      <c r="G30" s="22" t="str">
        <f ca="1">INDEX(Data!B$5:B$54,$F30,1)</f>
        <v>Jengish Chokusu (ex. Pik Pobedy)</v>
      </c>
      <c r="H30" s="22" t="str">
        <f ca="1">INDEX(Data!C$5:C$54,$F30,1)</f>
        <v>Kyrgyzstan/China</v>
      </c>
      <c r="I30" s="5">
        <f ca="1">INDEX(Data!F$5:F$54,$F30,1)</f>
        <v>7439</v>
      </c>
      <c r="J30" s="5">
        <f ca="1">INDEX(Data!G$5:G$54,$F30,1)</f>
        <v>4148</v>
      </c>
      <c r="K30" s="22" t="str">
        <f ca="1">INDEX(Data!H$5:H$54,$F30,1)</f>
        <v>Witali Abalakow et al.</v>
      </c>
      <c r="L30" s="22" t="str">
        <f ca="1">INDEX(Data!I$5:I$54,$F30,1)</f>
        <v>1956</v>
      </c>
      <c r="M30" s="49">
        <v>36.299999999999997</v>
      </c>
      <c r="N30" s="49">
        <v>79.5</v>
      </c>
      <c r="O30" s="61" t="e">
        <f ca="1">IF($F30=myRawDataPosition,INDEX(Calculations!M$15:M$64,$F30,1),NA())</f>
        <v>#N/A</v>
      </c>
      <c r="P30" s="61" t="e">
        <f ca="1">IF($F30=myRawDataPosition,INDEX(Calculations!N$15:N$64,$F30,1),NA())</f>
        <v>#N/A</v>
      </c>
      <c r="R30" s="22" t="str">
        <f>Data!B20&amp;", ("&amp;Data!C20&amp;")"&amp;CHAR(10)&amp;
"Elevation: "&amp;TEXT(Data!F20,"#.###")&amp;" m"&amp;CHAR(10)&amp;
"Prominence: "&amp;TEXT(Data!G20,"#.###")&amp;" m"&amp;CHAR(10)&amp;
"First ascent by: "&amp;Data!H20&amp;" ("&amp;Data!I20&amp;")"</f>
        <v>Jengish Chokusu (ex. Pik Pobedy), (Kyrgyzstan/China)
Elevation: 7439. m
Prominence: 4148. m
First ascent by: Witali Abalakow et al. (1956)</v>
      </c>
    </row>
    <row r="31" spans="2:18" ht="12.75" customHeight="1" x14ac:dyDescent="0.25">
      <c r="B31" s="35">
        <v>17</v>
      </c>
      <c r="C31" s="35">
        <f ca="1">OFFSET(Data!E21,0,$D$6)</f>
        <v>4122</v>
      </c>
      <c r="D31" s="38">
        <f t="shared" ca="1" si="0"/>
        <v>4122.0000170000003</v>
      </c>
      <c r="E31" s="38">
        <f t="shared" ca="1" si="1"/>
        <v>4122.0000179999997</v>
      </c>
      <c r="F31" s="35">
        <f t="shared" ca="1" si="2"/>
        <v>18</v>
      </c>
      <c r="G31" s="39" t="str">
        <f ca="1">INDEX(Data!B$5:B$54,$F31,1)</f>
        <v>Bogda Shan</v>
      </c>
      <c r="H31" s="39" t="str">
        <f ca="1">INDEX(Data!C$5:C$54,$F31,1)</f>
        <v>China</v>
      </c>
      <c r="I31" s="35">
        <f ca="1">INDEX(Data!F$5:F$54,$F31,1)</f>
        <v>5445</v>
      </c>
      <c r="J31" s="35">
        <f ca="1">INDEX(Data!G$5:G$54,$F31,1)</f>
        <v>4122</v>
      </c>
      <c r="K31" s="39" t="str">
        <f ca="1">INDEX(Data!H$5:H$54,$F31,1)</f>
        <v>-</v>
      </c>
      <c r="L31" s="39" t="str">
        <f ca="1">INDEX(Data!I$5:I$54,$F31,1)</f>
        <v>-</v>
      </c>
      <c r="M31" s="50">
        <v>5.5</v>
      </c>
      <c r="N31" s="50">
        <v>-77.7</v>
      </c>
      <c r="O31" s="62" t="e">
        <f ca="1">IF($F31=myRawDataPosition,INDEX(Calculations!M$15:M$64,$F31,1),NA())</f>
        <v>#N/A</v>
      </c>
      <c r="P31" s="62" t="e">
        <f ca="1">IF($F31=myRawDataPosition,INDEX(Calculations!N$15:N$64,$F31,1),NA())</f>
        <v>#N/A</v>
      </c>
      <c r="R31" s="39" t="str">
        <f>Data!B21&amp;", ("&amp;Data!C21&amp;")"&amp;CHAR(10)&amp;
"Elevation: "&amp;TEXT(Data!F21,"#.###")&amp;" m"&amp;CHAR(10)&amp;
"Prominence: "&amp;TEXT(Data!G21,"#.###")&amp;" m"&amp;CHAR(10)&amp;
"First ascent by: "&amp;Data!H21&amp;" ("&amp;Data!I21&amp;")"</f>
        <v>Chimborazo, (Ecuador)
Elevation: 6267. m
Prominence: 4122. m
First ascent by: Edward Whymper (1880)</v>
      </c>
    </row>
    <row r="32" spans="2:18" ht="12.75" customHeight="1" x14ac:dyDescent="0.25">
      <c r="B32" s="5">
        <v>18</v>
      </c>
      <c r="C32" s="5">
        <f ca="1">OFFSET(Data!E22,0,$D$6)</f>
        <v>4122</v>
      </c>
      <c r="D32" s="27">
        <f t="shared" ca="1" si="0"/>
        <v>4122.0000179999997</v>
      </c>
      <c r="E32" s="27">
        <f t="shared" ca="1" si="1"/>
        <v>4122.0000170000003</v>
      </c>
      <c r="F32" s="5">
        <f t="shared" ca="1" si="2"/>
        <v>17</v>
      </c>
      <c r="G32" s="22" t="str">
        <f ca="1">INDEX(Data!B$5:B$54,$F32,1)</f>
        <v>Chimborazo</v>
      </c>
      <c r="H32" s="22" t="str">
        <f ca="1">INDEX(Data!C$5:C$54,$F32,1)</f>
        <v>Ecuador</v>
      </c>
      <c r="I32" s="5">
        <f ca="1">INDEX(Data!F$5:F$54,$F32,1)</f>
        <v>6267</v>
      </c>
      <c r="J32" s="5">
        <f ca="1">INDEX(Data!G$5:G$54,$F32,1)</f>
        <v>4122</v>
      </c>
      <c r="K32" s="22" t="str">
        <f ca="1">INDEX(Data!H$5:H$54,$F32,1)</f>
        <v>Edward Whymper</v>
      </c>
      <c r="L32" s="22" t="str">
        <f ca="1">INDEX(Data!I$5:I$54,$F32,1)</f>
        <v>1880</v>
      </c>
      <c r="M32" s="49">
        <v>37.9</v>
      </c>
      <c r="N32" s="49">
        <v>87.9</v>
      </c>
      <c r="O32" s="61">
        <f ca="1">IF($F32=myRawDataPosition,INDEX(Calculations!M$15:M$64,$F32,1),NA())</f>
        <v>5.5</v>
      </c>
      <c r="P32" s="61">
        <f ca="1">IF($F32=myRawDataPosition,INDEX(Calculations!N$15:N$64,$F32,1),NA())</f>
        <v>-77.7</v>
      </c>
      <c r="R32" s="22" t="str">
        <f>Data!B22&amp;", ("&amp;Data!C22&amp;")"&amp;CHAR(10)&amp;
"Elevation: "&amp;TEXT(Data!F22,"#.###")&amp;" m"&amp;CHAR(10)&amp;
"Prominence: "&amp;TEXT(Data!G22,"#.###")&amp;" m"&amp;CHAR(10)&amp;
"First ascent by: "&amp;Data!H22&amp;" ("&amp;Data!I22&amp;")"</f>
        <v>Bogda Shan, (China)
Elevation: 5445. m
Prominence: 4122. m
First ascent by: - (-)</v>
      </c>
    </row>
    <row r="33" spans="2:18" ht="12.75" customHeight="1" x14ac:dyDescent="0.25">
      <c r="B33" s="35">
        <v>19</v>
      </c>
      <c r="C33" s="35">
        <f ca="1">OFFSET(Data!E23,0,$D$6)</f>
        <v>4106</v>
      </c>
      <c r="D33" s="38">
        <f t="shared" ca="1" si="0"/>
        <v>4106.0000190000001</v>
      </c>
      <c r="E33" s="38">
        <f t="shared" ca="1" si="1"/>
        <v>4106.0000190000001</v>
      </c>
      <c r="F33" s="35">
        <f t="shared" ca="1" si="2"/>
        <v>19</v>
      </c>
      <c r="G33" s="39" t="str">
        <f ca="1">INDEX(Data!B$5:B$54,$F33,1)</f>
        <v>Namcha Barwa</v>
      </c>
      <c r="H33" s="39" t="str">
        <f ca="1">INDEX(Data!C$5:C$54,$F33,1)</f>
        <v>China</v>
      </c>
      <c r="I33" s="35">
        <f ca="1">INDEX(Data!F$5:F$54,$F33,1)</f>
        <v>7782</v>
      </c>
      <c r="J33" s="35">
        <f ca="1">INDEX(Data!G$5:G$54,$F33,1)</f>
        <v>4106</v>
      </c>
      <c r="K33" s="39" t="str">
        <f ca="1">INDEX(Data!H$5:H$54,$F33,1)</f>
        <v>Bianba Zaxi  et al.</v>
      </c>
      <c r="L33" s="39" t="str">
        <f ca="1">INDEX(Data!I$5:I$54,$F33,1)</f>
        <v>1992</v>
      </c>
      <c r="M33" s="50">
        <v>26.2</v>
      </c>
      <c r="N33" s="50">
        <v>94.2</v>
      </c>
      <c r="O33" s="62" t="e">
        <f ca="1">IF($F33=myRawDataPosition,INDEX(Calculations!M$15:M$64,$F33,1),NA())</f>
        <v>#N/A</v>
      </c>
      <c r="P33" s="62" t="e">
        <f ca="1">IF($F33=myRawDataPosition,INDEX(Calculations!N$15:N$64,$F33,1),NA())</f>
        <v>#N/A</v>
      </c>
      <c r="R33" s="39" t="str">
        <f>Data!B23&amp;", ("&amp;Data!C23&amp;")"&amp;CHAR(10)&amp;
"Elevation: "&amp;TEXT(Data!F23,"#.###")&amp;" m"&amp;CHAR(10)&amp;
"Prominence: "&amp;TEXT(Data!G23,"#.###")&amp;" m"&amp;CHAR(10)&amp;
"First ascent by: "&amp;Data!H23&amp;" ("&amp;Data!I23&amp;")"</f>
        <v>Namcha Barwa, (China)
Elevation: 7782. m
Prominence: 4106. m
First ascent by: Bianba Zaxi  et al. (1992)</v>
      </c>
    </row>
    <row r="34" spans="2:18" ht="12.75" customHeight="1" x14ac:dyDescent="0.25">
      <c r="B34" s="5">
        <v>20</v>
      </c>
      <c r="C34" s="5">
        <f ca="1">OFFSET(Data!E24,0,$D$6)</f>
        <v>4095</v>
      </c>
      <c r="D34" s="27">
        <f t="shared" ca="1" si="0"/>
        <v>4095.0000199999999</v>
      </c>
      <c r="E34" s="27">
        <f t="shared" ca="1" si="1"/>
        <v>4095.0000199999999</v>
      </c>
      <c r="F34" s="5">
        <f t="shared" ca="1" si="2"/>
        <v>20</v>
      </c>
      <c r="G34" s="22" t="str">
        <f ca="1">INDEX(Data!B$5:B$54,$F34,1)</f>
        <v>Kinabalu</v>
      </c>
      <c r="H34" s="22" t="str">
        <f ca="1">INDEX(Data!C$5:C$54,$F34,1)</f>
        <v>Malaysia</v>
      </c>
      <c r="I34" s="5">
        <f ca="1">INDEX(Data!F$5:F$54,$F34,1)</f>
        <v>4095</v>
      </c>
      <c r="J34" s="5">
        <f ca="1">INDEX(Data!G$5:G$54,$F34,1)</f>
        <v>4095</v>
      </c>
      <c r="K34" s="22" t="str">
        <f ca="1">INDEX(Data!H$5:H$54,$F34,1)</f>
        <v>H. Low, S. St. John</v>
      </c>
      <c r="L34" s="22" t="str">
        <f ca="1">INDEX(Data!I$5:I$54,$F34,1)</f>
        <v>1858</v>
      </c>
      <c r="M34" s="49">
        <v>10</v>
      </c>
      <c r="N34" s="49">
        <v>115.8</v>
      </c>
      <c r="O34" s="61" t="e">
        <f ca="1">IF($F34=myRawDataPosition,INDEX(Calculations!M$15:M$64,$F34,1),NA())</f>
        <v>#N/A</v>
      </c>
      <c r="P34" s="61" t="e">
        <f ca="1">IF($F34=myRawDataPosition,INDEX(Calculations!N$15:N$64,$F34,1),NA())</f>
        <v>#N/A</v>
      </c>
      <c r="R34" s="22" t="str">
        <f>Data!B24&amp;", ("&amp;Data!C24&amp;")"&amp;CHAR(10)&amp;
"Elevation: "&amp;TEXT(Data!F24,"#.###")&amp;" m"&amp;CHAR(10)&amp;
"Prominence: "&amp;TEXT(Data!G24,"#.###")&amp;" m"&amp;CHAR(10)&amp;
"First ascent by: "&amp;Data!H24&amp;" ("&amp;Data!I24&amp;")"</f>
        <v>Kinabalu, (Malaysia)
Elevation: 4095. m
Prominence: 4095. m
First ascent by: H. Low, S. St. John (1858)</v>
      </c>
    </row>
    <row r="35" spans="2:18" ht="12.75" customHeight="1" x14ac:dyDescent="0.25">
      <c r="B35" s="35">
        <v>21</v>
      </c>
      <c r="C35" s="35">
        <f ca="1">OFFSET(Data!E25,0,$D$6)</f>
        <v>4023</v>
      </c>
      <c r="D35" s="38">
        <f t="shared" ca="1" si="0"/>
        <v>4023.0000209999998</v>
      </c>
      <c r="E35" s="38">
        <f t="shared" ca="1" si="1"/>
        <v>4023.0000209999998</v>
      </c>
      <c r="F35" s="35">
        <f t="shared" ca="1" si="2"/>
        <v>21</v>
      </c>
      <c r="G35" s="39" t="str">
        <f ca="1">INDEX(Data!B$5:B$54,$F35,1)</f>
        <v>Mt. Rainier</v>
      </c>
      <c r="H35" s="39" t="str">
        <f ca="1">INDEX(Data!C$5:C$54,$F35,1)</f>
        <v>US</v>
      </c>
      <c r="I35" s="35">
        <f ca="1">INDEX(Data!F$5:F$54,$F35,1)</f>
        <v>4393</v>
      </c>
      <c r="J35" s="35">
        <f ca="1">INDEX(Data!G$5:G$54,$F35,1)</f>
        <v>4023</v>
      </c>
      <c r="K35" s="39" t="str">
        <f ca="1">INDEX(Data!H$5:H$54,$F35,1)</f>
        <v>Hazard Stevens, P.B. Van Trump</v>
      </c>
      <c r="L35" s="39" t="str">
        <f ca="1">INDEX(Data!I$5:I$54,$F35,1)</f>
        <v>1870</v>
      </c>
      <c r="M35" s="50">
        <v>40.799999999999997</v>
      </c>
      <c r="N35" s="50">
        <v>-120.4</v>
      </c>
      <c r="O35" s="62" t="e">
        <f ca="1">IF($F35=myRawDataPosition,INDEX(Calculations!M$15:M$64,$F35,1),NA())</f>
        <v>#N/A</v>
      </c>
      <c r="P35" s="62" t="e">
        <f ca="1">IF($F35=myRawDataPosition,INDEX(Calculations!N$15:N$64,$F35,1),NA())</f>
        <v>#N/A</v>
      </c>
      <c r="R35" s="39" t="str">
        <f>Data!B25&amp;", ("&amp;Data!C25&amp;")"&amp;CHAR(10)&amp;
"Elevation: "&amp;TEXT(Data!F25,"#.###")&amp;" m"&amp;CHAR(10)&amp;
"Prominence: "&amp;TEXT(Data!G25,"#.###")&amp;" m"&amp;CHAR(10)&amp;
"First ascent by: "&amp;Data!H25&amp;" ("&amp;Data!I25&amp;")"</f>
        <v>Mt. Rainier, (US)
Elevation: 4393. m
Prominence: 4023. m
First ascent by: Hazard Stevens, P.B. Van Trump (1870)</v>
      </c>
    </row>
    <row r="36" spans="2:18" ht="12.75" customHeight="1" x14ac:dyDescent="0.25">
      <c r="B36" s="5">
        <v>22</v>
      </c>
      <c r="C36" s="5">
        <f ca="1">OFFSET(Data!E26,0,$D$6)</f>
        <v>4017</v>
      </c>
      <c r="D36" s="27">
        <f t="shared" ca="1" si="0"/>
        <v>4017.0000220000002</v>
      </c>
      <c r="E36" s="27">
        <f t="shared" ca="1" si="1"/>
        <v>4017.0000220000002</v>
      </c>
      <c r="F36" s="5">
        <f t="shared" ca="1" si="2"/>
        <v>22</v>
      </c>
      <c r="G36" s="22" t="str">
        <f ca="1">INDEX(Data!B$5:B$54,$F36,1)</f>
        <v>K2</v>
      </c>
      <c r="H36" s="22" t="str">
        <f ca="1">INDEX(Data!C$5:C$54,$F36,1)</f>
        <v>Pakistan/China</v>
      </c>
      <c r="I36" s="5">
        <f ca="1">INDEX(Data!F$5:F$54,$F36,1)</f>
        <v>8611</v>
      </c>
      <c r="J36" s="5">
        <f ca="1">INDEX(Data!G$5:G$54,$F36,1)</f>
        <v>4017</v>
      </c>
      <c r="K36" s="22" t="str">
        <f ca="1">INDEX(Data!H$5:H$54,$F36,1)</f>
        <v>Achille Compagnoni, Lino Lacedelli</v>
      </c>
      <c r="L36" s="22" t="str">
        <f ca="1">INDEX(Data!I$5:I$54,$F36,1)</f>
        <v>1954</v>
      </c>
      <c r="M36" s="49">
        <v>31.2</v>
      </c>
      <c r="N36" s="49">
        <v>75.7</v>
      </c>
      <c r="O36" s="61" t="e">
        <f ca="1">IF($F36=myRawDataPosition,INDEX(Calculations!M$15:M$64,$F36,1),NA())</f>
        <v>#N/A</v>
      </c>
      <c r="P36" s="61" t="e">
        <f ca="1">IF($F36=myRawDataPosition,INDEX(Calculations!N$15:N$64,$F36,1),NA())</f>
        <v>#N/A</v>
      </c>
      <c r="R36" s="22" t="str">
        <f>Data!B26&amp;", ("&amp;Data!C26&amp;")"&amp;CHAR(10)&amp;
"Elevation: "&amp;TEXT(Data!F26,"#.###")&amp;" m"&amp;CHAR(10)&amp;
"Prominence: "&amp;TEXT(Data!G26,"#.###")&amp;" m"&amp;CHAR(10)&amp;
"First ascent by: "&amp;Data!H26&amp;" ("&amp;Data!I26&amp;")"</f>
        <v>K2, (Pakistan/China)
Elevation: 8611. m
Prominence: 4017. m
First ascent by: Achille Compagnoni, Lino Lacedelli (1954)</v>
      </c>
    </row>
    <row r="37" spans="2:18" ht="12.75" customHeight="1" x14ac:dyDescent="0.25">
      <c r="B37" s="35">
        <v>23</v>
      </c>
      <c r="C37" s="35">
        <f ca="1">OFFSET(Data!E27,0,$D$6)</f>
        <v>3980</v>
      </c>
      <c r="D37" s="38">
        <f t="shared" ca="1" si="0"/>
        <v>3980.0000230000001</v>
      </c>
      <c r="E37" s="38">
        <f t="shared" ca="1" si="1"/>
        <v>3980.0000239999999</v>
      </c>
      <c r="F37" s="35">
        <f t="shared" ca="1" si="2"/>
        <v>24</v>
      </c>
      <c r="G37" s="39" t="str">
        <f ca="1">INDEX(Data!B$5:B$54,$F37,1)</f>
        <v>Volcan Tajumulco</v>
      </c>
      <c r="H37" s="39" t="str">
        <f ca="1">INDEX(Data!C$5:C$54,$F37,1)</f>
        <v>Guatemala</v>
      </c>
      <c r="I37" s="35">
        <f ca="1">INDEX(Data!F$5:F$54,$F37,1)</f>
        <v>4220</v>
      </c>
      <c r="J37" s="35">
        <f ca="1">INDEX(Data!G$5:G$54,$F37,1)</f>
        <v>3980</v>
      </c>
      <c r="K37" s="39" t="str">
        <f ca="1">INDEX(Data!H$5:H$54,$F37,1)</f>
        <v>-</v>
      </c>
      <c r="L37" s="39" t="str">
        <f ca="1">INDEX(Data!I$5:I$54,$F37,1)</f>
        <v>-</v>
      </c>
      <c r="M37" s="50">
        <v>14.8</v>
      </c>
      <c r="N37" s="50">
        <v>37.9</v>
      </c>
      <c r="O37" s="62" t="e">
        <f ca="1">IF($F37=myRawDataPosition,INDEX(Calculations!M$15:M$64,$F37,1),NA())</f>
        <v>#N/A</v>
      </c>
      <c r="P37" s="62" t="e">
        <f ca="1">IF($F37=myRawDataPosition,INDEX(Calculations!N$15:N$64,$F37,1),NA())</f>
        <v>#N/A</v>
      </c>
      <c r="R37" s="39" t="str">
        <f>Data!B27&amp;", ("&amp;Data!C27&amp;")"&amp;CHAR(10)&amp;
"Elevation: "&amp;TEXT(Data!F27,"#.###")&amp;" m"&amp;CHAR(10)&amp;
"Prominence: "&amp;TEXT(Data!G27,"#.###")&amp;" m"&amp;CHAR(10)&amp;
"First ascent by: "&amp;Data!H27&amp;" ("&amp;Data!I27&amp;")"</f>
        <v>Ras Dejen, (Ethiopia)
Elevation: 4533. m
Prominence: 3980. m
First ascent by: Ferret, Galinier (1841)</v>
      </c>
    </row>
    <row r="38" spans="2:18" ht="12.75" customHeight="1" x14ac:dyDescent="0.25">
      <c r="B38" s="5">
        <v>24</v>
      </c>
      <c r="C38" s="5">
        <f ca="1">OFFSET(Data!E28,0,$D$6)</f>
        <v>3980</v>
      </c>
      <c r="D38" s="27">
        <f t="shared" ca="1" si="0"/>
        <v>3980.0000239999999</v>
      </c>
      <c r="E38" s="27">
        <f t="shared" ca="1" si="1"/>
        <v>3980.0000230000001</v>
      </c>
      <c r="F38" s="5">
        <f t="shared" ca="1" si="2"/>
        <v>23</v>
      </c>
      <c r="G38" s="22" t="str">
        <f ca="1">INDEX(Data!B$5:B$54,$F38,1)</f>
        <v>Ras Dejen</v>
      </c>
      <c r="H38" s="22" t="str">
        <f ca="1">INDEX(Data!C$5:C$54,$F38,1)</f>
        <v>Ethiopia</v>
      </c>
      <c r="I38" s="5">
        <f ca="1">INDEX(Data!F$5:F$54,$F38,1)</f>
        <v>4533</v>
      </c>
      <c r="J38" s="5">
        <f ca="1">INDEX(Data!G$5:G$54,$F38,1)</f>
        <v>3980</v>
      </c>
      <c r="K38" s="22" t="str">
        <f ca="1">INDEX(Data!H$5:H$54,$F38,1)</f>
        <v>Ferret, Galinier</v>
      </c>
      <c r="L38" s="22" t="str">
        <f ca="1">INDEX(Data!I$5:I$54,$F38,1)</f>
        <v>1841</v>
      </c>
      <c r="M38" s="49">
        <v>16.2</v>
      </c>
      <c r="N38" s="49">
        <v>-90.8</v>
      </c>
      <c r="O38" s="61" t="e">
        <f ca="1">IF($F38=myRawDataPosition,INDEX(Calculations!M$15:M$64,$F38,1),NA())</f>
        <v>#N/A</v>
      </c>
      <c r="P38" s="61" t="e">
        <f ca="1">IF($F38=myRawDataPosition,INDEX(Calculations!N$15:N$64,$F38,1),NA())</f>
        <v>#N/A</v>
      </c>
      <c r="R38" s="22" t="str">
        <f>Data!B28&amp;", ("&amp;Data!C28&amp;")"&amp;CHAR(10)&amp;
"Elevation: "&amp;TEXT(Data!F28,"#.###")&amp;" m"&amp;CHAR(10)&amp;
"Prominence: "&amp;TEXT(Data!G28,"#.###")&amp;" m"&amp;CHAR(10)&amp;
"First ascent by: "&amp;Data!H28&amp;" ("&amp;Data!I28&amp;")"</f>
        <v>Volcan Tajumulco, (Guatemala)
Elevation: 4220. m
Prominence: 3980. m
First ascent by: - (-)</v>
      </c>
    </row>
    <row r="39" spans="2:18" ht="12.75" customHeight="1" x14ac:dyDescent="0.25">
      <c r="B39" s="35">
        <v>25</v>
      </c>
      <c r="C39" s="35">
        <f ca="1">OFFSET(Data!E29,0,$D$6)</f>
        <v>3957</v>
      </c>
      <c r="D39" s="38">
        <f t="shared" ca="1" si="0"/>
        <v>3957.0000249999998</v>
      </c>
      <c r="E39" s="38">
        <f t="shared" ca="1" si="1"/>
        <v>3957.0000249999998</v>
      </c>
      <c r="F39" s="35">
        <f t="shared" ca="1" si="2"/>
        <v>25</v>
      </c>
      <c r="G39" s="39" t="str">
        <f ca="1">INDEX(Data!B$5:B$54,$F39,1)</f>
        <v>Pico Bolivar</v>
      </c>
      <c r="H39" s="39" t="str">
        <f ca="1">INDEX(Data!C$5:C$54,$F39,1)</f>
        <v>Venezuela</v>
      </c>
      <c r="I39" s="35">
        <f ca="1">INDEX(Data!F$5:F$54,$F39,1)</f>
        <v>4981</v>
      </c>
      <c r="J39" s="35">
        <f ca="1">INDEX(Data!G$5:G$54,$F39,1)</f>
        <v>3957</v>
      </c>
      <c r="K39" s="39" t="str">
        <f ca="1">INDEX(Data!H$5:H$54,$F39,1)</f>
        <v xml:space="preserve">Enrique Bourgoin, H. Márquez Molina, Domingo Peña </v>
      </c>
      <c r="L39" s="39" t="str">
        <f ca="1">INDEX(Data!I$5:I$54,$F39,1)</f>
        <v>1935</v>
      </c>
      <c r="M39" s="50">
        <v>11.8</v>
      </c>
      <c r="N39" s="50">
        <v>-69.8</v>
      </c>
      <c r="O39" s="62" t="e">
        <f ca="1">IF($F39=myRawDataPosition,INDEX(Calculations!M$15:M$64,$F39,1),NA())</f>
        <v>#N/A</v>
      </c>
      <c r="P39" s="62" t="e">
        <f ca="1">IF($F39=myRawDataPosition,INDEX(Calculations!N$15:N$64,$F39,1),NA())</f>
        <v>#N/A</v>
      </c>
      <c r="R39" s="39" t="str">
        <f>Data!B29&amp;", ("&amp;Data!C29&amp;")"&amp;CHAR(10)&amp;
"Elevation: "&amp;TEXT(Data!F29,"#.###")&amp;" m"&amp;CHAR(10)&amp;
"Prominence: "&amp;TEXT(Data!G29,"#.###")&amp;" m"&amp;CHAR(10)&amp;
"First ascent by: "&amp;Data!H29&amp;" ("&amp;Data!I29&amp;")"</f>
        <v>Pico Bolivar, (Venezuela)
Elevation: 4981. m
Prominence: 3957. m
First ascent by: Enrique Bourgoin, H. Márquez Molina, Domingo Peña  (1935)</v>
      </c>
    </row>
    <row r="40" spans="2:18" ht="12.75" customHeight="1" x14ac:dyDescent="0.25">
      <c r="B40" s="5">
        <v>26</v>
      </c>
      <c r="C40" s="5">
        <f ca="1">OFFSET(Data!E30,0,$D$6)</f>
        <v>3955</v>
      </c>
      <c r="D40" s="27">
        <f t="shared" ca="1" si="0"/>
        <v>3955.0000260000002</v>
      </c>
      <c r="E40" s="27">
        <f t="shared" ca="1" si="1"/>
        <v>3955.0000260000002</v>
      </c>
      <c r="F40" s="5">
        <f t="shared" ca="1" si="2"/>
        <v>26</v>
      </c>
      <c r="G40" s="22" t="str">
        <f ca="1">INDEX(Data!B$5:B$54,$F40,1)</f>
        <v>Mt. Fairweather</v>
      </c>
      <c r="H40" s="22" t="str">
        <f ca="1">INDEX(Data!C$5:C$54,$F40,1)</f>
        <v>US/Canada</v>
      </c>
      <c r="I40" s="5">
        <f ca="1">INDEX(Data!F$5:F$54,$F40,1)</f>
        <v>4671</v>
      </c>
      <c r="J40" s="5">
        <f ca="1">INDEX(Data!G$5:G$54,$F40,1)</f>
        <v>3955</v>
      </c>
      <c r="K40" s="22" t="str">
        <f ca="1">INDEX(Data!H$5:H$54,$F40,1)</f>
        <v>Allen Carpé, Terris Moore</v>
      </c>
      <c r="L40" s="22" t="str">
        <f ca="1">INDEX(Data!I$5:I$54,$F40,1)</f>
        <v>1931</v>
      </c>
      <c r="M40" s="49">
        <v>53.9</v>
      </c>
      <c r="N40" s="49">
        <v>-135.5</v>
      </c>
      <c r="O40" s="61" t="e">
        <f ca="1">IF($F40=myRawDataPosition,INDEX(Calculations!M$15:M$64,$F40,1),NA())</f>
        <v>#N/A</v>
      </c>
      <c r="P40" s="61" t="e">
        <f ca="1">IF($F40=myRawDataPosition,INDEX(Calculations!N$15:N$64,$F40,1),NA())</f>
        <v>#N/A</v>
      </c>
      <c r="R40" s="22" t="str">
        <f>Data!B30&amp;", ("&amp;Data!C30&amp;")"&amp;CHAR(10)&amp;
"Elevation: "&amp;TEXT(Data!F30,"#.###")&amp;" m"&amp;CHAR(10)&amp;
"Prominence: "&amp;TEXT(Data!G30,"#.###")&amp;" m"&amp;CHAR(10)&amp;
"First ascent by: "&amp;Data!H30&amp;" ("&amp;Data!I30&amp;")"</f>
        <v>Mt. Fairweather, (US/Canada)
Elevation: 4671. m
Prominence: 3955. m
First ascent by: Allen Carpé, Terris Moore (1931)</v>
      </c>
    </row>
    <row r="41" spans="2:18" ht="12.75" customHeight="1" x14ac:dyDescent="0.25">
      <c r="B41" s="35">
        <v>27</v>
      </c>
      <c r="C41" s="35">
        <f ca="1">OFFSET(Data!E31,0,$D$6)</f>
        <v>3952</v>
      </c>
      <c r="D41" s="38">
        <f t="shared" ca="1" si="0"/>
        <v>3952.000027</v>
      </c>
      <c r="E41" s="38">
        <f t="shared" ca="1" si="1"/>
        <v>3952.000027</v>
      </c>
      <c r="F41" s="35">
        <f t="shared" ca="1" si="2"/>
        <v>27</v>
      </c>
      <c r="G41" s="39" t="str">
        <f ca="1">INDEX(Data!B$5:B$54,$F41,1)</f>
        <v>Yu Shan</v>
      </c>
      <c r="H41" s="39" t="str">
        <f ca="1">INDEX(Data!C$5:C$54,$F41,1)</f>
        <v>Taiwan</v>
      </c>
      <c r="I41" s="35">
        <f ca="1">INDEX(Data!F$5:F$54,$F41,1)</f>
        <v>3952</v>
      </c>
      <c r="J41" s="35">
        <f ca="1">INDEX(Data!G$5:G$54,$F41,1)</f>
        <v>3952</v>
      </c>
      <c r="K41" s="39" t="str">
        <f ca="1">INDEX(Data!H$5:H$54,$F41,1)</f>
        <v>K. Stopel</v>
      </c>
      <c r="L41" s="39" t="str">
        <f ca="1">INDEX(Data!I$5:I$54,$F41,1)</f>
        <v>1898</v>
      </c>
      <c r="M41" s="50">
        <v>21.6</v>
      </c>
      <c r="N41" s="50">
        <v>120.5</v>
      </c>
      <c r="O41" s="62" t="e">
        <f ca="1">IF($F41=myRawDataPosition,INDEX(Calculations!M$15:M$64,$F41,1),NA())</f>
        <v>#N/A</v>
      </c>
      <c r="P41" s="62" t="e">
        <f ca="1">IF($F41=myRawDataPosition,INDEX(Calculations!N$15:N$64,$F41,1),NA())</f>
        <v>#N/A</v>
      </c>
      <c r="R41" s="39" t="str">
        <f>Data!B31&amp;", ("&amp;Data!C31&amp;")"&amp;CHAR(10)&amp;
"Elevation: "&amp;TEXT(Data!F31,"#.###")&amp;" m"&amp;CHAR(10)&amp;
"Prominence: "&amp;TEXT(Data!G31,"#.###")&amp;" m"&amp;CHAR(10)&amp;
"First ascent by: "&amp;Data!H31&amp;" ("&amp;Data!I31&amp;")"</f>
        <v>Yu Shan, (Taiwan)
Elevation: 3952. m
Prominence: 3952. m
First ascent by: K. Stopel (1898)</v>
      </c>
    </row>
    <row r="42" spans="2:18" ht="12.75" customHeight="1" x14ac:dyDescent="0.25">
      <c r="B42" s="5">
        <v>28</v>
      </c>
      <c r="C42" s="5">
        <f ca="1">OFFSET(Data!E32,0,$D$6)</f>
        <v>3951</v>
      </c>
      <c r="D42" s="27">
        <f t="shared" ca="1" si="0"/>
        <v>3951.0000279999999</v>
      </c>
      <c r="E42" s="27">
        <f t="shared" ca="1" si="1"/>
        <v>3951.0000279999999</v>
      </c>
      <c r="F42" s="5">
        <f t="shared" ca="1" si="2"/>
        <v>28</v>
      </c>
      <c r="G42" s="22" t="str">
        <f ca="1">INDEX(Data!B$5:B$54,$F42,1)</f>
        <v>Ngaliema (Mt. Stanley)</v>
      </c>
      <c r="H42" s="22" t="str">
        <f ca="1">INDEX(Data!C$5:C$54,$F42,1)</f>
        <v>Congo/Uganda</v>
      </c>
      <c r="I42" s="5">
        <f ca="1">INDEX(Data!F$5:F$54,$F42,1)</f>
        <v>5109</v>
      </c>
      <c r="J42" s="5">
        <f ca="1">INDEX(Data!G$5:G$54,$F42,1)</f>
        <v>3951</v>
      </c>
      <c r="K42" s="22" t="str">
        <f ca="1">INDEX(Data!H$5:H$54,$F42,1)</f>
        <v>Duke of the Abruzzi et al.</v>
      </c>
      <c r="L42" s="22" t="str">
        <f ca="1">INDEX(Data!I$5:I$54,$F42,1)</f>
        <v>1906</v>
      </c>
      <c r="M42" s="49">
        <v>6.5</v>
      </c>
      <c r="N42" s="49">
        <v>30</v>
      </c>
      <c r="O42" s="61" t="e">
        <f ca="1">IF($F42=myRawDataPosition,INDEX(Calculations!M$15:M$64,$F42,1),NA())</f>
        <v>#N/A</v>
      </c>
      <c r="P42" s="61" t="e">
        <f ca="1">IF($F42=myRawDataPosition,INDEX(Calculations!N$15:N$64,$F42,1),NA())</f>
        <v>#N/A</v>
      </c>
      <c r="R42" s="22" t="str">
        <f>Data!B32&amp;", ("&amp;Data!C32&amp;")"&amp;CHAR(10)&amp;
"Elevation: "&amp;TEXT(Data!F32,"#.###")&amp;" m"&amp;CHAR(10)&amp;
"Prominence: "&amp;TEXT(Data!G32,"#.###")&amp;" m"&amp;CHAR(10)&amp;
"First ascent by: "&amp;Data!H32&amp;" ("&amp;Data!I32&amp;")"</f>
        <v>Ngaliema (Mt. Stanley), (Congo/Uganda)
Elevation: 5109. m
Prominence: 3951. m
First ascent by: Duke of the Abruzzi et al. (1906)</v>
      </c>
    </row>
    <row r="43" spans="2:18" ht="12.75" customHeight="1" x14ac:dyDescent="0.25">
      <c r="B43" s="35">
        <v>29</v>
      </c>
      <c r="C43" s="35">
        <f ca="1">OFFSET(Data!E33,0,$D$6)</f>
        <v>3922</v>
      </c>
      <c r="D43" s="38">
        <f t="shared" ca="1" si="0"/>
        <v>3922.0000289999998</v>
      </c>
      <c r="E43" s="38">
        <f t="shared" ca="1" si="1"/>
        <v>3922.0000289999998</v>
      </c>
      <c r="F43" s="35">
        <f t="shared" ca="1" si="2"/>
        <v>29</v>
      </c>
      <c r="G43" s="39" t="str">
        <f ca="1">INDEX(Data!B$5:B$54,$F43,1)</f>
        <v>Kangchenjunga</v>
      </c>
      <c r="H43" s="39" t="str">
        <f ca="1">INDEX(Data!C$5:C$54,$F43,1)</f>
        <v>India/Nepal</v>
      </c>
      <c r="I43" s="35">
        <f ca="1">INDEX(Data!F$5:F$54,$F43,1)</f>
        <v>8586</v>
      </c>
      <c r="J43" s="35">
        <f ca="1">INDEX(Data!G$5:G$54,$F43,1)</f>
        <v>3922</v>
      </c>
      <c r="K43" s="39" t="str">
        <f ca="1">INDEX(Data!H$5:H$54,$F43,1)</f>
        <v>George Band, Joe Brown</v>
      </c>
      <c r="L43" s="39" t="str">
        <f ca="1">INDEX(Data!I$5:I$54,$F43,1)</f>
        <v>1955</v>
      </c>
      <c r="M43" s="50">
        <v>25</v>
      </c>
      <c r="N43" s="50">
        <v>87.4</v>
      </c>
      <c r="O43" s="62" t="e">
        <f ca="1">IF($F43=myRawDataPosition,INDEX(Calculations!M$15:M$64,$F43,1),NA())</f>
        <v>#N/A</v>
      </c>
      <c r="P43" s="62" t="e">
        <f ca="1">IF($F43=myRawDataPosition,INDEX(Calculations!N$15:N$64,$F43,1),NA())</f>
        <v>#N/A</v>
      </c>
      <c r="R43" s="39" t="str">
        <f>Data!B33&amp;", ("&amp;Data!C33&amp;")"&amp;CHAR(10)&amp;
"Elevation: "&amp;TEXT(Data!F33,"#.###")&amp;" m"&amp;CHAR(10)&amp;
"Prominence: "&amp;TEXT(Data!G33,"#.###")&amp;" m"&amp;CHAR(10)&amp;
"First ascent by: "&amp;Data!H33&amp;" ("&amp;Data!I33&amp;")"</f>
        <v>Kangchenjunga, (India/Nepal)
Elevation: 8586. m
Prominence: 3922. m
First ascent by: George Band, Joe Brown (1955)</v>
      </c>
    </row>
    <row r="44" spans="2:18" ht="12.75" customHeight="1" x14ac:dyDescent="0.25">
      <c r="B44" s="5">
        <v>30</v>
      </c>
      <c r="C44" s="5">
        <f ca="1">OFFSET(Data!E34,0,$D$6)</f>
        <v>3910</v>
      </c>
      <c r="D44" s="27">
        <f t="shared" ca="1" si="0"/>
        <v>3910.0000300000002</v>
      </c>
      <c r="E44" s="27">
        <f t="shared" ca="1" si="1"/>
        <v>3910.0000300000002</v>
      </c>
      <c r="F44" s="5">
        <f t="shared" ca="1" si="2"/>
        <v>30</v>
      </c>
      <c r="G44" s="22" t="str">
        <f ca="1">INDEX(Data!B$5:B$54,$F44,1)</f>
        <v>Tirich Mir</v>
      </c>
      <c r="H44" s="22" t="str">
        <f ca="1">INDEX(Data!C$5:C$54,$F44,1)</f>
        <v>Pakistan</v>
      </c>
      <c r="I44" s="5">
        <f ca="1">INDEX(Data!F$5:F$54,$F44,1)</f>
        <v>7708</v>
      </c>
      <c r="J44" s="5">
        <f ca="1">INDEX(Data!G$5:G$54,$F44,1)</f>
        <v>3910</v>
      </c>
      <c r="K44" s="22" t="str">
        <f ca="1">INDEX(Data!H$5:H$54,$F44,1)</f>
        <v>Arne Næss, P. Kvernberg, H. Berg, Tony Streather</v>
      </c>
      <c r="L44" s="22" t="str">
        <f ca="1">INDEX(Data!I$5:I$54,$F44,1)</f>
        <v>1950</v>
      </c>
      <c r="M44" s="49">
        <v>31.3</v>
      </c>
      <c r="N44" s="49">
        <v>70.8</v>
      </c>
      <c r="O44" s="61" t="e">
        <f ca="1">IF($F44=myRawDataPosition,INDEX(Calculations!M$15:M$64,$F44,1),NA())</f>
        <v>#N/A</v>
      </c>
      <c r="P44" s="61" t="e">
        <f ca="1">IF($F44=myRawDataPosition,INDEX(Calculations!N$15:N$64,$F44,1),NA())</f>
        <v>#N/A</v>
      </c>
      <c r="R44" s="22" t="str">
        <f>Data!B34&amp;", ("&amp;Data!C34&amp;")"&amp;CHAR(10)&amp;
"Elevation: "&amp;TEXT(Data!F34,"#.###")&amp;" m"&amp;CHAR(10)&amp;
"Prominence: "&amp;TEXT(Data!G34,"#.###")&amp;" m"&amp;CHAR(10)&amp;
"First ascent by: "&amp;Data!H34&amp;" ("&amp;Data!I34&amp;")"</f>
        <v>Tirich Mir, (Pakistan)
Elevation: 7708. m
Prominence: 3910. m
First ascent by: Arne Næss, P. Kvernberg, H. Berg, Tony Streather (1950)</v>
      </c>
    </row>
    <row r="45" spans="2:18" ht="12.75" customHeight="1" x14ac:dyDescent="0.25">
      <c r="B45" s="35">
        <v>31</v>
      </c>
      <c r="C45" s="35">
        <f ca="1">OFFSET(Data!E35,0,$D$6)</f>
        <v>3901</v>
      </c>
      <c r="D45" s="38">
        <f t="shared" ca="1" si="0"/>
        <v>3901.000031</v>
      </c>
      <c r="E45" s="38">
        <f t="shared" ca="1" si="1"/>
        <v>3901.000031</v>
      </c>
      <c r="F45" s="35">
        <f t="shared" ca="1" si="2"/>
        <v>31</v>
      </c>
      <c r="G45" s="39" t="str">
        <f ca="1">INDEX(Data!B$5:B$54,$F45,1)</f>
        <v>Mt. Cameroon</v>
      </c>
      <c r="H45" s="39" t="str">
        <f ca="1">INDEX(Data!C$5:C$54,$F45,1)</f>
        <v>Cameroon</v>
      </c>
      <c r="I45" s="35">
        <f ca="1">INDEX(Data!F$5:F$54,$F45,1)</f>
        <v>4040</v>
      </c>
      <c r="J45" s="35">
        <f ca="1">INDEX(Data!G$5:G$54,$F45,1)</f>
        <v>3901</v>
      </c>
      <c r="K45" s="39" t="str">
        <f ca="1">INDEX(Data!H$5:H$54,$F45,1)</f>
        <v>Richard Francis Burton, Gustav Mann</v>
      </c>
      <c r="L45" s="39" t="str">
        <f ca="1">INDEX(Data!I$5:I$54,$F45,1)</f>
        <v>1861</v>
      </c>
      <c r="M45" s="50">
        <v>8.9000000000000057</v>
      </c>
      <c r="N45" s="50">
        <v>9.1765019999999993</v>
      </c>
      <c r="O45" s="62" t="e">
        <f ca="1">IF($F45=myRawDataPosition,INDEX(Calculations!M$15:M$64,$F45,1),NA())</f>
        <v>#N/A</v>
      </c>
      <c r="P45" s="62" t="e">
        <f ca="1">IF($F45=myRawDataPosition,INDEX(Calculations!N$15:N$64,$F45,1),NA())</f>
        <v>#N/A</v>
      </c>
      <c r="R45" s="39" t="str">
        <f>Data!B35&amp;", ("&amp;Data!C35&amp;")"&amp;CHAR(10)&amp;
"Elevation: "&amp;TEXT(Data!F35,"#.###")&amp;" m"&amp;CHAR(10)&amp;
"Prominence: "&amp;TEXT(Data!G35,"#.###")&amp;" m"&amp;CHAR(10)&amp;
"First ascent by: "&amp;Data!H35&amp;" ("&amp;Data!I35&amp;")"</f>
        <v>Mt. Cameroon, (Cameroon)
Elevation: 4040. m
Prominence: 3901. m
First ascent by: Richard Francis Burton, Gustav Mann (1861)</v>
      </c>
    </row>
    <row r="46" spans="2:18" ht="12.75" customHeight="1" x14ac:dyDescent="0.25">
      <c r="B46" s="5">
        <v>32</v>
      </c>
      <c r="C46" s="5">
        <f ca="1">OFFSET(Data!E36,0,$D$6)</f>
        <v>3825</v>
      </c>
      <c r="D46" s="27">
        <f t="shared" ca="1" si="0"/>
        <v>3825.0000319999999</v>
      </c>
      <c r="E46" s="27">
        <f t="shared" ca="1" si="1"/>
        <v>3825.0000319999999</v>
      </c>
      <c r="F46" s="5">
        <f t="shared" ca="1" si="2"/>
        <v>32</v>
      </c>
      <c r="G46" s="22" t="str">
        <f ca="1">INDEX(Data!B$5:B$54,$F46,1)</f>
        <v>Mt. Kenya</v>
      </c>
      <c r="H46" s="22" t="str">
        <f ca="1">INDEX(Data!C$5:C$54,$F46,1)</f>
        <v>Kenya</v>
      </c>
      <c r="I46" s="5">
        <f ca="1">INDEX(Data!F$5:F$54,$F46,1)</f>
        <v>5199</v>
      </c>
      <c r="J46" s="5">
        <f ca="1">INDEX(Data!G$5:G$54,$F46,1)</f>
        <v>3825</v>
      </c>
      <c r="K46" s="22" t="str">
        <f ca="1">INDEX(Data!H$5:H$54,$F46,1)</f>
        <v>Halford Mackinder, Cesar Ollier, Joseph Brocherel</v>
      </c>
      <c r="L46" s="22" t="str">
        <f ca="1">INDEX(Data!I$5:I$54,$F46,1)</f>
        <v>1899</v>
      </c>
      <c r="M46" s="49">
        <v>6.2</v>
      </c>
      <c r="N46" s="49">
        <v>37.299999999999997</v>
      </c>
      <c r="O46" s="61" t="e">
        <f ca="1">IF($F46=myRawDataPosition,INDEX(Calculations!M$15:M$64,$F46,1),NA())</f>
        <v>#N/A</v>
      </c>
      <c r="P46" s="61" t="e">
        <f ca="1">IF($F46=myRawDataPosition,INDEX(Calculations!N$15:N$64,$F46,1),NA())</f>
        <v>#N/A</v>
      </c>
      <c r="R46" s="22" t="str">
        <f>Data!B36&amp;", ("&amp;Data!C36&amp;")"&amp;CHAR(10)&amp;
"Elevation: "&amp;TEXT(Data!F36,"#.###")&amp;" m"&amp;CHAR(10)&amp;
"Prominence: "&amp;TEXT(Data!G36,"#.###")&amp;" m"&amp;CHAR(10)&amp;
"First ascent by: "&amp;Data!H36&amp;" ("&amp;Data!I36&amp;")"</f>
        <v>Mt. Kenya, (Kenya)
Elevation: 5199. m
Prominence: 3825. m
First ascent by: Halford Mackinder, Cesar Ollier, Joseph Brocherel (1899)</v>
      </c>
    </row>
    <row r="47" spans="2:18" ht="12.75" customHeight="1" x14ac:dyDescent="0.25">
      <c r="B47" s="35">
        <v>33</v>
      </c>
      <c r="C47" s="35">
        <f ca="1">OFFSET(Data!E37,0,$D$6)</f>
        <v>3805</v>
      </c>
      <c r="D47" s="38">
        <f t="shared" ca="1" si="0"/>
        <v>3805.0000329999998</v>
      </c>
      <c r="E47" s="38">
        <f t="shared" ca="1" si="1"/>
        <v>3805.0000329999998</v>
      </c>
      <c r="F47" s="35">
        <f t="shared" ca="1" si="2"/>
        <v>33</v>
      </c>
      <c r="G47" s="39" t="str">
        <f ca="1">INDEX(Data!B$5:B$54,$F47,1)</f>
        <v>Gunung Kerinci</v>
      </c>
      <c r="H47" s="39" t="str">
        <f ca="1">INDEX(Data!C$5:C$54,$F47,1)</f>
        <v>Indonesia</v>
      </c>
      <c r="I47" s="35">
        <f ca="1">INDEX(Data!F$5:F$54,$F47,1)</f>
        <v>3805</v>
      </c>
      <c r="J47" s="35">
        <f ca="1">INDEX(Data!G$5:G$54,$F47,1)</f>
        <v>3805</v>
      </c>
      <c r="K47" s="39" t="str">
        <f ca="1">INDEX(Data!H$5:H$54,$F47,1)</f>
        <v>Hasselt, Veth</v>
      </c>
      <c r="L47" s="39" t="str">
        <f ca="1">INDEX(Data!I$5:I$54,$F47,1)</f>
        <v>1877</v>
      </c>
      <c r="M47" s="50">
        <v>5</v>
      </c>
      <c r="N47" s="50">
        <v>100.6</v>
      </c>
      <c r="O47" s="62" t="e">
        <f ca="1">IF($F47=myRawDataPosition,INDEX(Calculations!M$15:M$64,$F47,1),NA())</f>
        <v>#N/A</v>
      </c>
      <c r="P47" s="62" t="e">
        <f ca="1">IF($F47=myRawDataPosition,INDEX(Calculations!N$15:N$64,$F47,1),NA())</f>
        <v>#N/A</v>
      </c>
      <c r="R47" s="39" t="str">
        <f>Data!B37&amp;", ("&amp;Data!C37&amp;")"&amp;CHAR(10)&amp;
"Elevation: "&amp;TEXT(Data!F37,"#.###")&amp;" m"&amp;CHAR(10)&amp;
"Prominence: "&amp;TEXT(Data!G37,"#.###")&amp;" m"&amp;CHAR(10)&amp;
"First ascent by: "&amp;Data!H37&amp;" ("&amp;Data!I37&amp;")"</f>
        <v>Gunung Kerinci, (Indonesia)
Elevation: 3805. m
Prominence: 3805. m
First ascent by: Hasselt, Veth (1877)</v>
      </c>
    </row>
    <row r="48" spans="2:18" ht="12.75" customHeight="1" x14ac:dyDescent="0.25">
      <c r="B48" s="5">
        <v>34</v>
      </c>
      <c r="C48" s="5">
        <f ca="1">OFFSET(Data!E38,0,$D$6)</f>
        <v>3794</v>
      </c>
      <c r="D48" s="27">
        <f t="shared" ca="1" si="0"/>
        <v>3794.0000340000001</v>
      </c>
      <c r="E48" s="27">
        <f t="shared" ca="1" si="1"/>
        <v>3794.0000340000001</v>
      </c>
      <c r="F48" s="5">
        <f t="shared" ca="1" si="2"/>
        <v>34</v>
      </c>
      <c r="G48" s="22" t="str">
        <f ca="1">INDEX(Data!B$5:B$54,$F48,1)</f>
        <v>Mt. Erebus</v>
      </c>
      <c r="H48" s="22" t="str">
        <f ca="1">INDEX(Data!C$5:C$54,$F48,1)</f>
        <v>Antarctica</v>
      </c>
      <c r="I48" s="5">
        <f ca="1">INDEX(Data!F$5:F$54,$F48,1)</f>
        <v>3794</v>
      </c>
      <c r="J48" s="5">
        <f ca="1">INDEX(Data!G$5:G$54,$F48,1)</f>
        <v>3794</v>
      </c>
      <c r="K48" s="22" t="str">
        <f ca="1">INDEX(Data!H$5:H$54,$F48,1)</f>
        <v>Tannatt David,Douglas Mawson</v>
      </c>
      <c r="L48" s="22" t="str">
        <f ca="1">INDEX(Data!I$5:I$54,$F48,1)</f>
        <v>1908</v>
      </c>
      <c r="M48" s="49">
        <v>-75.900000000000006</v>
      </c>
      <c r="N48" s="49">
        <v>165.4</v>
      </c>
      <c r="O48" s="61" t="e">
        <f ca="1">IF($F48=myRawDataPosition,INDEX(Calculations!M$15:M$64,$F48,1),NA())</f>
        <v>#N/A</v>
      </c>
      <c r="P48" s="61" t="e">
        <f ca="1">IF($F48=myRawDataPosition,INDEX(Calculations!N$15:N$64,$F48,1),NA())</f>
        <v>#N/A</v>
      </c>
      <c r="R48" s="22" t="str">
        <f>Data!B38&amp;", ("&amp;Data!C38&amp;")"&amp;CHAR(10)&amp;
"Elevation: "&amp;TEXT(Data!F38,"#.###")&amp;" m"&amp;CHAR(10)&amp;
"Prominence: "&amp;TEXT(Data!G38,"#.###")&amp;" m"&amp;CHAR(10)&amp;
"First ascent by: "&amp;Data!H38&amp;" ("&amp;Data!I38&amp;")"</f>
        <v>Mt. Erebus, (Antarctica)
Elevation: 3794. m
Prominence: 3794. m
First ascent by: Tannatt David,Douglas Mawson (1908)</v>
      </c>
    </row>
    <row r="49" spans="2:18" ht="12.75" customHeight="1" x14ac:dyDescent="0.25">
      <c r="B49" s="35">
        <v>35</v>
      </c>
      <c r="C49" s="35">
        <f ca="1">OFFSET(Data!E39,0,$D$6)</f>
        <v>3776</v>
      </c>
      <c r="D49" s="38">
        <f t="shared" ca="1" si="0"/>
        <v>3776.000035</v>
      </c>
      <c r="E49" s="38">
        <f t="shared" ca="1" si="1"/>
        <v>3776.000035</v>
      </c>
      <c r="F49" s="35">
        <f t="shared" ca="1" si="2"/>
        <v>35</v>
      </c>
      <c r="G49" s="39" t="str">
        <f ca="1">INDEX(Data!B$5:B$54,$F49,1)</f>
        <v>Fuji San</v>
      </c>
      <c r="H49" s="39" t="str">
        <f ca="1">INDEX(Data!C$5:C$54,$F49,1)</f>
        <v>Japan</v>
      </c>
      <c r="I49" s="35">
        <f ca="1">INDEX(Data!F$5:F$54,$F49,1)</f>
        <v>3776</v>
      </c>
      <c r="J49" s="35">
        <f ca="1">INDEX(Data!G$5:G$54,$F49,1)</f>
        <v>3776</v>
      </c>
      <c r="K49" s="39" t="str">
        <f ca="1">INDEX(Data!H$5:H$54,$F49,1)</f>
        <v>Unknown monk</v>
      </c>
      <c r="L49" s="39" t="str">
        <f ca="1">INDEX(Data!I$5:I$54,$F49,1)</f>
        <v>663</v>
      </c>
      <c r="M49" s="50">
        <v>30.2</v>
      </c>
      <c r="N49" s="50">
        <v>137.69999999999999</v>
      </c>
      <c r="O49" s="62" t="e">
        <f ca="1">IF($F49=myRawDataPosition,INDEX(Calculations!M$15:M$64,$F49,1),NA())</f>
        <v>#N/A</v>
      </c>
      <c r="P49" s="62" t="e">
        <f ca="1">IF($F49=myRawDataPosition,INDEX(Calculations!N$15:N$64,$F49,1),NA())</f>
        <v>#N/A</v>
      </c>
      <c r="R49" s="39" t="str">
        <f>Data!B39&amp;", ("&amp;Data!C39&amp;")"&amp;CHAR(10)&amp;
"Elevation: "&amp;TEXT(Data!F39,"#.###")&amp;" m"&amp;CHAR(10)&amp;
"Prominence: "&amp;TEXT(Data!G39,"#.###")&amp;" m"&amp;CHAR(10)&amp;
"First ascent by: "&amp;Data!H39&amp;" ("&amp;Data!I39&amp;")"</f>
        <v>Fuji San, (Japan)
Elevation: 3776. m
Prominence: 3776. m
First ascent by: Unknown monk (663)</v>
      </c>
    </row>
    <row r="50" spans="2:18" ht="12.75" customHeight="1" x14ac:dyDescent="0.25">
      <c r="B50" s="5">
        <v>36</v>
      </c>
      <c r="C50" s="5">
        <f ca="1">OFFSET(Data!E40,0,$D$6)</f>
        <v>3755</v>
      </c>
      <c r="D50" s="27">
        <f t="shared" ca="1" si="0"/>
        <v>3755.0000359999999</v>
      </c>
      <c r="E50" s="27">
        <f t="shared" ca="1" si="1"/>
        <v>3755.0000369999998</v>
      </c>
      <c r="F50" s="5">
        <f t="shared" ca="1" si="2"/>
        <v>37</v>
      </c>
      <c r="G50" s="22" t="str">
        <f ca="1">INDEX(Data!B$5:B$54,$F50,1)</f>
        <v>Jebel Toubkal</v>
      </c>
      <c r="H50" s="22" t="str">
        <f ca="1">INDEX(Data!C$5:C$54,$F50,1)</f>
        <v>Morocco</v>
      </c>
      <c r="I50" s="5">
        <f ca="1">INDEX(Data!F$5:F$54,$F50,1)</f>
        <v>4167</v>
      </c>
      <c r="J50" s="5">
        <f ca="1">INDEX(Data!G$5:G$54,$F50,1)</f>
        <v>3755</v>
      </c>
      <c r="K50" s="22" t="str">
        <f ca="1">INDEX(Data!H$5:H$54,$F50,1)</f>
        <v>Marquis de Segonzac, V. Berger, H. Dolbeau</v>
      </c>
      <c r="L50" s="22" t="str">
        <f ca="1">INDEX(Data!I$5:I$54,$F50,1)</f>
        <v>1923</v>
      </c>
      <c r="M50" s="49">
        <v>-25.1</v>
      </c>
      <c r="N50" s="49">
        <v>168.1</v>
      </c>
      <c r="O50" s="61" t="e">
        <f ca="1">IF($F50=myRawDataPosition,INDEX(Calculations!M$15:M$64,$F50,1),NA())</f>
        <v>#N/A</v>
      </c>
      <c r="P50" s="61" t="e">
        <f ca="1">IF($F50=myRawDataPosition,INDEX(Calculations!N$15:N$64,$F50,1),NA())</f>
        <v>#N/A</v>
      </c>
      <c r="R50" s="22" t="str">
        <f>Data!B40&amp;", ("&amp;Data!C40&amp;")"&amp;CHAR(10)&amp;
"Elevation: "&amp;TEXT(Data!F40,"#.###")&amp;" m"&amp;CHAR(10)&amp;
"Prominence: "&amp;TEXT(Data!G40,"#.###")&amp;" m"&amp;CHAR(10)&amp;
"First ascent by: "&amp;Data!H40&amp;" ("&amp;Data!I40&amp;")"</f>
        <v>Mt. Cook, (New Zealand)
Elevation: 3755. m
Prominence: 3755. m
First ascent by: Tom Fyfe, George Graham, Jack Clarke (1894)</v>
      </c>
    </row>
    <row r="51" spans="2:18" ht="12.75" customHeight="1" x14ac:dyDescent="0.25">
      <c r="B51" s="35">
        <v>37</v>
      </c>
      <c r="C51" s="35">
        <f ca="1">OFFSET(Data!E41,0,$D$6)</f>
        <v>3755</v>
      </c>
      <c r="D51" s="38">
        <f t="shared" ca="1" si="0"/>
        <v>3755.0000369999998</v>
      </c>
      <c r="E51" s="38">
        <f t="shared" ca="1" si="1"/>
        <v>3755.0000359999999</v>
      </c>
      <c r="F51" s="35">
        <f t="shared" ca="1" si="2"/>
        <v>36</v>
      </c>
      <c r="G51" s="39" t="str">
        <f ca="1">INDEX(Data!B$5:B$54,$F51,1)</f>
        <v>Mt. Cook</v>
      </c>
      <c r="H51" s="39" t="str">
        <f ca="1">INDEX(Data!C$5:C$54,$F51,1)</f>
        <v>New Zealand</v>
      </c>
      <c r="I51" s="35">
        <f ca="1">INDEX(Data!F$5:F$54,$F51,1)</f>
        <v>3755</v>
      </c>
      <c r="J51" s="35">
        <f ca="1">INDEX(Data!G$5:G$54,$F51,1)</f>
        <v>3755</v>
      </c>
      <c r="K51" s="39" t="str">
        <f ca="1">INDEX(Data!H$5:H$54,$F51,1)</f>
        <v>Tom Fyfe, George Graham, Jack Clarke</v>
      </c>
      <c r="L51" s="39" t="str">
        <f ca="1">INDEX(Data!I$5:I$54,$F51,1)</f>
        <v>1894</v>
      </c>
      <c r="M51" s="50">
        <v>27.4</v>
      </c>
      <c r="N51" s="50">
        <v>-7.5999999999999943</v>
      </c>
      <c r="O51" s="62" t="e">
        <f ca="1">IF($F51=myRawDataPosition,INDEX(Calculations!M$15:M$64,$F51,1),NA())</f>
        <v>#N/A</v>
      </c>
      <c r="P51" s="62" t="e">
        <f ca="1">IF($F51=myRawDataPosition,INDEX(Calculations!N$15:N$64,$F51,1),NA())</f>
        <v>#N/A</v>
      </c>
      <c r="R51" s="39" t="str">
        <f>Data!B41&amp;", ("&amp;Data!C41&amp;")"&amp;CHAR(10)&amp;
"Elevation: "&amp;TEXT(Data!F41,"#.###")&amp;" m"&amp;CHAR(10)&amp;
"Prominence: "&amp;TEXT(Data!G41,"#.###")&amp;" m"&amp;CHAR(10)&amp;
"First ascent by: "&amp;Data!H41&amp;" ("&amp;Data!I41&amp;")"</f>
        <v>Jebel Toubkal, (Morocco)
Elevation: 4167. m
Prominence: 3755. m
First ascent by: Marquis de Segonzac, V. Berger, H. Dolbeau (1923)</v>
      </c>
    </row>
    <row r="52" spans="2:18" ht="12.75" customHeight="1" x14ac:dyDescent="0.25">
      <c r="B52" s="5">
        <v>38</v>
      </c>
      <c r="C52" s="5">
        <f ca="1">OFFSET(Data!E42,0,$D$6)</f>
        <v>3727</v>
      </c>
      <c r="D52" s="27">
        <f t="shared" ca="1" si="0"/>
        <v>3727.0000380000001</v>
      </c>
      <c r="E52" s="27">
        <f t="shared" ca="1" si="1"/>
        <v>3727.0000380000001</v>
      </c>
      <c r="F52" s="5">
        <f t="shared" ca="1" si="2"/>
        <v>38</v>
      </c>
      <c r="G52" s="22" t="str">
        <f ca="1">INDEX(Data!B$5:B$54,$F52,1)</f>
        <v>Cerro Chirripo</v>
      </c>
      <c r="H52" s="22" t="str">
        <f ca="1">INDEX(Data!C$5:C$54,$F52,1)</f>
        <v>Costa Rica</v>
      </c>
      <c r="I52" s="5">
        <f ca="1">INDEX(Data!F$5:F$54,$F52,1)</f>
        <v>3820</v>
      </c>
      <c r="J52" s="5">
        <f ca="1">INDEX(Data!G$5:G$54,$F52,1)</f>
        <v>3727</v>
      </c>
      <c r="K52" s="22" t="str">
        <f ca="1">INDEX(Data!H$5:H$54,$F52,1)</f>
        <v>-</v>
      </c>
      <c r="L52" s="22" t="str">
        <f ca="1">INDEX(Data!I$5:I$54,$F52,1)</f>
        <v>-</v>
      </c>
      <c r="M52" s="49">
        <v>12.5</v>
      </c>
      <c r="N52" s="49">
        <v>-82.2</v>
      </c>
      <c r="O52" s="61" t="e">
        <f ca="1">IF($F52=myRawDataPosition,INDEX(Calculations!M$15:M$64,$F52,1),NA())</f>
        <v>#N/A</v>
      </c>
      <c r="P52" s="61" t="e">
        <f ca="1">IF($F52=myRawDataPosition,INDEX(Calculations!N$15:N$64,$F52,1),NA())</f>
        <v>#N/A</v>
      </c>
      <c r="R52" s="22" t="str">
        <f>Data!B42&amp;", ("&amp;Data!C42&amp;")"&amp;CHAR(10)&amp;
"Elevation: "&amp;TEXT(Data!F42,"#.###")&amp;" m"&amp;CHAR(10)&amp;
"Prominence: "&amp;TEXT(Data!G42,"#.###")&amp;" m"&amp;CHAR(10)&amp;
"First ascent by: "&amp;Data!H42&amp;" ("&amp;Data!I42&amp;")"</f>
        <v>Cerro Chirripo, (Costa Rica)
Elevation: 3820. m
Prominence: 3727. m
First ascent by: - (-)</v>
      </c>
    </row>
    <row r="53" spans="2:18" ht="12.75" customHeight="1" x14ac:dyDescent="0.25">
      <c r="B53" s="35">
        <v>39</v>
      </c>
      <c r="C53" s="35">
        <f ca="1">OFFSET(Data!E43,0,$D$6)</f>
        <v>3726</v>
      </c>
      <c r="D53" s="38">
        <f t="shared" ca="1" si="0"/>
        <v>3726.000039</v>
      </c>
      <c r="E53" s="38">
        <f t="shared" ca="1" si="1"/>
        <v>3726.000039</v>
      </c>
      <c r="F53" s="35">
        <f t="shared" ca="1" si="2"/>
        <v>39</v>
      </c>
      <c r="G53" s="39" t="str">
        <f ca="1">INDEX(Data!B$5:B$54,$F53,1)</f>
        <v>Gunung Rinjani</v>
      </c>
      <c r="H53" s="39" t="str">
        <f ca="1">INDEX(Data!C$5:C$54,$F53,1)</f>
        <v>Indonesia</v>
      </c>
      <c r="I53" s="35">
        <f ca="1">INDEX(Data!F$5:F$54,$F53,1)</f>
        <v>3726</v>
      </c>
      <c r="J53" s="35">
        <f ca="1">INDEX(Data!G$5:G$54,$F53,1)</f>
        <v>3726</v>
      </c>
      <c r="K53" s="39" t="str">
        <f ca="1">INDEX(Data!H$5:H$54,$F53,1)</f>
        <v>-</v>
      </c>
      <c r="L53" s="39" t="str">
        <f ca="1">INDEX(Data!I$5:I$54,$F53,1)</f>
        <v>-</v>
      </c>
      <c r="M53" s="50">
        <v>0.80000000000001137</v>
      </c>
      <c r="N53" s="50">
        <v>115.5</v>
      </c>
      <c r="O53" s="62" t="e">
        <f ca="1">IF($F53=myRawDataPosition,INDEX(Calculations!M$15:M$64,$F53,1),NA())</f>
        <v>#N/A</v>
      </c>
      <c r="P53" s="62" t="e">
        <f ca="1">IF($F53=myRawDataPosition,INDEX(Calculations!N$15:N$64,$F53,1),NA())</f>
        <v>#N/A</v>
      </c>
      <c r="R53" s="39" t="str">
        <f>Data!B43&amp;", ("&amp;Data!C43&amp;")"&amp;CHAR(10)&amp;
"Elevation: "&amp;TEXT(Data!F43,"#.###")&amp;" m"&amp;CHAR(10)&amp;
"Prominence: "&amp;TEXT(Data!G43,"#.###")&amp;" m"&amp;CHAR(10)&amp;
"First ascent by: "&amp;Data!H43&amp;" ("&amp;Data!I43&amp;")"</f>
        <v>Gunung Rinjani, (Indonesia)
Elevation: 3726. m
Prominence: 3726. m
First ascent by: - (-)</v>
      </c>
    </row>
    <row r="54" spans="2:18" ht="12.75" customHeight="1" x14ac:dyDescent="0.25">
      <c r="B54" s="5">
        <v>40</v>
      </c>
      <c r="C54" s="5">
        <f ca="1">OFFSET(Data!E44,0,$D$6)</f>
        <v>3718</v>
      </c>
      <c r="D54" s="27">
        <f t="shared" ca="1" si="0"/>
        <v>3718.0000399999999</v>
      </c>
      <c r="E54" s="27">
        <f t="shared" ca="1" si="1"/>
        <v>3718.0000399999999</v>
      </c>
      <c r="F54" s="5">
        <f t="shared" ca="1" si="2"/>
        <v>40</v>
      </c>
      <c r="G54" s="22" t="str">
        <f ca="1">INDEX(Data!B$5:B$54,$F54,1)</f>
        <v>Pico Teide</v>
      </c>
      <c r="H54" s="22" t="str">
        <f ca="1">INDEX(Data!C$5:C$54,$F54,1)</f>
        <v>Spain</v>
      </c>
      <c r="I54" s="5">
        <f ca="1">INDEX(Data!F$5:F$54,$F54,1)</f>
        <v>3718</v>
      </c>
      <c r="J54" s="5">
        <f ca="1">INDEX(Data!G$5:G$54,$F54,1)</f>
        <v>3718</v>
      </c>
      <c r="K54" s="22" t="str">
        <f ca="1">INDEX(Data!H$5:H$54,$F54,1)</f>
        <v>Sir Edmund Scory</v>
      </c>
      <c r="L54" s="22" t="str">
        <f ca="1">INDEX(Data!I$5:I$54,$F54,1)</f>
        <v>1582</v>
      </c>
      <c r="M54" s="49">
        <v>25.2</v>
      </c>
      <c r="N54" s="49">
        <v>-16.3</v>
      </c>
      <c r="O54" s="61" t="e">
        <f ca="1">IF($F54=myRawDataPosition,INDEX(Calculations!M$15:M$64,$F54,1),NA())</f>
        <v>#N/A</v>
      </c>
      <c r="P54" s="61" t="e">
        <f ca="1">IF($F54=myRawDataPosition,INDEX(Calculations!N$15:N$64,$F54,1),NA())</f>
        <v>#N/A</v>
      </c>
      <c r="R54" s="22" t="str">
        <f>Data!B44&amp;", ("&amp;Data!C44&amp;")"&amp;CHAR(10)&amp;
"Elevation: "&amp;TEXT(Data!F44,"#.###")&amp;" m"&amp;CHAR(10)&amp;
"Prominence: "&amp;TEXT(Data!G44,"#.###")&amp;" m"&amp;CHAR(10)&amp;
"First ascent by: "&amp;Data!H44&amp;" ("&amp;Data!I44&amp;")"</f>
        <v>Pico Teide, (Spain)
Elevation: 3718. m
Prominence: 3718. m
First ascent by: Sir Edmund Scory (1582)</v>
      </c>
    </row>
    <row r="55" spans="2:18" ht="12.75" customHeight="1" x14ac:dyDescent="0.25">
      <c r="B55" s="35">
        <v>41</v>
      </c>
      <c r="C55" s="35">
        <f ca="1">OFFSET(Data!E45,0,$D$6)</f>
        <v>3696</v>
      </c>
      <c r="D55" s="38">
        <f t="shared" ca="1" si="0"/>
        <v>3696.0000409999998</v>
      </c>
      <c r="E55" s="38">
        <f t="shared" ca="1" si="1"/>
        <v>3696.0000409999998</v>
      </c>
      <c r="F55" s="35">
        <f t="shared" ca="1" si="2"/>
        <v>41</v>
      </c>
      <c r="G55" s="39" t="str">
        <f ca="1">INDEX(Data!B$5:B$54,$F55,1)</f>
        <v>Monte San Valentin</v>
      </c>
      <c r="H55" s="39" t="str">
        <f ca="1">INDEX(Data!C$5:C$54,$F55,1)</f>
        <v>Chile</v>
      </c>
      <c r="I55" s="35">
        <f ca="1">INDEX(Data!F$5:F$54,$F55,1)</f>
        <v>4058</v>
      </c>
      <c r="J55" s="35">
        <f ca="1">INDEX(Data!G$5:G$54,$F55,1)</f>
        <v>3696</v>
      </c>
      <c r="K55" s="39" t="str">
        <f ca="1">INDEX(Data!H$5:H$54,$F55,1)</f>
        <v>-</v>
      </c>
      <c r="L55" s="39" t="str">
        <f ca="1">INDEX(Data!I$5:I$54,$F55,1)</f>
        <v>-</v>
      </c>
      <c r="M55" s="50">
        <v>-28.1</v>
      </c>
      <c r="N55" s="50">
        <v>-72.2</v>
      </c>
      <c r="O55" s="62" t="e">
        <f ca="1">IF($F55=myRawDataPosition,INDEX(Calculations!M$15:M$64,$F55,1),NA())</f>
        <v>#N/A</v>
      </c>
      <c r="P55" s="62" t="e">
        <f ca="1">IF($F55=myRawDataPosition,INDEX(Calculations!N$15:N$64,$F55,1),NA())</f>
        <v>#N/A</v>
      </c>
      <c r="R55" s="39" t="str">
        <f>Data!B45&amp;", ("&amp;Data!C45&amp;")"&amp;CHAR(10)&amp;
"Elevation: "&amp;TEXT(Data!F45,"#.###")&amp;" m"&amp;CHAR(10)&amp;
"Prominence: "&amp;TEXT(Data!G45,"#.###")&amp;" m"&amp;CHAR(10)&amp;
"First ascent by: "&amp;Data!H45&amp;" ("&amp;Data!I45&amp;")"</f>
        <v>Monte San Valentin, (Chile)
Elevation: 4058. m
Prominence: 3696. m
First ascent by: - (-)</v>
      </c>
    </row>
    <row r="56" spans="2:18" ht="12.75" customHeight="1" x14ac:dyDescent="0.25">
      <c r="B56" s="5">
        <v>42</v>
      </c>
      <c r="C56" s="5">
        <f ca="1">OFFSET(Data!E46,0,$D$6)</f>
        <v>3694</v>
      </c>
      <c r="D56" s="27">
        <f t="shared" ca="1" si="0"/>
        <v>3694.0000420000001</v>
      </c>
      <c r="E56" s="27">
        <f t="shared" ca="1" si="1"/>
        <v>3694.0000420000001</v>
      </c>
      <c r="F56" s="5">
        <f t="shared" ca="1" si="2"/>
        <v>42</v>
      </c>
      <c r="G56" s="22" t="str">
        <f ca="1">INDEX(Data!B$5:B$54,$F56,1)</f>
        <v>Gunnbjørnsfjeld</v>
      </c>
      <c r="H56" s="22" t="str">
        <f ca="1">INDEX(Data!C$5:C$54,$F56,1)</f>
        <v>Greenland</v>
      </c>
      <c r="I56" s="5">
        <f ca="1">INDEX(Data!F$5:F$54,$F56,1)</f>
        <v>3694</v>
      </c>
      <c r="J56" s="5">
        <f ca="1">INDEX(Data!G$5:G$54,$F56,1)</f>
        <v>3694</v>
      </c>
      <c r="K56" s="22" t="str">
        <f ca="1">INDEX(Data!H$5:H$54,$F56,1)</f>
        <v>Augustine Cortauld, Jack Longland, Ebbe Munck, H.G. Wager, Laurence Wager</v>
      </c>
      <c r="L56" s="22" t="str">
        <f ca="1">INDEX(Data!I$5:I$54,$F56,1)</f>
        <v>1935</v>
      </c>
      <c r="M56" s="49">
        <v>68.5</v>
      </c>
      <c r="N56" s="49">
        <v>-29.1</v>
      </c>
      <c r="O56" s="61" t="e">
        <f ca="1">IF($F56=myRawDataPosition,INDEX(Calculations!M$15:M$64,$F56,1),NA())</f>
        <v>#N/A</v>
      </c>
      <c r="P56" s="61" t="e">
        <f ca="1">IF($F56=myRawDataPosition,INDEX(Calculations!N$15:N$64,$F56,1),NA())</f>
        <v>#N/A</v>
      </c>
      <c r="R56" s="22" t="str">
        <f>Data!B46&amp;", ("&amp;Data!C46&amp;")"&amp;CHAR(10)&amp;
"Elevation: "&amp;TEXT(Data!F46,"#.###")&amp;" m"&amp;CHAR(10)&amp;
"Prominence: "&amp;TEXT(Data!G46,"#.###")&amp;" m"&amp;CHAR(10)&amp;
"First ascent by: "&amp;Data!H46&amp;" ("&amp;Data!I46&amp;")"</f>
        <v>Gunnbjørnsfjeld, (Greenland)
Elevation: 3694. m
Prominence: 3694. m
First ascent by: Augustine Cortauld, Jack Longland, Ebbe Munck, H.G. Wager, Laurence Wager (1935)</v>
      </c>
    </row>
    <row r="57" spans="2:18" ht="12.75" customHeight="1" x14ac:dyDescent="0.25">
      <c r="B57" s="35">
        <v>43</v>
      </c>
      <c r="C57" s="35">
        <f ca="1">OFFSET(Data!E47,0,$D$6)</f>
        <v>3688</v>
      </c>
      <c r="D57" s="38">
        <f t="shared" ca="1" si="0"/>
        <v>3688.000043</v>
      </c>
      <c r="E57" s="38">
        <f t="shared" ca="1" si="1"/>
        <v>3688.000043</v>
      </c>
      <c r="F57" s="35">
        <f t="shared" ca="1" si="2"/>
        <v>43</v>
      </c>
      <c r="G57" s="39" t="str">
        <f ca="1">INDEX(Data!B$5:B$54,$F57,1)</f>
        <v>Nevado Ojos del Salado</v>
      </c>
      <c r="H57" s="39" t="str">
        <f ca="1">INDEX(Data!C$5:C$54,$F57,1)</f>
        <v>Argentina/Chile</v>
      </c>
      <c r="I57" s="35">
        <f ca="1">INDEX(Data!F$5:F$54,$F57,1)</f>
        <v>6893</v>
      </c>
      <c r="J57" s="35">
        <f ca="1">INDEX(Data!G$5:G$54,$F57,1)</f>
        <v>3688</v>
      </c>
      <c r="K57" s="39" t="str">
        <f ca="1">INDEX(Data!H$5:H$54,$F57,1)</f>
        <v>Justyn Wojsznis, Jan Szczepanski</v>
      </c>
      <c r="L57" s="39" t="str">
        <f ca="1">INDEX(Data!I$5:I$54,$F57,1)</f>
        <v>1937</v>
      </c>
      <c r="M57" s="50">
        <v>-12.1</v>
      </c>
      <c r="N57" s="50">
        <v>-67.8</v>
      </c>
      <c r="O57" s="62" t="e">
        <f ca="1">IF($F57=myRawDataPosition,INDEX(Calculations!M$15:M$64,$F57,1),NA())</f>
        <v>#N/A</v>
      </c>
      <c r="P57" s="62" t="e">
        <f ca="1">IF($F57=myRawDataPosition,INDEX(Calculations!N$15:N$64,$F57,1),NA())</f>
        <v>#N/A</v>
      </c>
      <c r="R57" s="39" t="str">
        <f>Data!B47&amp;", ("&amp;Data!C47&amp;")"&amp;CHAR(10)&amp;
"Elevation: "&amp;TEXT(Data!F47,"#.###")&amp;" m"&amp;CHAR(10)&amp;
"Prominence: "&amp;TEXT(Data!G47,"#.###")&amp;" m"&amp;CHAR(10)&amp;
"First ascent by: "&amp;Data!H47&amp;" ("&amp;Data!I47&amp;")"</f>
        <v>Nevado Ojos del Salado, (Argentina/Chile)
Elevation: 6893. m
Prominence: 3688. m
First ascent by: Justyn Wojsznis, Jan Szczepanski (1937)</v>
      </c>
    </row>
    <row r="58" spans="2:18" ht="12.75" customHeight="1" x14ac:dyDescent="0.25">
      <c r="B58" s="5">
        <v>44</v>
      </c>
      <c r="C58" s="5">
        <f ca="1">OFFSET(Data!E48,0,$D$6)</f>
        <v>3676</v>
      </c>
      <c r="D58" s="27">
        <f t="shared" ca="1" si="0"/>
        <v>3676.0000439999999</v>
      </c>
      <c r="E58" s="27">
        <f t="shared" ca="1" si="1"/>
        <v>3676.0000439999999</v>
      </c>
      <c r="F58" s="5">
        <f t="shared" ca="1" si="2"/>
        <v>44</v>
      </c>
      <c r="G58" s="22" t="str">
        <f ca="1">INDEX(Data!B$5:B$54,$F58,1)</f>
        <v>Gunung Semeru</v>
      </c>
      <c r="H58" s="22" t="str">
        <f ca="1">INDEX(Data!C$5:C$54,$F58,1)</f>
        <v>Indonesia</v>
      </c>
      <c r="I58" s="5">
        <f ca="1">INDEX(Data!F$5:F$54,$F58,1)</f>
        <v>3676</v>
      </c>
      <c r="J58" s="5">
        <f ca="1">INDEX(Data!G$5:G$54,$F58,1)</f>
        <v>3676</v>
      </c>
      <c r="K58" s="22" t="str">
        <f ca="1">INDEX(Data!H$5:H$54,$F58,1)</f>
        <v>-</v>
      </c>
      <c r="L58" s="22" t="str">
        <f ca="1">INDEX(Data!I$5:I$54,$F58,1)</f>
        <v>-</v>
      </c>
      <c r="M58" s="49">
        <v>0.90000000000000568</v>
      </c>
      <c r="N58" s="49">
        <v>112.3</v>
      </c>
      <c r="O58" s="61" t="e">
        <f ca="1">IF($F58=myRawDataPosition,INDEX(Calculations!M$15:M$64,$F58,1),NA())</f>
        <v>#N/A</v>
      </c>
      <c r="P58" s="61" t="e">
        <f ca="1">IF($F58=myRawDataPosition,INDEX(Calculations!N$15:N$64,$F58,1),NA())</f>
        <v>#N/A</v>
      </c>
      <c r="R58" s="22" t="str">
        <f>Data!B48&amp;", ("&amp;Data!C48&amp;")"&amp;CHAR(10)&amp;
"Elevation: "&amp;TEXT(Data!F48,"#.###")&amp;" m"&amp;CHAR(10)&amp;
"Prominence: "&amp;TEXT(Data!G48,"#.###")&amp;" m"&amp;CHAR(10)&amp;
"First ascent by: "&amp;Data!H48&amp;" ("&amp;Data!I48&amp;")"</f>
        <v>Gunung Semeru, (Indonesia)
Elevation: 3676. m
Prominence: 3676. m
First ascent by: - (-)</v>
      </c>
    </row>
    <row r="59" spans="2:18" ht="12.75" customHeight="1" x14ac:dyDescent="0.25">
      <c r="B59" s="35">
        <v>45</v>
      </c>
      <c r="C59" s="35">
        <f ca="1">OFFSET(Data!E49,0,$D$6)</f>
        <v>3675</v>
      </c>
      <c r="D59" s="38">
        <f t="shared" ca="1" si="0"/>
        <v>3675.0000449999998</v>
      </c>
      <c r="E59" s="38">
        <f t="shared" ca="1" si="1"/>
        <v>3675.0000449999998</v>
      </c>
      <c r="F59" s="35">
        <f t="shared" ca="1" si="2"/>
        <v>45</v>
      </c>
      <c r="G59" s="39" t="str">
        <f ca="1">INDEX(Data!B$5:B$54,$F59,1)</f>
        <v>Finisterre Range HP</v>
      </c>
      <c r="H59" s="39" t="str">
        <f ca="1">INDEX(Data!C$5:C$54,$F59,1)</f>
        <v>Papua New Guinea</v>
      </c>
      <c r="I59" s="35">
        <f ca="1">INDEX(Data!F$5:F$54,$F59,1)</f>
        <v>4125</v>
      </c>
      <c r="J59" s="35">
        <f ca="1">INDEX(Data!G$5:G$54,$F59,1)</f>
        <v>3675</v>
      </c>
      <c r="K59" s="39" t="str">
        <f ca="1">INDEX(Data!H$5:H$54,$F59,1)</f>
        <v>Hugo Zöller</v>
      </c>
      <c r="L59" s="39" t="str">
        <f ca="1">INDEX(Data!I$5:I$54,$F59,1)</f>
        <v>1889</v>
      </c>
      <c r="M59" s="50">
        <v>2.3000000000000114</v>
      </c>
      <c r="N59" s="50">
        <v>145.5</v>
      </c>
      <c r="O59" s="62" t="e">
        <f ca="1">IF($F59=myRawDataPosition,INDEX(Calculations!M$15:M$64,$F59,1),NA())</f>
        <v>#N/A</v>
      </c>
      <c r="P59" s="62" t="e">
        <f ca="1">IF($F59=myRawDataPosition,INDEX(Calculations!N$15:N$64,$F59,1),NA())</f>
        <v>#N/A</v>
      </c>
      <c r="R59" s="39" t="str">
        <f>Data!B49&amp;", ("&amp;Data!C49&amp;")"&amp;CHAR(10)&amp;
"Elevation: "&amp;TEXT(Data!F49,"#.###")&amp;" m"&amp;CHAR(10)&amp;
"Prominence: "&amp;TEXT(Data!G49,"#.###")&amp;" m"&amp;CHAR(10)&amp;
"First ascent by: "&amp;Data!H49&amp;" ("&amp;Data!I49&amp;")"</f>
        <v>Finisterre Range HP, (Papua New Guinea)
Elevation: 4125. m
Prominence: 3675. m
First ascent by: Hugo Zöller (1889)</v>
      </c>
    </row>
    <row r="60" spans="2:18" ht="12.75" customHeight="1" x14ac:dyDescent="0.25">
      <c r="B60" s="5">
        <v>46</v>
      </c>
      <c r="C60" s="5">
        <f ca="1">OFFSET(Data!E50,0,$D$6)</f>
        <v>3645</v>
      </c>
      <c r="D60" s="27">
        <f t="shared" ca="1" si="0"/>
        <v>3645.0000460000001</v>
      </c>
      <c r="E60" s="27">
        <f t="shared" ca="1" si="1"/>
        <v>3645.0000460000001</v>
      </c>
      <c r="F60" s="5">
        <f t="shared" ca="1" si="2"/>
        <v>46</v>
      </c>
      <c r="G60" s="22" t="str">
        <f ca="1">INDEX(Data!B$5:B$54,$F60,1)</f>
        <v>Ritacuba Blanco</v>
      </c>
      <c r="H60" s="22" t="str">
        <f ca="1">INDEX(Data!C$5:C$54,$F60,1)</f>
        <v>Colombia</v>
      </c>
      <c r="I60" s="5">
        <f ca="1">INDEX(Data!F$5:F$54,$F60,1)</f>
        <v>5410</v>
      </c>
      <c r="J60" s="5">
        <f ca="1">INDEX(Data!G$5:G$54,$F60,1)</f>
        <v>3645</v>
      </c>
      <c r="K60" s="22" t="str">
        <f ca="1">INDEX(Data!H$5:H$54,$F60,1)</f>
        <v>-</v>
      </c>
      <c r="L60" s="22" t="str">
        <f ca="1">INDEX(Data!I$5:I$54,$F60,1)</f>
        <v>-</v>
      </c>
      <c r="M60" s="49">
        <v>10.5</v>
      </c>
      <c r="N60" s="49">
        <v>-71.099999999999994</v>
      </c>
      <c r="O60" s="61" t="e">
        <f ca="1">IF($F60=myRawDataPosition,INDEX(Calculations!M$15:M$64,$F60,1),NA())</f>
        <v>#N/A</v>
      </c>
      <c r="P60" s="61" t="e">
        <f ca="1">IF($F60=myRawDataPosition,INDEX(Calculations!N$15:N$64,$F60,1),NA())</f>
        <v>#N/A</v>
      </c>
      <c r="R60" s="22" t="str">
        <f>Data!B50&amp;", ("&amp;Data!C50&amp;")"&amp;CHAR(10)&amp;
"Elevation: "&amp;TEXT(Data!F50,"#.###")&amp;" m"&amp;CHAR(10)&amp;
"Prominence: "&amp;TEXT(Data!G50,"#.###")&amp;" m"&amp;CHAR(10)&amp;
"First ascent by: "&amp;Data!H50&amp;" ("&amp;Data!I50&amp;")"</f>
        <v>Ritacuba Blanco, (Colombia)
Elevation: 5410. m
Prominence: 3645. m
First ascent by: - (-)</v>
      </c>
    </row>
    <row r="61" spans="2:18" ht="12.75" customHeight="1" x14ac:dyDescent="0.25">
      <c r="B61" s="35">
        <v>47</v>
      </c>
      <c r="C61" s="35">
        <f ca="1">OFFSET(Data!E51,0,$D$6)</f>
        <v>3642</v>
      </c>
      <c r="D61" s="38">
        <f t="shared" ca="1" si="0"/>
        <v>3642.000047</v>
      </c>
      <c r="E61" s="38">
        <f t="shared" ca="1" si="1"/>
        <v>3642.000047</v>
      </c>
      <c r="F61" s="35">
        <f t="shared" ca="1" si="2"/>
        <v>47</v>
      </c>
      <c r="G61" s="39" t="str">
        <f ca="1">INDEX(Data!B$5:B$54,$F61,1)</f>
        <v>Minya Konka</v>
      </c>
      <c r="H61" s="39" t="str">
        <f ca="1">INDEX(Data!C$5:C$54,$F61,1)</f>
        <v>China</v>
      </c>
      <c r="I61" s="35">
        <f ca="1">INDEX(Data!F$5:F$54,$F61,1)</f>
        <v>7556</v>
      </c>
      <c r="J61" s="35">
        <f ca="1">INDEX(Data!G$5:G$54,$F61,1)</f>
        <v>3642</v>
      </c>
      <c r="K61" s="39" t="str">
        <f ca="1">INDEX(Data!H$5:H$54,$F61,1)</f>
        <v>US american explorer team</v>
      </c>
      <c r="L61" s="39" t="str">
        <f ca="1">INDEX(Data!I$5:I$54,$F61,1)</f>
        <v>1932</v>
      </c>
      <c r="M61" s="50">
        <v>26.3</v>
      </c>
      <c r="N61" s="50">
        <v>100.9</v>
      </c>
      <c r="O61" s="62" t="e">
        <f ca="1">IF($F61=myRawDataPosition,INDEX(Calculations!M$15:M$64,$F61,1),NA())</f>
        <v>#N/A</v>
      </c>
      <c r="P61" s="62" t="e">
        <f ca="1">IF($F61=myRawDataPosition,INDEX(Calculations!N$15:N$64,$F61,1),NA())</f>
        <v>#N/A</v>
      </c>
      <c r="R61" s="39" t="str">
        <f>Data!B51&amp;", ("&amp;Data!C51&amp;")"&amp;CHAR(10)&amp;
"Elevation: "&amp;TEXT(Data!F51,"#.###")&amp;" m"&amp;CHAR(10)&amp;
"Prominence: "&amp;TEXT(Data!G51,"#.###")&amp;" m"&amp;CHAR(10)&amp;
"First ascent by: "&amp;Data!H51&amp;" ("&amp;Data!I51&amp;")"</f>
        <v>Minya Konka, (China)
Elevation: 7556. m
Prominence: 3642. m
First ascent by: US american explorer team (1932)</v>
      </c>
    </row>
    <row r="62" spans="2:18" ht="12.75" customHeight="1" x14ac:dyDescent="0.25">
      <c r="B62" s="5">
        <v>48</v>
      </c>
      <c r="C62" s="5">
        <f ca="1">OFFSET(Data!E52,0,$D$6)</f>
        <v>3611</v>
      </c>
      <c r="D62" s="27">
        <f t="shared" ca="1" si="0"/>
        <v>3611.0000479999999</v>
      </c>
      <c r="E62" s="27">
        <f t="shared" ca="1" si="1"/>
        <v>3611.0000479999999</v>
      </c>
      <c r="F62" s="5">
        <f t="shared" ca="1" si="2"/>
        <v>48</v>
      </c>
      <c r="G62" s="22" t="str">
        <f ca="1">INDEX(Data!B$5:B$54,$F62,1)</f>
        <v>Mt. Ararat (Agri Dagi)</v>
      </c>
      <c r="H62" s="22" t="str">
        <f ca="1">INDEX(Data!C$5:C$54,$F62,1)</f>
        <v>Turkey</v>
      </c>
      <c r="I62" s="5">
        <f ca="1">INDEX(Data!F$5:F$54,$F62,1)</f>
        <v>5137</v>
      </c>
      <c r="J62" s="5">
        <f ca="1">INDEX(Data!G$5:G$54,$F62,1)</f>
        <v>3611</v>
      </c>
      <c r="K62" s="22" t="str">
        <f ca="1">INDEX(Data!H$5:H$54,$F62,1)</f>
        <v>J. J. Friedrich Parrot jun.</v>
      </c>
      <c r="L62" s="22" t="str">
        <f ca="1">INDEX(Data!I$5:I$54,$F62,1)</f>
        <v>1829</v>
      </c>
      <c r="M62" s="49">
        <v>34.1</v>
      </c>
      <c r="N62" s="49">
        <v>43.8</v>
      </c>
      <c r="O62" s="61" t="e">
        <f ca="1">IF($F62=myRawDataPosition,INDEX(Calculations!M$15:M$64,$F62,1),NA())</f>
        <v>#N/A</v>
      </c>
      <c r="P62" s="61" t="e">
        <f ca="1">IF($F62=myRawDataPosition,INDEX(Calculations!N$15:N$64,$F62,1),NA())</f>
        <v>#N/A</v>
      </c>
      <c r="R62" s="22" t="str">
        <f>Data!B52&amp;", ("&amp;Data!C52&amp;")"&amp;CHAR(10)&amp;
"Elevation: "&amp;TEXT(Data!F52,"#.###")&amp;" m"&amp;CHAR(10)&amp;
"Prominence: "&amp;TEXT(Data!G52,"#.###")&amp;" m"&amp;CHAR(10)&amp;
"First ascent by: "&amp;Data!H52&amp;" ("&amp;Data!I52&amp;")"</f>
        <v>Mt. Ararat (Agri Dagi), (Turkey)
Elevation: 5137. m
Prominence: 3611. m
First ascent by: J. J. Friedrich Parrot jun. (1829)</v>
      </c>
    </row>
    <row r="63" spans="2:18" ht="12.75" customHeight="1" x14ac:dyDescent="0.25">
      <c r="B63" s="35">
        <v>49</v>
      </c>
      <c r="C63" s="35">
        <f ca="1">OFFSET(Data!E53,0,$D$6)</f>
        <v>3585</v>
      </c>
      <c r="D63" s="38">
        <f t="shared" ca="1" si="0"/>
        <v>3585.0000490000002</v>
      </c>
      <c r="E63" s="38">
        <f t="shared" ca="1" si="1"/>
        <v>3585.0000490000002</v>
      </c>
      <c r="F63" s="35">
        <f t="shared" ca="1" si="2"/>
        <v>49</v>
      </c>
      <c r="G63" s="39" t="str">
        <f ca="1">INDEX(Data!B$5:B$54,$F63,1)</f>
        <v>Kongur Shan</v>
      </c>
      <c r="H63" s="39" t="str">
        <f ca="1">INDEX(Data!C$5:C$54,$F63,1)</f>
        <v>China</v>
      </c>
      <c r="I63" s="35">
        <f ca="1">INDEX(Data!F$5:F$54,$F63,1)</f>
        <v>7649</v>
      </c>
      <c r="J63" s="35">
        <f ca="1">INDEX(Data!G$5:G$54,$F63,1)</f>
        <v>3585</v>
      </c>
      <c r="K63" s="39" t="str">
        <f ca="1">INDEX(Data!H$5:H$54,$F63,1)</f>
        <v>Chris Bonington, Al Rouse, Peter Boardman, Joe Tasker</v>
      </c>
      <c r="L63" s="39" t="str">
        <f ca="1">INDEX(Data!I$5:I$54,$F63,1)</f>
        <v>1981</v>
      </c>
      <c r="M63" s="50">
        <v>33.4</v>
      </c>
      <c r="N63" s="50">
        <v>74.5</v>
      </c>
      <c r="O63" s="62" t="e">
        <f ca="1">IF($F63=myRawDataPosition,INDEX(Calculations!M$15:M$64,$F63,1),NA())</f>
        <v>#N/A</v>
      </c>
      <c r="P63" s="62" t="e">
        <f ca="1">IF($F63=myRawDataPosition,INDEX(Calculations!N$15:N$64,$F63,1),NA())</f>
        <v>#N/A</v>
      </c>
      <c r="R63" s="39" t="str">
        <f>Data!B53&amp;", ("&amp;Data!C53&amp;")"&amp;CHAR(10)&amp;
"Elevation: "&amp;TEXT(Data!F53,"#.###")&amp;" m"&amp;CHAR(10)&amp;
"Prominence: "&amp;TEXT(Data!G53,"#.###")&amp;" m"&amp;CHAR(10)&amp;
"First ascent by: "&amp;Data!H53&amp;" ("&amp;Data!I53&amp;")"</f>
        <v>Kongur Shan, (China)
Elevation: 7649. m
Prominence: 3585. m
First ascent by: Chris Bonington, Al Rouse, Peter Boardman, Joe Tasker (1981)</v>
      </c>
    </row>
    <row r="64" spans="2:18" ht="12.75" customHeight="1" x14ac:dyDescent="0.25">
      <c r="B64" s="6">
        <v>50</v>
      </c>
      <c r="C64" s="6">
        <f ca="1">OFFSET(Data!E54,0,$D$6)</f>
        <v>3535</v>
      </c>
      <c r="D64" s="28">
        <f t="shared" ca="1" si="0"/>
        <v>3535.0000500000001</v>
      </c>
      <c r="E64" s="28">
        <f t="shared" ca="1" si="1"/>
        <v>3535.0000500000001</v>
      </c>
      <c r="F64" s="6">
        <f t="shared" ca="1" si="2"/>
        <v>50</v>
      </c>
      <c r="G64" s="23" t="str">
        <f ca="1">INDEX(Data!B$5:B$54,$F64,1)</f>
        <v>Mt. Blackburn</v>
      </c>
      <c r="H64" s="23" t="str">
        <f ca="1">INDEX(Data!C$5:C$54,$F64,1)</f>
        <v>US</v>
      </c>
      <c r="I64" s="6">
        <f ca="1">INDEX(Data!F$5:F$54,$F64,1)</f>
        <v>4996</v>
      </c>
      <c r="J64" s="6">
        <f ca="1">INDEX(Data!G$5:G$54,$F64,1)</f>
        <v>3535</v>
      </c>
      <c r="K64" s="23" t="str">
        <f ca="1">INDEX(Data!H$5:H$54,$F64,1)</f>
        <v>Bruce Gilbert, Dick Wahlstrom, Hans Gmoser, Adolf Bitterlich, Leon Blumer</v>
      </c>
      <c r="L64" s="23" t="str">
        <f ca="1">INDEX(Data!I$5:I$54,$F64,1)</f>
        <v>1958</v>
      </c>
      <c r="M64" s="51">
        <v>57.3</v>
      </c>
      <c r="N64" s="51">
        <v>-141.5</v>
      </c>
      <c r="O64" s="63" t="e">
        <f ca="1">IF($F64=myRawDataPosition,INDEX(Calculations!M$15:M$64,$F64,1),NA())</f>
        <v>#N/A</v>
      </c>
      <c r="P64" s="63" t="e">
        <f ca="1">IF($F64=myRawDataPosition,INDEX(Calculations!N$15:N$64,$F64,1),NA())</f>
        <v>#N/A</v>
      </c>
      <c r="R64" s="23" t="str">
        <f>Data!B54&amp;", ("&amp;Data!C54&amp;")"&amp;CHAR(10)&amp;
"Elevation: "&amp;TEXT(Data!F54,"#.###")&amp;" m"&amp;CHAR(10)&amp;
"Prominence: "&amp;TEXT(Data!G54,"#.###")&amp;" m"&amp;CHAR(10)&amp;
"First ascent by: "&amp;Data!H54&amp;" ("&amp;Data!I54&amp;")"</f>
        <v>Mt. Blackburn, (US)
Elevation: 4996. m
Prominence: 3535. m
First ascent by: Bruce Gilbert, Dick Wahlstrom, Hans Gmoser, Adolf Bitterlich, Leon Blumer (1958)</v>
      </c>
    </row>
    <row r="66" spans="2:18" ht="20.100000000000001" customHeight="1" thickBot="1" x14ac:dyDescent="0.3">
      <c r="B66" s="26" t="s">
        <v>234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</row>
    <row r="68" spans="2:18" x14ac:dyDescent="0.25">
      <c r="E68" s="24" t="s">
        <v>226</v>
      </c>
      <c r="F68" s="20" t="s">
        <v>230</v>
      </c>
      <c r="G68" s="24" t="s">
        <v>0</v>
      </c>
      <c r="H68" s="24" t="s">
        <v>1</v>
      </c>
      <c r="I68" s="24" t="s">
        <v>89</v>
      </c>
      <c r="J68" s="24" t="s">
        <v>90</v>
      </c>
      <c r="K68" s="24" t="s">
        <v>223</v>
      </c>
      <c r="L68" s="25" t="s">
        <v>212</v>
      </c>
      <c r="M68" s="24" t="s">
        <v>244</v>
      </c>
      <c r="N68" s="24" t="s">
        <v>245</v>
      </c>
      <c r="O68" s="24" t="s">
        <v>240</v>
      </c>
      <c r="P68" s="24" t="s">
        <v>241</v>
      </c>
    </row>
    <row r="69" spans="2:18" ht="12.75" customHeight="1" x14ac:dyDescent="0.25">
      <c r="E69" s="35">
        <f t="shared" ref="E69:E78" ca="1" si="3">OFFSET(B14,$D$7,0)</f>
        <v>14</v>
      </c>
      <c r="F69" s="34">
        <f t="shared" ref="F69:F78" ca="1" si="4">OFFSET(F14,$D$7,0)</f>
        <v>14</v>
      </c>
      <c r="G69" s="39" t="str">
        <f t="shared" ref="G69:H78" ca="1" si="5">OFFSET(G14,$D$7,0)</f>
        <v>Nanga Parbat</v>
      </c>
      <c r="H69" s="39" t="str">
        <f t="shared" ca="1" si="5"/>
        <v>Pakistan</v>
      </c>
      <c r="I69" s="35">
        <f t="shared" ref="I69:L78" ca="1" si="6">OFFSET(I14,$D$7,0)</f>
        <v>8125</v>
      </c>
      <c r="J69" s="35">
        <f t="shared" ca="1" si="6"/>
        <v>4608</v>
      </c>
      <c r="K69" s="39" t="str">
        <f t="shared" ca="1" si="6"/>
        <v>Hermann Buhl</v>
      </c>
      <c r="L69" s="39" t="str">
        <f t="shared" ca="1" si="6"/>
        <v>1953</v>
      </c>
      <c r="M69" s="35" t="e">
        <f t="shared" ref="M69:M78" ca="1" si="7">IF($F69=myRawDataPosition,I69,NA())</f>
        <v>#N/A</v>
      </c>
      <c r="N69" s="35" t="e">
        <f t="shared" ref="N69:N78" ca="1" si="8">IF($F69=myRawDataPosition,J69,NA())</f>
        <v>#N/A</v>
      </c>
      <c r="O69" s="35">
        <f ca="1">MAX(I15:I64)</f>
        <v>8848</v>
      </c>
      <c r="P69" s="35">
        <f ca="1">MAX(J15:J64)</f>
        <v>8848</v>
      </c>
    </row>
    <row r="70" spans="2:18" ht="12.75" customHeight="1" x14ac:dyDescent="0.25">
      <c r="E70" s="5">
        <f t="shared" ca="1" si="3"/>
        <v>15</v>
      </c>
      <c r="F70" s="5">
        <f t="shared" ca="1" si="4"/>
        <v>15</v>
      </c>
      <c r="G70" s="22" t="str">
        <f t="shared" ca="1" si="5"/>
        <v>Mauna Kea</v>
      </c>
      <c r="H70" s="22" t="str">
        <f t="shared" ca="1" si="5"/>
        <v>US</v>
      </c>
      <c r="I70" s="5">
        <f t="shared" ca="1" si="6"/>
        <v>4205</v>
      </c>
      <c r="J70" s="5">
        <f t="shared" ca="1" si="6"/>
        <v>4205</v>
      </c>
      <c r="K70" s="22" t="str">
        <f t="shared" ca="1" si="6"/>
        <v>-</v>
      </c>
      <c r="L70" s="22" t="str">
        <f t="shared" ca="1" si="6"/>
        <v>-</v>
      </c>
      <c r="M70" s="5" t="e">
        <f t="shared" ca="1" si="7"/>
        <v>#N/A</v>
      </c>
      <c r="N70" s="5" t="e">
        <f t="shared" ca="1" si="8"/>
        <v>#N/A</v>
      </c>
      <c r="O70" s="5"/>
      <c r="P70" s="5"/>
    </row>
    <row r="71" spans="2:18" ht="12.75" customHeight="1" x14ac:dyDescent="0.25">
      <c r="E71" s="35">
        <f t="shared" ca="1" si="3"/>
        <v>16</v>
      </c>
      <c r="F71" s="35">
        <f t="shared" ca="1" si="4"/>
        <v>16</v>
      </c>
      <c r="G71" s="39" t="str">
        <f t="shared" ca="1" si="5"/>
        <v>Jengish Chokusu (ex. Pik Pobedy)</v>
      </c>
      <c r="H71" s="39" t="str">
        <f t="shared" ca="1" si="5"/>
        <v>Kyrgyzstan/China</v>
      </c>
      <c r="I71" s="35">
        <f t="shared" ca="1" si="6"/>
        <v>7439</v>
      </c>
      <c r="J71" s="35">
        <f t="shared" ca="1" si="6"/>
        <v>4148</v>
      </c>
      <c r="K71" s="39" t="str">
        <f t="shared" ca="1" si="6"/>
        <v>Witali Abalakow et al.</v>
      </c>
      <c r="L71" s="39" t="str">
        <f t="shared" ca="1" si="6"/>
        <v>1956</v>
      </c>
      <c r="M71" s="35" t="e">
        <f t="shared" ca="1" si="7"/>
        <v>#N/A</v>
      </c>
      <c r="N71" s="35" t="e">
        <f t="shared" ca="1" si="8"/>
        <v>#N/A</v>
      </c>
      <c r="O71" s="35"/>
      <c r="P71" s="35"/>
    </row>
    <row r="72" spans="2:18" ht="12.75" customHeight="1" x14ac:dyDescent="0.25">
      <c r="E72" s="5">
        <f t="shared" ca="1" si="3"/>
        <v>17</v>
      </c>
      <c r="F72" s="5">
        <f t="shared" ca="1" si="4"/>
        <v>18</v>
      </c>
      <c r="G72" s="22" t="str">
        <f t="shared" ca="1" si="5"/>
        <v>Bogda Shan</v>
      </c>
      <c r="H72" s="22" t="str">
        <f t="shared" ca="1" si="5"/>
        <v>China</v>
      </c>
      <c r="I72" s="5">
        <f t="shared" ca="1" si="6"/>
        <v>5445</v>
      </c>
      <c r="J72" s="5">
        <f t="shared" ca="1" si="6"/>
        <v>4122</v>
      </c>
      <c r="K72" s="22" t="str">
        <f t="shared" ca="1" si="6"/>
        <v>-</v>
      </c>
      <c r="L72" s="22" t="str">
        <f t="shared" ca="1" si="6"/>
        <v>-</v>
      </c>
      <c r="M72" s="5" t="e">
        <f t="shared" ca="1" si="7"/>
        <v>#N/A</v>
      </c>
      <c r="N72" s="5" t="e">
        <f t="shared" ca="1" si="8"/>
        <v>#N/A</v>
      </c>
      <c r="O72" s="5"/>
      <c r="P72" s="5"/>
    </row>
    <row r="73" spans="2:18" ht="12.75" customHeight="1" x14ac:dyDescent="0.25">
      <c r="E73" s="35">
        <f t="shared" ca="1" si="3"/>
        <v>18</v>
      </c>
      <c r="F73" s="35">
        <f t="shared" ca="1" si="4"/>
        <v>17</v>
      </c>
      <c r="G73" s="39" t="str">
        <f t="shared" ca="1" si="5"/>
        <v>Chimborazo</v>
      </c>
      <c r="H73" s="39" t="str">
        <f t="shared" ca="1" si="5"/>
        <v>Ecuador</v>
      </c>
      <c r="I73" s="35">
        <f t="shared" ca="1" si="6"/>
        <v>6267</v>
      </c>
      <c r="J73" s="35">
        <f t="shared" ca="1" si="6"/>
        <v>4122</v>
      </c>
      <c r="K73" s="39" t="str">
        <f t="shared" ca="1" si="6"/>
        <v>Edward Whymper</v>
      </c>
      <c r="L73" s="39" t="str">
        <f t="shared" ca="1" si="6"/>
        <v>1880</v>
      </c>
      <c r="M73" s="35">
        <f t="shared" ca="1" si="7"/>
        <v>6267</v>
      </c>
      <c r="N73" s="35">
        <f t="shared" ca="1" si="8"/>
        <v>4122</v>
      </c>
      <c r="O73" s="35"/>
      <c r="P73" s="35"/>
    </row>
    <row r="74" spans="2:18" ht="12.75" customHeight="1" x14ac:dyDescent="0.25">
      <c r="E74" s="5">
        <f t="shared" ca="1" si="3"/>
        <v>19</v>
      </c>
      <c r="F74" s="5">
        <f t="shared" ca="1" si="4"/>
        <v>19</v>
      </c>
      <c r="G74" s="22" t="str">
        <f t="shared" ca="1" si="5"/>
        <v>Namcha Barwa</v>
      </c>
      <c r="H74" s="22" t="str">
        <f t="shared" ca="1" si="5"/>
        <v>China</v>
      </c>
      <c r="I74" s="5">
        <f t="shared" ca="1" si="6"/>
        <v>7782</v>
      </c>
      <c r="J74" s="5">
        <f t="shared" ca="1" si="6"/>
        <v>4106</v>
      </c>
      <c r="K74" s="22" t="str">
        <f t="shared" ca="1" si="6"/>
        <v>Bianba Zaxi  et al.</v>
      </c>
      <c r="L74" s="22" t="str">
        <f t="shared" ca="1" si="6"/>
        <v>1992</v>
      </c>
      <c r="M74" s="5" t="e">
        <f t="shared" ca="1" si="7"/>
        <v>#N/A</v>
      </c>
      <c r="N74" s="5" t="e">
        <f t="shared" ca="1" si="8"/>
        <v>#N/A</v>
      </c>
      <c r="O74" s="5"/>
      <c r="P74" s="5"/>
    </row>
    <row r="75" spans="2:18" ht="12.75" customHeight="1" x14ac:dyDescent="0.25">
      <c r="E75" s="35">
        <f t="shared" ca="1" si="3"/>
        <v>20</v>
      </c>
      <c r="F75" s="35">
        <f t="shared" ca="1" si="4"/>
        <v>20</v>
      </c>
      <c r="G75" s="39" t="str">
        <f t="shared" ca="1" si="5"/>
        <v>Kinabalu</v>
      </c>
      <c r="H75" s="39" t="str">
        <f t="shared" ca="1" si="5"/>
        <v>Malaysia</v>
      </c>
      <c r="I75" s="35">
        <f t="shared" ca="1" si="6"/>
        <v>4095</v>
      </c>
      <c r="J75" s="35">
        <f t="shared" ca="1" si="6"/>
        <v>4095</v>
      </c>
      <c r="K75" s="39" t="str">
        <f t="shared" ca="1" si="6"/>
        <v>H. Low, S. St. John</v>
      </c>
      <c r="L75" s="39" t="str">
        <f t="shared" ca="1" si="6"/>
        <v>1858</v>
      </c>
      <c r="M75" s="35" t="e">
        <f t="shared" ca="1" si="7"/>
        <v>#N/A</v>
      </c>
      <c r="N75" s="35" t="e">
        <f t="shared" ca="1" si="8"/>
        <v>#N/A</v>
      </c>
      <c r="O75" s="35"/>
      <c r="P75" s="35"/>
    </row>
    <row r="76" spans="2:18" ht="12.75" customHeight="1" x14ac:dyDescent="0.25">
      <c r="E76" s="5">
        <f t="shared" ca="1" si="3"/>
        <v>21</v>
      </c>
      <c r="F76" s="5">
        <f t="shared" ca="1" si="4"/>
        <v>21</v>
      </c>
      <c r="G76" s="22" t="str">
        <f t="shared" ca="1" si="5"/>
        <v>Mt. Rainier</v>
      </c>
      <c r="H76" s="22" t="str">
        <f t="shared" ca="1" si="5"/>
        <v>US</v>
      </c>
      <c r="I76" s="5">
        <f t="shared" ca="1" si="6"/>
        <v>4393</v>
      </c>
      <c r="J76" s="5">
        <f t="shared" ca="1" si="6"/>
        <v>4023</v>
      </c>
      <c r="K76" s="22" t="str">
        <f t="shared" ca="1" si="6"/>
        <v>Hazard Stevens, P.B. Van Trump</v>
      </c>
      <c r="L76" s="22" t="str">
        <f t="shared" ca="1" si="6"/>
        <v>1870</v>
      </c>
      <c r="M76" s="5" t="e">
        <f t="shared" ca="1" si="7"/>
        <v>#N/A</v>
      </c>
      <c r="N76" s="5" t="e">
        <f t="shared" ca="1" si="8"/>
        <v>#N/A</v>
      </c>
      <c r="O76" s="5"/>
      <c r="P76" s="5"/>
    </row>
    <row r="77" spans="2:18" ht="12.75" customHeight="1" x14ac:dyDescent="0.25">
      <c r="E77" s="35">
        <f t="shared" ca="1" si="3"/>
        <v>22</v>
      </c>
      <c r="F77" s="35">
        <f t="shared" ca="1" si="4"/>
        <v>22</v>
      </c>
      <c r="G77" s="39" t="str">
        <f t="shared" ca="1" si="5"/>
        <v>K2</v>
      </c>
      <c r="H77" s="39" t="str">
        <f t="shared" ca="1" si="5"/>
        <v>Pakistan/China</v>
      </c>
      <c r="I77" s="35">
        <f t="shared" ca="1" si="6"/>
        <v>8611</v>
      </c>
      <c r="J77" s="35">
        <f t="shared" ca="1" si="6"/>
        <v>4017</v>
      </c>
      <c r="K77" s="39" t="str">
        <f t="shared" ca="1" si="6"/>
        <v>Achille Compagnoni, Lino Lacedelli</v>
      </c>
      <c r="L77" s="39" t="str">
        <f t="shared" ca="1" si="6"/>
        <v>1954</v>
      </c>
      <c r="M77" s="35" t="e">
        <f t="shared" ca="1" si="7"/>
        <v>#N/A</v>
      </c>
      <c r="N77" s="35" t="e">
        <f t="shared" ca="1" si="8"/>
        <v>#N/A</v>
      </c>
      <c r="O77" s="35"/>
      <c r="P77" s="35"/>
    </row>
    <row r="78" spans="2:18" ht="12.75" customHeight="1" x14ac:dyDescent="0.25">
      <c r="E78" s="6">
        <f t="shared" ca="1" si="3"/>
        <v>23</v>
      </c>
      <c r="F78" s="6">
        <f t="shared" ca="1" si="4"/>
        <v>24</v>
      </c>
      <c r="G78" s="23" t="str">
        <f t="shared" ca="1" si="5"/>
        <v>Volcan Tajumulco</v>
      </c>
      <c r="H78" s="23" t="str">
        <f t="shared" ca="1" si="5"/>
        <v>Guatemala</v>
      </c>
      <c r="I78" s="6">
        <f t="shared" ca="1" si="6"/>
        <v>4220</v>
      </c>
      <c r="J78" s="6">
        <f t="shared" ca="1" si="6"/>
        <v>3980</v>
      </c>
      <c r="K78" s="23" t="str">
        <f t="shared" ca="1" si="6"/>
        <v>-</v>
      </c>
      <c r="L78" s="23" t="str">
        <f t="shared" ca="1" si="6"/>
        <v>-</v>
      </c>
      <c r="M78" s="6" t="e">
        <f t="shared" ca="1" si="7"/>
        <v>#N/A</v>
      </c>
      <c r="N78" s="6" t="e">
        <f t="shared" ca="1" si="8"/>
        <v>#N/A</v>
      </c>
      <c r="O78" s="6"/>
      <c r="P78" s="6"/>
    </row>
  </sheetData>
  <phoneticPr fontId="4" type="noConversion"/>
  <pageMargins left="0.19685039370078741" right="0.19685039370078741" top="0.19685039370078741" bottom="0.19685039370078741" header="0" footer="0"/>
  <pageSetup paperSize="9" scale="54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Dashboard</vt:lpstr>
      <vt:lpstr>Data</vt:lpstr>
      <vt:lpstr>Calculations</vt:lpstr>
      <vt:lpstr>myActualPositions</vt:lpstr>
      <vt:lpstr>myActualPositionStart</vt:lpstr>
      <vt:lpstr>myActualSelection</vt:lpstr>
      <vt:lpstr>myActualSnapshotStart</vt:lpstr>
      <vt:lpstr>myActualURL</vt:lpstr>
      <vt:lpstr>myOutputTable</vt:lpstr>
      <vt:lpstr>myRawDataPosition</vt:lpstr>
      <vt:lpstr>mySelectionNoStart</vt:lpstr>
      <vt:lpstr>mySelectionPosStart</vt:lpstr>
      <vt:lpstr>myTooltipBubbleStart</vt:lpstr>
    </vt:vector>
  </TitlesOfParts>
  <Manager>Robert</Manager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Bluffing Tableau Actions and Tooltips with Excel</dc:title>
  <dc:creator>Robert</dc:creator>
  <dc:description>www.clearlyandsimply.com</dc:description>
  <cp:lastModifiedBy>winston snyder</cp:lastModifiedBy>
  <cp:lastPrinted>2010-08-18T20:03:34Z</cp:lastPrinted>
  <dcterms:created xsi:type="dcterms:W3CDTF">2010-06-21T15:43:13Z</dcterms:created>
  <dcterms:modified xsi:type="dcterms:W3CDTF">2016-07-23T23:27:44Z</dcterms:modified>
  <cp:category>Charts, Excel,Visualization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b24eaca3-3e30-4308-9640-cb3d5b354a4b</vt:lpwstr>
  </property>
</Properties>
</file>