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wsnyder\Documents\AR\AR Trend By Customer\"/>
    </mc:Choice>
  </mc:AlternateContent>
  <bookViews>
    <workbookView xWindow="0" yWindow="0" windowWidth="28800" windowHeight="12300" activeTab="2"/>
  </bookViews>
  <sheets>
    <sheet name="inputs" sheetId="9" r:id="rId1"/>
    <sheet name="Dashboard" sheetId="15" r:id="rId2"/>
    <sheet name="Calculations" sheetId="14" r:id="rId3"/>
    <sheet name="Top60" sheetId="16" r:id="rId4"/>
    <sheet name="Tables_Over90" sheetId="5" r:id="rId5"/>
    <sheet name="Tables_6190" sheetId="11" r:id="rId6"/>
    <sheet name="Tables_3160" sheetId="12" r:id="rId7"/>
    <sheet name="Tables_Current" sheetId="13" r:id="rId8"/>
    <sheet name="data" sheetId="3" r:id="rId9"/>
    <sheet name="frmlas" sheetId="6" r:id="rId10"/>
    <sheet name="Sheet1" sheetId="17" r:id="rId11"/>
    <sheet name="inf" sheetId="4" r:id="rId12"/>
    <sheet name="Summary" sheetId="18" r:id="rId13"/>
  </sheets>
  <functionGroups builtInGroupCount="18"/>
  <definedNames>
    <definedName name="_xlnm._FilterDatabase" localSheetId="8" hidden="1">data!$A$1:$I$2899</definedName>
    <definedName name="Start_Date">inputs!$C$2</definedName>
  </definedNames>
  <calcPr calcId="162913"/>
  <pivotCaches>
    <pivotCache cacheId="2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11" l="1"/>
  <c r="F57" i="11"/>
  <c r="G56" i="11"/>
  <c r="F56" i="11"/>
  <c r="G55" i="11"/>
  <c r="F55" i="11"/>
  <c r="G54" i="11"/>
  <c r="F54" i="11"/>
  <c r="G53" i="11"/>
  <c r="F53" i="11"/>
  <c r="G52" i="11"/>
  <c r="F52" i="11"/>
  <c r="G51" i="11"/>
  <c r="F51" i="11"/>
  <c r="G50" i="11"/>
  <c r="F50" i="11"/>
  <c r="G49" i="11"/>
  <c r="F49" i="11"/>
  <c r="G48" i="11"/>
  <c r="F48" i="11"/>
  <c r="G57" i="5"/>
  <c r="G56" i="5"/>
  <c r="G55" i="5"/>
  <c r="G54" i="5"/>
  <c r="G53" i="5"/>
  <c r="G52" i="5"/>
  <c r="G51" i="5"/>
  <c r="G50" i="5"/>
  <c r="G49" i="5"/>
  <c r="G48" i="5"/>
  <c r="G58" i="5"/>
  <c r="F57" i="5"/>
  <c r="F56" i="5"/>
  <c r="F55" i="5"/>
  <c r="F54" i="5"/>
  <c r="F53" i="5"/>
  <c r="F52" i="5"/>
  <c r="F51" i="5"/>
  <c r="F50" i="5"/>
  <c r="F49" i="5"/>
  <c r="F48" i="5"/>
  <c r="G4382" i="3"/>
  <c r="G4381" i="3"/>
  <c r="G4380" i="3"/>
  <c r="G4379" i="3"/>
  <c r="G4378" i="3"/>
  <c r="G4377" i="3"/>
  <c r="G4376" i="3"/>
  <c r="G4375" i="3"/>
  <c r="G4374" i="3"/>
  <c r="G4373" i="3"/>
  <c r="G4372" i="3"/>
  <c r="G4371" i="3"/>
  <c r="G4370" i="3"/>
  <c r="G4369" i="3"/>
  <c r="G4368" i="3"/>
  <c r="G4367" i="3"/>
  <c r="G4366" i="3"/>
  <c r="G4365" i="3"/>
  <c r="G4364" i="3"/>
  <c r="G4363" i="3"/>
  <c r="G4362" i="3"/>
  <c r="G4361" i="3"/>
  <c r="G4360" i="3"/>
  <c r="G4359" i="3"/>
  <c r="G4358" i="3"/>
  <c r="G4357" i="3"/>
  <c r="G4356" i="3"/>
  <c r="G4355" i="3"/>
  <c r="G4354" i="3"/>
  <c r="G4353" i="3"/>
  <c r="G4352" i="3"/>
  <c r="G4351" i="3"/>
  <c r="G4350" i="3"/>
  <c r="G4349" i="3"/>
  <c r="G4348" i="3"/>
  <c r="G4347" i="3"/>
  <c r="G4346" i="3"/>
  <c r="G4345" i="3"/>
  <c r="G4344" i="3"/>
  <c r="G4343" i="3"/>
  <c r="G4342" i="3"/>
  <c r="G4341" i="3"/>
  <c r="G4340" i="3"/>
  <c r="G4339" i="3"/>
  <c r="G4338" i="3"/>
  <c r="G4337" i="3"/>
  <c r="G4336" i="3"/>
  <c r="G4335" i="3"/>
  <c r="G4334" i="3"/>
  <c r="G4333" i="3"/>
  <c r="G4332" i="3"/>
  <c r="G4331" i="3"/>
  <c r="G4330" i="3"/>
  <c r="G4329" i="3"/>
  <c r="G4328" i="3"/>
  <c r="G4327" i="3"/>
  <c r="G4326" i="3"/>
  <c r="G4325" i="3"/>
  <c r="G4324" i="3"/>
  <c r="G4323" i="3"/>
  <c r="G4322" i="3"/>
  <c r="G4321" i="3"/>
  <c r="G4320" i="3"/>
  <c r="G4319" i="3"/>
  <c r="G4318" i="3"/>
  <c r="G4317" i="3"/>
  <c r="G4316" i="3"/>
  <c r="G4315" i="3"/>
  <c r="G4314" i="3"/>
  <c r="G4313" i="3"/>
  <c r="G4312" i="3"/>
  <c r="G4311" i="3"/>
  <c r="G4310" i="3"/>
  <c r="G4309" i="3"/>
  <c r="G4308" i="3"/>
  <c r="G4307" i="3"/>
  <c r="G4306" i="3"/>
  <c r="G4305" i="3"/>
  <c r="G4304" i="3"/>
  <c r="G4303" i="3"/>
  <c r="G4302" i="3"/>
  <c r="G4301" i="3"/>
  <c r="G4300" i="3"/>
  <c r="G4299" i="3"/>
  <c r="G4298" i="3"/>
  <c r="G4297" i="3"/>
  <c r="G4296" i="3"/>
  <c r="G4295" i="3"/>
  <c r="G4294" i="3"/>
  <c r="G4293" i="3"/>
  <c r="G4292" i="3"/>
  <c r="G4291" i="3"/>
  <c r="G4290" i="3"/>
  <c r="G4289" i="3"/>
  <c r="G4288" i="3"/>
  <c r="G4287" i="3"/>
  <c r="G4286" i="3"/>
  <c r="G4285" i="3"/>
  <c r="G4284" i="3"/>
  <c r="G4283" i="3"/>
  <c r="G4282" i="3"/>
  <c r="G4281" i="3"/>
  <c r="G4280" i="3"/>
  <c r="G4279" i="3"/>
  <c r="G4278" i="3"/>
  <c r="G4277" i="3"/>
  <c r="G4276" i="3"/>
  <c r="G4275" i="3"/>
  <c r="G4274" i="3"/>
  <c r="G4273" i="3"/>
  <c r="G4272" i="3"/>
  <c r="G4271" i="3"/>
  <c r="G4270" i="3"/>
  <c r="G4269" i="3"/>
  <c r="G4268" i="3"/>
  <c r="G4267" i="3"/>
  <c r="G4266" i="3"/>
  <c r="G4265" i="3"/>
  <c r="G4264" i="3"/>
  <c r="G4263" i="3"/>
  <c r="G4262" i="3"/>
  <c r="G4261" i="3"/>
  <c r="G4260" i="3"/>
  <c r="G4259" i="3"/>
  <c r="G4258" i="3"/>
  <c r="G4257" i="3"/>
  <c r="G4256" i="3"/>
  <c r="G4255" i="3"/>
  <c r="G4254" i="3"/>
  <c r="G4253" i="3"/>
  <c r="G4252" i="3"/>
  <c r="G4251" i="3"/>
  <c r="G4250" i="3"/>
  <c r="G4249" i="3"/>
  <c r="G4248" i="3"/>
  <c r="G4247" i="3"/>
  <c r="G4246" i="3"/>
  <c r="G4245" i="3"/>
  <c r="G4244" i="3"/>
  <c r="G4243" i="3"/>
  <c r="G4242" i="3"/>
  <c r="G4241" i="3"/>
  <c r="G4240" i="3"/>
  <c r="G4239" i="3"/>
  <c r="G4238" i="3"/>
  <c r="G4237" i="3"/>
  <c r="G4236" i="3"/>
  <c r="G4235" i="3"/>
  <c r="G4234" i="3"/>
  <c r="G4233" i="3"/>
  <c r="G4232" i="3"/>
  <c r="G4231" i="3"/>
  <c r="G4230" i="3"/>
  <c r="G4229" i="3"/>
  <c r="G4228" i="3"/>
  <c r="G4227" i="3"/>
  <c r="G4226" i="3"/>
  <c r="G4225" i="3"/>
  <c r="G4224" i="3"/>
  <c r="G4223" i="3"/>
  <c r="G4222" i="3"/>
  <c r="G4221" i="3"/>
  <c r="G4220" i="3"/>
  <c r="G4219" i="3"/>
  <c r="G4218" i="3"/>
  <c r="G4217" i="3"/>
  <c r="G4216" i="3"/>
  <c r="G4215" i="3"/>
  <c r="G4214" i="3"/>
  <c r="G4213" i="3"/>
  <c r="G4212" i="3"/>
  <c r="G4211" i="3"/>
  <c r="G4210" i="3"/>
  <c r="G4209" i="3"/>
  <c r="G4208" i="3"/>
  <c r="G4207" i="3"/>
  <c r="G4206" i="3"/>
  <c r="G4205" i="3"/>
  <c r="G4204" i="3"/>
  <c r="G4203" i="3"/>
  <c r="G4202" i="3"/>
  <c r="G4201" i="3"/>
  <c r="G4200" i="3"/>
  <c r="G4199" i="3"/>
  <c r="G4198" i="3"/>
  <c r="G4197" i="3"/>
  <c r="G4196" i="3"/>
  <c r="G4195" i="3"/>
  <c r="G4194" i="3"/>
  <c r="G4193" i="3"/>
  <c r="G4192" i="3"/>
  <c r="G4191" i="3"/>
  <c r="G4190" i="3"/>
  <c r="G4189" i="3"/>
  <c r="G4188" i="3"/>
  <c r="G4187" i="3"/>
  <c r="G4186" i="3"/>
  <c r="G4185" i="3"/>
  <c r="G4184" i="3"/>
  <c r="G4183" i="3"/>
  <c r="G4182" i="3"/>
  <c r="G4181" i="3"/>
  <c r="G4180" i="3"/>
  <c r="G4179" i="3"/>
  <c r="G4178" i="3"/>
  <c r="G4177" i="3"/>
  <c r="G4176" i="3"/>
  <c r="G4175" i="3"/>
  <c r="G4174" i="3"/>
  <c r="G4173" i="3"/>
  <c r="G4172" i="3"/>
  <c r="G4171" i="3"/>
  <c r="G4170" i="3"/>
  <c r="G4169" i="3"/>
  <c r="G4168" i="3"/>
  <c r="G4167" i="3"/>
  <c r="G4166" i="3"/>
  <c r="G4165" i="3"/>
  <c r="G4164" i="3"/>
  <c r="G4163" i="3"/>
  <c r="G4162" i="3"/>
  <c r="G4161" i="3"/>
  <c r="G4160" i="3"/>
  <c r="G4159" i="3"/>
  <c r="G4158" i="3"/>
  <c r="G4157" i="3"/>
  <c r="G4156" i="3"/>
  <c r="G4155" i="3"/>
  <c r="G4154" i="3"/>
  <c r="G4153" i="3"/>
  <c r="G4152" i="3"/>
  <c r="G4151" i="3"/>
  <c r="G4150" i="3"/>
  <c r="G4149" i="3"/>
  <c r="G4148" i="3"/>
  <c r="G4147" i="3"/>
  <c r="G4146" i="3"/>
  <c r="G4145" i="3"/>
  <c r="G4144" i="3"/>
  <c r="G4143" i="3"/>
  <c r="G4142" i="3"/>
  <c r="G4141" i="3"/>
  <c r="G4140" i="3"/>
  <c r="G4139" i="3"/>
  <c r="G4138" i="3"/>
  <c r="G4137" i="3"/>
  <c r="G4136" i="3"/>
  <c r="G4135" i="3"/>
  <c r="G4134" i="3"/>
  <c r="G4133" i="3"/>
  <c r="G4132" i="3"/>
  <c r="G4131" i="3"/>
  <c r="G4130" i="3"/>
  <c r="G4129" i="3"/>
  <c r="G4128" i="3"/>
  <c r="G4127" i="3"/>
  <c r="G4126" i="3"/>
  <c r="G4125" i="3"/>
  <c r="G4124" i="3"/>
  <c r="G4123" i="3"/>
  <c r="G4122" i="3"/>
  <c r="G4121" i="3"/>
  <c r="G4120" i="3"/>
  <c r="G4119" i="3"/>
  <c r="G4118" i="3"/>
  <c r="G4117" i="3"/>
  <c r="G4116" i="3"/>
  <c r="G4115" i="3"/>
  <c r="G4114" i="3"/>
  <c r="G4113" i="3"/>
  <c r="G4112" i="3"/>
  <c r="G4111" i="3"/>
  <c r="G4110" i="3"/>
  <c r="G4109" i="3"/>
  <c r="G4108" i="3"/>
  <c r="G4107" i="3"/>
  <c r="G4106" i="3"/>
  <c r="G4105" i="3"/>
  <c r="G4104" i="3"/>
  <c r="G4103" i="3"/>
  <c r="G4102" i="3"/>
  <c r="G4101" i="3"/>
  <c r="G4100" i="3"/>
  <c r="G4099" i="3"/>
  <c r="G4098" i="3"/>
  <c r="G4097" i="3"/>
  <c r="G4096" i="3"/>
  <c r="G4095" i="3"/>
  <c r="G4094" i="3"/>
  <c r="G4093" i="3"/>
  <c r="G4092" i="3"/>
  <c r="G4091" i="3"/>
  <c r="G4090" i="3"/>
  <c r="G4089" i="3"/>
  <c r="G4088" i="3"/>
  <c r="G4087" i="3"/>
  <c r="G4086" i="3"/>
  <c r="G4085" i="3"/>
  <c r="G4084" i="3"/>
  <c r="G4083" i="3"/>
  <c r="G4082" i="3"/>
  <c r="G4081" i="3"/>
  <c r="G4080" i="3"/>
  <c r="G4079" i="3"/>
  <c r="G4078" i="3"/>
  <c r="G4077" i="3"/>
  <c r="G4076" i="3"/>
  <c r="G4075" i="3"/>
  <c r="G4074" i="3"/>
  <c r="G4073" i="3"/>
  <c r="G4072" i="3"/>
  <c r="G4071" i="3"/>
  <c r="G4070" i="3"/>
  <c r="G4069" i="3"/>
  <c r="G4068" i="3"/>
  <c r="G4067" i="3"/>
  <c r="G4066" i="3"/>
  <c r="G4065" i="3"/>
  <c r="G4064" i="3"/>
  <c r="G4063" i="3"/>
  <c r="G4062" i="3"/>
  <c r="G4061" i="3"/>
  <c r="G4060" i="3"/>
  <c r="G4059" i="3"/>
  <c r="G4058" i="3"/>
  <c r="G4057" i="3"/>
  <c r="G4056" i="3"/>
  <c r="G4055" i="3"/>
  <c r="G4054" i="3"/>
  <c r="G4053" i="3"/>
  <c r="G4052" i="3"/>
  <c r="G4051" i="3"/>
  <c r="G4050" i="3"/>
  <c r="G4049" i="3"/>
  <c r="G4048" i="3"/>
  <c r="G4047" i="3"/>
  <c r="G4046" i="3"/>
  <c r="G4045" i="3"/>
  <c r="G4044" i="3"/>
  <c r="G4043" i="3"/>
  <c r="G4042" i="3"/>
  <c r="G4041" i="3"/>
  <c r="G4040" i="3"/>
  <c r="G4039" i="3"/>
  <c r="G4038" i="3"/>
  <c r="G4037" i="3"/>
  <c r="G4036" i="3"/>
  <c r="G4035" i="3"/>
  <c r="G4034" i="3"/>
  <c r="G4033" i="3"/>
  <c r="G4032" i="3"/>
  <c r="G4031" i="3"/>
  <c r="G4030" i="3"/>
  <c r="G4029" i="3"/>
  <c r="G4028" i="3"/>
  <c r="G4027" i="3"/>
  <c r="G4026" i="3"/>
  <c r="G4025" i="3"/>
  <c r="G4024" i="3"/>
  <c r="G4023" i="3"/>
  <c r="G4022" i="3"/>
  <c r="G4021" i="3"/>
  <c r="G4020" i="3"/>
  <c r="G4019" i="3"/>
  <c r="G4018" i="3"/>
  <c r="G4017" i="3"/>
  <c r="G4016" i="3"/>
  <c r="G4015" i="3"/>
  <c r="G4014" i="3"/>
  <c r="G4013" i="3"/>
  <c r="G4012" i="3"/>
  <c r="G4011" i="3"/>
  <c r="G4010" i="3"/>
  <c r="G4009" i="3"/>
  <c r="G4008" i="3"/>
  <c r="G4007" i="3"/>
  <c r="G4006" i="3"/>
  <c r="G4005" i="3"/>
  <c r="G4004" i="3"/>
  <c r="G4003" i="3"/>
  <c r="G4002" i="3"/>
  <c r="G4001" i="3"/>
  <c r="G4000" i="3"/>
  <c r="G3999" i="3"/>
  <c r="G3998" i="3"/>
  <c r="G3997" i="3"/>
  <c r="G3996" i="3"/>
  <c r="G3995" i="3"/>
  <c r="G3994" i="3"/>
  <c r="G3993" i="3"/>
  <c r="G3992" i="3"/>
  <c r="G3991" i="3"/>
  <c r="G3990" i="3"/>
  <c r="G3989" i="3"/>
  <c r="G3988" i="3"/>
  <c r="G3987" i="3"/>
  <c r="G3986" i="3"/>
  <c r="G3985" i="3"/>
  <c r="G3984" i="3"/>
  <c r="G3983" i="3"/>
  <c r="G3982" i="3"/>
  <c r="G3981" i="3"/>
  <c r="G3980" i="3"/>
  <c r="G3979" i="3"/>
  <c r="G3978" i="3"/>
  <c r="G3977" i="3"/>
  <c r="G3976" i="3"/>
  <c r="G3975" i="3"/>
  <c r="G3974" i="3"/>
  <c r="G3973" i="3"/>
  <c r="G3972" i="3"/>
  <c r="G3971" i="3"/>
  <c r="G3970" i="3"/>
  <c r="G3969" i="3"/>
  <c r="G3968" i="3"/>
  <c r="G3967" i="3"/>
  <c r="G3966" i="3"/>
  <c r="G3965" i="3"/>
  <c r="G3964" i="3"/>
  <c r="G3963" i="3"/>
  <c r="G3962" i="3"/>
  <c r="G3961" i="3"/>
  <c r="G3960" i="3"/>
  <c r="G3959" i="3"/>
  <c r="G3958" i="3"/>
  <c r="G3957" i="3"/>
  <c r="G3956" i="3"/>
  <c r="G3955" i="3"/>
  <c r="G3954" i="3"/>
  <c r="G3953" i="3"/>
  <c r="G3952" i="3"/>
  <c r="G3951" i="3"/>
  <c r="G3950" i="3"/>
  <c r="G3949" i="3"/>
  <c r="G3948" i="3"/>
  <c r="G3947" i="3"/>
  <c r="G3946" i="3"/>
  <c r="G3945" i="3"/>
  <c r="G3944" i="3"/>
  <c r="G3943" i="3"/>
  <c r="G3942" i="3"/>
  <c r="G3941" i="3"/>
  <c r="G3940" i="3"/>
  <c r="G3939" i="3"/>
  <c r="G3938" i="3"/>
  <c r="G3937" i="3"/>
  <c r="G3936" i="3"/>
  <c r="G3935" i="3"/>
  <c r="G3934" i="3"/>
  <c r="G3933" i="3"/>
  <c r="G3932" i="3"/>
  <c r="G3931" i="3"/>
  <c r="G3930" i="3"/>
  <c r="G3929" i="3"/>
  <c r="G3928" i="3"/>
  <c r="G3927" i="3"/>
  <c r="G3926" i="3"/>
  <c r="G3925" i="3"/>
  <c r="G3924" i="3"/>
  <c r="G3923" i="3"/>
  <c r="G3922" i="3"/>
  <c r="G3921" i="3"/>
  <c r="G3920" i="3"/>
  <c r="G3919" i="3"/>
  <c r="G3918" i="3"/>
  <c r="G3917" i="3"/>
  <c r="G3916" i="3"/>
  <c r="G3915" i="3"/>
  <c r="G3914" i="3"/>
  <c r="G3913" i="3"/>
  <c r="G3912" i="3"/>
  <c r="G3911" i="3"/>
  <c r="G3910" i="3"/>
  <c r="G3909" i="3"/>
  <c r="G3908" i="3"/>
  <c r="G3907" i="3"/>
  <c r="G3906" i="3"/>
  <c r="G3905" i="3"/>
  <c r="G3904" i="3"/>
  <c r="G3903" i="3"/>
  <c r="G3902" i="3"/>
  <c r="G3901" i="3"/>
  <c r="G3900" i="3"/>
  <c r="G3899" i="3"/>
  <c r="G3898" i="3"/>
  <c r="G3897" i="3"/>
  <c r="G3896" i="3"/>
  <c r="G3895" i="3"/>
  <c r="G3894" i="3"/>
  <c r="G3893" i="3"/>
  <c r="G3892" i="3"/>
  <c r="G3891" i="3"/>
  <c r="G3890" i="3"/>
  <c r="G3889" i="3"/>
  <c r="G3888" i="3"/>
  <c r="G3887" i="3"/>
  <c r="G3886" i="3"/>
  <c r="G3885" i="3"/>
  <c r="G3884" i="3"/>
  <c r="G3883" i="3"/>
  <c r="G3882" i="3"/>
  <c r="G3881" i="3"/>
  <c r="G3880" i="3"/>
  <c r="G3879" i="3"/>
  <c r="G3878" i="3"/>
  <c r="G3877" i="3"/>
  <c r="G3876" i="3"/>
  <c r="G3875" i="3"/>
  <c r="G3874" i="3"/>
  <c r="G3873" i="3"/>
  <c r="G3872" i="3"/>
  <c r="G3871" i="3"/>
  <c r="G3870" i="3"/>
  <c r="G3869" i="3"/>
  <c r="G3868" i="3"/>
  <c r="G3867" i="3"/>
  <c r="G3866" i="3"/>
  <c r="G3865" i="3"/>
  <c r="G3864" i="3"/>
  <c r="G3863" i="3"/>
  <c r="G3862" i="3"/>
  <c r="G3861" i="3"/>
  <c r="G3860" i="3"/>
  <c r="G3859" i="3"/>
  <c r="G3858" i="3"/>
  <c r="G3857" i="3"/>
  <c r="G3856" i="3"/>
  <c r="G3855" i="3"/>
  <c r="G3854" i="3"/>
  <c r="G3853" i="3"/>
  <c r="G3852" i="3"/>
  <c r="G3851" i="3"/>
  <c r="G3850" i="3"/>
  <c r="G3849" i="3"/>
  <c r="G3848" i="3"/>
  <c r="G3847" i="3"/>
  <c r="G3846" i="3"/>
  <c r="G3845" i="3"/>
  <c r="G3844" i="3"/>
  <c r="G3843" i="3"/>
  <c r="G3842" i="3"/>
  <c r="G3841" i="3"/>
  <c r="G3840" i="3"/>
  <c r="G3839" i="3"/>
  <c r="G3838" i="3"/>
  <c r="G3837" i="3"/>
  <c r="G3836" i="3"/>
  <c r="G3835" i="3"/>
  <c r="G3834" i="3"/>
  <c r="G3833" i="3"/>
  <c r="G3832" i="3"/>
  <c r="G3831" i="3"/>
  <c r="G3830" i="3"/>
  <c r="G3829" i="3"/>
  <c r="G3828" i="3"/>
  <c r="G3827" i="3"/>
  <c r="G3826" i="3"/>
  <c r="G3825" i="3"/>
  <c r="G3824" i="3"/>
  <c r="G3823" i="3"/>
  <c r="G3822" i="3"/>
  <c r="G3821" i="3"/>
  <c r="G3820" i="3"/>
  <c r="G3819" i="3"/>
  <c r="G3818" i="3"/>
  <c r="G3817" i="3"/>
  <c r="G3816" i="3"/>
  <c r="G3815" i="3"/>
  <c r="G3814" i="3"/>
  <c r="G3813" i="3"/>
  <c r="G3812" i="3"/>
  <c r="G3811" i="3"/>
  <c r="G3810" i="3"/>
  <c r="G3809" i="3"/>
  <c r="G3808" i="3"/>
  <c r="G3807" i="3"/>
  <c r="G3806" i="3"/>
  <c r="G3805" i="3"/>
  <c r="G3804" i="3"/>
  <c r="G3803" i="3"/>
  <c r="G3802" i="3"/>
  <c r="G3801" i="3"/>
  <c r="G3800" i="3"/>
  <c r="G3799" i="3"/>
  <c r="G3798" i="3"/>
  <c r="G3797" i="3"/>
  <c r="G3796" i="3"/>
  <c r="G3795" i="3"/>
  <c r="G3794" i="3"/>
  <c r="G3793" i="3"/>
  <c r="G3792" i="3"/>
  <c r="G3791" i="3"/>
  <c r="G3790" i="3"/>
  <c r="G3789" i="3"/>
  <c r="G3788" i="3"/>
  <c r="G3787" i="3"/>
  <c r="G3786" i="3"/>
  <c r="G3785" i="3"/>
  <c r="G3784" i="3"/>
  <c r="G3783" i="3"/>
  <c r="G3782" i="3"/>
  <c r="G3781" i="3"/>
  <c r="G3780" i="3"/>
  <c r="G3779" i="3"/>
  <c r="G3778" i="3"/>
  <c r="G3777" i="3"/>
  <c r="G3776" i="3"/>
  <c r="G3775" i="3"/>
  <c r="G3774" i="3"/>
  <c r="G3773" i="3"/>
  <c r="G3772" i="3"/>
  <c r="G3771" i="3"/>
  <c r="G3770" i="3"/>
  <c r="G3769" i="3"/>
  <c r="G3768" i="3"/>
  <c r="G3767" i="3"/>
  <c r="G3766" i="3"/>
  <c r="G3765" i="3"/>
  <c r="G3764" i="3"/>
  <c r="G3763" i="3"/>
  <c r="G3762" i="3"/>
  <c r="G3761" i="3"/>
  <c r="G3760" i="3"/>
  <c r="G3759" i="3"/>
  <c r="G3758" i="3"/>
  <c r="G3757" i="3"/>
  <c r="G3756" i="3"/>
  <c r="G3755" i="3"/>
  <c r="G3754" i="3"/>
  <c r="G3753" i="3"/>
  <c r="G3752" i="3"/>
  <c r="G3751" i="3"/>
  <c r="G3750" i="3"/>
  <c r="G3749" i="3"/>
  <c r="G3748" i="3"/>
  <c r="G3747" i="3"/>
  <c r="G3746" i="3"/>
  <c r="G3745" i="3"/>
  <c r="G3744" i="3"/>
  <c r="G3743" i="3"/>
  <c r="G3742" i="3"/>
  <c r="G3741" i="3"/>
  <c r="G3740" i="3"/>
  <c r="G3739" i="3"/>
  <c r="G3738" i="3"/>
  <c r="G3737" i="3"/>
  <c r="G3736" i="3"/>
  <c r="G3735" i="3"/>
  <c r="G3734" i="3"/>
  <c r="G3733" i="3"/>
  <c r="G3732" i="3"/>
  <c r="G3731" i="3"/>
  <c r="G3730" i="3"/>
  <c r="G3729" i="3"/>
  <c r="G3728" i="3"/>
  <c r="G3727" i="3"/>
  <c r="G3726" i="3"/>
  <c r="G3725" i="3"/>
  <c r="G3724" i="3"/>
  <c r="G3723" i="3"/>
  <c r="G3722" i="3"/>
  <c r="G3721" i="3"/>
  <c r="G3720" i="3"/>
  <c r="G3719" i="3"/>
  <c r="G3718" i="3"/>
  <c r="G3717" i="3"/>
  <c r="G3716" i="3"/>
  <c r="G3715" i="3"/>
  <c r="G3714" i="3"/>
  <c r="G3713" i="3"/>
  <c r="G3712" i="3"/>
  <c r="G3711" i="3"/>
  <c r="G3710" i="3"/>
  <c r="G3709" i="3"/>
  <c r="G3708" i="3"/>
  <c r="G3707" i="3"/>
  <c r="G3706" i="3"/>
  <c r="G3705" i="3"/>
  <c r="G3704" i="3"/>
  <c r="G3703" i="3"/>
  <c r="G3702" i="3"/>
  <c r="G3701" i="3"/>
  <c r="G3700" i="3"/>
  <c r="G3699" i="3"/>
  <c r="G3698" i="3"/>
  <c r="G3697" i="3"/>
  <c r="G3696" i="3"/>
  <c r="G3695" i="3"/>
  <c r="G3694" i="3"/>
  <c r="G3693" i="3"/>
  <c r="G3692" i="3"/>
  <c r="G3691" i="3"/>
  <c r="G3690" i="3"/>
  <c r="G3689" i="3"/>
  <c r="G3688" i="3"/>
  <c r="G3687" i="3"/>
  <c r="G3686" i="3"/>
  <c r="G3685" i="3"/>
  <c r="G3684" i="3"/>
  <c r="G3683" i="3"/>
  <c r="G3682" i="3"/>
  <c r="G3681" i="3"/>
  <c r="G3680" i="3"/>
  <c r="G3679" i="3"/>
  <c r="G3678" i="3"/>
  <c r="G3677" i="3"/>
  <c r="G3676" i="3"/>
  <c r="G3675" i="3"/>
  <c r="G3674" i="3"/>
  <c r="G3673" i="3"/>
  <c r="G3672" i="3"/>
  <c r="G3671" i="3"/>
  <c r="G3670" i="3"/>
  <c r="G3669" i="3"/>
  <c r="G3668" i="3"/>
  <c r="G3667" i="3"/>
  <c r="G3666" i="3"/>
  <c r="G3665" i="3"/>
  <c r="G3664" i="3"/>
  <c r="G3663" i="3"/>
  <c r="G3662" i="3"/>
  <c r="G3661" i="3"/>
  <c r="G3660" i="3"/>
  <c r="G3659" i="3"/>
  <c r="G3658" i="3"/>
  <c r="G3657" i="3"/>
  <c r="G3656" i="3"/>
  <c r="G3655" i="3"/>
  <c r="G3654" i="3"/>
  <c r="G3653" i="3"/>
  <c r="G3652" i="3"/>
  <c r="G3651" i="3"/>
  <c r="G3650" i="3"/>
  <c r="G3649" i="3"/>
  <c r="G3648" i="3"/>
  <c r="G3647" i="3"/>
  <c r="G3646" i="3"/>
  <c r="G3645" i="3"/>
  <c r="G3644" i="3"/>
  <c r="G3643" i="3"/>
  <c r="G3642" i="3"/>
  <c r="G3641" i="3"/>
  <c r="G3640" i="3"/>
  <c r="G3639" i="3"/>
  <c r="G3638" i="3"/>
  <c r="G3637" i="3"/>
  <c r="G3636" i="3"/>
  <c r="G3635" i="3"/>
  <c r="G3634" i="3"/>
  <c r="G3633" i="3"/>
  <c r="G3632" i="3"/>
  <c r="G3631" i="3"/>
  <c r="G3630" i="3"/>
  <c r="G3629" i="3"/>
  <c r="G3628" i="3"/>
  <c r="G3627" i="3"/>
  <c r="G3626" i="3"/>
  <c r="G3625" i="3"/>
  <c r="G3624" i="3"/>
  <c r="G3623" i="3"/>
  <c r="G3622" i="3"/>
  <c r="G3621" i="3"/>
  <c r="G3620" i="3"/>
  <c r="G3619" i="3"/>
  <c r="G3618" i="3"/>
  <c r="G3617" i="3"/>
  <c r="G3616" i="3"/>
  <c r="G3615" i="3"/>
  <c r="G3614" i="3"/>
  <c r="G3613" i="3"/>
  <c r="G3612" i="3"/>
  <c r="G3611" i="3"/>
  <c r="G3610" i="3"/>
  <c r="G3609" i="3"/>
  <c r="G3608" i="3"/>
  <c r="G3607" i="3"/>
  <c r="G3606" i="3"/>
  <c r="G3605" i="3"/>
  <c r="G3604" i="3"/>
  <c r="G3603" i="3"/>
  <c r="G3602" i="3"/>
  <c r="G3601" i="3"/>
  <c r="G3600" i="3"/>
  <c r="G3599" i="3"/>
  <c r="G3598" i="3"/>
  <c r="G3597" i="3"/>
  <c r="G3596" i="3"/>
  <c r="G3595" i="3"/>
  <c r="G3594" i="3"/>
  <c r="G3593" i="3"/>
  <c r="G3592" i="3"/>
  <c r="G3591" i="3"/>
  <c r="G3590" i="3"/>
  <c r="G3589" i="3"/>
  <c r="G3588" i="3"/>
  <c r="G3587" i="3"/>
  <c r="G3586" i="3"/>
  <c r="G3585" i="3"/>
  <c r="G3584" i="3"/>
  <c r="G3583" i="3"/>
  <c r="G3582" i="3"/>
  <c r="G3581" i="3"/>
  <c r="G3580" i="3"/>
  <c r="G3579" i="3"/>
  <c r="G3578" i="3"/>
  <c r="G3577" i="3"/>
  <c r="G3576" i="3"/>
  <c r="G3575" i="3"/>
  <c r="G3574" i="3"/>
  <c r="G3573" i="3"/>
  <c r="G3572" i="3"/>
  <c r="G3571" i="3"/>
  <c r="G3570" i="3"/>
  <c r="G3569" i="3"/>
  <c r="G3568" i="3"/>
  <c r="G3567" i="3"/>
  <c r="G3566" i="3"/>
  <c r="G3565" i="3"/>
  <c r="G3564" i="3"/>
  <c r="G3563" i="3"/>
  <c r="G3562" i="3"/>
  <c r="G3561" i="3"/>
  <c r="G3560" i="3"/>
  <c r="G3559" i="3"/>
  <c r="G3558" i="3"/>
  <c r="G3557" i="3"/>
  <c r="G3556" i="3"/>
  <c r="G3555" i="3"/>
  <c r="G3554" i="3"/>
  <c r="G3553" i="3"/>
  <c r="G3552" i="3"/>
  <c r="G3551" i="3"/>
  <c r="G3550" i="3"/>
  <c r="G3549" i="3"/>
  <c r="G3548" i="3"/>
  <c r="G3547" i="3"/>
  <c r="G3546" i="3"/>
  <c r="G3545" i="3"/>
  <c r="G3544" i="3"/>
  <c r="G3543" i="3"/>
  <c r="G3542" i="3"/>
  <c r="G3541" i="3"/>
  <c r="G3540" i="3"/>
  <c r="G3539" i="3"/>
  <c r="G3538" i="3"/>
  <c r="G3537" i="3"/>
  <c r="G3536" i="3"/>
  <c r="G3535" i="3"/>
  <c r="G3534" i="3"/>
  <c r="G3533" i="3"/>
  <c r="G3532" i="3"/>
  <c r="G3531" i="3"/>
  <c r="G3530" i="3"/>
  <c r="G3529" i="3"/>
  <c r="G3528" i="3"/>
  <c r="G3527" i="3"/>
  <c r="G3526" i="3"/>
  <c r="G3525" i="3"/>
  <c r="G3524" i="3"/>
  <c r="G3523" i="3"/>
  <c r="G3522" i="3"/>
  <c r="G3521" i="3"/>
  <c r="G3520" i="3"/>
  <c r="G3519" i="3"/>
  <c r="G3518" i="3"/>
  <c r="G3517" i="3"/>
  <c r="G3516" i="3"/>
  <c r="G3515" i="3"/>
  <c r="G3514" i="3"/>
  <c r="G3513" i="3"/>
  <c r="G3512" i="3"/>
  <c r="G3511" i="3"/>
  <c r="G3510" i="3"/>
  <c r="G3509" i="3"/>
  <c r="G3508" i="3"/>
  <c r="G3507" i="3"/>
  <c r="G3506" i="3"/>
  <c r="G3505" i="3"/>
  <c r="G3504" i="3"/>
  <c r="G3503" i="3"/>
  <c r="G3502" i="3"/>
  <c r="G3501" i="3"/>
  <c r="G3500" i="3"/>
  <c r="G3499" i="3"/>
  <c r="G3498" i="3"/>
  <c r="G3497" i="3"/>
  <c r="G3496" i="3"/>
  <c r="G3495" i="3"/>
  <c r="G3494" i="3"/>
  <c r="G3493" i="3"/>
  <c r="G3492" i="3"/>
  <c r="G3491" i="3"/>
  <c r="G3490" i="3"/>
  <c r="G3489" i="3"/>
  <c r="G3488" i="3"/>
  <c r="G3487" i="3"/>
  <c r="G3486" i="3"/>
  <c r="G3485" i="3"/>
  <c r="G3484" i="3"/>
  <c r="G3483" i="3"/>
  <c r="G3482" i="3"/>
  <c r="G3481" i="3"/>
  <c r="G3480" i="3"/>
  <c r="G3479" i="3"/>
  <c r="G3478" i="3"/>
  <c r="G3477" i="3"/>
  <c r="G3476" i="3"/>
  <c r="G3475" i="3"/>
  <c r="G3474" i="3"/>
  <c r="G3473" i="3"/>
  <c r="G3472" i="3"/>
  <c r="G3471" i="3"/>
  <c r="G3470" i="3"/>
  <c r="G3469" i="3"/>
  <c r="G3468" i="3"/>
  <c r="G3467" i="3"/>
  <c r="G3466" i="3"/>
  <c r="G3465" i="3"/>
  <c r="G3464" i="3"/>
  <c r="G3463" i="3"/>
  <c r="G3462" i="3"/>
  <c r="G3461" i="3"/>
  <c r="G3460" i="3"/>
  <c r="G3459" i="3"/>
  <c r="G3458" i="3"/>
  <c r="G3457" i="3"/>
  <c r="G3456" i="3"/>
  <c r="G3455" i="3"/>
  <c r="G3454" i="3"/>
  <c r="G3453" i="3"/>
  <c r="G3452" i="3"/>
  <c r="G3451" i="3"/>
  <c r="G3450" i="3"/>
  <c r="G3449" i="3"/>
  <c r="G3448" i="3"/>
  <c r="G3447" i="3"/>
  <c r="G3446" i="3"/>
  <c r="G3445" i="3"/>
  <c r="G3444" i="3"/>
  <c r="G3443" i="3"/>
  <c r="G3442" i="3"/>
  <c r="G3441" i="3"/>
  <c r="G3440" i="3"/>
  <c r="G3439" i="3"/>
  <c r="G3438" i="3"/>
  <c r="G3437" i="3"/>
  <c r="G3436" i="3"/>
  <c r="G3435" i="3"/>
  <c r="G3434" i="3"/>
  <c r="G3433" i="3"/>
  <c r="G3432" i="3"/>
  <c r="G3431" i="3"/>
  <c r="G3430" i="3"/>
  <c r="G3429" i="3"/>
  <c r="G3428" i="3"/>
  <c r="G3427" i="3"/>
  <c r="G3426" i="3"/>
  <c r="G3425" i="3"/>
  <c r="G3424" i="3"/>
  <c r="G3423" i="3"/>
  <c r="G3422" i="3"/>
  <c r="G3421" i="3"/>
  <c r="G3420" i="3"/>
  <c r="G3419" i="3"/>
  <c r="G3418" i="3"/>
  <c r="G3417" i="3"/>
  <c r="G3416" i="3"/>
  <c r="G3415" i="3"/>
  <c r="G3414" i="3"/>
  <c r="G3413" i="3"/>
  <c r="G3412" i="3"/>
  <c r="G3411" i="3"/>
  <c r="G3410" i="3"/>
  <c r="G3409" i="3"/>
  <c r="G3408" i="3"/>
  <c r="G3407" i="3"/>
  <c r="G3406" i="3"/>
  <c r="G3405" i="3"/>
  <c r="G3404" i="3"/>
  <c r="G3403" i="3"/>
  <c r="G3402" i="3"/>
  <c r="G3401" i="3"/>
  <c r="G3400" i="3"/>
  <c r="G3399" i="3"/>
  <c r="G3398" i="3"/>
  <c r="G3397" i="3"/>
  <c r="G3396" i="3"/>
  <c r="G3395" i="3"/>
  <c r="G3394" i="3"/>
  <c r="G3393" i="3"/>
  <c r="G3392" i="3"/>
  <c r="G3391" i="3"/>
  <c r="G3390" i="3"/>
  <c r="G3389" i="3"/>
  <c r="G3388" i="3"/>
  <c r="G3387" i="3"/>
  <c r="G3386" i="3"/>
  <c r="G3385" i="3"/>
  <c r="G3384" i="3"/>
  <c r="G3383" i="3"/>
  <c r="G3382" i="3"/>
  <c r="G3381" i="3"/>
  <c r="G3380" i="3"/>
  <c r="G3379" i="3"/>
  <c r="G3378" i="3"/>
  <c r="G3377" i="3"/>
  <c r="G3376" i="3"/>
  <c r="G3375" i="3"/>
  <c r="G3374" i="3"/>
  <c r="G3373" i="3"/>
  <c r="G3372" i="3"/>
  <c r="G3371" i="3"/>
  <c r="G3370" i="3"/>
  <c r="G3369" i="3"/>
  <c r="G3368" i="3"/>
  <c r="G3367" i="3"/>
  <c r="G3366" i="3"/>
  <c r="G3365" i="3"/>
  <c r="G3364" i="3"/>
  <c r="G3363" i="3"/>
  <c r="G3362" i="3"/>
  <c r="G3361" i="3"/>
  <c r="G3360" i="3"/>
  <c r="G3359" i="3"/>
  <c r="G3358" i="3"/>
  <c r="G3357" i="3"/>
  <c r="G3356" i="3"/>
  <c r="G3355" i="3"/>
  <c r="G3354" i="3"/>
  <c r="G3353" i="3"/>
  <c r="G3352" i="3"/>
  <c r="G3351" i="3"/>
  <c r="G3350" i="3"/>
  <c r="G3349" i="3"/>
  <c r="G3348" i="3"/>
  <c r="G3347" i="3"/>
  <c r="G3346" i="3"/>
  <c r="G3345" i="3"/>
  <c r="G3344" i="3"/>
  <c r="G3343" i="3"/>
  <c r="G3342" i="3"/>
  <c r="G3341" i="3"/>
  <c r="G3340" i="3"/>
  <c r="G3339" i="3"/>
  <c r="G3338" i="3"/>
  <c r="G3337" i="3"/>
  <c r="G3336" i="3"/>
  <c r="G3335" i="3"/>
  <c r="G3334" i="3"/>
  <c r="G3333" i="3"/>
  <c r="G3332" i="3"/>
  <c r="G3331" i="3"/>
  <c r="G3330" i="3"/>
  <c r="G3329" i="3"/>
  <c r="G3328" i="3"/>
  <c r="G3327" i="3"/>
  <c r="G3326" i="3"/>
  <c r="G3325" i="3"/>
  <c r="G3324" i="3"/>
  <c r="G3323" i="3"/>
  <c r="G3322" i="3"/>
  <c r="G3321" i="3"/>
  <c r="G3320" i="3"/>
  <c r="G3319" i="3"/>
  <c r="G3318" i="3"/>
  <c r="G3317" i="3"/>
  <c r="G3316" i="3"/>
  <c r="G3315" i="3"/>
  <c r="G3314" i="3"/>
  <c r="G3313" i="3"/>
  <c r="G3312" i="3"/>
  <c r="G3311" i="3"/>
  <c r="G3310" i="3"/>
  <c r="G3309" i="3"/>
  <c r="G3308" i="3"/>
  <c r="G3307" i="3"/>
  <c r="G3306" i="3"/>
  <c r="G3305" i="3"/>
  <c r="G3304" i="3"/>
  <c r="G3303" i="3"/>
  <c r="G3302" i="3"/>
  <c r="G3301" i="3"/>
  <c r="G3300" i="3"/>
  <c r="G3299" i="3"/>
  <c r="G3298" i="3"/>
  <c r="G3297" i="3"/>
  <c r="G3296" i="3"/>
  <c r="G3295" i="3"/>
  <c r="G3294" i="3"/>
  <c r="G3293" i="3"/>
  <c r="G3292" i="3"/>
  <c r="G3291" i="3"/>
  <c r="G3290" i="3"/>
  <c r="G3289" i="3"/>
  <c r="G3288" i="3"/>
  <c r="G3287" i="3"/>
  <c r="G3286" i="3"/>
  <c r="G3285" i="3"/>
  <c r="G3284" i="3"/>
  <c r="G3283" i="3"/>
  <c r="G3282" i="3"/>
  <c r="G3281" i="3"/>
  <c r="G3280" i="3"/>
  <c r="G3279" i="3"/>
  <c r="G3278" i="3"/>
  <c r="G3277" i="3"/>
  <c r="G3276" i="3"/>
  <c r="G3275" i="3"/>
  <c r="G3274" i="3"/>
  <c r="G3273" i="3"/>
  <c r="G3272" i="3"/>
  <c r="G3271" i="3"/>
  <c r="G3270" i="3"/>
  <c r="G3269" i="3"/>
  <c r="G3268" i="3"/>
  <c r="G3267" i="3"/>
  <c r="G3266" i="3"/>
  <c r="G3265" i="3"/>
  <c r="G3264" i="3"/>
  <c r="G3263" i="3"/>
  <c r="G3262" i="3"/>
  <c r="G3261" i="3"/>
  <c r="G3260" i="3"/>
  <c r="G3259" i="3"/>
  <c r="G3258" i="3"/>
  <c r="G3257" i="3"/>
  <c r="G3256" i="3"/>
  <c r="G3255" i="3"/>
  <c r="G3254" i="3"/>
  <c r="G3253" i="3"/>
  <c r="G3252" i="3"/>
  <c r="G3251" i="3"/>
  <c r="G3250" i="3"/>
  <c r="G3249" i="3"/>
  <c r="G3248" i="3"/>
  <c r="G3247" i="3"/>
  <c r="G3246" i="3"/>
  <c r="G3245" i="3"/>
  <c r="G3244" i="3"/>
  <c r="G3243" i="3"/>
  <c r="G3242" i="3"/>
  <c r="G3241" i="3"/>
  <c r="G3240" i="3"/>
  <c r="G3239" i="3"/>
  <c r="G3238" i="3"/>
  <c r="G3237" i="3"/>
  <c r="G3236" i="3"/>
  <c r="G3235" i="3"/>
  <c r="G3234" i="3"/>
  <c r="G3233" i="3"/>
  <c r="G3232" i="3"/>
  <c r="G3231" i="3"/>
  <c r="G3230" i="3"/>
  <c r="G3229" i="3"/>
  <c r="G3228" i="3"/>
  <c r="G3227" i="3"/>
  <c r="G3226" i="3"/>
  <c r="G3225" i="3"/>
  <c r="G3224" i="3"/>
  <c r="G3223" i="3"/>
  <c r="G3222" i="3"/>
  <c r="G3221" i="3"/>
  <c r="G3220" i="3"/>
  <c r="G3219" i="3"/>
  <c r="G3218" i="3"/>
  <c r="G3217" i="3"/>
  <c r="G3216" i="3"/>
  <c r="G3215" i="3"/>
  <c r="G3214" i="3"/>
  <c r="G3213" i="3"/>
  <c r="G3212" i="3"/>
  <c r="G3211" i="3"/>
  <c r="G3210" i="3"/>
  <c r="G3209" i="3"/>
  <c r="G3208" i="3"/>
  <c r="G3207" i="3"/>
  <c r="G3206" i="3"/>
  <c r="G3205" i="3"/>
  <c r="G3204" i="3"/>
  <c r="G3203" i="3"/>
  <c r="G3202" i="3"/>
  <c r="G3201" i="3"/>
  <c r="G3200" i="3"/>
  <c r="G3199" i="3"/>
  <c r="G3198" i="3"/>
  <c r="G3197" i="3"/>
  <c r="G3196" i="3"/>
  <c r="G3195" i="3"/>
  <c r="G3194" i="3"/>
  <c r="G3193" i="3"/>
  <c r="G3192" i="3"/>
  <c r="G3191" i="3"/>
  <c r="G3190" i="3"/>
  <c r="G3189" i="3"/>
  <c r="G3188" i="3"/>
  <c r="G3187" i="3"/>
  <c r="G3186" i="3"/>
  <c r="G3185" i="3"/>
  <c r="G3184" i="3"/>
  <c r="G3183" i="3"/>
  <c r="G3182" i="3"/>
  <c r="G3181" i="3"/>
  <c r="G3180" i="3"/>
  <c r="G3179" i="3"/>
  <c r="G3178" i="3"/>
  <c r="G3177" i="3"/>
  <c r="G3176" i="3"/>
  <c r="G3175" i="3"/>
  <c r="G3174" i="3"/>
  <c r="G3173" i="3"/>
  <c r="G3172" i="3"/>
  <c r="G3171" i="3"/>
  <c r="G3170" i="3"/>
  <c r="G3169" i="3"/>
  <c r="G3168" i="3"/>
  <c r="G3167" i="3"/>
  <c r="G3166" i="3"/>
  <c r="G3165" i="3"/>
  <c r="G3164" i="3"/>
  <c r="G3163" i="3"/>
  <c r="G3162" i="3"/>
  <c r="G3161" i="3"/>
  <c r="G3160" i="3"/>
  <c r="G3159" i="3"/>
  <c r="G3158" i="3"/>
  <c r="G3157" i="3"/>
  <c r="G3156" i="3"/>
  <c r="G3155" i="3"/>
  <c r="G3154" i="3"/>
  <c r="G3153" i="3"/>
  <c r="G3152" i="3"/>
  <c r="G3151" i="3"/>
  <c r="G3150" i="3"/>
  <c r="G3149" i="3"/>
  <c r="G3148" i="3"/>
  <c r="G3147" i="3"/>
  <c r="G3146" i="3"/>
  <c r="G3145" i="3"/>
  <c r="G3144" i="3"/>
  <c r="G3143" i="3"/>
  <c r="G3142" i="3"/>
  <c r="G3141" i="3"/>
  <c r="G3140" i="3"/>
  <c r="G3139" i="3"/>
  <c r="G3138" i="3"/>
  <c r="G3137" i="3"/>
  <c r="G3136" i="3"/>
  <c r="G3135" i="3"/>
  <c r="G3134" i="3"/>
  <c r="G3133" i="3"/>
  <c r="G3132" i="3"/>
  <c r="G3131" i="3"/>
  <c r="G3130" i="3"/>
  <c r="G3129" i="3"/>
  <c r="G3128" i="3"/>
  <c r="G3127" i="3"/>
  <c r="G3126" i="3"/>
  <c r="G3125" i="3"/>
  <c r="G3124" i="3"/>
  <c r="G3123" i="3"/>
  <c r="G3122" i="3"/>
  <c r="G3121" i="3"/>
  <c r="G3120" i="3"/>
  <c r="G3119" i="3"/>
  <c r="G3118" i="3"/>
  <c r="G3117" i="3"/>
  <c r="G3116" i="3"/>
  <c r="G3115" i="3"/>
  <c r="G3114" i="3"/>
  <c r="G3113" i="3"/>
  <c r="G3112" i="3"/>
  <c r="G3111" i="3"/>
  <c r="G3110" i="3"/>
  <c r="G3109" i="3"/>
  <c r="G3108" i="3"/>
  <c r="G3107" i="3"/>
  <c r="G3106" i="3"/>
  <c r="G3105" i="3"/>
  <c r="G3104" i="3"/>
  <c r="G3103" i="3"/>
  <c r="G3102" i="3"/>
  <c r="G3101" i="3"/>
  <c r="G3100" i="3"/>
  <c r="G3099" i="3"/>
  <c r="G3098" i="3"/>
  <c r="G3097" i="3"/>
  <c r="G3096" i="3"/>
  <c r="G3095" i="3"/>
  <c r="G3094" i="3"/>
  <c r="G3093" i="3"/>
  <c r="G3092" i="3"/>
  <c r="G3091" i="3"/>
  <c r="G3090" i="3"/>
  <c r="G3089" i="3"/>
  <c r="G3088" i="3"/>
  <c r="G3087" i="3"/>
  <c r="G3086" i="3"/>
  <c r="G3085" i="3"/>
  <c r="G3084" i="3"/>
  <c r="G3083" i="3"/>
  <c r="G3082" i="3"/>
  <c r="G3081" i="3"/>
  <c r="G3080" i="3"/>
  <c r="G3079" i="3"/>
  <c r="G3078" i="3"/>
  <c r="G3077" i="3"/>
  <c r="G3076" i="3"/>
  <c r="G3075" i="3"/>
  <c r="G3074" i="3"/>
  <c r="G3073" i="3"/>
  <c r="G3072" i="3"/>
  <c r="G3071" i="3"/>
  <c r="G3070" i="3"/>
  <c r="G3069" i="3"/>
  <c r="G3068" i="3"/>
  <c r="G3067" i="3"/>
  <c r="G3066" i="3"/>
  <c r="G3065" i="3"/>
  <c r="G3064" i="3"/>
  <c r="G3063" i="3"/>
  <c r="G3062" i="3"/>
  <c r="G3061" i="3"/>
  <c r="G3060" i="3"/>
  <c r="G3059" i="3"/>
  <c r="G3058" i="3"/>
  <c r="G3057" i="3"/>
  <c r="G3056" i="3"/>
  <c r="G3055" i="3"/>
  <c r="G3054" i="3"/>
  <c r="G3053" i="3"/>
  <c r="G3052" i="3"/>
  <c r="G3051" i="3"/>
  <c r="G3050" i="3"/>
  <c r="G3049" i="3"/>
  <c r="G3048" i="3"/>
  <c r="G3047" i="3"/>
  <c r="G3046" i="3"/>
  <c r="G3045" i="3"/>
  <c r="G3044" i="3"/>
  <c r="G3043" i="3"/>
  <c r="G3042" i="3"/>
  <c r="G3041" i="3"/>
  <c r="G3040" i="3"/>
  <c r="G3039" i="3"/>
  <c r="G3038" i="3"/>
  <c r="G3037" i="3"/>
  <c r="G3036" i="3"/>
  <c r="G3035" i="3"/>
  <c r="G3034" i="3"/>
  <c r="G3033" i="3"/>
  <c r="G3032" i="3"/>
  <c r="G3031" i="3"/>
  <c r="G3030" i="3"/>
  <c r="G3029" i="3"/>
  <c r="G3028" i="3"/>
  <c r="G3027" i="3"/>
  <c r="G3026" i="3"/>
  <c r="G3025" i="3"/>
  <c r="G3024" i="3"/>
  <c r="G3023" i="3"/>
  <c r="G3022" i="3"/>
  <c r="G3021" i="3"/>
  <c r="G3020" i="3"/>
  <c r="G3019" i="3"/>
  <c r="G3018" i="3"/>
  <c r="G3017" i="3"/>
  <c r="G3016" i="3"/>
  <c r="G3015" i="3"/>
  <c r="G3014" i="3"/>
  <c r="G3013" i="3"/>
  <c r="G3012" i="3"/>
  <c r="G3011" i="3"/>
  <c r="G3010" i="3"/>
  <c r="G3009" i="3"/>
  <c r="G3008" i="3"/>
  <c r="G3007" i="3"/>
  <c r="G3006" i="3"/>
  <c r="G3005" i="3"/>
  <c r="G3004" i="3"/>
  <c r="G3003" i="3"/>
  <c r="G3002" i="3"/>
  <c r="G3001" i="3"/>
  <c r="G3000" i="3"/>
  <c r="G2999" i="3"/>
  <c r="G2998" i="3"/>
  <c r="G2997" i="3"/>
  <c r="G2996" i="3"/>
  <c r="G2995" i="3"/>
  <c r="G2994" i="3"/>
  <c r="G2993" i="3"/>
  <c r="G2992" i="3"/>
  <c r="G2991" i="3"/>
  <c r="G2990" i="3"/>
  <c r="G2989" i="3"/>
  <c r="G2988" i="3"/>
  <c r="G2987" i="3"/>
  <c r="G2986" i="3"/>
  <c r="G2985" i="3"/>
  <c r="G2984" i="3"/>
  <c r="G2983" i="3"/>
  <c r="G2982" i="3"/>
  <c r="G2981" i="3"/>
  <c r="G2980" i="3"/>
  <c r="G2979" i="3"/>
  <c r="G2978" i="3"/>
  <c r="G2977" i="3"/>
  <c r="G2976" i="3"/>
  <c r="G2975" i="3"/>
  <c r="G2974" i="3"/>
  <c r="G2973" i="3"/>
  <c r="G2972" i="3"/>
  <c r="G2971" i="3"/>
  <c r="G2970" i="3"/>
  <c r="G2969" i="3"/>
  <c r="G2968" i="3"/>
  <c r="G2967" i="3"/>
  <c r="G2966" i="3"/>
  <c r="G2965" i="3"/>
  <c r="G2964" i="3"/>
  <c r="G2963" i="3"/>
  <c r="G2962" i="3"/>
  <c r="G2961" i="3"/>
  <c r="G2960" i="3"/>
  <c r="G2959" i="3"/>
  <c r="G2958" i="3"/>
  <c r="G2957" i="3"/>
  <c r="G2956" i="3"/>
  <c r="G2955" i="3"/>
  <c r="G2954" i="3"/>
  <c r="G2953" i="3"/>
  <c r="G2952" i="3"/>
  <c r="G2951" i="3"/>
  <c r="G2950" i="3"/>
  <c r="G2949" i="3"/>
  <c r="G2948" i="3"/>
  <c r="G2947" i="3"/>
  <c r="G2946" i="3"/>
  <c r="G2945" i="3"/>
  <c r="G2944" i="3"/>
  <c r="G2943" i="3"/>
  <c r="G2942" i="3"/>
  <c r="G2941" i="3"/>
  <c r="G2940" i="3"/>
  <c r="G2939" i="3"/>
  <c r="G2938" i="3"/>
  <c r="G2937" i="3"/>
  <c r="G2936" i="3"/>
  <c r="G2935" i="3"/>
  <c r="G2934" i="3"/>
  <c r="G2933" i="3"/>
  <c r="G2932" i="3"/>
  <c r="G2931" i="3"/>
  <c r="G2930" i="3"/>
  <c r="G2929" i="3"/>
  <c r="G2928" i="3"/>
  <c r="G2927" i="3"/>
  <c r="G2926" i="3"/>
  <c r="G2925" i="3"/>
  <c r="G2924" i="3"/>
  <c r="G2923" i="3"/>
  <c r="G2922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7" i="3"/>
  <c r="G2906" i="3"/>
  <c r="G2905" i="3"/>
  <c r="G2904" i="3"/>
  <c r="G2903" i="3"/>
  <c r="G2902" i="3"/>
  <c r="G2901" i="3"/>
  <c r="G2900" i="3"/>
  <c r="G2899" i="3"/>
  <c r="G2898" i="3"/>
  <c r="G2897" i="3"/>
  <c r="G2896" i="3"/>
  <c r="G2895" i="3"/>
  <c r="G2894" i="3"/>
  <c r="G2893" i="3"/>
  <c r="G2892" i="3"/>
  <c r="G2891" i="3"/>
  <c r="G2890" i="3"/>
  <c r="G2889" i="3"/>
  <c r="G2888" i="3"/>
  <c r="G2887" i="3"/>
  <c r="G2886" i="3"/>
  <c r="G2885" i="3"/>
  <c r="G2884" i="3"/>
  <c r="G2883" i="3"/>
  <c r="G2882" i="3"/>
  <c r="G2881" i="3"/>
  <c r="G2880" i="3"/>
  <c r="G2879" i="3"/>
  <c r="G2878" i="3"/>
  <c r="G2877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2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E4381" i="3"/>
  <c r="E4382" i="3"/>
  <c r="F4381" i="3"/>
  <c r="F4382" i="3"/>
  <c r="E4379" i="3"/>
  <c r="E4380" i="3"/>
  <c r="F4379" i="3"/>
  <c r="F4380" i="3"/>
  <c r="E4378" i="3"/>
  <c r="F4378" i="3"/>
  <c r="E4377" i="3"/>
  <c r="F4377" i="3"/>
  <c r="E4376" i="3"/>
  <c r="F4376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E4356" i="3"/>
  <c r="E4357" i="3"/>
  <c r="E4358" i="3"/>
  <c r="E4359" i="3"/>
  <c r="E4360" i="3"/>
  <c r="E4361" i="3"/>
  <c r="E4362" i="3"/>
  <c r="E4363" i="3"/>
  <c r="F4356" i="3"/>
  <c r="F4357" i="3"/>
  <c r="F4358" i="3"/>
  <c r="F4359" i="3"/>
  <c r="F4360" i="3"/>
  <c r="F4361" i="3"/>
  <c r="F4362" i="3"/>
  <c r="F4363" i="3"/>
  <c r="E4355" i="3"/>
  <c r="F4355" i="3"/>
  <c r="E4353" i="3"/>
  <c r="E4354" i="3"/>
  <c r="F4353" i="3"/>
  <c r="F4354" i="3"/>
  <c r="E4350" i="3"/>
  <c r="E4351" i="3"/>
  <c r="E4352" i="3"/>
  <c r="F4350" i="3"/>
  <c r="F4351" i="3"/>
  <c r="F4352" i="3"/>
  <c r="E4342" i="3"/>
  <c r="E4343" i="3"/>
  <c r="E4344" i="3"/>
  <c r="E4345" i="3"/>
  <c r="E4346" i="3"/>
  <c r="E4347" i="3"/>
  <c r="E4348" i="3"/>
  <c r="E4349" i="3"/>
  <c r="F4342" i="3"/>
  <c r="F4343" i="3"/>
  <c r="F4344" i="3"/>
  <c r="F4345" i="3"/>
  <c r="F4346" i="3"/>
  <c r="F4347" i="3"/>
  <c r="F4348" i="3"/>
  <c r="F4349" i="3"/>
  <c r="E4341" i="3"/>
  <c r="F4341" i="3"/>
  <c r="E4340" i="3"/>
  <c r="F4340" i="3"/>
  <c r="E4338" i="3"/>
  <c r="E4339" i="3"/>
  <c r="F4338" i="3"/>
  <c r="F4339" i="3"/>
  <c r="E4337" i="3"/>
  <c r="F4337" i="3"/>
  <c r="E4335" i="3"/>
  <c r="E4336" i="3"/>
  <c r="F4335" i="3"/>
  <c r="F4336" i="3"/>
  <c r="E4334" i="3"/>
  <c r="F4334" i="3"/>
  <c r="E4333" i="3"/>
  <c r="F4333" i="3"/>
  <c r="E4332" i="3"/>
  <c r="F4332" i="3"/>
  <c r="E4327" i="3"/>
  <c r="E4328" i="3"/>
  <c r="E4329" i="3"/>
  <c r="E4330" i="3"/>
  <c r="E4331" i="3"/>
  <c r="F4327" i="3"/>
  <c r="F4328" i="3"/>
  <c r="F4329" i="3"/>
  <c r="F4330" i="3"/>
  <c r="F4331" i="3"/>
  <c r="E4324" i="3"/>
  <c r="E4325" i="3"/>
  <c r="E4326" i="3"/>
  <c r="F4324" i="3"/>
  <c r="F4325" i="3"/>
  <c r="F4326" i="3"/>
  <c r="E4322" i="3"/>
  <c r="E4323" i="3"/>
  <c r="F4322" i="3"/>
  <c r="F4323" i="3"/>
  <c r="E4319" i="3"/>
  <c r="E4320" i="3"/>
  <c r="E4321" i="3"/>
  <c r="F4319" i="3"/>
  <c r="F4320" i="3"/>
  <c r="F4321" i="3"/>
  <c r="E4317" i="3"/>
  <c r="E4318" i="3"/>
  <c r="F4317" i="3"/>
  <c r="F4318" i="3"/>
  <c r="E4316" i="3"/>
  <c r="F4316" i="3"/>
  <c r="E4315" i="3"/>
  <c r="F4315" i="3"/>
  <c r="E4314" i="3"/>
  <c r="F4314" i="3"/>
  <c r="E4313" i="3"/>
  <c r="F4313" i="3"/>
  <c r="E4312" i="3"/>
  <c r="F4312" i="3"/>
  <c r="E4311" i="3"/>
  <c r="F4311" i="3"/>
  <c r="E4309" i="3"/>
  <c r="E4310" i="3"/>
  <c r="F4309" i="3"/>
  <c r="F4310" i="3"/>
  <c r="E4308" i="3"/>
  <c r="F4308" i="3"/>
  <c r="E4307" i="3"/>
  <c r="F4307" i="3"/>
  <c r="E4306" i="3"/>
  <c r="F4306" i="3"/>
  <c r="E4303" i="3"/>
  <c r="E4304" i="3"/>
  <c r="E4305" i="3"/>
  <c r="F4303" i="3"/>
  <c r="F4304" i="3"/>
  <c r="F4305" i="3"/>
  <c r="E4300" i="3"/>
  <c r="E4301" i="3"/>
  <c r="E4302" i="3"/>
  <c r="F4300" i="3"/>
  <c r="F4301" i="3"/>
  <c r="F4302" i="3"/>
  <c r="E4297" i="3"/>
  <c r="E4298" i="3"/>
  <c r="E4299" i="3"/>
  <c r="F4297" i="3"/>
  <c r="F4298" i="3"/>
  <c r="F4299" i="3"/>
  <c r="E4296" i="3"/>
  <c r="F4296" i="3"/>
  <c r="E4295" i="3"/>
  <c r="F4295" i="3"/>
  <c r="E5" i="18" l="1"/>
  <c r="E4" i="18"/>
  <c r="E3" i="18"/>
  <c r="F6" i="18"/>
  <c r="F5" i="18"/>
  <c r="D10" i="18"/>
  <c r="E10" i="18" s="1"/>
  <c r="C10" i="18"/>
  <c r="D9" i="18"/>
  <c r="E9" i="18" s="1"/>
  <c r="C9" i="18"/>
  <c r="D8" i="18"/>
  <c r="E8" i="18" s="1"/>
  <c r="C8" i="18"/>
  <c r="D7" i="18"/>
  <c r="E7" i="18" s="1"/>
  <c r="C7" i="18"/>
  <c r="D6" i="18"/>
  <c r="E6" i="18" s="1"/>
  <c r="C6" i="18"/>
  <c r="D5" i="18"/>
  <c r="C5" i="18"/>
  <c r="D4" i="18"/>
  <c r="C4" i="18"/>
  <c r="F3" i="18"/>
  <c r="D3" i="18"/>
  <c r="C3" i="18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9" i="15"/>
  <c r="AG40" i="15"/>
  <c r="AG41" i="15"/>
  <c r="AG42" i="15"/>
  <c r="AG43" i="15"/>
  <c r="AG44" i="15"/>
  <c r="AG45" i="15"/>
  <c r="AG46" i="15"/>
  <c r="AG47" i="15"/>
  <c r="AG48" i="15"/>
  <c r="AG49" i="15"/>
  <c r="AG50" i="15"/>
  <c r="AG51" i="15"/>
  <c r="AG52" i="15"/>
  <c r="AG53" i="15"/>
  <c r="AG54" i="15"/>
  <c r="AG55" i="15"/>
  <c r="AG56" i="15"/>
  <c r="AG57" i="15"/>
  <c r="AG58" i="15"/>
  <c r="AG59" i="15"/>
  <c r="AG60" i="15"/>
  <c r="AG61" i="15"/>
  <c r="AG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G77" i="15"/>
  <c r="AG78" i="15"/>
  <c r="AG79" i="15"/>
  <c r="AG80" i="15"/>
  <c r="AG81" i="15"/>
  <c r="AG82" i="15"/>
  <c r="AG20" i="15"/>
  <c r="AD82" i="15"/>
  <c r="V82" i="15"/>
  <c r="M82" i="15"/>
  <c r="H82" i="15"/>
  <c r="F82" i="15"/>
  <c r="D82" i="15"/>
  <c r="A82" i="15"/>
  <c r="AD81" i="15"/>
  <c r="V81" i="15"/>
  <c r="M81" i="15"/>
  <c r="H81" i="15"/>
  <c r="F81" i="15"/>
  <c r="D81" i="15"/>
  <c r="A81" i="15"/>
  <c r="AD80" i="15"/>
  <c r="V80" i="15"/>
  <c r="M80" i="15"/>
  <c r="H80" i="15"/>
  <c r="F80" i="15"/>
  <c r="D80" i="15"/>
  <c r="A80" i="15"/>
  <c r="AD79" i="15"/>
  <c r="V79" i="15"/>
  <c r="M79" i="15"/>
  <c r="H79" i="15"/>
  <c r="F79" i="15"/>
  <c r="D79" i="15"/>
  <c r="A79" i="15"/>
  <c r="AD78" i="15"/>
  <c r="V78" i="15"/>
  <c r="M78" i="15"/>
  <c r="H78" i="15"/>
  <c r="F78" i="15"/>
  <c r="D78" i="15"/>
  <c r="A78" i="15"/>
  <c r="AD77" i="15"/>
  <c r="V77" i="15"/>
  <c r="M77" i="15"/>
  <c r="H77" i="15"/>
  <c r="F77" i="15"/>
  <c r="D77" i="15"/>
  <c r="A77" i="15"/>
  <c r="AD76" i="15"/>
  <c r="V76" i="15"/>
  <c r="M76" i="15"/>
  <c r="H76" i="15"/>
  <c r="F76" i="15"/>
  <c r="D76" i="15"/>
  <c r="A76" i="15"/>
  <c r="AD75" i="15"/>
  <c r="V75" i="15"/>
  <c r="M75" i="15"/>
  <c r="H75" i="15"/>
  <c r="F75" i="15"/>
  <c r="D75" i="15"/>
  <c r="A75" i="15"/>
  <c r="AD74" i="15"/>
  <c r="V74" i="15"/>
  <c r="M74" i="15"/>
  <c r="H74" i="15"/>
  <c r="F74" i="15"/>
  <c r="D74" i="15"/>
  <c r="A74" i="15"/>
  <c r="AD73" i="15"/>
  <c r="V73" i="15"/>
  <c r="M73" i="15"/>
  <c r="H73" i="15"/>
  <c r="F73" i="15"/>
  <c r="D73" i="15"/>
  <c r="A73" i="15"/>
  <c r="AD72" i="15"/>
  <c r="V72" i="15"/>
  <c r="M72" i="15"/>
  <c r="H72" i="15"/>
  <c r="F72" i="15"/>
  <c r="D72" i="15"/>
  <c r="A72" i="15"/>
  <c r="AD71" i="15"/>
  <c r="V71" i="15"/>
  <c r="M71" i="15"/>
  <c r="H71" i="15"/>
  <c r="F71" i="15"/>
  <c r="D71" i="15"/>
  <c r="A71" i="15"/>
  <c r="AD70" i="15"/>
  <c r="V70" i="15"/>
  <c r="M70" i="15"/>
  <c r="H70" i="15"/>
  <c r="F70" i="15"/>
  <c r="D70" i="15"/>
  <c r="A70" i="15"/>
  <c r="AD69" i="15"/>
  <c r="V69" i="15"/>
  <c r="M69" i="15"/>
  <c r="H69" i="15"/>
  <c r="F69" i="15"/>
  <c r="D69" i="15"/>
  <c r="A69" i="15"/>
  <c r="AD68" i="15"/>
  <c r="V68" i="15"/>
  <c r="M68" i="15"/>
  <c r="H68" i="15"/>
  <c r="F68" i="15"/>
  <c r="D68" i="15"/>
  <c r="A68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24" i="15"/>
  <c r="AD4" i="15"/>
  <c r="AB4" i="15"/>
  <c r="Z4" i="15"/>
  <c r="X4" i="15"/>
  <c r="T4" i="15"/>
  <c r="Q6" i="15"/>
  <c r="P4" i="15"/>
  <c r="M6" i="15"/>
  <c r="N4" i="15"/>
  <c r="L4" i="15"/>
  <c r="H4" i="15"/>
  <c r="E6" i="15"/>
  <c r="E4294" i="3"/>
  <c r="F4294" i="3"/>
  <c r="E4288" i="3"/>
  <c r="E4289" i="3"/>
  <c r="E4290" i="3"/>
  <c r="E4291" i="3"/>
  <c r="E4292" i="3"/>
  <c r="E4293" i="3"/>
  <c r="F4288" i="3"/>
  <c r="F4289" i="3"/>
  <c r="F4290" i="3"/>
  <c r="F4291" i="3"/>
  <c r="F4292" i="3"/>
  <c r="F4293" i="3"/>
  <c r="E4287" i="3"/>
  <c r="F4287" i="3"/>
  <c r="E4286" i="3"/>
  <c r="F4286" i="3"/>
  <c r="E4285" i="3"/>
  <c r="F4285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E4271" i="3"/>
  <c r="F4271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E4258" i="3"/>
  <c r="F4258" i="3"/>
  <c r="E4256" i="3"/>
  <c r="E4257" i="3"/>
  <c r="F4256" i="3"/>
  <c r="F4257" i="3"/>
  <c r="E4250" i="3"/>
  <c r="E4251" i="3"/>
  <c r="E4252" i="3"/>
  <c r="E4253" i="3"/>
  <c r="E4254" i="3"/>
  <c r="E4255" i="3"/>
  <c r="F4250" i="3"/>
  <c r="F4251" i="3"/>
  <c r="F4252" i="3"/>
  <c r="F4253" i="3"/>
  <c r="F4254" i="3"/>
  <c r="F4255" i="3"/>
  <c r="E4249" i="3"/>
  <c r="F4249" i="3"/>
  <c r="E4248" i="3"/>
  <c r="F4248" i="3"/>
  <c r="E4247" i="3"/>
  <c r="F4247" i="3"/>
  <c r="E4246" i="3"/>
  <c r="F4246" i="3"/>
  <c r="E4244" i="3"/>
  <c r="E4245" i="3"/>
  <c r="F4244" i="3"/>
  <c r="F4245" i="3"/>
  <c r="E4243" i="3"/>
  <c r="F4243" i="3"/>
  <c r="E4242" i="3"/>
  <c r="F4242" i="3"/>
  <c r="E4241" i="3"/>
  <c r="F4241" i="3"/>
  <c r="E4239" i="3"/>
  <c r="E4240" i="3"/>
  <c r="F4239" i="3"/>
  <c r="F4240" i="3"/>
  <c r="E4236" i="3"/>
  <c r="E4237" i="3"/>
  <c r="E4238" i="3"/>
  <c r="F4236" i="3"/>
  <c r="F4237" i="3"/>
  <c r="F4238" i="3"/>
  <c r="E4234" i="3"/>
  <c r="E4235" i="3"/>
  <c r="F4234" i="3"/>
  <c r="F4235" i="3"/>
  <c r="E4233" i="3"/>
  <c r="F4233" i="3"/>
  <c r="E4231" i="3"/>
  <c r="E4232" i="3"/>
  <c r="F4231" i="3"/>
  <c r="F4232" i="3"/>
  <c r="E4230" i="3"/>
  <c r="F4230" i="3"/>
  <c r="E4229" i="3"/>
  <c r="F4229" i="3"/>
  <c r="E4227" i="3"/>
  <c r="E4228" i="3"/>
  <c r="F4227" i="3"/>
  <c r="F4228" i="3"/>
  <c r="E4226" i="3"/>
  <c r="F4226" i="3"/>
  <c r="E4225" i="3"/>
  <c r="F4225" i="3"/>
  <c r="E4224" i="3"/>
  <c r="F4224" i="3"/>
  <c r="E4223" i="3"/>
  <c r="F4223" i="3"/>
  <c r="E4222" i="3"/>
  <c r="F4222" i="3"/>
  <c r="E4221" i="3"/>
  <c r="F4221" i="3"/>
  <c r="E4219" i="3"/>
  <c r="E4220" i="3"/>
  <c r="F4219" i="3"/>
  <c r="F4220" i="3"/>
  <c r="E4216" i="3"/>
  <c r="E4217" i="3"/>
  <c r="E4218" i="3"/>
  <c r="F4216" i="3"/>
  <c r="F4217" i="3"/>
  <c r="F4218" i="3"/>
  <c r="E4215" i="3"/>
  <c r="F4215" i="3"/>
  <c r="E4214" i="3"/>
  <c r="F4214" i="3"/>
  <c r="E4213" i="3"/>
  <c r="F4213" i="3"/>
  <c r="D3" i="14"/>
  <c r="D4" i="15"/>
  <c r="AD20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AD67" i="15"/>
  <c r="F67" i="15"/>
  <c r="D67" i="15"/>
  <c r="AD66" i="15"/>
  <c r="F66" i="15"/>
  <c r="D66" i="15"/>
  <c r="AD65" i="15"/>
  <c r="F65" i="15"/>
  <c r="D65" i="15"/>
  <c r="AD64" i="15"/>
  <c r="F64" i="15"/>
  <c r="D64" i="15"/>
  <c r="AD63" i="15"/>
  <c r="F63" i="15"/>
  <c r="D63" i="15"/>
  <c r="AD62" i="15"/>
  <c r="F62" i="15"/>
  <c r="D62" i="15"/>
  <c r="AD61" i="15"/>
  <c r="F61" i="15"/>
  <c r="D61" i="15"/>
  <c r="AD60" i="15"/>
  <c r="F60" i="15"/>
  <c r="D60" i="15"/>
  <c r="AD59" i="15"/>
  <c r="F59" i="15"/>
  <c r="D59" i="15"/>
  <c r="AD58" i="15"/>
  <c r="F58" i="15"/>
  <c r="D58" i="15"/>
  <c r="AD57" i="15"/>
  <c r="F57" i="15"/>
  <c r="D57" i="15"/>
  <c r="AD56" i="15"/>
  <c r="F56" i="15"/>
  <c r="D56" i="15"/>
  <c r="AD55" i="15"/>
  <c r="F55" i="15"/>
  <c r="D55" i="15"/>
  <c r="AD54" i="15"/>
  <c r="F54" i="15"/>
  <c r="D54" i="15"/>
  <c r="AD53" i="15"/>
  <c r="F53" i="15"/>
  <c r="D53" i="15"/>
  <c r="AD52" i="15"/>
  <c r="F52" i="15"/>
  <c r="D52" i="15"/>
  <c r="AD51" i="15"/>
  <c r="F51" i="15"/>
  <c r="D51" i="15"/>
  <c r="AD50" i="15"/>
  <c r="F50" i="15"/>
  <c r="D50" i="15"/>
  <c r="AD49" i="15"/>
  <c r="F49" i="15"/>
  <c r="D49" i="15"/>
  <c r="AD48" i="15"/>
  <c r="F48" i="15"/>
  <c r="D48" i="15"/>
  <c r="AD47" i="15"/>
  <c r="F47" i="15"/>
  <c r="D47" i="15"/>
  <c r="AD46" i="15"/>
  <c r="F46" i="15"/>
  <c r="D46" i="15"/>
  <c r="AD45" i="15"/>
  <c r="F45" i="15"/>
  <c r="D45" i="15"/>
  <c r="AD44" i="15"/>
  <c r="F44" i="15"/>
  <c r="D44" i="15"/>
  <c r="AD43" i="15"/>
  <c r="F43" i="15"/>
  <c r="D43" i="15"/>
  <c r="AD42" i="15"/>
  <c r="F42" i="15"/>
  <c r="D42" i="15"/>
  <c r="AD41" i="15"/>
  <c r="F41" i="15"/>
  <c r="D41" i="15"/>
  <c r="AD40" i="15"/>
  <c r="F40" i="15"/>
  <c r="D40" i="15"/>
  <c r="AD39" i="15"/>
  <c r="F39" i="15"/>
  <c r="D39" i="15"/>
  <c r="AD38" i="15"/>
  <c r="F38" i="15"/>
  <c r="D38" i="15"/>
  <c r="AD37" i="15"/>
  <c r="F37" i="15"/>
  <c r="D37" i="15"/>
  <c r="AD36" i="15"/>
  <c r="F36" i="15"/>
  <c r="D36" i="15"/>
  <c r="AD35" i="15"/>
  <c r="F35" i="15"/>
  <c r="D35" i="15"/>
  <c r="AD34" i="15"/>
  <c r="F34" i="15"/>
  <c r="D34" i="15"/>
  <c r="AD33" i="15"/>
  <c r="F33" i="15"/>
  <c r="D33" i="15"/>
  <c r="AD32" i="15"/>
  <c r="F32" i="15"/>
  <c r="D32" i="15"/>
  <c r="AD31" i="15"/>
  <c r="F31" i="15"/>
  <c r="D31" i="15"/>
  <c r="AD30" i="15"/>
  <c r="F30" i="15"/>
  <c r="D30" i="15"/>
  <c r="AD29" i="15"/>
  <c r="F29" i="15"/>
  <c r="D29" i="15"/>
  <c r="AD28" i="15"/>
  <c r="F28" i="15"/>
  <c r="D28" i="15"/>
  <c r="AD27" i="15"/>
  <c r="F27" i="15"/>
  <c r="D27" i="15"/>
  <c r="AD26" i="15"/>
  <c r="F26" i="15"/>
  <c r="D26" i="15"/>
  <c r="AD25" i="15"/>
  <c r="F25" i="15"/>
  <c r="D25" i="15"/>
  <c r="AD24" i="15"/>
  <c r="F24" i="15"/>
  <c r="D24" i="15"/>
  <c r="AD23" i="15"/>
  <c r="F23" i="15"/>
  <c r="D23" i="15"/>
  <c r="E4212" i="3"/>
  <c r="F4212" i="3"/>
  <c r="E4206" i="3"/>
  <c r="E4207" i="3"/>
  <c r="E4208" i="3"/>
  <c r="E4209" i="3"/>
  <c r="E4210" i="3"/>
  <c r="E4211" i="3"/>
  <c r="F4206" i="3"/>
  <c r="F4207" i="3"/>
  <c r="F4208" i="3"/>
  <c r="F4209" i="3"/>
  <c r="F4210" i="3"/>
  <c r="F4211" i="3"/>
  <c r="E4205" i="3"/>
  <c r="F4205" i="3"/>
  <c r="E4203" i="3"/>
  <c r="E4204" i="3"/>
  <c r="F4203" i="3"/>
  <c r="F4204" i="3"/>
  <c r="E4191" i="3"/>
  <c r="E4192" i="3"/>
  <c r="E4193" i="3"/>
  <c r="E4194" i="3"/>
  <c r="E4195" i="3"/>
  <c r="E4196" i="3"/>
  <c r="E4197" i="3"/>
  <c r="E4198" i="3"/>
  <c r="E4199" i="3"/>
  <c r="E4200" i="3"/>
  <c r="E4201" i="3"/>
  <c r="E4202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E4190" i="3"/>
  <c r="F4190" i="3"/>
  <c r="E4178" i="3"/>
  <c r="E4179" i="3"/>
  <c r="E4180" i="3"/>
  <c r="E4181" i="3"/>
  <c r="E4182" i="3"/>
  <c r="E4183" i="3"/>
  <c r="E4184" i="3"/>
  <c r="E4185" i="3"/>
  <c r="E4186" i="3"/>
  <c r="E4187" i="3"/>
  <c r="E4188" i="3"/>
  <c r="E4189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E4168" i="3"/>
  <c r="E4169" i="3"/>
  <c r="E4170" i="3"/>
  <c r="E4171" i="3"/>
  <c r="E4172" i="3"/>
  <c r="E4173" i="3"/>
  <c r="E4174" i="3"/>
  <c r="E4175" i="3"/>
  <c r="E4176" i="3"/>
  <c r="E4177" i="3"/>
  <c r="F4168" i="3"/>
  <c r="F4169" i="3"/>
  <c r="F4170" i="3"/>
  <c r="F4171" i="3"/>
  <c r="F4172" i="3"/>
  <c r="F4173" i="3"/>
  <c r="F4174" i="3"/>
  <c r="F4175" i="3"/>
  <c r="F4176" i="3"/>
  <c r="F4177" i="3"/>
  <c r="E4167" i="3"/>
  <c r="F4167" i="3"/>
  <c r="E4166" i="3"/>
  <c r="F4166" i="3"/>
  <c r="E4165" i="3"/>
  <c r="F4165" i="3"/>
  <c r="E4164" i="3"/>
  <c r="F4164" i="3"/>
  <c r="E4162" i="3"/>
  <c r="E4163" i="3"/>
  <c r="F4162" i="3"/>
  <c r="F4163" i="3"/>
  <c r="E4161" i="3"/>
  <c r="F4161" i="3"/>
  <c r="E4160" i="3"/>
  <c r="F4160" i="3"/>
  <c r="E4159" i="3"/>
  <c r="F4159" i="3"/>
  <c r="E4157" i="3"/>
  <c r="E4158" i="3"/>
  <c r="F4157" i="3"/>
  <c r="F4158" i="3"/>
  <c r="E4154" i="3"/>
  <c r="E4155" i="3"/>
  <c r="E4156" i="3"/>
  <c r="F4154" i="3"/>
  <c r="F4155" i="3"/>
  <c r="F4156" i="3"/>
  <c r="E4152" i="3"/>
  <c r="E4153" i="3"/>
  <c r="F4152" i="3"/>
  <c r="F4153" i="3"/>
  <c r="E4148" i="3"/>
  <c r="E4149" i="3"/>
  <c r="E4150" i="3"/>
  <c r="E4151" i="3"/>
  <c r="F4148" i="3"/>
  <c r="F4149" i="3"/>
  <c r="F4150" i="3"/>
  <c r="F4151" i="3"/>
  <c r="E4147" i="3"/>
  <c r="F4147" i="3"/>
  <c r="E4146" i="3"/>
  <c r="F4146" i="3"/>
  <c r="E4145" i="3"/>
  <c r="F4145" i="3"/>
  <c r="E4143" i="3"/>
  <c r="E4144" i="3"/>
  <c r="F4143" i="3"/>
  <c r="F4144" i="3"/>
  <c r="E4142" i="3"/>
  <c r="F4142" i="3"/>
  <c r="E4140" i="3"/>
  <c r="E4141" i="3"/>
  <c r="F4140" i="3"/>
  <c r="F4141" i="3"/>
  <c r="E4139" i="3"/>
  <c r="F4139" i="3"/>
  <c r="E4138" i="3"/>
  <c r="F4138" i="3"/>
  <c r="E4137" i="3"/>
  <c r="F4137" i="3"/>
  <c r="E4136" i="3"/>
  <c r="F4136" i="3"/>
  <c r="E4134" i="3"/>
  <c r="E4135" i="3"/>
  <c r="F4134" i="3"/>
  <c r="F4135" i="3"/>
  <c r="E4131" i="3"/>
  <c r="E4132" i="3"/>
  <c r="E4133" i="3"/>
  <c r="F4131" i="3"/>
  <c r="F4132" i="3"/>
  <c r="F4133" i="3"/>
  <c r="E4130" i="3"/>
  <c r="F4130" i="3"/>
  <c r="E4129" i="3"/>
  <c r="F4129" i="3"/>
  <c r="E4128" i="3"/>
  <c r="F4128" i="3"/>
  <c r="E4127" i="3"/>
  <c r="F4127" i="3"/>
  <c r="E4125" i="3"/>
  <c r="E4126" i="3"/>
  <c r="F4125" i="3"/>
  <c r="F4126" i="3"/>
  <c r="E4124" i="3"/>
  <c r="F4124" i="3"/>
  <c r="E4123" i="3"/>
  <c r="F4123" i="3"/>
  <c r="E4120" i="3"/>
  <c r="E4121" i="3"/>
  <c r="E4122" i="3"/>
  <c r="F4120" i="3"/>
  <c r="F4121" i="3"/>
  <c r="F4122" i="3"/>
  <c r="E4105" i="3"/>
  <c r="E4106" i="3"/>
  <c r="E4107" i="3"/>
  <c r="E4108" i="3"/>
  <c r="E4109" i="3"/>
  <c r="E4110" i="3"/>
  <c r="E4111" i="3"/>
  <c r="E4112" i="3"/>
  <c r="E4113" i="3"/>
  <c r="E4114" i="3"/>
  <c r="E4115" i="3"/>
  <c r="E4116" i="3"/>
  <c r="E4117" i="3"/>
  <c r="E4118" i="3"/>
  <c r="E4119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E4104" i="3"/>
  <c r="F4104" i="3"/>
  <c r="E4091" i="3"/>
  <c r="E4092" i="3"/>
  <c r="E4093" i="3"/>
  <c r="E4094" i="3"/>
  <c r="E4095" i="3"/>
  <c r="E4096" i="3"/>
  <c r="E4097" i="3"/>
  <c r="E4098" i="3"/>
  <c r="E4099" i="3"/>
  <c r="E4100" i="3"/>
  <c r="E4101" i="3"/>
  <c r="E4102" i="3"/>
  <c r="E4103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E4089" i="3"/>
  <c r="E4090" i="3"/>
  <c r="F4089" i="3"/>
  <c r="F4090" i="3"/>
  <c r="E4082" i="3"/>
  <c r="E4083" i="3"/>
  <c r="E4084" i="3"/>
  <c r="E4085" i="3"/>
  <c r="E4086" i="3"/>
  <c r="E4087" i="3"/>
  <c r="E4088" i="3"/>
  <c r="F4082" i="3"/>
  <c r="F4083" i="3"/>
  <c r="F4084" i="3"/>
  <c r="F4085" i="3"/>
  <c r="F4086" i="3"/>
  <c r="F4087" i="3"/>
  <c r="F4088" i="3"/>
  <c r="E4080" i="3"/>
  <c r="E4081" i="3"/>
  <c r="F4080" i="3"/>
  <c r="F4081" i="3"/>
  <c r="E4079" i="3"/>
  <c r="F4079" i="3"/>
  <c r="E4078" i="3"/>
  <c r="F4078" i="3"/>
  <c r="E4077" i="3"/>
  <c r="F4077" i="3"/>
  <c r="E4076" i="3"/>
  <c r="F4076" i="3"/>
  <c r="E4075" i="3"/>
  <c r="F4075" i="3"/>
  <c r="E4074" i="3"/>
  <c r="F4074" i="3"/>
  <c r="E4073" i="3"/>
  <c r="F4073" i="3"/>
  <c r="E4072" i="3"/>
  <c r="F4072" i="3"/>
  <c r="E4071" i="3"/>
  <c r="F4071" i="3"/>
  <c r="E4070" i="3"/>
  <c r="F4070" i="3"/>
  <c r="E4069" i="3"/>
  <c r="F4069" i="3"/>
  <c r="E4067" i="3"/>
  <c r="E4068" i="3"/>
  <c r="F4067" i="3"/>
  <c r="F4068" i="3"/>
  <c r="E4066" i="3"/>
  <c r="F4066" i="3"/>
  <c r="E4065" i="3"/>
  <c r="F4065" i="3"/>
  <c r="E4064" i="3"/>
  <c r="F4064" i="3"/>
  <c r="E4063" i="3"/>
  <c r="F4063" i="3"/>
  <c r="E4062" i="3"/>
  <c r="F4062" i="3"/>
  <c r="E4061" i="3"/>
  <c r="F4061" i="3"/>
  <c r="E4060" i="3"/>
  <c r="F4060" i="3"/>
  <c r="E4058" i="3"/>
  <c r="E4059" i="3"/>
  <c r="F4058" i="3"/>
  <c r="F4059" i="3"/>
  <c r="E4057" i="3"/>
  <c r="F4057" i="3"/>
  <c r="E4056" i="3"/>
  <c r="F4056" i="3"/>
  <c r="E4055" i="3"/>
  <c r="F4055" i="3"/>
  <c r="E4054" i="3"/>
  <c r="F4054" i="3"/>
  <c r="E4053" i="3"/>
  <c r="F4053" i="3"/>
  <c r="E4052" i="3"/>
  <c r="F4052" i="3"/>
  <c r="E4050" i="3"/>
  <c r="E4051" i="3"/>
  <c r="F4050" i="3"/>
  <c r="F4051" i="3"/>
  <c r="E4048" i="3"/>
  <c r="E4049" i="3"/>
  <c r="F4048" i="3"/>
  <c r="F4049" i="3"/>
  <c r="E4046" i="3"/>
  <c r="E4047" i="3"/>
  <c r="F4046" i="3"/>
  <c r="F4047" i="3"/>
  <c r="E4044" i="3"/>
  <c r="E4045" i="3"/>
  <c r="F4044" i="3"/>
  <c r="F4045" i="3"/>
  <c r="E4042" i="3"/>
  <c r="E4043" i="3"/>
  <c r="F4042" i="3"/>
  <c r="F4043" i="3"/>
  <c r="E4041" i="3"/>
  <c r="F4041" i="3"/>
  <c r="E4039" i="3"/>
  <c r="E4040" i="3"/>
  <c r="F4039" i="3"/>
  <c r="F4040" i="3"/>
  <c r="E4037" i="3"/>
  <c r="E4038" i="3"/>
  <c r="F4037" i="3"/>
  <c r="F4038" i="3"/>
  <c r="E4031" i="3"/>
  <c r="E4032" i="3"/>
  <c r="E4033" i="3"/>
  <c r="E4034" i="3"/>
  <c r="E4035" i="3"/>
  <c r="E4036" i="3"/>
  <c r="F4031" i="3"/>
  <c r="F4032" i="3"/>
  <c r="F4033" i="3"/>
  <c r="F4034" i="3"/>
  <c r="F4035" i="3"/>
  <c r="F4036" i="3"/>
  <c r="E4016" i="3"/>
  <c r="E4017" i="3"/>
  <c r="E4018" i="3"/>
  <c r="E4019" i="3"/>
  <c r="E4020" i="3"/>
  <c r="E4021" i="3"/>
  <c r="E4022" i="3"/>
  <c r="E4023" i="3"/>
  <c r="E4024" i="3"/>
  <c r="E4025" i="3"/>
  <c r="E4026" i="3"/>
  <c r="E4027" i="3"/>
  <c r="E4028" i="3"/>
  <c r="E4029" i="3"/>
  <c r="E4030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E4015" i="3"/>
  <c r="F4015" i="3"/>
  <c r="E4003" i="3"/>
  <c r="E4004" i="3"/>
  <c r="E4005" i="3"/>
  <c r="E4006" i="3"/>
  <c r="E4007" i="3"/>
  <c r="E4008" i="3"/>
  <c r="E4009" i="3"/>
  <c r="E4010" i="3"/>
  <c r="E4011" i="3"/>
  <c r="E4012" i="3"/>
  <c r="E4013" i="3"/>
  <c r="E4014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E3993" i="3"/>
  <c r="E3994" i="3"/>
  <c r="E3995" i="3"/>
  <c r="E3996" i="3"/>
  <c r="E3997" i="3"/>
  <c r="E3998" i="3"/>
  <c r="E3999" i="3"/>
  <c r="E4000" i="3"/>
  <c r="E4001" i="3"/>
  <c r="E4002" i="3"/>
  <c r="F3993" i="3"/>
  <c r="F3994" i="3"/>
  <c r="F3995" i="3"/>
  <c r="F3996" i="3"/>
  <c r="F3997" i="3"/>
  <c r="F3998" i="3"/>
  <c r="F3999" i="3"/>
  <c r="F4000" i="3"/>
  <c r="F4001" i="3"/>
  <c r="F4002" i="3"/>
  <c r="E3991" i="3"/>
  <c r="E3992" i="3"/>
  <c r="F3991" i="3"/>
  <c r="F3992" i="3"/>
  <c r="E3990" i="3"/>
  <c r="F3990" i="3"/>
  <c r="E3989" i="3"/>
  <c r="F3989" i="3"/>
  <c r="E3987" i="3"/>
  <c r="E3988" i="3"/>
  <c r="F3987" i="3"/>
  <c r="F3988" i="3"/>
  <c r="E3985" i="3"/>
  <c r="E3986" i="3"/>
  <c r="F3985" i="3"/>
  <c r="F3986" i="3"/>
  <c r="E3984" i="3"/>
  <c r="F3984" i="3"/>
  <c r="E3983" i="3"/>
  <c r="F3983" i="3"/>
  <c r="E3982" i="3"/>
  <c r="F3982" i="3"/>
  <c r="E3979" i="3"/>
  <c r="E3980" i="3"/>
  <c r="E3981" i="3"/>
  <c r="F3979" i="3"/>
  <c r="F3980" i="3"/>
  <c r="F3981" i="3"/>
  <c r="E3978" i="3"/>
  <c r="F3978" i="3"/>
  <c r="E3976" i="3"/>
  <c r="E3977" i="3"/>
  <c r="F3976" i="3"/>
  <c r="F3977" i="3"/>
  <c r="E3974" i="3"/>
  <c r="E3975" i="3"/>
  <c r="F3974" i="3"/>
  <c r="F3975" i="3"/>
  <c r="E3973" i="3"/>
  <c r="F3973" i="3"/>
  <c r="E3970" i="3"/>
  <c r="E3971" i="3"/>
  <c r="E3972" i="3"/>
  <c r="F3970" i="3"/>
  <c r="F3971" i="3"/>
  <c r="F3972" i="3"/>
  <c r="E3969" i="3"/>
  <c r="F3969" i="3"/>
  <c r="E3968" i="3"/>
  <c r="F3968" i="3"/>
  <c r="E3966" i="3"/>
  <c r="E3967" i="3"/>
  <c r="F3966" i="3"/>
  <c r="F3967" i="3"/>
  <c r="E3965" i="3"/>
  <c r="F3965" i="3"/>
  <c r="E3964" i="3"/>
  <c r="F3964" i="3"/>
  <c r="E3963" i="3"/>
  <c r="F3963" i="3"/>
  <c r="E3962" i="3"/>
  <c r="F3962" i="3"/>
  <c r="E3961" i="3"/>
  <c r="F3961" i="3"/>
  <c r="E3960" i="3"/>
  <c r="F3960" i="3"/>
  <c r="E3959" i="3"/>
  <c r="F3959" i="3"/>
  <c r="E3957" i="3"/>
  <c r="E3958" i="3"/>
  <c r="F3957" i="3"/>
  <c r="F3958" i="3"/>
  <c r="E3955" i="3"/>
  <c r="E3956" i="3"/>
  <c r="F3955" i="3"/>
  <c r="F3956" i="3"/>
  <c r="E3954" i="3"/>
  <c r="F3954" i="3"/>
  <c r="E3953" i="3"/>
  <c r="F3953" i="3"/>
  <c r="E3952" i="3"/>
  <c r="F3952" i="3"/>
  <c r="E3951" i="3"/>
  <c r="F3951" i="3"/>
  <c r="E3950" i="3"/>
  <c r="F3950" i="3"/>
  <c r="E3948" i="3"/>
  <c r="E3949" i="3"/>
  <c r="F3948" i="3"/>
  <c r="F3949" i="3"/>
  <c r="E3944" i="3"/>
  <c r="E3945" i="3"/>
  <c r="E3946" i="3"/>
  <c r="E3947" i="3"/>
  <c r="F3944" i="3"/>
  <c r="F3945" i="3"/>
  <c r="F3946" i="3"/>
  <c r="F3947" i="3"/>
  <c r="E3943" i="3"/>
  <c r="F3943" i="3"/>
  <c r="E3928" i="3"/>
  <c r="E3929" i="3"/>
  <c r="E3930" i="3"/>
  <c r="E3931" i="3"/>
  <c r="E3932" i="3"/>
  <c r="E3933" i="3"/>
  <c r="E3934" i="3"/>
  <c r="E3935" i="3"/>
  <c r="E3936" i="3"/>
  <c r="E3937" i="3"/>
  <c r="E3938" i="3"/>
  <c r="E3939" i="3"/>
  <c r="E3940" i="3"/>
  <c r="E3941" i="3"/>
  <c r="E3942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E3927" i="3"/>
  <c r="F3927" i="3"/>
  <c r="E3915" i="3"/>
  <c r="E3916" i="3"/>
  <c r="E3917" i="3"/>
  <c r="E3918" i="3"/>
  <c r="E3919" i="3"/>
  <c r="E3920" i="3"/>
  <c r="E3921" i="3"/>
  <c r="E3922" i="3"/>
  <c r="E3923" i="3"/>
  <c r="E3924" i="3"/>
  <c r="E3925" i="3"/>
  <c r="E3926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E3905" i="3"/>
  <c r="E3906" i="3"/>
  <c r="E3907" i="3"/>
  <c r="E3908" i="3"/>
  <c r="E3909" i="3"/>
  <c r="E3910" i="3"/>
  <c r="E3911" i="3"/>
  <c r="E3912" i="3"/>
  <c r="E3913" i="3"/>
  <c r="E3914" i="3"/>
  <c r="F3905" i="3"/>
  <c r="F3906" i="3"/>
  <c r="F3907" i="3"/>
  <c r="F3908" i="3"/>
  <c r="F3909" i="3"/>
  <c r="F3910" i="3"/>
  <c r="F3911" i="3"/>
  <c r="F3912" i="3"/>
  <c r="F3913" i="3"/>
  <c r="F3914" i="3"/>
  <c r="E3904" i="3"/>
  <c r="F3904" i="3"/>
  <c r="E3903" i="3"/>
  <c r="F3903" i="3"/>
  <c r="E3902" i="3"/>
  <c r="F3902" i="3"/>
  <c r="E3901" i="3"/>
  <c r="F3901" i="3"/>
  <c r="E3899" i="3"/>
  <c r="E3900" i="3"/>
  <c r="F3899" i="3"/>
  <c r="F3900" i="3"/>
  <c r="E3898" i="3"/>
  <c r="F3898" i="3"/>
  <c r="E3897" i="3"/>
  <c r="F3897" i="3"/>
  <c r="E3895" i="3"/>
  <c r="E3896" i="3"/>
  <c r="F3895" i="3"/>
  <c r="F3896" i="3"/>
  <c r="E3892" i="3"/>
  <c r="E3893" i="3"/>
  <c r="E3894" i="3"/>
  <c r="F3892" i="3"/>
  <c r="F3893" i="3"/>
  <c r="F3894" i="3"/>
  <c r="E3890" i="3"/>
  <c r="E3891" i="3"/>
  <c r="F3890" i="3"/>
  <c r="F3891" i="3"/>
  <c r="E3889" i="3"/>
  <c r="F3889" i="3"/>
  <c r="E3885" i="3"/>
  <c r="E3886" i="3"/>
  <c r="E3887" i="3"/>
  <c r="E3888" i="3"/>
  <c r="F3885" i="3"/>
  <c r="F3886" i="3"/>
  <c r="F3887" i="3"/>
  <c r="F3888" i="3"/>
  <c r="E3884" i="3"/>
  <c r="F3884" i="3"/>
  <c r="E3883" i="3"/>
  <c r="F3883" i="3"/>
  <c r="E3881" i="3"/>
  <c r="E3882" i="3"/>
  <c r="F3881" i="3"/>
  <c r="F3882" i="3"/>
  <c r="E3880" i="3"/>
  <c r="F3880" i="3"/>
  <c r="E3879" i="3"/>
  <c r="F3879" i="3"/>
  <c r="E3878" i="3"/>
  <c r="F3878" i="3"/>
  <c r="E3877" i="3"/>
  <c r="F3877" i="3"/>
  <c r="E3876" i="3"/>
  <c r="F3876" i="3"/>
  <c r="E3875" i="3"/>
  <c r="F3875" i="3"/>
  <c r="E3874" i="3"/>
  <c r="F3874" i="3"/>
  <c r="E3872" i="3"/>
  <c r="E3873" i="3"/>
  <c r="F3872" i="3"/>
  <c r="F3873" i="3"/>
  <c r="E3870" i="3"/>
  <c r="E3871" i="3"/>
  <c r="F3870" i="3"/>
  <c r="F3871" i="3"/>
  <c r="E3869" i="3"/>
  <c r="F3869" i="3"/>
  <c r="E3868" i="3"/>
  <c r="F3868" i="3"/>
  <c r="E3867" i="3"/>
  <c r="F3867" i="3"/>
  <c r="E3865" i="3"/>
  <c r="E3866" i="3"/>
  <c r="F3865" i="3"/>
  <c r="F3866" i="3"/>
  <c r="E3864" i="3"/>
  <c r="F3864" i="3"/>
  <c r="E3858" i="3"/>
  <c r="E3859" i="3"/>
  <c r="E3860" i="3"/>
  <c r="E3861" i="3"/>
  <c r="E3862" i="3"/>
  <c r="E3863" i="3"/>
  <c r="F3858" i="3"/>
  <c r="F3859" i="3"/>
  <c r="F3860" i="3"/>
  <c r="F3861" i="3"/>
  <c r="F3862" i="3"/>
  <c r="F3863" i="3"/>
  <c r="E3857" i="3"/>
  <c r="F3857" i="3"/>
  <c r="E3844" i="3"/>
  <c r="E3845" i="3"/>
  <c r="E3846" i="3"/>
  <c r="E3847" i="3"/>
  <c r="E3848" i="3"/>
  <c r="E3849" i="3"/>
  <c r="E3850" i="3"/>
  <c r="E3851" i="3"/>
  <c r="E3852" i="3"/>
  <c r="E3853" i="3"/>
  <c r="E3854" i="3"/>
  <c r="E3855" i="3"/>
  <c r="E3856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E3830" i="3"/>
  <c r="E3831" i="3"/>
  <c r="E3832" i="3"/>
  <c r="E3833" i="3"/>
  <c r="E3834" i="3"/>
  <c r="E3835" i="3"/>
  <c r="E3836" i="3"/>
  <c r="E3837" i="3"/>
  <c r="E3838" i="3"/>
  <c r="E3839" i="3"/>
  <c r="E3840" i="3"/>
  <c r="E3841" i="3"/>
  <c r="E3842" i="3"/>
  <c r="E3843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E3821" i="3"/>
  <c r="E3822" i="3"/>
  <c r="E3823" i="3"/>
  <c r="E3824" i="3"/>
  <c r="E3825" i="3"/>
  <c r="E3826" i="3"/>
  <c r="E3827" i="3"/>
  <c r="E3828" i="3"/>
  <c r="E3829" i="3"/>
  <c r="F3821" i="3"/>
  <c r="F3822" i="3"/>
  <c r="F3823" i="3"/>
  <c r="F3824" i="3"/>
  <c r="F3825" i="3"/>
  <c r="F3826" i="3"/>
  <c r="F3827" i="3"/>
  <c r="F3828" i="3"/>
  <c r="F3829" i="3"/>
  <c r="E3819" i="3"/>
  <c r="E3820" i="3"/>
  <c r="F3819" i="3"/>
  <c r="F3820" i="3"/>
  <c r="E3818" i="3"/>
  <c r="F3818" i="3"/>
  <c r="E3817" i="3"/>
  <c r="F3817" i="3"/>
  <c r="E3816" i="3"/>
  <c r="F3816" i="3"/>
  <c r="E3815" i="3"/>
  <c r="F3815" i="3"/>
  <c r="E3814" i="3"/>
  <c r="F3814" i="3"/>
  <c r="E3813" i="3"/>
  <c r="F3813" i="3"/>
  <c r="E3812" i="3"/>
  <c r="F3812" i="3"/>
  <c r="E3811" i="3"/>
  <c r="F3811" i="3"/>
  <c r="E3810" i="3"/>
  <c r="F3810" i="3"/>
  <c r="E3809" i="3"/>
  <c r="F3809" i="3"/>
  <c r="E3808" i="3"/>
  <c r="F3808" i="3"/>
  <c r="E3806" i="3"/>
  <c r="E3807" i="3"/>
  <c r="F3806" i="3"/>
  <c r="F3807" i="3"/>
  <c r="E3804" i="3"/>
  <c r="E3805" i="3"/>
  <c r="F3804" i="3"/>
  <c r="F3805" i="3"/>
  <c r="E3803" i="3"/>
  <c r="F3803" i="3"/>
  <c r="E3800" i="3"/>
  <c r="E3801" i="3"/>
  <c r="E3802" i="3"/>
  <c r="F3800" i="3"/>
  <c r="F3801" i="3"/>
  <c r="F3802" i="3"/>
  <c r="E3799" i="3"/>
  <c r="F3799" i="3"/>
  <c r="E3798" i="3"/>
  <c r="F3798" i="3"/>
  <c r="E3797" i="3"/>
  <c r="F3797" i="3"/>
  <c r="E3796" i="3"/>
  <c r="F3796" i="3"/>
  <c r="E3795" i="3"/>
  <c r="F3795" i="3"/>
  <c r="E3794" i="3"/>
  <c r="F3794" i="3"/>
  <c r="E3793" i="3"/>
  <c r="F3793" i="3"/>
  <c r="E3792" i="3"/>
  <c r="F3792" i="3"/>
  <c r="E3791" i="3"/>
  <c r="F3791" i="3"/>
  <c r="E3789" i="3"/>
  <c r="E3790" i="3"/>
  <c r="F3789" i="3"/>
  <c r="F3790" i="3"/>
  <c r="E3787" i="3"/>
  <c r="E3788" i="3"/>
  <c r="F3787" i="3"/>
  <c r="F3788" i="3"/>
  <c r="E3785" i="3"/>
  <c r="E3786" i="3"/>
  <c r="F3785" i="3"/>
  <c r="F3786" i="3"/>
  <c r="E3783" i="3"/>
  <c r="E3784" i="3"/>
  <c r="F3783" i="3"/>
  <c r="F3784" i="3"/>
  <c r="E3781" i="3"/>
  <c r="E3782" i="3"/>
  <c r="F3781" i="3"/>
  <c r="F3782" i="3"/>
  <c r="E3780" i="3"/>
  <c r="F3780" i="3"/>
  <c r="G10" i="14"/>
  <c r="AC6" i="15" s="1"/>
  <c r="H10" i="14"/>
  <c r="G9" i="14"/>
  <c r="Y6" i="15" s="1"/>
  <c r="H9" i="14"/>
  <c r="G8" i="14"/>
  <c r="U6" i="15" s="1"/>
  <c r="G7" i="14"/>
  <c r="H7" i="14"/>
  <c r="G6" i="14"/>
  <c r="H6" i="14"/>
  <c r="G5" i="14"/>
  <c r="I6" i="15" s="1"/>
  <c r="H5" i="14"/>
  <c r="D4" i="14"/>
  <c r="G4" i="14"/>
  <c r="H4" i="14"/>
  <c r="G3" i="14"/>
  <c r="H3" i="14"/>
  <c r="E3778" i="3"/>
  <c r="E3779" i="3"/>
  <c r="F3778" i="3"/>
  <c r="F3779" i="3"/>
  <c r="E3777" i="3"/>
  <c r="F3777" i="3"/>
  <c r="E3771" i="3"/>
  <c r="E3772" i="3"/>
  <c r="E3773" i="3"/>
  <c r="E3774" i="3"/>
  <c r="E3775" i="3"/>
  <c r="E3776" i="3"/>
  <c r="F3771" i="3"/>
  <c r="F3772" i="3"/>
  <c r="F3773" i="3"/>
  <c r="F3774" i="3"/>
  <c r="F3775" i="3"/>
  <c r="F3776" i="3"/>
  <c r="E3757" i="3"/>
  <c r="E3758" i="3"/>
  <c r="E3759" i="3"/>
  <c r="E3760" i="3"/>
  <c r="E3761" i="3"/>
  <c r="E3762" i="3"/>
  <c r="E3763" i="3"/>
  <c r="E3764" i="3"/>
  <c r="E3765" i="3"/>
  <c r="E3766" i="3"/>
  <c r="E3767" i="3"/>
  <c r="E3768" i="3"/>
  <c r="E3769" i="3"/>
  <c r="E3770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E3743" i="3"/>
  <c r="E3744" i="3"/>
  <c r="E3745" i="3"/>
  <c r="E3746" i="3"/>
  <c r="E3747" i="3"/>
  <c r="E3748" i="3"/>
  <c r="E3749" i="3"/>
  <c r="E3750" i="3"/>
  <c r="E3751" i="3"/>
  <c r="E3752" i="3"/>
  <c r="E3753" i="3"/>
  <c r="E3754" i="3"/>
  <c r="E3755" i="3"/>
  <c r="E3756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E3734" i="3"/>
  <c r="E3735" i="3"/>
  <c r="E3736" i="3"/>
  <c r="E3737" i="3"/>
  <c r="E3738" i="3"/>
  <c r="E3739" i="3"/>
  <c r="E3740" i="3"/>
  <c r="E3741" i="3"/>
  <c r="E3742" i="3"/>
  <c r="F3734" i="3"/>
  <c r="F3735" i="3"/>
  <c r="F3736" i="3"/>
  <c r="F3737" i="3"/>
  <c r="F3738" i="3"/>
  <c r="F3739" i="3"/>
  <c r="F3740" i="3"/>
  <c r="F3741" i="3"/>
  <c r="F3742" i="3"/>
  <c r="E3732" i="3"/>
  <c r="E3733" i="3"/>
  <c r="F3732" i="3"/>
  <c r="F3733" i="3"/>
  <c r="E3731" i="3"/>
  <c r="F3731" i="3"/>
  <c r="E3730" i="3"/>
  <c r="F3730" i="3"/>
  <c r="E3729" i="3"/>
  <c r="F3729" i="3"/>
  <c r="E3727" i="3"/>
  <c r="E3728" i="3"/>
  <c r="F3727" i="3"/>
  <c r="F3728" i="3"/>
  <c r="E3726" i="3"/>
  <c r="F3726" i="3"/>
  <c r="E3725" i="3"/>
  <c r="F3725" i="3"/>
  <c r="E3724" i="3"/>
  <c r="F3724" i="3"/>
  <c r="E3723" i="3"/>
  <c r="F3723" i="3"/>
  <c r="E3722" i="3"/>
  <c r="F3722" i="3"/>
  <c r="E3721" i="3"/>
  <c r="F3721" i="3"/>
  <c r="E3720" i="3"/>
  <c r="F3720" i="3"/>
  <c r="E3718" i="3"/>
  <c r="E3719" i="3"/>
  <c r="F3718" i="3"/>
  <c r="F3719" i="3"/>
  <c r="E3717" i="3"/>
  <c r="F3717" i="3"/>
  <c r="E3716" i="3"/>
  <c r="F3716" i="3"/>
  <c r="E3713" i="3"/>
  <c r="E3714" i="3"/>
  <c r="E3715" i="3"/>
  <c r="F3713" i="3"/>
  <c r="F3714" i="3"/>
  <c r="F3715" i="3"/>
  <c r="E3712" i="3"/>
  <c r="F3712" i="3"/>
  <c r="E3711" i="3"/>
  <c r="F3711" i="3"/>
  <c r="E3710" i="3"/>
  <c r="F3710" i="3"/>
  <c r="E3709" i="3"/>
  <c r="F3709" i="3"/>
  <c r="E3708" i="3"/>
  <c r="F3708" i="3"/>
  <c r="E3707" i="3"/>
  <c r="F3707" i="3"/>
  <c r="E3706" i="3"/>
  <c r="F3706" i="3"/>
  <c r="E3705" i="3"/>
  <c r="F3705" i="3"/>
  <c r="E3703" i="3"/>
  <c r="E3704" i="3"/>
  <c r="F3703" i="3"/>
  <c r="F3704" i="3"/>
  <c r="E3701" i="3"/>
  <c r="E3702" i="3"/>
  <c r="F3701" i="3"/>
  <c r="F3702" i="3"/>
  <c r="E3700" i="3"/>
  <c r="F3700" i="3"/>
  <c r="E3698" i="3"/>
  <c r="E3699" i="3"/>
  <c r="F3698" i="3"/>
  <c r="F3699" i="3"/>
  <c r="E3696" i="3"/>
  <c r="E3697" i="3"/>
  <c r="F3696" i="3"/>
  <c r="F3697" i="3"/>
  <c r="E3695" i="3"/>
  <c r="F3695" i="3"/>
  <c r="AD3" i="15"/>
  <c r="E3694" i="3"/>
  <c r="F3694" i="3"/>
  <c r="E3693" i="3"/>
  <c r="F3693" i="3"/>
  <c r="E3692" i="3"/>
  <c r="F3692" i="3"/>
  <c r="E3687" i="3"/>
  <c r="E3688" i="3"/>
  <c r="E3689" i="3"/>
  <c r="E3690" i="3"/>
  <c r="E3691" i="3"/>
  <c r="F3687" i="3"/>
  <c r="F3688" i="3"/>
  <c r="F3689" i="3"/>
  <c r="F3690" i="3"/>
  <c r="F3691" i="3"/>
  <c r="E3673" i="3"/>
  <c r="E3674" i="3"/>
  <c r="E3675" i="3"/>
  <c r="E3676" i="3"/>
  <c r="E3677" i="3"/>
  <c r="E3678" i="3"/>
  <c r="E3679" i="3"/>
  <c r="E3680" i="3"/>
  <c r="E3681" i="3"/>
  <c r="E3682" i="3"/>
  <c r="E3683" i="3"/>
  <c r="E3684" i="3"/>
  <c r="E3685" i="3"/>
  <c r="E3686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E3659" i="3"/>
  <c r="E3660" i="3"/>
  <c r="E3661" i="3"/>
  <c r="E3662" i="3"/>
  <c r="E3663" i="3"/>
  <c r="E3664" i="3"/>
  <c r="E3665" i="3"/>
  <c r="E3666" i="3"/>
  <c r="E3667" i="3"/>
  <c r="E3668" i="3"/>
  <c r="E3669" i="3"/>
  <c r="E3670" i="3"/>
  <c r="E3671" i="3"/>
  <c r="E3672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E3650" i="3"/>
  <c r="E3651" i="3"/>
  <c r="E3652" i="3"/>
  <c r="E3653" i="3"/>
  <c r="E3654" i="3"/>
  <c r="E3655" i="3"/>
  <c r="E3656" i="3"/>
  <c r="E3657" i="3"/>
  <c r="E3658" i="3"/>
  <c r="F3650" i="3"/>
  <c r="F3651" i="3"/>
  <c r="F3652" i="3"/>
  <c r="F3653" i="3"/>
  <c r="F3654" i="3"/>
  <c r="F3655" i="3"/>
  <c r="F3656" i="3"/>
  <c r="F3657" i="3"/>
  <c r="F3658" i="3"/>
  <c r="E3648" i="3"/>
  <c r="E3649" i="3"/>
  <c r="F3648" i="3"/>
  <c r="F3649" i="3"/>
  <c r="E3647" i="3"/>
  <c r="F3647" i="3"/>
  <c r="E3646" i="3"/>
  <c r="F3646" i="3"/>
  <c r="E3645" i="3"/>
  <c r="F3645" i="3"/>
  <c r="E3644" i="3"/>
  <c r="F3644" i="3"/>
  <c r="E3643" i="3"/>
  <c r="F3643" i="3"/>
  <c r="E3642" i="3"/>
  <c r="F3642" i="3"/>
  <c r="E3641" i="3"/>
  <c r="F3641" i="3"/>
  <c r="E3640" i="3"/>
  <c r="F3640" i="3"/>
  <c r="E3639" i="3"/>
  <c r="F3639" i="3"/>
  <c r="E3638" i="3"/>
  <c r="F3638" i="3"/>
  <c r="E3637" i="3"/>
  <c r="F3637" i="3"/>
  <c r="E3635" i="3"/>
  <c r="E3636" i="3"/>
  <c r="F3635" i="3"/>
  <c r="F3636" i="3"/>
  <c r="E3634" i="3"/>
  <c r="F3634" i="3"/>
  <c r="E3633" i="3"/>
  <c r="F3633" i="3"/>
  <c r="E3630" i="3"/>
  <c r="E3631" i="3"/>
  <c r="E3632" i="3"/>
  <c r="F3630" i="3"/>
  <c r="F3631" i="3"/>
  <c r="F3632" i="3"/>
  <c r="E3629" i="3"/>
  <c r="F3629" i="3"/>
  <c r="E3628" i="3"/>
  <c r="F3628" i="3"/>
  <c r="E3627" i="3"/>
  <c r="F3627" i="3"/>
  <c r="E3626" i="3"/>
  <c r="F3626" i="3"/>
  <c r="E3625" i="3"/>
  <c r="F3625" i="3"/>
  <c r="E3624" i="3"/>
  <c r="F3624" i="3"/>
  <c r="E3623" i="3"/>
  <c r="F3623" i="3"/>
  <c r="E3622" i="3"/>
  <c r="F3622" i="3"/>
  <c r="E3620" i="3"/>
  <c r="E3621" i="3"/>
  <c r="F3620" i="3"/>
  <c r="F3621" i="3"/>
  <c r="E3619" i="3"/>
  <c r="F3619" i="3"/>
  <c r="E3618" i="3"/>
  <c r="F3618" i="3"/>
  <c r="E3617" i="3"/>
  <c r="F3617" i="3"/>
  <c r="E3615" i="3"/>
  <c r="E3616" i="3"/>
  <c r="F3615" i="3"/>
  <c r="F3616" i="3"/>
  <c r="E3614" i="3"/>
  <c r="F3614" i="3"/>
  <c r="E3613" i="3"/>
  <c r="F3613" i="3"/>
  <c r="E3612" i="3"/>
  <c r="F3612" i="3"/>
  <c r="E3611" i="3"/>
  <c r="F3611" i="3"/>
  <c r="E3609" i="3"/>
  <c r="E3610" i="3"/>
  <c r="F3609" i="3"/>
  <c r="F3610" i="3"/>
  <c r="E3595" i="3"/>
  <c r="E3596" i="3"/>
  <c r="E3597" i="3"/>
  <c r="E3598" i="3"/>
  <c r="E3599" i="3"/>
  <c r="E3600" i="3"/>
  <c r="E3601" i="3"/>
  <c r="E3602" i="3"/>
  <c r="E3603" i="3"/>
  <c r="E3604" i="3"/>
  <c r="E3605" i="3"/>
  <c r="E3606" i="3"/>
  <c r="E3607" i="3"/>
  <c r="E3608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E3581" i="3"/>
  <c r="E3582" i="3"/>
  <c r="E3583" i="3"/>
  <c r="E3584" i="3"/>
  <c r="E3585" i="3"/>
  <c r="E3586" i="3"/>
  <c r="E3587" i="3"/>
  <c r="E3588" i="3"/>
  <c r="E3589" i="3"/>
  <c r="E3590" i="3"/>
  <c r="E3591" i="3"/>
  <c r="E3592" i="3"/>
  <c r="E3593" i="3"/>
  <c r="E3594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E3572" i="3"/>
  <c r="E3573" i="3"/>
  <c r="E3574" i="3"/>
  <c r="E3575" i="3"/>
  <c r="E3576" i="3"/>
  <c r="E3577" i="3"/>
  <c r="E3578" i="3"/>
  <c r="E3579" i="3"/>
  <c r="E3580" i="3"/>
  <c r="F3572" i="3"/>
  <c r="F3573" i="3"/>
  <c r="F3574" i="3"/>
  <c r="F3575" i="3"/>
  <c r="F3576" i="3"/>
  <c r="F3577" i="3"/>
  <c r="F3578" i="3"/>
  <c r="F3579" i="3"/>
  <c r="F3580" i="3"/>
  <c r="E3571" i="3"/>
  <c r="F3571" i="3"/>
  <c r="E3570" i="3"/>
  <c r="F3570" i="3"/>
  <c r="E3569" i="3"/>
  <c r="F3569" i="3"/>
  <c r="E3568" i="3"/>
  <c r="F3568" i="3"/>
  <c r="E3567" i="3"/>
  <c r="F3567" i="3"/>
  <c r="E3566" i="3"/>
  <c r="F3566" i="3"/>
  <c r="E3565" i="3"/>
  <c r="F3565" i="3"/>
  <c r="E3564" i="3"/>
  <c r="F3564" i="3"/>
  <c r="E3562" i="3"/>
  <c r="E3563" i="3"/>
  <c r="F3562" i="3"/>
  <c r="F3563" i="3"/>
  <c r="E3561" i="3"/>
  <c r="F3561" i="3"/>
  <c r="E3557" i="3"/>
  <c r="E3558" i="3"/>
  <c r="E3559" i="3"/>
  <c r="E3560" i="3"/>
  <c r="F3557" i="3"/>
  <c r="F3558" i="3"/>
  <c r="F3559" i="3"/>
  <c r="F3560" i="3"/>
  <c r="E3555" i="3"/>
  <c r="E3556" i="3"/>
  <c r="F3555" i="3"/>
  <c r="F3556" i="3"/>
  <c r="E3554" i="3"/>
  <c r="F3554" i="3"/>
  <c r="E3552" i="3"/>
  <c r="E3553" i="3"/>
  <c r="F3552" i="3"/>
  <c r="F3553" i="3"/>
  <c r="E3550" i="3"/>
  <c r="E3551" i="3"/>
  <c r="F3550" i="3"/>
  <c r="F3551" i="3"/>
  <c r="E3549" i="3"/>
  <c r="F3549" i="3"/>
  <c r="E3548" i="3"/>
  <c r="F3548" i="3"/>
  <c r="E3547" i="3"/>
  <c r="F3547" i="3"/>
  <c r="E3546" i="3"/>
  <c r="F3546" i="3"/>
  <c r="E3545" i="3"/>
  <c r="F3545" i="3"/>
  <c r="E3544" i="3"/>
  <c r="F3544" i="3"/>
  <c r="E3543" i="3"/>
  <c r="F3543" i="3"/>
  <c r="E3542" i="3"/>
  <c r="F3542" i="3"/>
  <c r="E3541" i="3"/>
  <c r="F3541" i="3"/>
  <c r="E3540" i="3"/>
  <c r="F3540" i="3"/>
  <c r="E3539" i="3"/>
  <c r="F3539" i="3"/>
  <c r="E3538" i="3"/>
  <c r="F3538" i="3"/>
  <c r="E3537" i="3"/>
  <c r="F3537" i="3"/>
  <c r="E3536" i="3"/>
  <c r="F3536" i="3"/>
  <c r="E3535" i="3"/>
  <c r="F3535" i="3"/>
  <c r="E3534" i="3"/>
  <c r="F3534" i="3"/>
  <c r="E58" i="5"/>
  <c r="E57" i="5"/>
  <c r="K58" i="13"/>
  <c r="L58" i="13"/>
  <c r="F3508" i="3"/>
  <c r="E3508" i="3"/>
  <c r="F3507" i="3"/>
  <c r="E3507" i="3"/>
  <c r="F3506" i="3"/>
  <c r="E3506" i="3"/>
  <c r="F3505" i="3"/>
  <c r="E3505" i="3"/>
  <c r="F3504" i="3"/>
  <c r="E3504" i="3"/>
  <c r="F3503" i="3"/>
  <c r="E3503" i="3"/>
  <c r="F3502" i="3"/>
  <c r="E3502" i="3"/>
  <c r="F3501" i="3"/>
  <c r="E3501" i="3"/>
  <c r="F3500" i="3"/>
  <c r="E3500" i="3"/>
  <c r="F3499" i="3"/>
  <c r="E3499" i="3"/>
  <c r="F3498" i="3"/>
  <c r="E3498" i="3"/>
  <c r="F3497" i="3"/>
  <c r="E3497" i="3"/>
  <c r="F3496" i="3"/>
  <c r="E3496" i="3"/>
  <c r="F3495" i="3"/>
  <c r="E3495" i="3"/>
  <c r="F3494" i="3"/>
  <c r="E3494" i="3"/>
  <c r="F3493" i="3"/>
  <c r="E3493" i="3"/>
  <c r="F3492" i="3"/>
  <c r="E3492" i="3"/>
  <c r="F3491" i="3"/>
  <c r="E3491" i="3"/>
  <c r="F3490" i="3"/>
  <c r="E3490" i="3"/>
  <c r="F3489" i="3"/>
  <c r="E3489" i="3"/>
  <c r="F3488" i="3"/>
  <c r="E3488" i="3"/>
  <c r="F3487" i="3"/>
  <c r="E3487" i="3"/>
  <c r="F3486" i="3"/>
  <c r="E3486" i="3"/>
  <c r="F3485" i="3"/>
  <c r="E3485" i="3"/>
  <c r="F3484" i="3"/>
  <c r="E3484" i="3"/>
  <c r="F3483" i="3"/>
  <c r="E3483" i="3"/>
  <c r="F3482" i="3"/>
  <c r="E3482" i="3"/>
  <c r="F3481" i="3"/>
  <c r="E3481" i="3"/>
  <c r="F3480" i="3"/>
  <c r="E3480" i="3"/>
  <c r="F3479" i="3"/>
  <c r="E3479" i="3"/>
  <c r="F3478" i="3"/>
  <c r="E3478" i="3"/>
  <c r="F3477" i="3"/>
  <c r="E3477" i="3"/>
  <c r="F3476" i="3"/>
  <c r="E3476" i="3"/>
  <c r="F3475" i="3"/>
  <c r="E3475" i="3"/>
  <c r="F3474" i="3"/>
  <c r="E3474" i="3"/>
  <c r="F3473" i="3"/>
  <c r="E3473" i="3"/>
  <c r="F3472" i="3"/>
  <c r="E3472" i="3"/>
  <c r="F3471" i="3"/>
  <c r="E3471" i="3"/>
  <c r="F3470" i="3"/>
  <c r="E3470" i="3"/>
  <c r="F3469" i="3"/>
  <c r="E3469" i="3"/>
  <c r="F3468" i="3"/>
  <c r="E3468" i="3"/>
  <c r="F3467" i="3"/>
  <c r="E3467" i="3"/>
  <c r="F3466" i="3"/>
  <c r="E3466" i="3"/>
  <c r="F3465" i="3"/>
  <c r="E3465" i="3"/>
  <c r="F3464" i="3"/>
  <c r="E3464" i="3"/>
  <c r="F3463" i="3"/>
  <c r="E3463" i="3"/>
  <c r="F3462" i="3"/>
  <c r="E3462" i="3"/>
  <c r="F3461" i="3"/>
  <c r="E3461" i="3"/>
  <c r="F3460" i="3"/>
  <c r="E3460" i="3"/>
  <c r="F3459" i="3"/>
  <c r="E3459" i="3"/>
  <c r="F3458" i="3"/>
  <c r="E3458" i="3"/>
  <c r="F3457" i="3"/>
  <c r="E3457" i="3"/>
  <c r="F3456" i="3"/>
  <c r="E3456" i="3"/>
  <c r="F3455" i="3"/>
  <c r="E3455" i="3"/>
  <c r="F3454" i="3"/>
  <c r="E3454" i="3"/>
  <c r="E3533" i="3"/>
  <c r="F3533" i="3"/>
  <c r="E3532" i="3"/>
  <c r="F3532" i="3"/>
  <c r="E3531" i="3"/>
  <c r="F3531" i="3"/>
  <c r="E3529" i="3"/>
  <c r="E3530" i="3"/>
  <c r="F3529" i="3"/>
  <c r="F3530" i="3"/>
  <c r="E3515" i="3"/>
  <c r="E3516" i="3"/>
  <c r="E3517" i="3"/>
  <c r="E3518" i="3"/>
  <c r="E3519" i="3"/>
  <c r="E3520" i="3"/>
  <c r="E3521" i="3"/>
  <c r="E3522" i="3"/>
  <c r="E3523" i="3"/>
  <c r="E3524" i="3"/>
  <c r="E3525" i="3"/>
  <c r="E3526" i="3"/>
  <c r="E3527" i="3"/>
  <c r="E3528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E3509" i="3"/>
  <c r="E3510" i="3"/>
  <c r="E3511" i="3"/>
  <c r="E3512" i="3"/>
  <c r="E3513" i="3"/>
  <c r="E3514" i="3"/>
  <c r="F3509" i="3"/>
  <c r="F3510" i="3"/>
  <c r="F3511" i="3"/>
  <c r="F3512" i="3"/>
  <c r="F3513" i="3"/>
  <c r="F3514" i="3"/>
  <c r="L10" i="14"/>
  <c r="K10" i="14"/>
  <c r="L9" i="14"/>
  <c r="K9" i="14"/>
  <c r="L8" i="14"/>
  <c r="K8" i="14"/>
  <c r="L7" i="14"/>
  <c r="K7" i="14"/>
  <c r="L6" i="14"/>
  <c r="K6" i="14"/>
  <c r="L5" i="14"/>
  <c r="K5" i="14"/>
  <c r="K4" i="14"/>
  <c r="K3" i="14"/>
  <c r="F3453" i="3"/>
  <c r="E3453" i="3"/>
  <c r="F3452" i="3"/>
  <c r="E3452" i="3"/>
  <c r="F3451" i="3"/>
  <c r="E3451" i="3"/>
  <c r="F3450" i="3"/>
  <c r="E3450" i="3"/>
  <c r="F3449" i="3"/>
  <c r="E3449" i="3"/>
  <c r="F3448" i="3"/>
  <c r="E3448" i="3"/>
  <c r="F3447" i="3"/>
  <c r="E3447" i="3"/>
  <c r="F3446" i="3"/>
  <c r="E3446" i="3"/>
  <c r="F3445" i="3"/>
  <c r="E3445" i="3"/>
  <c r="F3444" i="3"/>
  <c r="E3444" i="3"/>
  <c r="F3443" i="3"/>
  <c r="E3443" i="3"/>
  <c r="F3442" i="3"/>
  <c r="E3442" i="3"/>
  <c r="F3441" i="3"/>
  <c r="E3441" i="3"/>
  <c r="F3440" i="3"/>
  <c r="E3440" i="3"/>
  <c r="F3439" i="3"/>
  <c r="E3439" i="3"/>
  <c r="F3438" i="3"/>
  <c r="E3438" i="3"/>
  <c r="F3437" i="3"/>
  <c r="E3437" i="3"/>
  <c r="F3436" i="3"/>
  <c r="E3436" i="3"/>
  <c r="F3435" i="3"/>
  <c r="E3435" i="3"/>
  <c r="F3434" i="3"/>
  <c r="E3434" i="3"/>
  <c r="F3433" i="3"/>
  <c r="E3433" i="3"/>
  <c r="F3432" i="3"/>
  <c r="E3432" i="3"/>
  <c r="F3431" i="3"/>
  <c r="E3431" i="3"/>
  <c r="F3430" i="3"/>
  <c r="E3430" i="3"/>
  <c r="F3429" i="3"/>
  <c r="E3429" i="3"/>
  <c r="F3428" i="3"/>
  <c r="E3428" i="3"/>
  <c r="F3427" i="3"/>
  <c r="E3427" i="3"/>
  <c r="F3426" i="3"/>
  <c r="E3426" i="3"/>
  <c r="F3425" i="3"/>
  <c r="E3425" i="3"/>
  <c r="F3424" i="3"/>
  <c r="E3424" i="3"/>
  <c r="F3423" i="3"/>
  <c r="E3423" i="3"/>
  <c r="F3422" i="3"/>
  <c r="E3422" i="3"/>
  <c r="F3421" i="3"/>
  <c r="E3421" i="3"/>
  <c r="F3420" i="3"/>
  <c r="E3420" i="3"/>
  <c r="F3419" i="3"/>
  <c r="E3419" i="3"/>
  <c r="F3418" i="3"/>
  <c r="E3418" i="3"/>
  <c r="F3417" i="3"/>
  <c r="E3417" i="3"/>
  <c r="F3416" i="3"/>
  <c r="E3416" i="3"/>
  <c r="F3415" i="3"/>
  <c r="E3415" i="3"/>
  <c r="F3414" i="3"/>
  <c r="E3414" i="3"/>
  <c r="F3413" i="3"/>
  <c r="E3413" i="3"/>
  <c r="F3412" i="3"/>
  <c r="E3412" i="3"/>
  <c r="F3411" i="3"/>
  <c r="E3411" i="3"/>
  <c r="F3410" i="3"/>
  <c r="E3410" i="3"/>
  <c r="F3409" i="3"/>
  <c r="E3409" i="3"/>
  <c r="F3408" i="3"/>
  <c r="E3408" i="3"/>
  <c r="F3407" i="3"/>
  <c r="E3407" i="3"/>
  <c r="F3406" i="3"/>
  <c r="E3406" i="3"/>
  <c r="F3405" i="3"/>
  <c r="E3405" i="3"/>
  <c r="F3404" i="3"/>
  <c r="E3404" i="3"/>
  <c r="F3403" i="3"/>
  <c r="E3403" i="3"/>
  <c r="F3402" i="3"/>
  <c r="E3402" i="3"/>
  <c r="F3401" i="3"/>
  <c r="E3401" i="3"/>
  <c r="F3400" i="3"/>
  <c r="E3400" i="3"/>
  <c r="F3399" i="3"/>
  <c r="E3399" i="3"/>
  <c r="F3398" i="3"/>
  <c r="E3398" i="3"/>
  <c r="F3397" i="3"/>
  <c r="E3397" i="3"/>
  <c r="F3396" i="3"/>
  <c r="E3396" i="3"/>
  <c r="F3395" i="3"/>
  <c r="E3395" i="3"/>
  <c r="F3394" i="3"/>
  <c r="E3394" i="3"/>
  <c r="F3393" i="3"/>
  <c r="E3393" i="3"/>
  <c r="F3392" i="3"/>
  <c r="E3392" i="3"/>
  <c r="F3391" i="3"/>
  <c r="E3391" i="3"/>
  <c r="F3390" i="3"/>
  <c r="E3390" i="3"/>
  <c r="F3389" i="3"/>
  <c r="E3389" i="3"/>
  <c r="F3388" i="3"/>
  <c r="E3388" i="3"/>
  <c r="F3387" i="3"/>
  <c r="E3387" i="3"/>
  <c r="F3386" i="3"/>
  <c r="E3386" i="3"/>
  <c r="F3385" i="3"/>
  <c r="E3385" i="3"/>
  <c r="F3384" i="3"/>
  <c r="E3384" i="3"/>
  <c r="F3383" i="3"/>
  <c r="E3383" i="3"/>
  <c r="F3382" i="3"/>
  <c r="E3382" i="3"/>
  <c r="F3381" i="3"/>
  <c r="E3381" i="3"/>
  <c r="F3380" i="3"/>
  <c r="E3380" i="3"/>
  <c r="F3379" i="3"/>
  <c r="E3379" i="3"/>
  <c r="F10" i="14"/>
  <c r="F10" i="18" s="1"/>
  <c r="F9" i="14"/>
  <c r="F9" i="18" s="1"/>
  <c r="I9" i="14"/>
  <c r="F8" i="14"/>
  <c r="V4" i="15" s="1"/>
  <c r="I8" i="14"/>
  <c r="F7" i="14"/>
  <c r="F7" i="18" s="1"/>
  <c r="F6" i="14"/>
  <c r="I6" i="14" s="1"/>
  <c r="F5" i="14"/>
  <c r="J4" i="15" s="1"/>
  <c r="I5" i="14"/>
  <c r="F3378" i="3"/>
  <c r="E3378" i="3"/>
  <c r="F3377" i="3"/>
  <c r="E3377" i="3"/>
  <c r="F3376" i="3"/>
  <c r="E3376" i="3"/>
  <c r="F3375" i="3"/>
  <c r="E3375" i="3"/>
  <c r="F3374" i="3"/>
  <c r="E3374" i="3"/>
  <c r="F3373" i="3"/>
  <c r="E3373" i="3"/>
  <c r="F3372" i="3"/>
  <c r="E3372" i="3"/>
  <c r="F3371" i="3"/>
  <c r="E3371" i="3"/>
  <c r="F3370" i="3"/>
  <c r="E3370" i="3"/>
  <c r="F3369" i="3"/>
  <c r="E3369" i="3"/>
  <c r="F3368" i="3"/>
  <c r="E3368" i="3"/>
  <c r="F3367" i="3"/>
  <c r="E3367" i="3"/>
  <c r="F3366" i="3"/>
  <c r="E3366" i="3"/>
  <c r="F3365" i="3"/>
  <c r="E3365" i="3"/>
  <c r="F3364" i="3"/>
  <c r="E3364" i="3"/>
  <c r="F3363" i="3"/>
  <c r="E3363" i="3"/>
  <c r="F3362" i="3"/>
  <c r="E3362" i="3"/>
  <c r="F3361" i="3"/>
  <c r="E3361" i="3"/>
  <c r="F3360" i="3"/>
  <c r="E3360" i="3"/>
  <c r="F3359" i="3"/>
  <c r="E3359" i="3"/>
  <c r="F3358" i="3"/>
  <c r="E3358" i="3"/>
  <c r="F3357" i="3"/>
  <c r="E3357" i="3"/>
  <c r="F3356" i="3"/>
  <c r="E3356" i="3"/>
  <c r="F3355" i="3"/>
  <c r="E3355" i="3"/>
  <c r="F3354" i="3"/>
  <c r="E3354" i="3"/>
  <c r="F3353" i="3"/>
  <c r="E3353" i="3"/>
  <c r="F3352" i="3"/>
  <c r="E3352" i="3"/>
  <c r="F3351" i="3"/>
  <c r="E3351" i="3"/>
  <c r="F3350" i="3"/>
  <c r="E3350" i="3"/>
  <c r="F3349" i="3"/>
  <c r="E3349" i="3"/>
  <c r="F3348" i="3"/>
  <c r="E3348" i="3"/>
  <c r="F3347" i="3"/>
  <c r="E3347" i="3"/>
  <c r="F3346" i="3"/>
  <c r="E3346" i="3"/>
  <c r="F3345" i="3"/>
  <c r="E3345" i="3"/>
  <c r="F3344" i="3"/>
  <c r="E3344" i="3"/>
  <c r="F3343" i="3"/>
  <c r="E3343" i="3"/>
  <c r="F3342" i="3"/>
  <c r="E3342" i="3"/>
  <c r="F3341" i="3"/>
  <c r="E3341" i="3"/>
  <c r="F3340" i="3"/>
  <c r="E3340" i="3"/>
  <c r="F3339" i="3"/>
  <c r="E3339" i="3"/>
  <c r="F3338" i="3"/>
  <c r="E3338" i="3"/>
  <c r="F3337" i="3"/>
  <c r="E3337" i="3"/>
  <c r="F3336" i="3"/>
  <c r="E3336" i="3"/>
  <c r="F3335" i="3"/>
  <c r="E3335" i="3"/>
  <c r="F3334" i="3"/>
  <c r="E3334" i="3"/>
  <c r="F3333" i="3"/>
  <c r="E3333" i="3"/>
  <c r="F3332" i="3"/>
  <c r="E3332" i="3"/>
  <c r="F3331" i="3"/>
  <c r="E3331" i="3"/>
  <c r="F3330" i="3"/>
  <c r="E3330" i="3"/>
  <c r="F3329" i="3"/>
  <c r="E3329" i="3"/>
  <c r="F3328" i="3"/>
  <c r="E3328" i="3"/>
  <c r="F3327" i="3"/>
  <c r="E3327" i="3"/>
  <c r="F3326" i="3"/>
  <c r="E3326" i="3"/>
  <c r="F3325" i="3"/>
  <c r="E3325" i="3"/>
  <c r="F3324" i="3"/>
  <c r="E3324" i="3"/>
  <c r="F3323" i="3"/>
  <c r="E3323" i="3"/>
  <c r="F3322" i="3"/>
  <c r="E3322" i="3"/>
  <c r="F3321" i="3"/>
  <c r="E3321" i="3"/>
  <c r="F3320" i="3"/>
  <c r="E3320" i="3"/>
  <c r="F3319" i="3"/>
  <c r="E3319" i="3"/>
  <c r="F3318" i="3"/>
  <c r="E3318" i="3"/>
  <c r="F3317" i="3"/>
  <c r="E3317" i="3"/>
  <c r="F3316" i="3"/>
  <c r="E3316" i="3"/>
  <c r="F3315" i="3"/>
  <c r="E3315" i="3"/>
  <c r="F3314" i="3"/>
  <c r="E3314" i="3"/>
  <c r="F3313" i="3"/>
  <c r="E3313" i="3"/>
  <c r="F3312" i="3"/>
  <c r="E3312" i="3"/>
  <c r="F3311" i="3"/>
  <c r="E3311" i="3"/>
  <c r="F3310" i="3"/>
  <c r="E3310" i="3"/>
  <c r="F3309" i="3"/>
  <c r="E3309" i="3"/>
  <c r="F3308" i="3"/>
  <c r="E3308" i="3"/>
  <c r="F3307" i="3"/>
  <c r="E3307" i="3"/>
  <c r="F3306" i="3"/>
  <c r="E3306" i="3"/>
  <c r="F3305" i="3"/>
  <c r="E3305" i="3"/>
  <c r="F3304" i="3"/>
  <c r="E3304" i="3"/>
  <c r="F3303" i="3"/>
  <c r="E3303" i="3"/>
  <c r="F3302" i="3"/>
  <c r="E3302" i="3"/>
  <c r="F3301" i="3"/>
  <c r="E3301" i="3"/>
  <c r="F3300" i="3"/>
  <c r="E3300" i="3"/>
  <c r="F3299" i="3"/>
  <c r="E3299" i="3"/>
  <c r="F3298" i="3"/>
  <c r="E3298" i="3"/>
  <c r="F3297" i="3"/>
  <c r="E3297" i="3"/>
  <c r="F3296" i="3"/>
  <c r="E3296" i="3"/>
  <c r="F3295" i="3"/>
  <c r="E3295" i="3"/>
  <c r="F3294" i="3"/>
  <c r="E3294" i="3"/>
  <c r="F3293" i="3"/>
  <c r="E3293" i="3"/>
  <c r="F3292" i="3"/>
  <c r="E3292" i="3"/>
  <c r="F3291" i="3"/>
  <c r="E3291" i="3"/>
  <c r="F3290" i="3"/>
  <c r="E3290" i="3"/>
  <c r="F3289" i="3"/>
  <c r="E3289" i="3"/>
  <c r="F3288" i="3"/>
  <c r="E3288" i="3"/>
  <c r="F3287" i="3"/>
  <c r="E3287" i="3"/>
  <c r="F3286" i="3"/>
  <c r="E3286" i="3"/>
  <c r="F3285" i="3"/>
  <c r="E3285" i="3"/>
  <c r="F3284" i="3"/>
  <c r="E3284" i="3"/>
  <c r="F3283" i="3"/>
  <c r="E3283" i="3"/>
  <c r="F3282" i="3"/>
  <c r="E3282" i="3"/>
  <c r="F3281" i="3"/>
  <c r="E3281" i="3"/>
  <c r="F3280" i="3"/>
  <c r="E3280" i="3"/>
  <c r="F3279" i="3"/>
  <c r="E3279" i="3"/>
  <c r="F3278" i="3"/>
  <c r="E3278" i="3"/>
  <c r="F3277" i="3"/>
  <c r="E3277" i="3"/>
  <c r="F3276" i="3"/>
  <c r="E3276" i="3"/>
  <c r="F3275" i="3"/>
  <c r="E3275" i="3"/>
  <c r="F3274" i="3"/>
  <c r="E3274" i="3"/>
  <c r="F3273" i="3"/>
  <c r="E3273" i="3"/>
  <c r="F3272" i="3"/>
  <c r="E3272" i="3"/>
  <c r="F3271" i="3"/>
  <c r="E3271" i="3"/>
  <c r="F3270" i="3"/>
  <c r="E3270" i="3"/>
  <c r="F3269" i="3"/>
  <c r="E3269" i="3"/>
  <c r="F3268" i="3"/>
  <c r="E3268" i="3"/>
  <c r="F3267" i="3"/>
  <c r="E3267" i="3"/>
  <c r="F3266" i="3"/>
  <c r="E3266" i="3"/>
  <c r="F3265" i="3"/>
  <c r="E3265" i="3"/>
  <c r="F3264" i="3"/>
  <c r="E3264" i="3"/>
  <c r="F3263" i="3"/>
  <c r="E3263" i="3"/>
  <c r="F3262" i="3"/>
  <c r="E3262" i="3"/>
  <c r="F3261" i="3"/>
  <c r="E3261" i="3"/>
  <c r="F3260" i="3"/>
  <c r="E3260" i="3"/>
  <c r="F3259" i="3"/>
  <c r="E3259" i="3"/>
  <c r="F3258" i="3"/>
  <c r="E3258" i="3"/>
  <c r="F3257" i="3"/>
  <c r="E3257" i="3"/>
  <c r="F3256" i="3"/>
  <c r="E3256" i="3"/>
  <c r="F3255" i="3"/>
  <c r="E3255" i="3"/>
  <c r="F3254" i="3"/>
  <c r="E3254" i="3"/>
  <c r="F3253" i="3"/>
  <c r="E3253" i="3"/>
  <c r="F3252" i="3"/>
  <c r="E3252" i="3"/>
  <c r="F3251" i="3"/>
  <c r="E3251" i="3"/>
  <c r="F3250" i="3"/>
  <c r="E3250" i="3"/>
  <c r="F3249" i="3"/>
  <c r="E3249" i="3"/>
  <c r="F3248" i="3"/>
  <c r="E3248" i="3"/>
  <c r="F3247" i="3"/>
  <c r="E3247" i="3"/>
  <c r="F3246" i="3"/>
  <c r="E3246" i="3"/>
  <c r="F3245" i="3"/>
  <c r="E3245" i="3"/>
  <c r="F3244" i="3"/>
  <c r="E3244" i="3"/>
  <c r="F3243" i="3"/>
  <c r="E3243" i="3"/>
  <c r="F3242" i="3"/>
  <c r="E3242" i="3"/>
  <c r="F3241" i="3"/>
  <c r="E3241" i="3"/>
  <c r="F3240" i="3"/>
  <c r="E3240" i="3"/>
  <c r="F3239" i="3"/>
  <c r="E3239" i="3"/>
  <c r="F3238" i="3"/>
  <c r="E3238" i="3"/>
  <c r="F3237" i="3"/>
  <c r="E3237" i="3"/>
  <c r="F3236" i="3"/>
  <c r="E3236" i="3"/>
  <c r="F3235" i="3"/>
  <c r="E3235" i="3"/>
  <c r="F3234" i="3"/>
  <c r="E3234" i="3"/>
  <c r="F3233" i="3"/>
  <c r="E3233" i="3"/>
  <c r="F3232" i="3"/>
  <c r="E3232" i="3"/>
  <c r="F3231" i="3"/>
  <c r="E3231" i="3"/>
  <c r="F3230" i="3"/>
  <c r="E3230" i="3"/>
  <c r="F3229" i="3"/>
  <c r="E3229" i="3"/>
  <c r="F3228" i="3"/>
  <c r="E3228" i="3"/>
  <c r="F3227" i="3"/>
  <c r="E3227" i="3"/>
  <c r="F3226" i="3"/>
  <c r="E3226" i="3"/>
  <c r="F3225" i="3"/>
  <c r="E3225" i="3"/>
  <c r="F3224" i="3"/>
  <c r="E3224" i="3"/>
  <c r="F3223" i="3"/>
  <c r="E3223" i="3"/>
  <c r="F3222" i="3"/>
  <c r="E3222" i="3"/>
  <c r="F3221" i="3"/>
  <c r="E3221" i="3"/>
  <c r="F3220" i="3"/>
  <c r="E3220" i="3"/>
  <c r="F3219" i="3"/>
  <c r="E3219" i="3"/>
  <c r="F3218" i="3"/>
  <c r="E3218" i="3"/>
  <c r="F3217" i="3"/>
  <c r="E3217" i="3"/>
  <c r="F3216" i="3"/>
  <c r="E3216" i="3"/>
  <c r="F3215" i="3"/>
  <c r="E3215" i="3"/>
  <c r="F3214" i="3"/>
  <c r="E3214" i="3"/>
  <c r="F3213" i="3"/>
  <c r="E3213" i="3"/>
  <c r="F3212" i="3"/>
  <c r="E3212" i="3"/>
  <c r="F3211" i="3"/>
  <c r="E3211" i="3"/>
  <c r="F3210" i="3"/>
  <c r="E3210" i="3"/>
  <c r="F3209" i="3"/>
  <c r="E3209" i="3"/>
  <c r="F3208" i="3"/>
  <c r="E3208" i="3"/>
  <c r="F3207" i="3"/>
  <c r="E3207" i="3"/>
  <c r="F3206" i="3"/>
  <c r="E3206" i="3"/>
  <c r="F3205" i="3"/>
  <c r="E3205" i="3"/>
  <c r="F3204" i="3"/>
  <c r="E3204" i="3"/>
  <c r="F3203" i="3"/>
  <c r="E3203" i="3"/>
  <c r="F3202" i="3"/>
  <c r="E3202" i="3"/>
  <c r="F3201" i="3"/>
  <c r="E3201" i="3"/>
  <c r="F3200" i="3"/>
  <c r="E3200" i="3"/>
  <c r="F3199" i="3"/>
  <c r="E3199" i="3"/>
  <c r="F3198" i="3"/>
  <c r="E3198" i="3"/>
  <c r="F3197" i="3"/>
  <c r="E3197" i="3"/>
  <c r="F3196" i="3"/>
  <c r="E3196" i="3"/>
  <c r="F3195" i="3"/>
  <c r="E3195" i="3"/>
  <c r="F3194" i="3"/>
  <c r="E3194" i="3"/>
  <c r="F3193" i="3"/>
  <c r="E3193" i="3"/>
  <c r="F3192" i="3"/>
  <c r="E3192" i="3"/>
  <c r="F3191" i="3"/>
  <c r="E3191" i="3"/>
  <c r="F3190" i="3"/>
  <c r="E3190" i="3"/>
  <c r="F3189" i="3"/>
  <c r="E3189" i="3"/>
  <c r="F3188" i="3"/>
  <c r="E3188" i="3"/>
  <c r="F3187" i="3"/>
  <c r="E3187" i="3"/>
  <c r="F3186" i="3"/>
  <c r="E3186" i="3"/>
  <c r="F3185" i="3"/>
  <c r="E3185" i="3"/>
  <c r="F3184" i="3"/>
  <c r="E3184" i="3"/>
  <c r="F3183" i="3"/>
  <c r="E3183" i="3"/>
  <c r="F3182" i="3"/>
  <c r="E3182" i="3"/>
  <c r="F3181" i="3"/>
  <c r="E3181" i="3"/>
  <c r="F3180" i="3"/>
  <c r="E3180" i="3"/>
  <c r="F3179" i="3"/>
  <c r="E3179" i="3"/>
  <c r="F3178" i="3"/>
  <c r="E3178" i="3"/>
  <c r="F3177" i="3"/>
  <c r="E3177" i="3"/>
  <c r="F3176" i="3"/>
  <c r="E3176" i="3"/>
  <c r="F3175" i="3"/>
  <c r="E3175" i="3"/>
  <c r="F3174" i="3"/>
  <c r="E3174" i="3"/>
  <c r="F3173" i="3"/>
  <c r="E3173" i="3"/>
  <c r="F3172" i="3"/>
  <c r="E3172" i="3"/>
  <c r="F3171" i="3"/>
  <c r="E3171" i="3"/>
  <c r="F3170" i="3"/>
  <c r="E3170" i="3"/>
  <c r="F3169" i="3"/>
  <c r="E3169" i="3"/>
  <c r="F3168" i="3"/>
  <c r="E3168" i="3"/>
  <c r="F3167" i="3"/>
  <c r="E3167" i="3"/>
  <c r="F3166" i="3"/>
  <c r="E3166" i="3"/>
  <c r="F3165" i="3"/>
  <c r="E3165" i="3"/>
  <c r="F3164" i="3"/>
  <c r="E3164" i="3"/>
  <c r="F3163" i="3"/>
  <c r="E3163" i="3"/>
  <c r="F3162" i="3"/>
  <c r="E3162" i="3"/>
  <c r="F3161" i="3"/>
  <c r="E3161" i="3"/>
  <c r="F3160" i="3"/>
  <c r="E3160" i="3"/>
  <c r="F3159" i="3"/>
  <c r="E3159" i="3"/>
  <c r="F3158" i="3"/>
  <c r="E3158" i="3"/>
  <c r="F3157" i="3"/>
  <c r="E3157" i="3"/>
  <c r="F3156" i="3"/>
  <c r="E3156" i="3"/>
  <c r="F3155" i="3"/>
  <c r="E3155" i="3"/>
  <c r="F3154" i="3"/>
  <c r="E3154" i="3"/>
  <c r="F3153" i="3"/>
  <c r="E3153" i="3"/>
  <c r="F3152" i="3"/>
  <c r="E3152" i="3"/>
  <c r="F3151" i="3"/>
  <c r="E3151" i="3"/>
  <c r="F3150" i="3"/>
  <c r="E3150" i="3"/>
  <c r="F3149" i="3"/>
  <c r="E3149" i="3"/>
  <c r="F3148" i="3"/>
  <c r="E3148" i="3"/>
  <c r="F3147" i="3"/>
  <c r="E3147" i="3"/>
  <c r="F3146" i="3"/>
  <c r="E3146" i="3"/>
  <c r="F3145" i="3"/>
  <c r="E3145" i="3"/>
  <c r="F3144" i="3"/>
  <c r="E3144" i="3"/>
  <c r="F3143" i="3"/>
  <c r="E3143" i="3"/>
  <c r="F3142" i="3"/>
  <c r="E3142" i="3"/>
  <c r="F3141" i="3"/>
  <c r="E3141" i="3"/>
  <c r="F3140" i="3"/>
  <c r="E3140" i="3"/>
  <c r="F3139" i="3"/>
  <c r="E3139" i="3"/>
  <c r="F3138" i="3"/>
  <c r="E3138" i="3"/>
  <c r="F3137" i="3"/>
  <c r="E3137" i="3"/>
  <c r="F3136" i="3"/>
  <c r="E3136" i="3"/>
  <c r="F3135" i="3"/>
  <c r="E3135" i="3"/>
  <c r="F3134" i="3"/>
  <c r="E3134" i="3"/>
  <c r="F3133" i="3"/>
  <c r="E3133" i="3"/>
  <c r="F3132" i="3"/>
  <c r="E3132" i="3"/>
  <c r="F3131" i="3"/>
  <c r="E3131" i="3"/>
  <c r="F3130" i="3"/>
  <c r="E3130" i="3"/>
  <c r="F3129" i="3"/>
  <c r="E3129" i="3"/>
  <c r="F3128" i="3"/>
  <c r="E3128" i="3"/>
  <c r="F3127" i="3"/>
  <c r="E3127" i="3"/>
  <c r="F3126" i="3"/>
  <c r="E3126" i="3"/>
  <c r="F3125" i="3"/>
  <c r="E3125" i="3"/>
  <c r="F3124" i="3"/>
  <c r="E3124" i="3"/>
  <c r="F3123" i="3"/>
  <c r="E3123" i="3"/>
  <c r="F3122" i="3"/>
  <c r="E3122" i="3"/>
  <c r="F3121" i="3"/>
  <c r="E3121" i="3"/>
  <c r="F3120" i="3"/>
  <c r="E3120" i="3"/>
  <c r="F3119" i="3"/>
  <c r="E3119" i="3"/>
  <c r="F3118" i="3"/>
  <c r="E3118" i="3"/>
  <c r="F3117" i="3"/>
  <c r="E3117" i="3"/>
  <c r="F3116" i="3"/>
  <c r="E3116" i="3"/>
  <c r="F3115" i="3"/>
  <c r="E3115" i="3"/>
  <c r="F3114" i="3"/>
  <c r="E3114" i="3"/>
  <c r="F3113" i="3"/>
  <c r="E3113" i="3"/>
  <c r="F3112" i="3"/>
  <c r="E3112" i="3"/>
  <c r="F3111" i="3"/>
  <c r="E3111" i="3"/>
  <c r="F3110" i="3"/>
  <c r="E3110" i="3"/>
  <c r="F3109" i="3"/>
  <c r="E3109" i="3"/>
  <c r="F3108" i="3"/>
  <c r="E3108" i="3"/>
  <c r="F3107" i="3"/>
  <c r="E3107" i="3"/>
  <c r="F3106" i="3"/>
  <c r="E3106" i="3"/>
  <c r="F3105" i="3"/>
  <c r="E3105" i="3"/>
  <c r="F3104" i="3"/>
  <c r="E3104" i="3"/>
  <c r="F3103" i="3"/>
  <c r="E3103" i="3"/>
  <c r="F3102" i="3"/>
  <c r="E3102" i="3"/>
  <c r="F3101" i="3"/>
  <c r="E3101" i="3"/>
  <c r="F3100" i="3"/>
  <c r="E3100" i="3"/>
  <c r="F3099" i="3"/>
  <c r="E3099" i="3"/>
  <c r="F3098" i="3"/>
  <c r="E3098" i="3"/>
  <c r="F3097" i="3"/>
  <c r="E3097" i="3"/>
  <c r="F3096" i="3"/>
  <c r="E3096" i="3"/>
  <c r="F3095" i="3"/>
  <c r="E3095" i="3"/>
  <c r="F3094" i="3"/>
  <c r="E3094" i="3"/>
  <c r="F3093" i="3"/>
  <c r="E3093" i="3"/>
  <c r="F3092" i="3"/>
  <c r="E3092" i="3"/>
  <c r="F3091" i="3"/>
  <c r="E3091" i="3"/>
  <c r="F3090" i="3"/>
  <c r="E3090" i="3"/>
  <c r="F3089" i="3"/>
  <c r="E3089" i="3"/>
  <c r="F3088" i="3"/>
  <c r="E3088" i="3"/>
  <c r="F3087" i="3"/>
  <c r="E3087" i="3"/>
  <c r="F3086" i="3"/>
  <c r="E3086" i="3"/>
  <c r="F3085" i="3"/>
  <c r="E3085" i="3"/>
  <c r="F3084" i="3"/>
  <c r="E3084" i="3"/>
  <c r="F3083" i="3"/>
  <c r="E3083" i="3"/>
  <c r="F3082" i="3"/>
  <c r="E3082" i="3"/>
  <c r="F3081" i="3"/>
  <c r="E3081" i="3"/>
  <c r="F3080" i="3"/>
  <c r="E3080" i="3"/>
  <c r="F3079" i="3"/>
  <c r="E3079" i="3"/>
  <c r="F3078" i="3"/>
  <c r="E3078" i="3"/>
  <c r="F3077" i="3"/>
  <c r="E3077" i="3"/>
  <c r="F3076" i="3"/>
  <c r="E3076" i="3"/>
  <c r="F3075" i="3"/>
  <c r="E3075" i="3"/>
  <c r="F3074" i="3"/>
  <c r="E3074" i="3"/>
  <c r="F3073" i="3"/>
  <c r="E3073" i="3"/>
  <c r="F3072" i="3"/>
  <c r="E3072" i="3"/>
  <c r="F3071" i="3"/>
  <c r="E3071" i="3"/>
  <c r="F3070" i="3"/>
  <c r="E3070" i="3"/>
  <c r="F3069" i="3"/>
  <c r="E3069" i="3"/>
  <c r="F3068" i="3"/>
  <c r="E3068" i="3"/>
  <c r="F3067" i="3"/>
  <c r="E3067" i="3"/>
  <c r="F3066" i="3"/>
  <c r="E3066" i="3"/>
  <c r="F3065" i="3"/>
  <c r="E3065" i="3"/>
  <c r="F3064" i="3"/>
  <c r="E3064" i="3"/>
  <c r="F3063" i="3"/>
  <c r="E3063" i="3"/>
  <c r="F3062" i="3"/>
  <c r="E3062" i="3"/>
  <c r="F3061" i="3"/>
  <c r="E3061" i="3"/>
  <c r="F3060" i="3"/>
  <c r="E3060" i="3"/>
  <c r="F3059" i="3"/>
  <c r="E3059" i="3"/>
  <c r="F3058" i="3"/>
  <c r="E3058" i="3"/>
  <c r="F3057" i="3"/>
  <c r="E3057" i="3"/>
  <c r="F3056" i="3"/>
  <c r="E3056" i="3"/>
  <c r="F3055" i="3"/>
  <c r="E3055" i="3"/>
  <c r="F3054" i="3"/>
  <c r="E3054" i="3"/>
  <c r="F3053" i="3"/>
  <c r="E3053" i="3"/>
  <c r="F3052" i="3"/>
  <c r="E3052" i="3"/>
  <c r="F3051" i="3"/>
  <c r="E3051" i="3"/>
  <c r="F3050" i="3"/>
  <c r="E3050" i="3"/>
  <c r="F3049" i="3"/>
  <c r="E3049" i="3"/>
  <c r="F3048" i="3"/>
  <c r="E3048" i="3"/>
  <c r="F3047" i="3"/>
  <c r="E3047" i="3"/>
  <c r="F3046" i="3"/>
  <c r="E3046" i="3"/>
  <c r="F3045" i="3"/>
  <c r="E3045" i="3"/>
  <c r="F3044" i="3"/>
  <c r="E3044" i="3"/>
  <c r="F3043" i="3"/>
  <c r="E3043" i="3"/>
  <c r="F3042" i="3"/>
  <c r="E3042" i="3"/>
  <c r="F3041" i="3"/>
  <c r="E3041" i="3"/>
  <c r="F3040" i="3"/>
  <c r="E3040" i="3"/>
  <c r="F3039" i="3"/>
  <c r="E3039" i="3"/>
  <c r="F3038" i="3"/>
  <c r="E3038" i="3"/>
  <c r="F3037" i="3"/>
  <c r="E3037" i="3"/>
  <c r="F3036" i="3"/>
  <c r="E3036" i="3"/>
  <c r="F3035" i="3"/>
  <c r="E3035" i="3"/>
  <c r="F3034" i="3"/>
  <c r="E3034" i="3"/>
  <c r="F3033" i="3"/>
  <c r="E3033" i="3"/>
  <c r="F3032" i="3"/>
  <c r="E3032" i="3"/>
  <c r="F3031" i="3"/>
  <c r="E3031" i="3"/>
  <c r="F3030" i="3"/>
  <c r="E3030" i="3"/>
  <c r="F3029" i="3"/>
  <c r="E3029" i="3"/>
  <c r="F3028" i="3"/>
  <c r="E3028" i="3"/>
  <c r="F3027" i="3"/>
  <c r="E3027" i="3"/>
  <c r="F3026" i="3"/>
  <c r="E3026" i="3"/>
  <c r="F3025" i="3"/>
  <c r="E3025" i="3"/>
  <c r="F3024" i="3"/>
  <c r="E3024" i="3"/>
  <c r="F3023" i="3"/>
  <c r="E3023" i="3"/>
  <c r="F3022" i="3"/>
  <c r="E3022" i="3"/>
  <c r="F3021" i="3"/>
  <c r="E3021" i="3"/>
  <c r="F3020" i="3"/>
  <c r="E3020" i="3"/>
  <c r="F3019" i="3"/>
  <c r="E3019" i="3"/>
  <c r="F3018" i="3"/>
  <c r="E3018" i="3"/>
  <c r="F3017" i="3"/>
  <c r="E3017" i="3"/>
  <c r="F3016" i="3"/>
  <c r="E3016" i="3"/>
  <c r="F3015" i="3"/>
  <c r="E3015" i="3"/>
  <c r="F3014" i="3"/>
  <c r="E3014" i="3"/>
  <c r="F3013" i="3"/>
  <c r="E3013" i="3"/>
  <c r="F3012" i="3"/>
  <c r="E3012" i="3"/>
  <c r="F3011" i="3"/>
  <c r="E3011" i="3"/>
  <c r="F3010" i="3"/>
  <c r="E3010" i="3"/>
  <c r="F3009" i="3"/>
  <c r="E3009" i="3"/>
  <c r="F3008" i="3"/>
  <c r="E3008" i="3"/>
  <c r="F3007" i="3"/>
  <c r="E3007" i="3"/>
  <c r="F3006" i="3"/>
  <c r="E3006" i="3"/>
  <c r="F3005" i="3"/>
  <c r="E3005" i="3"/>
  <c r="F3004" i="3"/>
  <c r="E3004" i="3"/>
  <c r="F3003" i="3"/>
  <c r="E3003" i="3"/>
  <c r="F3002" i="3"/>
  <c r="E3002" i="3"/>
  <c r="F3001" i="3"/>
  <c r="E3001" i="3"/>
  <c r="F3000" i="3"/>
  <c r="E3000" i="3"/>
  <c r="F2999" i="3"/>
  <c r="E2999" i="3"/>
  <c r="F2998" i="3"/>
  <c r="E2998" i="3"/>
  <c r="F2997" i="3"/>
  <c r="E2997" i="3"/>
  <c r="F2996" i="3"/>
  <c r="E2996" i="3"/>
  <c r="F2995" i="3"/>
  <c r="E2995" i="3"/>
  <c r="F2994" i="3"/>
  <c r="E2994" i="3"/>
  <c r="F2993" i="3"/>
  <c r="E2993" i="3"/>
  <c r="F2992" i="3"/>
  <c r="E2992" i="3"/>
  <c r="F2991" i="3"/>
  <c r="E2991" i="3"/>
  <c r="F2990" i="3"/>
  <c r="E2990" i="3"/>
  <c r="F2989" i="3"/>
  <c r="E2989" i="3"/>
  <c r="F2988" i="3"/>
  <c r="E2988" i="3"/>
  <c r="F2987" i="3"/>
  <c r="E2987" i="3"/>
  <c r="F2986" i="3"/>
  <c r="E2986" i="3"/>
  <c r="F2985" i="3"/>
  <c r="E2985" i="3"/>
  <c r="F2984" i="3"/>
  <c r="E2984" i="3"/>
  <c r="F2983" i="3"/>
  <c r="E2983" i="3"/>
  <c r="F2982" i="3"/>
  <c r="E2982" i="3"/>
  <c r="F2981" i="3"/>
  <c r="E2981" i="3"/>
  <c r="F2980" i="3"/>
  <c r="E2980" i="3"/>
  <c r="F2979" i="3"/>
  <c r="E2979" i="3"/>
  <c r="F2978" i="3"/>
  <c r="E2978" i="3"/>
  <c r="F2977" i="3"/>
  <c r="E2977" i="3"/>
  <c r="F2976" i="3"/>
  <c r="E2976" i="3"/>
  <c r="F2975" i="3"/>
  <c r="E2975" i="3"/>
  <c r="F2974" i="3"/>
  <c r="E2974" i="3"/>
  <c r="F2973" i="3"/>
  <c r="E2973" i="3"/>
  <c r="F2972" i="3"/>
  <c r="E2972" i="3"/>
  <c r="F2971" i="3"/>
  <c r="E2971" i="3"/>
  <c r="F2970" i="3"/>
  <c r="E2970" i="3"/>
  <c r="F2969" i="3"/>
  <c r="E2969" i="3"/>
  <c r="F2968" i="3"/>
  <c r="E2968" i="3"/>
  <c r="F2967" i="3"/>
  <c r="E2967" i="3"/>
  <c r="F2966" i="3"/>
  <c r="E2966" i="3"/>
  <c r="F2965" i="3"/>
  <c r="E2965" i="3"/>
  <c r="F2964" i="3"/>
  <c r="E2964" i="3"/>
  <c r="F2963" i="3"/>
  <c r="E2963" i="3"/>
  <c r="F2962" i="3"/>
  <c r="E2962" i="3"/>
  <c r="F2961" i="3"/>
  <c r="E2961" i="3"/>
  <c r="F2960" i="3"/>
  <c r="E2960" i="3"/>
  <c r="F2959" i="3"/>
  <c r="E2959" i="3"/>
  <c r="F2958" i="3"/>
  <c r="E2958" i="3"/>
  <c r="F2957" i="3"/>
  <c r="E2957" i="3"/>
  <c r="F2956" i="3"/>
  <c r="E2956" i="3"/>
  <c r="F2955" i="3"/>
  <c r="E2955" i="3"/>
  <c r="F2954" i="3"/>
  <c r="E2954" i="3"/>
  <c r="F2953" i="3"/>
  <c r="E2953" i="3"/>
  <c r="F2952" i="3"/>
  <c r="E2952" i="3"/>
  <c r="F2951" i="3"/>
  <c r="E2951" i="3"/>
  <c r="F2950" i="3"/>
  <c r="E2950" i="3"/>
  <c r="F2949" i="3"/>
  <c r="E2949" i="3"/>
  <c r="F2948" i="3"/>
  <c r="E2948" i="3"/>
  <c r="F2947" i="3"/>
  <c r="E2947" i="3"/>
  <c r="F2946" i="3"/>
  <c r="E2946" i="3"/>
  <c r="F2945" i="3"/>
  <c r="E2945" i="3"/>
  <c r="F2944" i="3"/>
  <c r="E2944" i="3"/>
  <c r="F2943" i="3"/>
  <c r="E2943" i="3"/>
  <c r="F2942" i="3"/>
  <c r="E2942" i="3"/>
  <c r="F2941" i="3"/>
  <c r="E2941" i="3"/>
  <c r="F2940" i="3"/>
  <c r="E2940" i="3"/>
  <c r="F2939" i="3"/>
  <c r="E2939" i="3"/>
  <c r="F2938" i="3"/>
  <c r="E2938" i="3"/>
  <c r="F2937" i="3"/>
  <c r="E2937" i="3"/>
  <c r="F2936" i="3"/>
  <c r="E2936" i="3"/>
  <c r="F2935" i="3"/>
  <c r="E2935" i="3"/>
  <c r="F2934" i="3"/>
  <c r="E2934" i="3"/>
  <c r="F2933" i="3"/>
  <c r="E2933" i="3"/>
  <c r="F2932" i="3"/>
  <c r="E2932" i="3"/>
  <c r="F2931" i="3"/>
  <c r="E2931" i="3"/>
  <c r="F2930" i="3"/>
  <c r="E2930" i="3"/>
  <c r="F2929" i="3"/>
  <c r="E2929" i="3"/>
  <c r="F2928" i="3"/>
  <c r="E2928" i="3"/>
  <c r="F2927" i="3"/>
  <c r="E2927" i="3"/>
  <c r="F2926" i="3"/>
  <c r="E2926" i="3"/>
  <c r="F2925" i="3"/>
  <c r="E2925" i="3"/>
  <c r="F2924" i="3"/>
  <c r="E2924" i="3"/>
  <c r="F2923" i="3"/>
  <c r="E2923" i="3"/>
  <c r="F2922" i="3"/>
  <c r="E2922" i="3"/>
  <c r="F2921" i="3"/>
  <c r="E2921" i="3"/>
  <c r="F2920" i="3"/>
  <c r="E2920" i="3"/>
  <c r="F2919" i="3"/>
  <c r="E2919" i="3"/>
  <c r="F2918" i="3"/>
  <c r="E2918" i="3"/>
  <c r="F2917" i="3"/>
  <c r="E2917" i="3"/>
  <c r="F2916" i="3"/>
  <c r="E2916" i="3"/>
  <c r="F2915" i="3"/>
  <c r="E2915" i="3"/>
  <c r="F2914" i="3"/>
  <c r="E2914" i="3"/>
  <c r="F2913" i="3"/>
  <c r="E2913" i="3"/>
  <c r="F2912" i="3"/>
  <c r="E2912" i="3"/>
  <c r="F2911" i="3"/>
  <c r="E2911" i="3"/>
  <c r="F2910" i="3"/>
  <c r="E2910" i="3"/>
  <c r="F2909" i="3"/>
  <c r="E2909" i="3"/>
  <c r="F2908" i="3"/>
  <c r="E2908" i="3"/>
  <c r="F2907" i="3"/>
  <c r="E2907" i="3"/>
  <c r="F2906" i="3"/>
  <c r="E2906" i="3"/>
  <c r="F2905" i="3"/>
  <c r="E2905" i="3"/>
  <c r="F2904" i="3"/>
  <c r="E2904" i="3"/>
  <c r="F2903" i="3"/>
  <c r="E2903" i="3"/>
  <c r="F2902" i="3"/>
  <c r="E2902" i="3"/>
  <c r="F2901" i="3"/>
  <c r="E2901" i="3"/>
  <c r="F2900" i="3"/>
  <c r="E2900" i="3"/>
  <c r="F2899" i="3"/>
  <c r="E2899" i="3"/>
  <c r="F2898" i="3"/>
  <c r="E2898" i="3"/>
  <c r="F2897" i="3"/>
  <c r="E2897" i="3"/>
  <c r="F2896" i="3"/>
  <c r="E2896" i="3"/>
  <c r="F2895" i="3"/>
  <c r="E2895" i="3"/>
  <c r="F2894" i="3"/>
  <c r="E2894" i="3"/>
  <c r="F2893" i="3"/>
  <c r="E2893" i="3"/>
  <c r="F2892" i="3"/>
  <c r="E2892" i="3"/>
  <c r="F2891" i="3"/>
  <c r="E2891" i="3"/>
  <c r="F2890" i="3"/>
  <c r="E2890" i="3"/>
  <c r="F2889" i="3"/>
  <c r="E2889" i="3"/>
  <c r="F2888" i="3"/>
  <c r="E2888" i="3"/>
  <c r="F2887" i="3"/>
  <c r="E2887" i="3"/>
  <c r="F2886" i="3"/>
  <c r="E2886" i="3"/>
  <c r="F2885" i="3"/>
  <c r="E2885" i="3"/>
  <c r="F2884" i="3"/>
  <c r="E2884" i="3"/>
  <c r="F2883" i="3"/>
  <c r="E2883" i="3"/>
  <c r="F2882" i="3"/>
  <c r="E2882" i="3"/>
  <c r="F2881" i="3"/>
  <c r="E2881" i="3"/>
  <c r="F2880" i="3"/>
  <c r="E2880" i="3"/>
  <c r="F2879" i="3"/>
  <c r="E2879" i="3"/>
  <c r="F2878" i="3"/>
  <c r="E2878" i="3"/>
  <c r="F2877" i="3"/>
  <c r="E2877" i="3"/>
  <c r="F2876" i="3"/>
  <c r="E2876" i="3"/>
  <c r="F2875" i="3"/>
  <c r="E2875" i="3"/>
  <c r="F2874" i="3"/>
  <c r="E2874" i="3"/>
  <c r="F2873" i="3"/>
  <c r="E2873" i="3"/>
  <c r="F2872" i="3"/>
  <c r="E2872" i="3"/>
  <c r="F2871" i="3"/>
  <c r="E2871" i="3"/>
  <c r="F2870" i="3"/>
  <c r="E2870" i="3"/>
  <c r="F2869" i="3"/>
  <c r="E2869" i="3"/>
  <c r="F2868" i="3"/>
  <c r="E2868" i="3"/>
  <c r="F2867" i="3"/>
  <c r="E2867" i="3"/>
  <c r="F2866" i="3"/>
  <c r="E2866" i="3"/>
  <c r="F2865" i="3"/>
  <c r="E2865" i="3"/>
  <c r="F2864" i="3"/>
  <c r="E2864" i="3"/>
  <c r="F2863" i="3"/>
  <c r="E2863" i="3"/>
  <c r="F2862" i="3"/>
  <c r="E2862" i="3"/>
  <c r="F2861" i="3"/>
  <c r="E2861" i="3"/>
  <c r="F2860" i="3"/>
  <c r="E2860" i="3"/>
  <c r="F2859" i="3"/>
  <c r="E2859" i="3"/>
  <c r="F2858" i="3"/>
  <c r="E2858" i="3"/>
  <c r="F2857" i="3"/>
  <c r="E2857" i="3"/>
  <c r="F2856" i="3"/>
  <c r="E2856" i="3"/>
  <c r="F2855" i="3"/>
  <c r="E2855" i="3"/>
  <c r="F2854" i="3"/>
  <c r="E2854" i="3"/>
  <c r="F2853" i="3"/>
  <c r="E2853" i="3"/>
  <c r="F2852" i="3"/>
  <c r="E2852" i="3"/>
  <c r="F2851" i="3"/>
  <c r="E2851" i="3"/>
  <c r="F2850" i="3"/>
  <c r="E2850" i="3"/>
  <c r="F2849" i="3"/>
  <c r="E2849" i="3"/>
  <c r="F2848" i="3"/>
  <c r="E2848" i="3"/>
  <c r="F2847" i="3"/>
  <c r="E2847" i="3"/>
  <c r="F2846" i="3"/>
  <c r="E2846" i="3"/>
  <c r="F2845" i="3"/>
  <c r="E2845" i="3"/>
  <c r="F2844" i="3"/>
  <c r="E2844" i="3"/>
  <c r="F2843" i="3"/>
  <c r="E2843" i="3"/>
  <c r="F2842" i="3"/>
  <c r="E2842" i="3"/>
  <c r="F2841" i="3"/>
  <c r="E2841" i="3"/>
  <c r="F2840" i="3"/>
  <c r="E2840" i="3"/>
  <c r="F2839" i="3"/>
  <c r="E2839" i="3"/>
  <c r="F2838" i="3"/>
  <c r="E2838" i="3"/>
  <c r="F2837" i="3"/>
  <c r="E2837" i="3"/>
  <c r="F2836" i="3"/>
  <c r="E2836" i="3"/>
  <c r="F2835" i="3"/>
  <c r="E2835" i="3"/>
  <c r="F2834" i="3"/>
  <c r="E2834" i="3"/>
  <c r="F2833" i="3"/>
  <c r="E2833" i="3"/>
  <c r="F2832" i="3"/>
  <c r="E2832" i="3"/>
  <c r="F2831" i="3"/>
  <c r="E2831" i="3"/>
  <c r="F2830" i="3"/>
  <c r="E2830" i="3"/>
  <c r="F2829" i="3"/>
  <c r="E2829" i="3"/>
  <c r="F2828" i="3"/>
  <c r="E2828" i="3"/>
  <c r="F2827" i="3"/>
  <c r="E2827" i="3"/>
  <c r="F2826" i="3"/>
  <c r="E2826" i="3"/>
  <c r="F2825" i="3"/>
  <c r="E2825" i="3"/>
  <c r="F2824" i="3"/>
  <c r="E2824" i="3"/>
  <c r="F2823" i="3"/>
  <c r="E2823" i="3"/>
  <c r="F2822" i="3"/>
  <c r="E2822" i="3"/>
  <c r="F2821" i="3"/>
  <c r="E2821" i="3"/>
  <c r="F2820" i="3"/>
  <c r="E2820" i="3"/>
  <c r="F2819" i="3"/>
  <c r="E2819" i="3"/>
  <c r="F2818" i="3"/>
  <c r="E2818" i="3"/>
  <c r="F2817" i="3"/>
  <c r="E2817" i="3"/>
  <c r="F2816" i="3"/>
  <c r="E2816" i="3"/>
  <c r="F2815" i="3"/>
  <c r="E2815" i="3"/>
  <c r="F2814" i="3"/>
  <c r="E2814" i="3"/>
  <c r="F2813" i="3"/>
  <c r="E2813" i="3"/>
  <c r="F2812" i="3"/>
  <c r="E2812" i="3"/>
  <c r="F2811" i="3"/>
  <c r="E2811" i="3"/>
  <c r="F2810" i="3"/>
  <c r="E2810" i="3"/>
  <c r="F2809" i="3"/>
  <c r="E2809" i="3"/>
  <c r="F2808" i="3"/>
  <c r="E2808" i="3"/>
  <c r="F2807" i="3"/>
  <c r="E2807" i="3"/>
  <c r="F2806" i="3"/>
  <c r="E2806" i="3"/>
  <c r="F2805" i="3"/>
  <c r="E2805" i="3"/>
  <c r="F2804" i="3"/>
  <c r="E2804" i="3"/>
  <c r="F2803" i="3"/>
  <c r="E2803" i="3"/>
  <c r="F2802" i="3"/>
  <c r="E2802" i="3"/>
  <c r="F2801" i="3"/>
  <c r="E2801" i="3"/>
  <c r="F2800" i="3"/>
  <c r="E2800" i="3"/>
  <c r="F2799" i="3"/>
  <c r="E2799" i="3"/>
  <c r="F2798" i="3"/>
  <c r="E2798" i="3"/>
  <c r="F2797" i="3"/>
  <c r="E2797" i="3"/>
  <c r="F2796" i="3"/>
  <c r="E2796" i="3"/>
  <c r="F2795" i="3"/>
  <c r="E2795" i="3"/>
  <c r="F2794" i="3"/>
  <c r="E2794" i="3"/>
  <c r="F2793" i="3"/>
  <c r="E2793" i="3"/>
  <c r="F2792" i="3"/>
  <c r="E2792" i="3"/>
  <c r="F2791" i="3"/>
  <c r="E2791" i="3"/>
  <c r="F2790" i="3"/>
  <c r="E2790" i="3"/>
  <c r="F2789" i="3"/>
  <c r="E2789" i="3"/>
  <c r="F2788" i="3"/>
  <c r="E2788" i="3"/>
  <c r="F2787" i="3"/>
  <c r="E2787" i="3"/>
  <c r="F2786" i="3"/>
  <c r="E2786" i="3"/>
  <c r="F2785" i="3"/>
  <c r="E2785" i="3"/>
  <c r="F2784" i="3"/>
  <c r="E2784" i="3"/>
  <c r="F2783" i="3"/>
  <c r="E2783" i="3"/>
  <c r="F2782" i="3"/>
  <c r="E2782" i="3"/>
  <c r="F2781" i="3"/>
  <c r="E2781" i="3"/>
  <c r="F2780" i="3"/>
  <c r="E2780" i="3"/>
  <c r="F2779" i="3"/>
  <c r="E2779" i="3"/>
  <c r="F2778" i="3"/>
  <c r="E2778" i="3"/>
  <c r="F2777" i="3"/>
  <c r="E2777" i="3"/>
  <c r="F2776" i="3"/>
  <c r="E2776" i="3"/>
  <c r="F2775" i="3"/>
  <c r="E2775" i="3"/>
  <c r="F2774" i="3"/>
  <c r="E2774" i="3"/>
  <c r="F2773" i="3"/>
  <c r="E2773" i="3"/>
  <c r="F2772" i="3"/>
  <c r="E2772" i="3"/>
  <c r="F2771" i="3"/>
  <c r="E2771" i="3"/>
  <c r="F2770" i="3"/>
  <c r="E2770" i="3"/>
  <c r="F2769" i="3"/>
  <c r="E2769" i="3"/>
  <c r="F2768" i="3"/>
  <c r="E2768" i="3"/>
  <c r="F2767" i="3"/>
  <c r="E2767" i="3"/>
  <c r="F2766" i="3"/>
  <c r="E2766" i="3"/>
  <c r="F2765" i="3"/>
  <c r="E2765" i="3"/>
  <c r="F2764" i="3"/>
  <c r="E2764" i="3"/>
  <c r="F2763" i="3"/>
  <c r="E2763" i="3"/>
  <c r="F2762" i="3"/>
  <c r="E2762" i="3"/>
  <c r="F2761" i="3"/>
  <c r="E2761" i="3"/>
  <c r="F2760" i="3"/>
  <c r="E2760" i="3"/>
  <c r="F2759" i="3"/>
  <c r="E2759" i="3"/>
  <c r="F2758" i="3"/>
  <c r="E2758" i="3"/>
  <c r="F2757" i="3"/>
  <c r="E2757" i="3"/>
  <c r="F2756" i="3"/>
  <c r="E2756" i="3"/>
  <c r="F2755" i="3"/>
  <c r="E2755" i="3"/>
  <c r="F2754" i="3"/>
  <c r="E2754" i="3"/>
  <c r="F2753" i="3"/>
  <c r="E2753" i="3"/>
  <c r="F2752" i="3"/>
  <c r="E2752" i="3"/>
  <c r="F2751" i="3"/>
  <c r="E2751" i="3"/>
  <c r="F2750" i="3"/>
  <c r="E2750" i="3"/>
  <c r="F2749" i="3"/>
  <c r="E2749" i="3"/>
  <c r="F2748" i="3"/>
  <c r="E2748" i="3"/>
  <c r="F2747" i="3"/>
  <c r="E2747" i="3"/>
  <c r="F2746" i="3"/>
  <c r="E2746" i="3"/>
  <c r="F2745" i="3"/>
  <c r="E2745" i="3"/>
  <c r="F2744" i="3"/>
  <c r="E2744" i="3"/>
  <c r="F2743" i="3"/>
  <c r="E2743" i="3"/>
  <c r="F2742" i="3"/>
  <c r="E2742" i="3"/>
  <c r="F2741" i="3"/>
  <c r="E2741" i="3"/>
  <c r="F2740" i="3"/>
  <c r="E2740" i="3"/>
  <c r="F2739" i="3"/>
  <c r="E2739" i="3"/>
  <c r="F2738" i="3"/>
  <c r="E2738" i="3"/>
  <c r="F2737" i="3"/>
  <c r="E2737" i="3"/>
  <c r="F2736" i="3"/>
  <c r="E2736" i="3"/>
  <c r="F2735" i="3"/>
  <c r="E2735" i="3"/>
  <c r="F2734" i="3"/>
  <c r="E2734" i="3"/>
  <c r="F2733" i="3"/>
  <c r="E2733" i="3"/>
  <c r="F2732" i="3"/>
  <c r="E2732" i="3"/>
  <c r="F2731" i="3"/>
  <c r="E2731" i="3"/>
  <c r="F2730" i="3"/>
  <c r="E2730" i="3"/>
  <c r="F2729" i="3"/>
  <c r="E2729" i="3"/>
  <c r="F2728" i="3"/>
  <c r="E2728" i="3"/>
  <c r="F2727" i="3"/>
  <c r="E2727" i="3"/>
  <c r="F2726" i="3"/>
  <c r="E2726" i="3"/>
  <c r="F2725" i="3"/>
  <c r="E2725" i="3"/>
  <c r="F2724" i="3"/>
  <c r="E2724" i="3"/>
  <c r="F2723" i="3"/>
  <c r="E2723" i="3"/>
  <c r="F2722" i="3"/>
  <c r="E2722" i="3"/>
  <c r="F2721" i="3"/>
  <c r="E2721" i="3"/>
  <c r="F2720" i="3"/>
  <c r="E2720" i="3"/>
  <c r="F2719" i="3"/>
  <c r="E2719" i="3"/>
  <c r="F2718" i="3"/>
  <c r="E2718" i="3"/>
  <c r="F2717" i="3"/>
  <c r="E2717" i="3"/>
  <c r="F2716" i="3"/>
  <c r="E2716" i="3"/>
  <c r="F2715" i="3"/>
  <c r="E2715" i="3"/>
  <c r="F2714" i="3"/>
  <c r="E2714" i="3"/>
  <c r="F2713" i="3"/>
  <c r="E2713" i="3"/>
  <c r="F2712" i="3"/>
  <c r="E2712" i="3"/>
  <c r="F2711" i="3"/>
  <c r="E2711" i="3"/>
  <c r="F2710" i="3"/>
  <c r="E2710" i="3"/>
  <c r="F2709" i="3"/>
  <c r="E2709" i="3"/>
  <c r="F2708" i="3"/>
  <c r="E2708" i="3"/>
  <c r="F2707" i="3"/>
  <c r="E2707" i="3"/>
  <c r="F2706" i="3"/>
  <c r="E2706" i="3"/>
  <c r="F2705" i="3"/>
  <c r="E2705" i="3"/>
  <c r="F2704" i="3"/>
  <c r="E2704" i="3"/>
  <c r="F2703" i="3"/>
  <c r="E2703" i="3"/>
  <c r="F2702" i="3"/>
  <c r="E2702" i="3"/>
  <c r="F2701" i="3"/>
  <c r="E2701" i="3"/>
  <c r="F2700" i="3"/>
  <c r="E2700" i="3"/>
  <c r="F2699" i="3"/>
  <c r="E2699" i="3"/>
  <c r="F2698" i="3"/>
  <c r="E2698" i="3"/>
  <c r="F2697" i="3"/>
  <c r="E2697" i="3"/>
  <c r="F2696" i="3"/>
  <c r="E2696" i="3"/>
  <c r="F2695" i="3"/>
  <c r="E2695" i="3"/>
  <c r="F2694" i="3"/>
  <c r="E2694" i="3"/>
  <c r="F2693" i="3"/>
  <c r="E2693" i="3"/>
  <c r="F2692" i="3"/>
  <c r="E2692" i="3"/>
  <c r="F2691" i="3"/>
  <c r="E2691" i="3"/>
  <c r="F2690" i="3"/>
  <c r="E2690" i="3"/>
  <c r="F2689" i="3"/>
  <c r="E2689" i="3"/>
  <c r="F2688" i="3"/>
  <c r="E2688" i="3"/>
  <c r="F2687" i="3"/>
  <c r="E2687" i="3"/>
  <c r="F2686" i="3"/>
  <c r="E2686" i="3"/>
  <c r="F2685" i="3"/>
  <c r="E2685" i="3"/>
  <c r="F2684" i="3"/>
  <c r="E2684" i="3"/>
  <c r="F2683" i="3"/>
  <c r="E2683" i="3"/>
  <c r="F2682" i="3"/>
  <c r="E2682" i="3"/>
  <c r="F2681" i="3"/>
  <c r="E2681" i="3"/>
  <c r="F2680" i="3"/>
  <c r="E2680" i="3"/>
  <c r="F2679" i="3"/>
  <c r="E2679" i="3"/>
  <c r="F2678" i="3"/>
  <c r="E2678" i="3"/>
  <c r="F2677" i="3"/>
  <c r="E2677" i="3"/>
  <c r="F2676" i="3"/>
  <c r="E2676" i="3"/>
  <c r="F2675" i="3"/>
  <c r="E2675" i="3"/>
  <c r="F2674" i="3"/>
  <c r="E2674" i="3"/>
  <c r="F2673" i="3"/>
  <c r="E2673" i="3"/>
  <c r="F2672" i="3"/>
  <c r="E2672" i="3"/>
  <c r="F2671" i="3"/>
  <c r="E2671" i="3"/>
  <c r="F2670" i="3"/>
  <c r="E2670" i="3"/>
  <c r="F2669" i="3"/>
  <c r="E2669" i="3"/>
  <c r="F2668" i="3"/>
  <c r="E2668" i="3"/>
  <c r="F2667" i="3"/>
  <c r="E2667" i="3"/>
  <c r="F2666" i="3"/>
  <c r="E2666" i="3"/>
  <c r="F2665" i="3"/>
  <c r="E2665" i="3"/>
  <c r="F2664" i="3"/>
  <c r="E2664" i="3"/>
  <c r="F2663" i="3"/>
  <c r="E2663" i="3"/>
  <c r="F2662" i="3"/>
  <c r="E2662" i="3"/>
  <c r="F2661" i="3"/>
  <c r="E2661" i="3"/>
  <c r="F2660" i="3"/>
  <c r="E2660" i="3"/>
  <c r="F2659" i="3"/>
  <c r="E2659" i="3"/>
  <c r="F2658" i="3"/>
  <c r="E2658" i="3"/>
  <c r="F2657" i="3"/>
  <c r="E2657" i="3"/>
  <c r="F2656" i="3"/>
  <c r="E2656" i="3"/>
  <c r="F2655" i="3"/>
  <c r="E2655" i="3"/>
  <c r="F2654" i="3"/>
  <c r="E2654" i="3"/>
  <c r="F2653" i="3"/>
  <c r="E2653" i="3"/>
  <c r="F2652" i="3"/>
  <c r="E2652" i="3"/>
  <c r="F2651" i="3"/>
  <c r="E2651" i="3"/>
  <c r="F2650" i="3"/>
  <c r="E2650" i="3"/>
  <c r="F2649" i="3"/>
  <c r="E2649" i="3"/>
  <c r="F2648" i="3"/>
  <c r="E2648" i="3"/>
  <c r="F2647" i="3"/>
  <c r="E2647" i="3"/>
  <c r="F2646" i="3"/>
  <c r="E2646" i="3"/>
  <c r="F2645" i="3"/>
  <c r="E2645" i="3"/>
  <c r="F2644" i="3"/>
  <c r="E2644" i="3"/>
  <c r="F2643" i="3"/>
  <c r="E2643" i="3"/>
  <c r="F2642" i="3"/>
  <c r="E2642" i="3"/>
  <c r="F2641" i="3"/>
  <c r="E2641" i="3"/>
  <c r="F2640" i="3"/>
  <c r="E2640" i="3"/>
  <c r="F2639" i="3"/>
  <c r="E2639" i="3"/>
  <c r="F2638" i="3"/>
  <c r="E2638" i="3"/>
  <c r="F2637" i="3"/>
  <c r="E2637" i="3"/>
  <c r="F2636" i="3"/>
  <c r="E2636" i="3"/>
  <c r="F2635" i="3"/>
  <c r="E2635" i="3"/>
  <c r="F2634" i="3"/>
  <c r="E2634" i="3"/>
  <c r="F2633" i="3"/>
  <c r="E2633" i="3"/>
  <c r="F2632" i="3"/>
  <c r="E2632" i="3"/>
  <c r="F2631" i="3"/>
  <c r="E2631" i="3"/>
  <c r="F2630" i="3"/>
  <c r="E2630" i="3"/>
  <c r="F2629" i="3"/>
  <c r="E2629" i="3"/>
  <c r="F2628" i="3"/>
  <c r="E2628" i="3"/>
  <c r="F2627" i="3"/>
  <c r="E2627" i="3"/>
  <c r="F2626" i="3"/>
  <c r="E2626" i="3"/>
  <c r="F2625" i="3"/>
  <c r="E2625" i="3"/>
  <c r="F2624" i="3"/>
  <c r="E2624" i="3"/>
  <c r="F2623" i="3"/>
  <c r="E2623" i="3"/>
  <c r="F2622" i="3"/>
  <c r="E2622" i="3"/>
  <c r="F2621" i="3"/>
  <c r="E2621" i="3"/>
  <c r="F2620" i="3"/>
  <c r="E2620" i="3"/>
  <c r="F2619" i="3"/>
  <c r="E2619" i="3"/>
  <c r="F2618" i="3"/>
  <c r="E2618" i="3"/>
  <c r="F2617" i="3"/>
  <c r="E2617" i="3"/>
  <c r="F2616" i="3"/>
  <c r="E2616" i="3"/>
  <c r="F2615" i="3"/>
  <c r="E2615" i="3"/>
  <c r="F2614" i="3"/>
  <c r="E2614" i="3"/>
  <c r="F2613" i="3"/>
  <c r="E2613" i="3"/>
  <c r="F2612" i="3"/>
  <c r="E2612" i="3"/>
  <c r="F2611" i="3"/>
  <c r="E2611" i="3"/>
  <c r="F2610" i="3"/>
  <c r="E2610" i="3"/>
  <c r="F2609" i="3"/>
  <c r="E2609" i="3"/>
  <c r="F2608" i="3"/>
  <c r="E2608" i="3"/>
  <c r="F2607" i="3"/>
  <c r="E2607" i="3"/>
  <c r="F2606" i="3"/>
  <c r="E2606" i="3"/>
  <c r="F2605" i="3"/>
  <c r="E2605" i="3"/>
  <c r="F2604" i="3"/>
  <c r="E2604" i="3"/>
  <c r="F2603" i="3"/>
  <c r="E2603" i="3"/>
  <c r="F2602" i="3"/>
  <c r="E2602" i="3"/>
  <c r="F2601" i="3"/>
  <c r="E2601" i="3"/>
  <c r="F2600" i="3"/>
  <c r="E2600" i="3"/>
  <c r="F2599" i="3"/>
  <c r="E2599" i="3"/>
  <c r="F2598" i="3"/>
  <c r="E2598" i="3"/>
  <c r="F2597" i="3"/>
  <c r="E2597" i="3"/>
  <c r="F2596" i="3"/>
  <c r="E2596" i="3"/>
  <c r="F2595" i="3"/>
  <c r="E2595" i="3"/>
  <c r="F2594" i="3"/>
  <c r="E2594" i="3"/>
  <c r="F2593" i="3"/>
  <c r="E2593" i="3"/>
  <c r="F2592" i="3"/>
  <c r="E2592" i="3"/>
  <c r="F2591" i="3"/>
  <c r="E2591" i="3"/>
  <c r="F2590" i="3"/>
  <c r="E2590" i="3"/>
  <c r="F2589" i="3"/>
  <c r="E2589" i="3"/>
  <c r="F2588" i="3"/>
  <c r="E2588" i="3"/>
  <c r="F2587" i="3"/>
  <c r="E2587" i="3"/>
  <c r="F2586" i="3"/>
  <c r="E2586" i="3"/>
  <c r="F2585" i="3"/>
  <c r="E2585" i="3"/>
  <c r="F2584" i="3"/>
  <c r="E2584" i="3"/>
  <c r="F2583" i="3"/>
  <c r="E2583" i="3"/>
  <c r="F2582" i="3"/>
  <c r="E2582" i="3"/>
  <c r="F2581" i="3"/>
  <c r="E2581" i="3"/>
  <c r="F2580" i="3"/>
  <c r="E2580" i="3"/>
  <c r="F2579" i="3"/>
  <c r="E2579" i="3"/>
  <c r="F2578" i="3"/>
  <c r="E2578" i="3"/>
  <c r="F2577" i="3"/>
  <c r="E2577" i="3"/>
  <c r="F2576" i="3"/>
  <c r="E2576" i="3"/>
  <c r="F2575" i="3"/>
  <c r="E2575" i="3"/>
  <c r="F2574" i="3"/>
  <c r="E2574" i="3"/>
  <c r="F2573" i="3"/>
  <c r="E2573" i="3"/>
  <c r="F2572" i="3"/>
  <c r="E2572" i="3"/>
  <c r="F2571" i="3"/>
  <c r="E2571" i="3"/>
  <c r="F2570" i="3"/>
  <c r="E2570" i="3"/>
  <c r="F2569" i="3"/>
  <c r="E2569" i="3"/>
  <c r="F2568" i="3"/>
  <c r="E2568" i="3"/>
  <c r="F2567" i="3"/>
  <c r="E2567" i="3"/>
  <c r="F2566" i="3"/>
  <c r="E2566" i="3"/>
  <c r="F2565" i="3"/>
  <c r="E2565" i="3"/>
  <c r="F2564" i="3"/>
  <c r="E2564" i="3"/>
  <c r="F2563" i="3"/>
  <c r="E2563" i="3"/>
  <c r="F2562" i="3"/>
  <c r="E2562" i="3"/>
  <c r="F2561" i="3"/>
  <c r="E2561" i="3"/>
  <c r="F2560" i="3"/>
  <c r="E2560" i="3"/>
  <c r="F2559" i="3"/>
  <c r="E2559" i="3"/>
  <c r="F2558" i="3"/>
  <c r="E2558" i="3"/>
  <c r="F2557" i="3"/>
  <c r="E2557" i="3"/>
  <c r="F2556" i="3"/>
  <c r="E2556" i="3"/>
  <c r="F2555" i="3"/>
  <c r="E2555" i="3"/>
  <c r="F2554" i="3"/>
  <c r="E2554" i="3"/>
  <c r="F2553" i="3"/>
  <c r="E2553" i="3"/>
  <c r="F2552" i="3"/>
  <c r="E2552" i="3"/>
  <c r="F2551" i="3"/>
  <c r="E2551" i="3"/>
  <c r="F2550" i="3"/>
  <c r="E2550" i="3"/>
  <c r="F2549" i="3"/>
  <c r="E2549" i="3"/>
  <c r="F2548" i="3"/>
  <c r="E2548" i="3"/>
  <c r="F2547" i="3"/>
  <c r="E2547" i="3"/>
  <c r="F2546" i="3"/>
  <c r="E2546" i="3"/>
  <c r="F2545" i="3"/>
  <c r="E2545" i="3"/>
  <c r="F2544" i="3"/>
  <c r="E2544" i="3"/>
  <c r="F2543" i="3"/>
  <c r="E2543" i="3"/>
  <c r="F2542" i="3"/>
  <c r="E2542" i="3"/>
  <c r="F2541" i="3"/>
  <c r="E2541" i="3"/>
  <c r="F2540" i="3"/>
  <c r="E2540" i="3"/>
  <c r="F2539" i="3"/>
  <c r="E2539" i="3"/>
  <c r="F2538" i="3"/>
  <c r="E2538" i="3"/>
  <c r="F2537" i="3"/>
  <c r="E2537" i="3"/>
  <c r="F2536" i="3"/>
  <c r="E2536" i="3"/>
  <c r="F2535" i="3"/>
  <c r="E2535" i="3"/>
  <c r="F2534" i="3"/>
  <c r="E2534" i="3"/>
  <c r="F2533" i="3"/>
  <c r="E2533" i="3"/>
  <c r="F2532" i="3"/>
  <c r="E2532" i="3"/>
  <c r="F2531" i="3"/>
  <c r="E2531" i="3"/>
  <c r="F2530" i="3"/>
  <c r="E2530" i="3"/>
  <c r="F2529" i="3"/>
  <c r="E2529" i="3"/>
  <c r="F2528" i="3"/>
  <c r="E2528" i="3"/>
  <c r="F2527" i="3"/>
  <c r="E2527" i="3"/>
  <c r="F2526" i="3"/>
  <c r="E2526" i="3"/>
  <c r="F2525" i="3"/>
  <c r="E2525" i="3"/>
  <c r="F2524" i="3"/>
  <c r="E2524" i="3"/>
  <c r="F2523" i="3"/>
  <c r="E2523" i="3"/>
  <c r="F2522" i="3"/>
  <c r="E2522" i="3"/>
  <c r="F2521" i="3"/>
  <c r="E2521" i="3"/>
  <c r="F2520" i="3"/>
  <c r="E2520" i="3"/>
  <c r="F2519" i="3"/>
  <c r="E2519" i="3"/>
  <c r="F2518" i="3"/>
  <c r="E2518" i="3"/>
  <c r="F2517" i="3"/>
  <c r="E2517" i="3"/>
  <c r="F2516" i="3"/>
  <c r="E2516" i="3"/>
  <c r="F2515" i="3"/>
  <c r="E2515" i="3"/>
  <c r="F2514" i="3"/>
  <c r="E2514" i="3"/>
  <c r="F2513" i="3"/>
  <c r="E2513" i="3"/>
  <c r="F2512" i="3"/>
  <c r="E2512" i="3"/>
  <c r="F2511" i="3"/>
  <c r="E2511" i="3"/>
  <c r="F2510" i="3"/>
  <c r="E2510" i="3"/>
  <c r="F2509" i="3"/>
  <c r="E2509" i="3"/>
  <c r="F2508" i="3"/>
  <c r="E2508" i="3"/>
  <c r="F2507" i="3"/>
  <c r="E2507" i="3"/>
  <c r="F2506" i="3"/>
  <c r="E2506" i="3"/>
  <c r="F2505" i="3"/>
  <c r="E2505" i="3"/>
  <c r="F2504" i="3"/>
  <c r="E2504" i="3"/>
  <c r="F2503" i="3"/>
  <c r="E2503" i="3"/>
  <c r="F2502" i="3"/>
  <c r="E2502" i="3"/>
  <c r="F2501" i="3"/>
  <c r="E2501" i="3"/>
  <c r="F2500" i="3"/>
  <c r="E2500" i="3"/>
  <c r="F2499" i="3"/>
  <c r="E2499" i="3"/>
  <c r="F2498" i="3"/>
  <c r="E2498" i="3"/>
  <c r="F2497" i="3"/>
  <c r="E2497" i="3"/>
  <c r="F2496" i="3"/>
  <c r="E2496" i="3"/>
  <c r="F2495" i="3"/>
  <c r="E2495" i="3"/>
  <c r="F2494" i="3"/>
  <c r="E2494" i="3"/>
  <c r="F2493" i="3"/>
  <c r="E2493" i="3"/>
  <c r="F2492" i="3"/>
  <c r="E2492" i="3"/>
  <c r="F2491" i="3"/>
  <c r="E2491" i="3"/>
  <c r="F2490" i="3"/>
  <c r="E2490" i="3"/>
  <c r="F2489" i="3"/>
  <c r="E2489" i="3"/>
  <c r="F2488" i="3"/>
  <c r="E2488" i="3"/>
  <c r="F2487" i="3"/>
  <c r="E2487" i="3"/>
  <c r="F2486" i="3"/>
  <c r="E2486" i="3"/>
  <c r="F2485" i="3"/>
  <c r="E2485" i="3"/>
  <c r="F2484" i="3"/>
  <c r="E2484" i="3"/>
  <c r="F2483" i="3"/>
  <c r="E2483" i="3"/>
  <c r="F2482" i="3"/>
  <c r="E2482" i="3"/>
  <c r="F2481" i="3"/>
  <c r="E2481" i="3"/>
  <c r="F2480" i="3"/>
  <c r="E2480" i="3"/>
  <c r="F2479" i="3"/>
  <c r="E2479" i="3"/>
  <c r="F2478" i="3"/>
  <c r="E2478" i="3"/>
  <c r="F2477" i="3"/>
  <c r="E2477" i="3"/>
  <c r="F2476" i="3"/>
  <c r="E2476" i="3"/>
  <c r="F2475" i="3"/>
  <c r="E2475" i="3"/>
  <c r="F2474" i="3"/>
  <c r="E2474" i="3"/>
  <c r="F2473" i="3"/>
  <c r="E2473" i="3"/>
  <c r="F2472" i="3"/>
  <c r="E2472" i="3"/>
  <c r="F2471" i="3"/>
  <c r="E2471" i="3"/>
  <c r="F2470" i="3"/>
  <c r="E2470" i="3"/>
  <c r="F2469" i="3"/>
  <c r="E2469" i="3"/>
  <c r="F2468" i="3"/>
  <c r="E2468" i="3"/>
  <c r="F2467" i="3"/>
  <c r="E2467" i="3"/>
  <c r="F2466" i="3"/>
  <c r="E2466" i="3"/>
  <c r="F2465" i="3"/>
  <c r="E2465" i="3"/>
  <c r="F2464" i="3"/>
  <c r="E2464" i="3"/>
  <c r="F2463" i="3"/>
  <c r="E2463" i="3"/>
  <c r="F2462" i="3"/>
  <c r="E2462" i="3"/>
  <c r="F2461" i="3"/>
  <c r="E2461" i="3"/>
  <c r="F2460" i="3"/>
  <c r="E2460" i="3"/>
  <c r="F2459" i="3"/>
  <c r="E2459" i="3"/>
  <c r="F2458" i="3"/>
  <c r="E2458" i="3"/>
  <c r="F2457" i="3"/>
  <c r="E2457" i="3"/>
  <c r="F2456" i="3"/>
  <c r="E2456" i="3"/>
  <c r="F2455" i="3"/>
  <c r="E2455" i="3"/>
  <c r="F2454" i="3"/>
  <c r="E2454" i="3"/>
  <c r="F2453" i="3"/>
  <c r="E2453" i="3"/>
  <c r="F2452" i="3"/>
  <c r="E2452" i="3"/>
  <c r="F2451" i="3"/>
  <c r="E2451" i="3"/>
  <c r="F2450" i="3"/>
  <c r="E2450" i="3"/>
  <c r="F2449" i="3"/>
  <c r="E2449" i="3"/>
  <c r="F2448" i="3"/>
  <c r="E2448" i="3"/>
  <c r="F2447" i="3"/>
  <c r="E2447" i="3"/>
  <c r="F2446" i="3"/>
  <c r="E2446" i="3"/>
  <c r="F2445" i="3"/>
  <c r="E2445" i="3"/>
  <c r="F2444" i="3"/>
  <c r="E2444" i="3"/>
  <c r="F2443" i="3"/>
  <c r="E2443" i="3"/>
  <c r="F2442" i="3"/>
  <c r="E2442" i="3"/>
  <c r="F2441" i="3"/>
  <c r="E2441" i="3"/>
  <c r="F2440" i="3"/>
  <c r="E2440" i="3"/>
  <c r="F2439" i="3"/>
  <c r="E2439" i="3"/>
  <c r="F2438" i="3"/>
  <c r="E2438" i="3"/>
  <c r="F2437" i="3"/>
  <c r="E2437" i="3"/>
  <c r="F2436" i="3"/>
  <c r="E2436" i="3"/>
  <c r="F2435" i="3"/>
  <c r="E2435" i="3"/>
  <c r="F2434" i="3"/>
  <c r="E2434" i="3"/>
  <c r="F2433" i="3"/>
  <c r="E2433" i="3"/>
  <c r="F2432" i="3"/>
  <c r="E2432" i="3"/>
  <c r="F2431" i="3"/>
  <c r="E2431" i="3"/>
  <c r="F2430" i="3"/>
  <c r="E2430" i="3"/>
  <c r="F2429" i="3"/>
  <c r="E2429" i="3"/>
  <c r="F2428" i="3"/>
  <c r="E2428" i="3"/>
  <c r="F2427" i="3"/>
  <c r="E2427" i="3"/>
  <c r="F2426" i="3"/>
  <c r="E2426" i="3"/>
  <c r="F2425" i="3"/>
  <c r="E2425" i="3"/>
  <c r="F2424" i="3"/>
  <c r="E2424" i="3"/>
  <c r="F2423" i="3"/>
  <c r="E2423" i="3"/>
  <c r="F2422" i="3"/>
  <c r="E2422" i="3"/>
  <c r="F2421" i="3"/>
  <c r="E2421" i="3"/>
  <c r="F2420" i="3"/>
  <c r="E2420" i="3"/>
  <c r="F2419" i="3"/>
  <c r="E2419" i="3"/>
  <c r="F2418" i="3"/>
  <c r="E2418" i="3"/>
  <c r="F2417" i="3"/>
  <c r="E2417" i="3"/>
  <c r="F2416" i="3"/>
  <c r="E2416" i="3"/>
  <c r="F2415" i="3"/>
  <c r="E2415" i="3"/>
  <c r="F2414" i="3"/>
  <c r="E2414" i="3"/>
  <c r="F2413" i="3"/>
  <c r="E2413" i="3"/>
  <c r="F2412" i="3"/>
  <c r="E2412" i="3"/>
  <c r="F2411" i="3"/>
  <c r="E2411" i="3"/>
  <c r="F2410" i="3"/>
  <c r="E2410" i="3"/>
  <c r="F2409" i="3"/>
  <c r="E2409" i="3"/>
  <c r="F2408" i="3"/>
  <c r="E2408" i="3"/>
  <c r="F2407" i="3"/>
  <c r="E2407" i="3"/>
  <c r="F2406" i="3"/>
  <c r="E2406" i="3"/>
  <c r="F2405" i="3"/>
  <c r="E2405" i="3"/>
  <c r="F2404" i="3"/>
  <c r="E2404" i="3"/>
  <c r="F2403" i="3"/>
  <c r="E2403" i="3"/>
  <c r="F2402" i="3"/>
  <c r="E2402" i="3"/>
  <c r="F2401" i="3"/>
  <c r="E2401" i="3"/>
  <c r="F2400" i="3"/>
  <c r="E2400" i="3"/>
  <c r="F2399" i="3"/>
  <c r="E2399" i="3"/>
  <c r="F2398" i="3"/>
  <c r="E2398" i="3"/>
  <c r="F2397" i="3"/>
  <c r="E2397" i="3"/>
  <c r="F2396" i="3"/>
  <c r="E2396" i="3"/>
  <c r="F2395" i="3"/>
  <c r="E2395" i="3"/>
  <c r="F2394" i="3"/>
  <c r="E2394" i="3"/>
  <c r="F2393" i="3"/>
  <c r="E2393" i="3"/>
  <c r="F2392" i="3"/>
  <c r="E2392" i="3"/>
  <c r="F2391" i="3"/>
  <c r="E2391" i="3"/>
  <c r="F2390" i="3"/>
  <c r="E2390" i="3"/>
  <c r="F2389" i="3"/>
  <c r="E2389" i="3"/>
  <c r="F2388" i="3"/>
  <c r="E2388" i="3"/>
  <c r="F2387" i="3"/>
  <c r="E2387" i="3"/>
  <c r="F2386" i="3"/>
  <c r="E2386" i="3"/>
  <c r="F2385" i="3"/>
  <c r="E2385" i="3"/>
  <c r="F2384" i="3"/>
  <c r="E2384" i="3"/>
  <c r="F2383" i="3"/>
  <c r="E2383" i="3"/>
  <c r="F2382" i="3"/>
  <c r="E2382" i="3"/>
  <c r="F2381" i="3"/>
  <c r="E2381" i="3"/>
  <c r="F2380" i="3"/>
  <c r="E2380" i="3"/>
  <c r="F2379" i="3"/>
  <c r="E2379" i="3"/>
  <c r="F2378" i="3"/>
  <c r="E2378" i="3"/>
  <c r="F2377" i="3"/>
  <c r="E2377" i="3"/>
  <c r="F2376" i="3"/>
  <c r="E2376" i="3"/>
  <c r="F2375" i="3"/>
  <c r="E2375" i="3"/>
  <c r="F2374" i="3"/>
  <c r="E2374" i="3"/>
  <c r="F2373" i="3"/>
  <c r="E2373" i="3"/>
  <c r="F2372" i="3"/>
  <c r="E2372" i="3"/>
  <c r="F2371" i="3"/>
  <c r="E2371" i="3"/>
  <c r="F2370" i="3"/>
  <c r="E2370" i="3"/>
  <c r="F2369" i="3"/>
  <c r="E2369" i="3"/>
  <c r="F2368" i="3"/>
  <c r="E2368" i="3"/>
  <c r="F2367" i="3"/>
  <c r="E2367" i="3"/>
  <c r="F2366" i="3"/>
  <c r="E2366" i="3"/>
  <c r="F2365" i="3"/>
  <c r="E2365" i="3"/>
  <c r="F2364" i="3"/>
  <c r="E2364" i="3"/>
  <c r="F2363" i="3"/>
  <c r="E2363" i="3"/>
  <c r="F2362" i="3"/>
  <c r="E2362" i="3"/>
  <c r="F2361" i="3"/>
  <c r="E2361" i="3"/>
  <c r="F2360" i="3"/>
  <c r="E2360" i="3"/>
  <c r="F2359" i="3"/>
  <c r="E2359" i="3"/>
  <c r="F2358" i="3"/>
  <c r="E2358" i="3"/>
  <c r="F2357" i="3"/>
  <c r="E2357" i="3"/>
  <c r="F2356" i="3"/>
  <c r="E2356" i="3"/>
  <c r="F2355" i="3"/>
  <c r="E2355" i="3"/>
  <c r="F2354" i="3"/>
  <c r="E2354" i="3"/>
  <c r="F2353" i="3"/>
  <c r="E2353" i="3"/>
  <c r="F2352" i="3"/>
  <c r="E2352" i="3"/>
  <c r="F2351" i="3"/>
  <c r="E2351" i="3"/>
  <c r="F2350" i="3"/>
  <c r="E2350" i="3"/>
  <c r="F2349" i="3"/>
  <c r="E2349" i="3"/>
  <c r="F2348" i="3"/>
  <c r="E2348" i="3"/>
  <c r="F2347" i="3"/>
  <c r="E2347" i="3"/>
  <c r="F2346" i="3"/>
  <c r="E2346" i="3"/>
  <c r="F2345" i="3"/>
  <c r="E2345" i="3"/>
  <c r="F2344" i="3"/>
  <c r="E2344" i="3"/>
  <c r="F2343" i="3"/>
  <c r="E2343" i="3"/>
  <c r="F2342" i="3"/>
  <c r="E2342" i="3"/>
  <c r="F2341" i="3"/>
  <c r="E2341" i="3"/>
  <c r="F2340" i="3"/>
  <c r="E2340" i="3"/>
  <c r="F2339" i="3"/>
  <c r="E2339" i="3"/>
  <c r="F2338" i="3"/>
  <c r="E2338" i="3"/>
  <c r="F2337" i="3"/>
  <c r="E2337" i="3"/>
  <c r="F2336" i="3"/>
  <c r="E2336" i="3"/>
  <c r="F2335" i="3"/>
  <c r="E2335" i="3"/>
  <c r="F2334" i="3"/>
  <c r="E2334" i="3"/>
  <c r="F2333" i="3"/>
  <c r="E2333" i="3"/>
  <c r="F2332" i="3"/>
  <c r="E2332" i="3"/>
  <c r="F2331" i="3"/>
  <c r="E2331" i="3"/>
  <c r="F2330" i="3"/>
  <c r="E2330" i="3"/>
  <c r="F2329" i="3"/>
  <c r="E2329" i="3"/>
  <c r="F2328" i="3"/>
  <c r="E2328" i="3"/>
  <c r="F2327" i="3"/>
  <c r="E2327" i="3"/>
  <c r="F2326" i="3"/>
  <c r="E2326" i="3"/>
  <c r="F2325" i="3"/>
  <c r="E2325" i="3"/>
  <c r="F2324" i="3"/>
  <c r="E2324" i="3"/>
  <c r="F2323" i="3"/>
  <c r="E2323" i="3"/>
  <c r="F2322" i="3"/>
  <c r="E2322" i="3"/>
  <c r="F2321" i="3"/>
  <c r="E2321" i="3"/>
  <c r="F2320" i="3"/>
  <c r="E2320" i="3"/>
  <c r="F2319" i="3"/>
  <c r="E2319" i="3"/>
  <c r="F2318" i="3"/>
  <c r="E2318" i="3"/>
  <c r="F2317" i="3"/>
  <c r="E2317" i="3"/>
  <c r="F2316" i="3"/>
  <c r="E2316" i="3"/>
  <c r="F2315" i="3"/>
  <c r="E2315" i="3"/>
  <c r="F2314" i="3"/>
  <c r="E2314" i="3"/>
  <c r="F2313" i="3"/>
  <c r="E2313" i="3"/>
  <c r="F2312" i="3"/>
  <c r="E2312" i="3"/>
  <c r="F2311" i="3"/>
  <c r="E2311" i="3"/>
  <c r="F2310" i="3"/>
  <c r="E2310" i="3"/>
  <c r="F2309" i="3"/>
  <c r="E2309" i="3"/>
  <c r="F2308" i="3"/>
  <c r="E2308" i="3"/>
  <c r="F2307" i="3"/>
  <c r="E2307" i="3"/>
  <c r="F2306" i="3"/>
  <c r="E2306" i="3"/>
  <c r="F2305" i="3"/>
  <c r="E2305" i="3"/>
  <c r="F2304" i="3"/>
  <c r="E2304" i="3"/>
  <c r="F2303" i="3"/>
  <c r="E2303" i="3"/>
  <c r="F2302" i="3"/>
  <c r="E2302" i="3"/>
  <c r="F2301" i="3"/>
  <c r="E2301" i="3"/>
  <c r="F2300" i="3"/>
  <c r="E2300" i="3"/>
  <c r="F2299" i="3"/>
  <c r="E2299" i="3"/>
  <c r="F2298" i="3"/>
  <c r="E2298" i="3"/>
  <c r="F2297" i="3"/>
  <c r="E2297" i="3"/>
  <c r="F2296" i="3"/>
  <c r="E2296" i="3"/>
  <c r="F2295" i="3"/>
  <c r="E2295" i="3"/>
  <c r="F2294" i="3"/>
  <c r="E2294" i="3"/>
  <c r="F2293" i="3"/>
  <c r="E2293" i="3"/>
  <c r="F2292" i="3"/>
  <c r="E2292" i="3"/>
  <c r="F2291" i="3"/>
  <c r="E2291" i="3"/>
  <c r="F2290" i="3"/>
  <c r="E2290" i="3"/>
  <c r="F2289" i="3"/>
  <c r="E2289" i="3"/>
  <c r="F2288" i="3"/>
  <c r="E2288" i="3"/>
  <c r="F2287" i="3"/>
  <c r="E2287" i="3"/>
  <c r="F2286" i="3"/>
  <c r="E2286" i="3"/>
  <c r="F2285" i="3"/>
  <c r="E2285" i="3"/>
  <c r="F2284" i="3"/>
  <c r="E2284" i="3"/>
  <c r="F2283" i="3"/>
  <c r="E2283" i="3"/>
  <c r="F2282" i="3"/>
  <c r="E2282" i="3"/>
  <c r="F2281" i="3"/>
  <c r="E2281" i="3"/>
  <c r="F2280" i="3"/>
  <c r="E2280" i="3"/>
  <c r="F2279" i="3"/>
  <c r="E2279" i="3"/>
  <c r="F2278" i="3"/>
  <c r="E2278" i="3"/>
  <c r="F2277" i="3"/>
  <c r="E2277" i="3"/>
  <c r="F2276" i="3"/>
  <c r="E2276" i="3"/>
  <c r="F2275" i="3"/>
  <c r="E2275" i="3"/>
  <c r="F2274" i="3"/>
  <c r="E2274" i="3"/>
  <c r="F2273" i="3"/>
  <c r="E2273" i="3"/>
  <c r="F2272" i="3"/>
  <c r="E2272" i="3"/>
  <c r="F2271" i="3"/>
  <c r="E2271" i="3"/>
  <c r="F2270" i="3"/>
  <c r="E2270" i="3"/>
  <c r="F2269" i="3"/>
  <c r="E2269" i="3"/>
  <c r="F2268" i="3"/>
  <c r="E2268" i="3"/>
  <c r="F2267" i="3"/>
  <c r="E2267" i="3"/>
  <c r="F2266" i="3"/>
  <c r="E2266" i="3"/>
  <c r="F2265" i="3"/>
  <c r="E2265" i="3"/>
  <c r="F2264" i="3"/>
  <c r="E2264" i="3"/>
  <c r="F2263" i="3"/>
  <c r="E2263" i="3"/>
  <c r="F2262" i="3"/>
  <c r="E2262" i="3"/>
  <c r="F2261" i="3"/>
  <c r="E2261" i="3"/>
  <c r="F2260" i="3"/>
  <c r="E2260" i="3"/>
  <c r="F2259" i="3"/>
  <c r="E2259" i="3"/>
  <c r="F2258" i="3"/>
  <c r="E2258" i="3"/>
  <c r="F2257" i="3"/>
  <c r="E2257" i="3"/>
  <c r="F2256" i="3"/>
  <c r="E2256" i="3"/>
  <c r="F2255" i="3"/>
  <c r="E2255" i="3"/>
  <c r="F2254" i="3"/>
  <c r="E2254" i="3"/>
  <c r="F2253" i="3"/>
  <c r="E2253" i="3"/>
  <c r="F2252" i="3"/>
  <c r="E2252" i="3"/>
  <c r="F2251" i="3"/>
  <c r="E2251" i="3"/>
  <c r="F2250" i="3"/>
  <c r="E2250" i="3"/>
  <c r="F2249" i="3"/>
  <c r="E2249" i="3"/>
  <c r="F2248" i="3"/>
  <c r="E2248" i="3"/>
  <c r="F2247" i="3"/>
  <c r="E2247" i="3"/>
  <c r="F2246" i="3"/>
  <c r="E2246" i="3"/>
  <c r="F2245" i="3"/>
  <c r="E2245" i="3"/>
  <c r="F2244" i="3"/>
  <c r="E2244" i="3"/>
  <c r="F2243" i="3"/>
  <c r="E2243" i="3"/>
  <c r="F2242" i="3"/>
  <c r="E2242" i="3"/>
  <c r="F2241" i="3"/>
  <c r="E2241" i="3"/>
  <c r="F2240" i="3"/>
  <c r="E2240" i="3"/>
  <c r="F2239" i="3"/>
  <c r="E2239" i="3"/>
  <c r="F2238" i="3"/>
  <c r="E2238" i="3"/>
  <c r="F2237" i="3"/>
  <c r="E2237" i="3"/>
  <c r="F2236" i="3"/>
  <c r="E2236" i="3"/>
  <c r="F2235" i="3"/>
  <c r="E2235" i="3"/>
  <c r="F2234" i="3"/>
  <c r="E2234" i="3"/>
  <c r="F2233" i="3"/>
  <c r="E2233" i="3"/>
  <c r="F2232" i="3"/>
  <c r="E2232" i="3"/>
  <c r="F2231" i="3"/>
  <c r="E2231" i="3"/>
  <c r="F2230" i="3"/>
  <c r="E2230" i="3"/>
  <c r="F2229" i="3"/>
  <c r="E2229" i="3"/>
  <c r="F2228" i="3"/>
  <c r="E2228" i="3"/>
  <c r="F2227" i="3"/>
  <c r="E2227" i="3"/>
  <c r="F2226" i="3"/>
  <c r="E2226" i="3"/>
  <c r="F2225" i="3"/>
  <c r="E2225" i="3"/>
  <c r="F2224" i="3"/>
  <c r="E2224" i="3"/>
  <c r="F2223" i="3"/>
  <c r="E2223" i="3"/>
  <c r="F2222" i="3"/>
  <c r="E2222" i="3"/>
  <c r="F2221" i="3"/>
  <c r="E2221" i="3"/>
  <c r="F2220" i="3"/>
  <c r="E2220" i="3"/>
  <c r="F2219" i="3"/>
  <c r="E2219" i="3"/>
  <c r="F2218" i="3"/>
  <c r="E2218" i="3"/>
  <c r="F2217" i="3"/>
  <c r="E2217" i="3"/>
  <c r="F2216" i="3"/>
  <c r="E2216" i="3"/>
  <c r="F2215" i="3"/>
  <c r="E2215" i="3"/>
  <c r="F2214" i="3"/>
  <c r="E2214" i="3"/>
  <c r="F2213" i="3"/>
  <c r="E2213" i="3"/>
  <c r="F2212" i="3"/>
  <c r="E2212" i="3"/>
  <c r="F2211" i="3"/>
  <c r="E2211" i="3"/>
  <c r="F2210" i="3"/>
  <c r="E2210" i="3"/>
  <c r="F2209" i="3"/>
  <c r="E2209" i="3"/>
  <c r="F2208" i="3"/>
  <c r="E2208" i="3"/>
  <c r="F2207" i="3"/>
  <c r="E2207" i="3"/>
  <c r="F2206" i="3"/>
  <c r="E2206" i="3"/>
  <c r="F2205" i="3"/>
  <c r="E2205" i="3"/>
  <c r="F2204" i="3"/>
  <c r="E2204" i="3"/>
  <c r="F2203" i="3"/>
  <c r="E2203" i="3"/>
  <c r="F2202" i="3"/>
  <c r="E2202" i="3"/>
  <c r="F2201" i="3"/>
  <c r="E2201" i="3"/>
  <c r="F2200" i="3"/>
  <c r="E2200" i="3"/>
  <c r="F2199" i="3"/>
  <c r="E2199" i="3"/>
  <c r="F2198" i="3"/>
  <c r="E2198" i="3"/>
  <c r="F2197" i="3"/>
  <c r="E2197" i="3"/>
  <c r="F2196" i="3"/>
  <c r="E2196" i="3"/>
  <c r="F2195" i="3"/>
  <c r="E2195" i="3"/>
  <c r="F2194" i="3"/>
  <c r="E2194" i="3"/>
  <c r="F2193" i="3"/>
  <c r="E2193" i="3"/>
  <c r="F2192" i="3"/>
  <c r="E2192" i="3"/>
  <c r="F2191" i="3"/>
  <c r="E2191" i="3"/>
  <c r="F2190" i="3"/>
  <c r="E2190" i="3"/>
  <c r="F2189" i="3"/>
  <c r="E2189" i="3"/>
  <c r="F2188" i="3"/>
  <c r="E2188" i="3"/>
  <c r="F2187" i="3"/>
  <c r="E2187" i="3"/>
  <c r="F2186" i="3"/>
  <c r="E2186" i="3"/>
  <c r="F2185" i="3"/>
  <c r="E2185" i="3"/>
  <c r="F2184" i="3"/>
  <c r="E2184" i="3"/>
  <c r="F2183" i="3"/>
  <c r="E2183" i="3"/>
  <c r="F2182" i="3"/>
  <c r="E2182" i="3"/>
  <c r="F2181" i="3"/>
  <c r="E2181" i="3"/>
  <c r="F2180" i="3"/>
  <c r="E2180" i="3"/>
  <c r="F2179" i="3"/>
  <c r="E2179" i="3"/>
  <c r="F2178" i="3"/>
  <c r="E2178" i="3"/>
  <c r="F2177" i="3"/>
  <c r="E2177" i="3"/>
  <c r="F2176" i="3"/>
  <c r="E2176" i="3"/>
  <c r="F2175" i="3"/>
  <c r="E2175" i="3"/>
  <c r="F2174" i="3"/>
  <c r="E2174" i="3"/>
  <c r="F2173" i="3"/>
  <c r="E2173" i="3"/>
  <c r="F2172" i="3"/>
  <c r="E2172" i="3"/>
  <c r="F2171" i="3"/>
  <c r="E2171" i="3"/>
  <c r="F2170" i="3"/>
  <c r="E2170" i="3"/>
  <c r="F2169" i="3"/>
  <c r="E2169" i="3"/>
  <c r="F2168" i="3"/>
  <c r="E2168" i="3"/>
  <c r="F2167" i="3"/>
  <c r="E2167" i="3"/>
  <c r="F2166" i="3"/>
  <c r="E2166" i="3"/>
  <c r="F2165" i="3"/>
  <c r="E2165" i="3"/>
  <c r="F2164" i="3"/>
  <c r="E2164" i="3"/>
  <c r="F2163" i="3"/>
  <c r="E2163" i="3"/>
  <c r="F2162" i="3"/>
  <c r="E2162" i="3"/>
  <c r="F2161" i="3"/>
  <c r="E2161" i="3"/>
  <c r="F2160" i="3"/>
  <c r="E2160" i="3"/>
  <c r="F2159" i="3"/>
  <c r="E2159" i="3"/>
  <c r="F2158" i="3"/>
  <c r="E2158" i="3"/>
  <c r="F2157" i="3"/>
  <c r="E2157" i="3"/>
  <c r="F2156" i="3"/>
  <c r="E2156" i="3"/>
  <c r="F2155" i="3"/>
  <c r="E2155" i="3"/>
  <c r="F2154" i="3"/>
  <c r="E2154" i="3"/>
  <c r="F2153" i="3"/>
  <c r="E2153" i="3"/>
  <c r="F2152" i="3"/>
  <c r="E2152" i="3"/>
  <c r="F2151" i="3"/>
  <c r="E2151" i="3"/>
  <c r="F2150" i="3"/>
  <c r="E2150" i="3"/>
  <c r="F2149" i="3"/>
  <c r="E2149" i="3"/>
  <c r="F2148" i="3"/>
  <c r="E2148" i="3"/>
  <c r="F2147" i="3"/>
  <c r="E2147" i="3"/>
  <c r="F2146" i="3"/>
  <c r="E2146" i="3"/>
  <c r="F2145" i="3"/>
  <c r="E2145" i="3"/>
  <c r="F2144" i="3"/>
  <c r="E2144" i="3"/>
  <c r="F2143" i="3"/>
  <c r="E2143" i="3"/>
  <c r="F2142" i="3"/>
  <c r="E2142" i="3"/>
  <c r="F2141" i="3"/>
  <c r="E2141" i="3"/>
  <c r="F2140" i="3"/>
  <c r="E2140" i="3"/>
  <c r="F2139" i="3"/>
  <c r="E2139" i="3"/>
  <c r="F2138" i="3"/>
  <c r="E2138" i="3"/>
  <c r="F2137" i="3"/>
  <c r="E2137" i="3"/>
  <c r="F2136" i="3"/>
  <c r="E2136" i="3"/>
  <c r="F2135" i="3"/>
  <c r="E2135" i="3"/>
  <c r="F2134" i="3"/>
  <c r="E2134" i="3"/>
  <c r="F2133" i="3"/>
  <c r="E2133" i="3"/>
  <c r="F2132" i="3"/>
  <c r="E2132" i="3"/>
  <c r="F2131" i="3"/>
  <c r="E2131" i="3"/>
  <c r="F2130" i="3"/>
  <c r="E2130" i="3"/>
  <c r="F2129" i="3"/>
  <c r="E2129" i="3"/>
  <c r="F2128" i="3"/>
  <c r="E2128" i="3"/>
  <c r="F2127" i="3"/>
  <c r="E2127" i="3"/>
  <c r="F2126" i="3"/>
  <c r="E2126" i="3"/>
  <c r="F2125" i="3"/>
  <c r="E2125" i="3"/>
  <c r="F2124" i="3"/>
  <c r="E2124" i="3"/>
  <c r="F2123" i="3"/>
  <c r="E2123" i="3"/>
  <c r="F2122" i="3"/>
  <c r="E2122" i="3"/>
  <c r="F2121" i="3"/>
  <c r="E2121" i="3"/>
  <c r="F2120" i="3"/>
  <c r="E2120" i="3"/>
  <c r="F2119" i="3"/>
  <c r="E2119" i="3"/>
  <c r="F2118" i="3"/>
  <c r="E2118" i="3"/>
  <c r="F2117" i="3"/>
  <c r="E2117" i="3"/>
  <c r="F2116" i="3"/>
  <c r="E2116" i="3"/>
  <c r="F2115" i="3"/>
  <c r="E2115" i="3"/>
  <c r="F2114" i="3"/>
  <c r="E2114" i="3"/>
  <c r="F2113" i="3"/>
  <c r="E2113" i="3"/>
  <c r="F2112" i="3"/>
  <c r="E2112" i="3"/>
  <c r="F2111" i="3"/>
  <c r="E2111" i="3"/>
  <c r="F2110" i="3"/>
  <c r="E2110" i="3"/>
  <c r="F2109" i="3"/>
  <c r="E2109" i="3"/>
  <c r="F2108" i="3"/>
  <c r="E2108" i="3"/>
  <c r="F2107" i="3"/>
  <c r="E2107" i="3"/>
  <c r="F2106" i="3"/>
  <c r="E2106" i="3"/>
  <c r="F2105" i="3"/>
  <c r="E2105" i="3"/>
  <c r="F2104" i="3"/>
  <c r="E2104" i="3"/>
  <c r="F2103" i="3"/>
  <c r="E2103" i="3"/>
  <c r="F2102" i="3"/>
  <c r="E2102" i="3"/>
  <c r="F2101" i="3"/>
  <c r="E2101" i="3"/>
  <c r="F2100" i="3"/>
  <c r="E2100" i="3"/>
  <c r="F2099" i="3"/>
  <c r="E2099" i="3"/>
  <c r="F2098" i="3"/>
  <c r="E2098" i="3"/>
  <c r="F2097" i="3"/>
  <c r="E2097" i="3"/>
  <c r="F2096" i="3"/>
  <c r="E2096" i="3"/>
  <c r="F2095" i="3"/>
  <c r="E2095" i="3"/>
  <c r="F2094" i="3"/>
  <c r="E2094" i="3"/>
  <c r="F2093" i="3"/>
  <c r="E2093" i="3"/>
  <c r="F2092" i="3"/>
  <c r="E2092" i="3"/>
  <c r="F2091" i="3"/>
  <c r="E2091" i="3"/>
  <c r="F2090" i="3"/>
  <c r="E2090" i="3"/>
  <c r="F2089" i="3"/>
  <c r="E2089" i="3"/>
  <c r="F2088" i="3"/>
  <c r="E2088" i="3"/>
  <c r="F2087" i="3"/>
  <c r="E2087" i="3"/>
  <c r="F2086" i="3"/>
  <c r="E2086" i="3"/>
  <c r="F2085" i="3"/>
  <c r="E2085" i="3"/>
  <c r="F2084" i="3"/>
  <c r="E2084" i="3"/>
  <c r="F2083" i="3"/>
  <c r="E2083" i="3"/>
  <c r="F2082" i="3"/>
  <c r="E2082" i="3"/>
  <c r="F2081" i="3"/>
  <c r="E2081" i="3"/>
  <c r="F2080" i="3"/>
  <c r="E2080" i="3"/>
  <c r="F2079" i="3"/>
  <c r="E2079" i="3"/>
  <c r="F2078" i="3"/>
  <c r="E2078" i="3"/>
  <c r="F2077" i="3"/>
  <c r="E2077" i="3"/>
  <c r="F2076" i="3"/>
  <c r="E2076" i="3"/>
  <c r="F2075" i="3"/>
  <c r="E2075" i="3"/>
  <c r="F2074" i="3"/>
  <c r="E2074" i="3"/>
  <c r="F2073" i="3"/>
  <c r="E2073" i="3"/>
  <c r="F2072" i="3"/>
  <c r="E2072" i="3"/>
  <c r="F2071" i="3"/>
  <c r="E2071" i="3"/>
  <c r="F2070" i="3"/>
  <c r="E2070" i="3"/>
  <c r="F2069" i="3"/>
  <c r="E2069" i="3"/>
  <c r="F2068" i="3"/>
  <c r="E2068" i="3"/>
  <c r="F2067" i="3"/>
  <c r="E2067" i="3"/>
  <c r="F2066" i="3"/>
  <c r="E2066" i="3"/>
  <c r="F2065" i="3"/>
  <c r="E2065" i="3"/>
  <c r="F2064" i="3"/>
  <c r="E2064" i="3"/>
  <c r="F2063" i="3"/>
  <c r="E2063" i="3"/>
  <c r="F2062" i="3"/>
  <c r="E2062" i="3"/>
  <c r="F2061" i="3"/>
  <c r="E2061" i="3"/>
  <c r="F2060" i="3"/>
  <c r="E2060" i="3"/>
  <c r="F2059" i="3"/>
  <c r="E2059" i="3"/>
  <c r="F2058" i="3"/>
  <c r="E2058" i="3"/>
  <c r="F2057" i="3"/>
  <c r="E2057" i="3"/>
  <c r="F2056" i="3"/>
  <c r="E2056" i="3"/>
  <c r="F2055" i="3"/>
  <c r="E2055" i="3"/>
  <c r="F2054" i="3"/>
  <c r="E2054" i="3"/>
  <c r="F2053" i="3"/>
  <c r="E2053" i="3"/>
  <c r="F2052" i="3"/>
  <c r="E2052" i="3"/>
  <c r="F2051" i="3"/>
  <c r="E2051" i="3"/>
  <c r="F2050" i="3"/>
  <c r="E2050" i="3"/>
  <c r="F2049" i="3"/>
  <c r="E2049" i="3"/>
  <c r="F2048" i="3"/>
  <c r="E2048" i="3"/>
  <c r="F2047" i="3"/>
  <c r="E2047" i="3"/>
  <c r="F2046" i="3"/>
  <c r="E2046" i="3"/>
  <c r="F2045" i="3"/>
  <c r="E2045" i="3"/>
  <c r="F2044" i="3"/>
  <c r="E2044" i="3"/>
  <c r="F2043" i="3"/>
  <c r="E2043" i="3"/>
  <c r="F2042" i="3"/>
  <c r="E2042" i="3"/>
  <c r="F2041" i="3"/>
  <c r="E2041" i="3"/>
  <c r="F2040" i="3"/>
  <c r="E2040" i="3"/>
  <c r="F2039" i="3"/>
  <c r="E2039" i="3"/>
  <c r="F2038" i="3"/>
  <c r="E2038" i="3"/>
  <c r="F2037" i="3"/>
  <c r="E2037" i="3"/>
  <c r="F2036" i="3"/>
  <c r="E2036" i="3"/>
  <c r="F2035" i="3"/>
  <c r="E2035" i="3"/>
  <c r="F2034" i="3"/>
  <c r="E2034" i="3"/>
  <c r="F2033" i="3"/>
  <c r="E2033" i="3"/>
  <c r="F2032" i="3"/>
  <c r="E2032" i="3"/>
  <c r="F2031" i="3"/>
  <c r="E2031" i="3"/>
  <c r="F2030" i="3"/>
  <c r="E2030" i="3"/>
  <c r="F2029" i="3"/>
  <c r="E2029" i="3"/>
  <c r="F2028" i="3"/>
  <c r="E2028" i="3"/>
  <c r="F2027" i="3"/>
  <c r="E2027" i="3"/>
  <c r="F2026" i="3"/>
  <c r="E2026" i="3"/>
  <c r="F2025" i="3"/>
  <c r="E2025" i="3"/>
  <c r="F2024" i="3"/>
  <c r="E2024" i="3"/>
  <c r="F2023" i="3"/>
  <c r="E2023" i="3"/>
  <c r="F2022" i="3"/>
  <c r="E2022" i="3"/>
  <c r="F2021" i="3"/>
  <c r="E2021" i="3"/>
  <c r="F2020" i="3"/>
  <c r="E2020" i="3"/>
  <c r="F2019" i="3"/>
  <c r="E2019" i="3"/>
  <c r="F2018" i="3"/>
  <c r="E2018" i="3"/>
  <c r="F2017" i="3"/>
  <c r="E2017" i="3"/>
  <c r="F2016" i="3"/>
  <c r="E2016" i="3"/>
  <c r="F2015" i="3"/>
  <c r="E2015" i="3"/>
  <c r="F2014" i="3"/>
  <c r="E2014" i="3"/>
  <c r="F2013" i="3"/>
  <c r="E2013" i="3"/>
  <c r="F2012" i="3"/>
  <c r="E2012" i="3"/>
  <c r="F2011" i="3"/>
  <c r="E2011" i="3"/>
  <c r="F2010" i="3"/>
  <c r="E2010" i="3"/>
  <c r="F2009" i="3"/>
  <c r="E2009" i="3"/>
  <c r="F2008" i="3"/>
  <c r="E2008" i="3"/>
  <c r="F2007" i="3"/>
  <c r="E2007" i="3"/>
  <c r="F2006" i="3"/>
  <c r="E2006" i="3"/>
  <c r="F2005" i="3"/>
  <c r="E2005" i="3"/>
  <c r="F2004" i="3"/>
  <c r="E2004" i="3"/>
  <c r="F2003" i="3"/>
  <c r="E2003" i="3"/>
  <c r="F2002" i="3"/>
  <c r="E2002" i="3"/>
  <c r="F2001" i="3"/>
  <c r="E2001" i="3"/>
  <c r="F2000" i="3"/>
  <c r="E2000" i="3"/>
  <c r="F1999" i="3"/>
  <c r="E1999" i="3"/>
  <c r="F1998" i="3"/>
  <c r="E1998" i="3"/>
  <c r="F1997" i="3"/>
  <c r="E1997" i="3"/>
  <c r="F1996" i="3"/>
  <c r="E1996" i="3"/>
  <c r="F1995" i="3"/>
  <c r="E1995" i="3"/>
  <c r="F1994" i="3"/>
  <c r="E1994" i="3"/>
  <c r="F1993" i="3"/>
  <c r="E1993" i="3"/>
  <c r="F1992" i="3"/>
  <c r="E1992" i="3"/>
  <c r="F1991" i="3"/>
  <c r="E1991" i="3"/>
  <c r="F1990" i="3"/>
  <c r="E1990" i="3"/>
  <c r="F1989" i="3"/>
  <c r="E1989" i="3"/>
  <c r="F1988" i="3"/>
  <c r="E1988" i="3"/>
  <c r="F1987" i="3"/>
  <c r="E1987" i="3"/>
  <c r="F1986" i="3"/>
  <c r="E1986" i="3"/>
  <c r="F1985" i="3"/>
  <c r="E1985" i="3"/>
  <c r="F1984" i="3"/>
  <c r="E1984" i="3"/>
  <c r="F1983" i="3"/>
  <c r="E1983" i="3"/>
  <c r="F1982" i="3"/>
  <c r="E1982" i="3"/>
  <c r="F1981" i="3"/>
  <c r="E1981" i="3"/>
  <c r="F1980" i="3"/>
  <c r="E1980" i="3"/>
  <c r="F1979" i="3"/>
  <c r="E1979" i="3"/>
  <c r="F1978" i="3"/>
  <c r="E1978" i="3"/>
  <c r="F1977" i="3"/>
  <c r="E1977" i="3"/>
  <c r="F1976" i="3"/>
  <c r="E1976" i="3"/>
  <c r="F1975" i="3"/>
  <c r="E1975" i="3"/>
  <c r="F1974" i="3"/>
  <c r="E1974" i="3"/>
  <c r="F1973" i="3"/>
  <c r="E1973" i="3"/>
  <c r="F1972" i="3"/>
  <c r="E1972" i="3"/>
  <c r="F1971" i="3"/>
  <c r="E1971" i="3"/>
  <c r="F1970" i="3"/>
  <c r="E1970" i="3"/>
  <c r="F1969" i="3"/>
  <c r="E1969" i="3"/>
  <c r="F1968" i="3"/>
  <c r="E1968" i="3"/>
  <c r="F1967" i="3"/>
  <c r="E1967" i="3"/>
  <c r="F1966" i="3"/>
  <c r="E1966" i="3"/>
  <c r="F1965" i="3"/>
  <c r="E1965" i="3"/>
  <c r="F1964" i="3"/>
  <c r="E1964" i="3"/>
  <c r="F1963" i="3"/>
  <c r="E1963" i="3"/>
  <c r="F1962" i="3"/>
  <c r="E1962" i="3"/>
  <c r="F1961" i="3"/>
  <c r="E1961" i="3"/>
  <c r="F1960" i="3"/>
  <c r="E1960" i="3"/>
  <c r="F1959" i="3"/>
  <c r="E1959" i="3"/>
  <c r="F1958" i="3"/>
  <c r="E1958" i="3"/>
  <c r="F1957" i="3"/>
  <c r="E1957" i="3"/>
  <c r="F1956" i="3"/>
  <c r="E1956" i="3"/>
  <c r="F1955" i="3"/>
  <c r="E1955" i="3"/>
  <c r="F1954" i="3"/>
  <c r="E1954" i="3"/>
  <c r="F1953" i="3"/>
  <c r="E1953" i="3"/>
  <c r="F1952" i="3"/>
  <c r="E1952" i="3"/>
  <c r="F1951" i="3"/>
  <c r="E1951" i="3"/>
  <c r="F1950" i="3"/>
  <c r="E1950" i="3"/>
  <c r="F1949" i="3"/>
  <c r="E1949" i="3"/>
  <c r="F1948" i="3"/>
  <c r="E1948" i="3"/>
  <c r="F1947" i="3"/>
  <c r="E1947" i="3"/>
  <c r="F1946" i="3"/>
  <c r="E1946" i="3"/>
  <c r="F1945" i="3"/>
  <c r="E1945" i="3"/>
  <c r="F1944" i="3"/>
  <c r="E1944" i="3"/>
  <c r="F1943" i="3"/>
  <c r="E1943" i="3"/>
  <c r="F1942" i="3"/>
  <c r="E1942" i="3"/>
  <c r="F1941" i="3"/>
  <c r="E1941" i="3"/>
  <c r="F1940" i="3"/>
  <c r="E1940" i="3"/>
  <c r="F1939" i="3"/>
  <c r="E1939" i="3"/>
  <c r="F1938" i="3"/>
  <c r="E1938" i="3"/>
  <c r="F1937" i="3"/>
  <c r="E1937" i="3"/>
  <c r="F1936" i="3"/>
  <c r="E1936" i="3"/>
  <c r="F1935" i="3"/>
  <c r="E1935" i="3"/>
  <c r="F1934" i="3"/>
  <c r="E1934" i="3"/>
  <c r="F1933" i="3"/>
  <c r="E1933" i="3"/>
  <c r="F1932" i="3"/>
  <c r="E1932" i="3"/>
  <c r="F1931" i="3"/>
  <c r="E1931" i="3"/>
  <c r="F1930" i="3"/>
  <c r="E1930" i="3"/>
  <c r="F1929" i="3"/>
  <c r="E1929" i="3"/>
  <c r="F1928" i="3"/>
  <c r="E1928" i="3"/>
  <c r="F1927" i="3"/>
  <c r="E1927" i="3"/>
  <c r="F1926" i="3"/>
  <c r="E1926" i="3"/>
  <c r="F1925" i="3"/>
  <c r="E1925" i="3"/>
  <c r="F1924" i="3"/>
  <c r="E1924" i="3"/>
  <c r="F1923" i="3"/>
  <c r="E1923" i="3"/>
  <c r="F1922" i="3"/>
  <c r="E1922" i="3"/>
  <c r="F1921" i="3"/>
  <c r="E1921" i="3"/>
  <c r="F1920" i="3"/>
  <c r="E1920" i="3"/>
  <c r="F1919" i="3"/>
  <c r="E1919" i="3"/>
  <c r="F1918" i="3"/>
  <c r="E1918" i="3"/>
  <c r="F1917" i="3"/>
  <c r="E1917" i="3"/>
  <c r="F1916" i="3"/>
  <c r="E1916" i="3"/>
  <c r="F1915" i="3"/>
  <c r="E1915" i="3"/>
  <c r="F1914" i="3"/>
  <c r="E1914" i="3"/>
  <c r="F1913" i="3"/>
  <c r="E1913" i="3"/>
  <c r="F1912" i="3"/>
  <c r="E1912" i="3"/>
  <c r="F1911" i="3"/>
  <c r="E1911" i="3"/>
  <c r="F1910" i="3"/>
  <c r="E1910" i="3"/>
  <c r="F1909" i="3"/>
  <c r="E1909" i="3"/>
  <c r="F1908" i="3"/>
  <c r="E1908" i="3"/>
  <c r="F1907" i="3"/>
  <c r="E1907" i="3"/>
  <c r="F1906" i="3"/>
  <c r="E1906" i="3"/>
  <c r="F1905" i="3"/>
  <c r="E1905" i="3"/>
  <c r="F1904" i="3"/>
  <c r="E1904" i="3"/>
  <c r="F1903" i="3"/>
  <c r="E1903" i="3"/>
  <c r="F1902" i="3"/>
  <c r="E1902" i="3"/>
  <c r="F1901" i="3"/>
  <c r="E1901" i="3"/>
  <c r="F1900" i="3"/>
  <c r="E1900" i="3"/>
  <c r="F1899" i="3"/>
  <c r="E1899" i="3"/>
  <c r="F1898" i="3"/>
  <c r="E1898" i="3"/>
  <c r="F1897" i="3"/>
  <c r="E1897" i="3"/>
  <c r="F1896" i="3"/>
  <c r="E1896" i="3"/>
  <c r="F1895" i="3"/>
  <c r="E1895" i="3"/>
  <c r="F1894" i="3"/>
  <c r="E1894" i="3"/>
  <c r="F1893" i="3"/>
  <c r="E1893" i="3"/>
  <c r="F1892" i="3"/>
  <c r="E1892" i="3"/>
  <c r="F1891" i="3"/>
  <c r="E1891" i="3"/>
  <c r="F1890" i="3"/>
  <c r="E1890" i="3"/>
  <c r="F1889" i="3"/>
  <c r="E1889" i="3"/>
  <c r="F1888" i="3"/>
  <c r="E1888" i="3"/>
  <c r="F1887" i="3"/>
  <c r="E1887" i="3"/>
  <c r="F1886" i="3"/>
  <c r="E1886" i="3"/>
  <c r="F1885" i="3"/>
  <c r="E1885" i="3"/>
  <c r="F1884" i="3"/>
  <c r="E1884" i="3"/>
  <c r="F1883" i="3"/>
  <c r="E1883" i="3"/>
  <c r="F1882" i="3"/>
  <c r="E1882" i="3"/>
  <c r="F1881" i="3"/>
  <c r="E1881" i="3"/>
  <c r="F1880" i="3"/>
  <c r="E1880" i="3"/>
  <c r="F1879" i="3"/>
  <c r="E1879" i="3"/>
  <c r="F1878" i="3"/>
  <c r="E1878" i="3"/>
  <c r="F1877" i="3"/>
  <c r="E1877" i="3"/>
  <c r="F1876" i="3"/>
  <c r="E1876" i="3"/>
  <c r="F1875" i="3"/>
  <c r="E1875" i="3"/>
  <c r="F1874" i="3"/>
  <c r="E1874" i="3"/>
  <c r="F1873" i="3"/>
  <c r="E1873" i="3"/>
  <c r="F1872" i="3"/>
  <c r="E1872" i="3"/>
  <c r="F1871" i="3"/>
  <c r="E1871" i="3"/>
  <c r="F1870" i="3"/>
  <c r="E1870" i="3"/>
  <c r="F1869" i="3"/>
  <c r="E1869" i="3"/>
  <c r="F1868" i="3"/>
  <c r="E1868" i="3"/>
  <c r="F1867" i="3"/>
  <c r="E1867" i="3"/>
  <c r="F1866" i="3"/>
  <c r="E1866" i="3"/>
  <c r="F1865" i="3"/>
  <c r="E1865" i="3"/>
  <c r="F1864" i="3"/>
  <c r="E1864" i="3"/>
  <c r="F1863" i="3"/>
  <c r="E1863" i="3"/>
  <c r="F1862" i="3"/>
  <c r="E1862" i="3"/>
  <c r="F1861" i="3"/>
  <c r="E1861" i="3"/>
  <c r="F1860" i="3"/>
  <c r="E1860" i="3"/>
  <c r="F1859" i="3"/>
  <c r="E1859" i="3"/>
  <c r="F1858" i="3"/>
  <c r="E1858" i="3"/>
  <c r="F1857" i="3"/>
  <c r="E1857" i="3"/>
  <c r="F1856" i="3"/>
  <c r="E1856" i="3"/>
  <c r="F1855" i="3"/>
  <c r="E1855" i="3"/>
  <c r="F1854" i="3"/>
  <c r="E1854" i="3"/>
  <c r="F1853" i="3"/>
  <c r="E1853" i="3"/>
  <c r="F1852" i="3"/>
  <c r="E1852" i="3"/>
  <c r="F1851" i="3"/>
  <c r="E1851" i="3"/>
  <c r="F1850" i="3"/>
  <c r="E1850" i="3"/>
  <c r="F1849" i="3"/>
  <c r="E1849" i="3"/>
  <c r="F1848" i="3"/>
  <c r="E1848" i="3"/>
  <c r="F1847" i="3"/>
  <c r="E1847" i="3"/>
  <c r="F1846" i="3"/>
  <c r="E1846" i="3"/>
  <c r="F1845" i="3"/>
  <c r="E1845" i="3"/>
  <c r="F1844" i="3"/>
  <c r="E1844" i="3"/>
  <c r="F1843" i="3"/>
  <c r="E1843" i="3"/>
  <c r="F1842" i="3"/>
  <c r="E1842" i="3"/>
  <c r="F1841" i="3"/>
  <c r="E1841" i="3"/>
  <c r="F1840" i="3"/>
  <c r="E1840" i="3"/>
  <c r="F1839" i="3"/>
  <c r="E1839" i="3"/>
  <c r="F1838" i="3"/>
  <c r="E1838" i="3"/>
  <c r="F1837" i="3"/>
  <c r="E1837" i="3"/>
  <c r="F1836" i="3"/>
  <c r="E1836" i="3"/>
  <c r="F1835" i="3"/>
  <c r="E1835" i="3"/>
  <c r="F1834" i="3"/>
  <c r="E1834" i="3"/>
  <c r="F1833" i="3"/>
  <c r="E1833" i="3"/>
  <c r="F1832" i="3"/>
  <c r="E1832" i="3"/>
  <c r="F1831" i="3"/>
  <c r="E1831" i="3"/>
  <c r="F1830" i="3"/>
  <c r="E1830" i="3"/>
  <c r="F1829" i="3"/>
  <c r="E1829" i="3"/>
  <c r="F1828" i="3"/>
  <c r="E1828" i="3"/>
  <c r="F1827" i="3"/>
  <c r="E1827" i="3"/>
  <c r="F1826" i="3"/>
  <c r="E1826" i="3"/>
  <c r="F1825" i="3"/>
  <c r="E1825" i="3"/>
  <c r="F1824" i="3"/>
  <c r="E1824" i="3"/>
  <c r="F1823" i="3"/>
  <c r="E1823" i="3"/>
  <c r="F1822" i="3"/>
  <c r="E1822" i="3"/>
  <c r="F1821" i="3"/>
  <c r="E1821" i="3"/>
  <c r="F1820" i="3"/>
  <c r="E1820" i="3"/>
  <c r="F1819" i="3"/>
  <c r="E1819" i="3"/>
  <c r="F1818" i="3"/>
  <c r="E1818" i="3"/>
  <c r="F1817" i="3"/>
  <c r="E1817" i="3"/>
  <c r="F1816" i="3"/>
  <c r="E1816" i="3"/>
  <c r="F1815" i="3"/>
  <c r="E1815" i="3"/>
  <c r="F1814" i="3"/>
  <c r="E1814" i="3"/>
  <c r="F1813" i="3"/>
  <c r="E1813" i="3"/>
  <c r="F1812" i="3"/>
  <c r="E1812" i="3"/>
  <c r="F1811" i="3"/>
  <c r="E1811" i="3"/>
  <c r="F1810" i="3"/>
  <c r="E1810" i="3"/>
  <c r="F1809" i="3"/>
  <c r="E1809" i="3"/>
  <c r="F1808" i="3"/>
  <c r="E1808" i="3"/>
  <c r="F1807" i="3"/>
  <c r="E1807" i="3"/>
  <c r="F1806" i="3"/>
  <c r="E1806" i="3"/>
  <c r="F1805" i="3"/>
  <c r="E1805" i="3"/>
  <c r="F1804" i="3"/>
  <c r="E1804" i="3"/>
  <c r="F1803" i="3"/>
  <c r="E1803" i="3"/>
  <c r="F1802" i="3"/>
  <c r="E1802" i="3"/>
  <c r="F1801" i="3"/>
  <c r="E1801" i="3"/>
  <c r="F1800" i="3"/>
  <c r="E1800" i="3"/>
  <c r="F1799" i="3"/>
  <c r="E1799" i="3"/>
  <c r="F1798" i="3"/>
  <c r="E1798" i="3"/>
  <c r="F1797" i="3"/>
  <c r="E1797" i="3"/>
  <c r="F1796" i="3"/>
  <c r="E1796" i="3"/>
  <c r="F1795" i="3"/>
  <c r="E1795" i="3"/>
  <c r="F1794" i="3"/>
  <c r="E1794" i="3"/>
  <c r="F1793" i="3"/>
  <c r="E1793" i="3"/>
  <c r="F1792" i="3"/>
  <c r="E1792" i="3"/>
  <c r="F1791" i="3"/>
  <c r="E1791" i="3"/>
  <c r="F1790" i="3"/>
  <c r="E1790" i="3"/>
  <c r="F1789" i="3"/>
  <c r="E1789" i="3"/>
  <c r="F1788" i="3"/>
  <c r="E1788" i="3"/>
  <c r="F1787" i="3"/>
  <c r="E1787" i="3"/>
  <c r="F1786" i="3"/>
  <c r="E1786" i="3"/>
  <c r="F1785" i="3"/>
  <c r="E1785" i="3"/>
  <c r="F1784" i="3"/>
  <c r="E1784" i="3"/>
  <c r="F1783" i="3"/>
  <c r="E1783" i="3"/>
  <c r="F1782" i="3"/>
  <c r="E1782" i="3"/>
  <c r="F1781" i="3"/>
  <c r="E1781" i="3"/>
  <c r="F1780" i="3"/>
  <c r="E1780" i="3"/>
  <c r="F1779" i="3"/>
  <c r="E1779" i="3"/>
  <c r="F1778" i="3"/>
  <c r="E1778" i="3"/>
  <c r="F1777" i="3"/>
  <c r="E1777" i="3"/>
  <c r="F1776" i="3"/>
  <c r="E1776" i="3"/>
  <c r="F1775" i="3"/>
  <c r="E1775" i="3"/>
  <c r="F1774" i="3"/>
  <c r="E1774" i="3"/>
  <c r="F1773" i="3"/>
  <c r="E1773" i="3"/>
  <c r="F1772" i="3"/>
  <c r="E1772" i="3"/>
  <c r="F1771" i="3"/>
  <c r="E1771" i="3"/>
  <c r="F1770" i="3"/>
  <c r="E1770" i="3"/>
  <c r="F1769" i="3"/>
  <c r="E1769" i="3"/>
  <c r="F1768" i="3"/>
  <c r="E1768" i="3"/>
  <c r="F1767" i="3"/>
  <c r="E1767" i="3"/>
  <c r="F1766" i="3"/>
  <c r="E1766" i="3"/>
  <c r="F1765" i="3"/>
  <c r="E1765" i="3"/>
  <c r="F1764" i="3"/>
  <c r="E1764" i="3"/>
  <c r="F1763" i="3"/>
  <c r="E1763" i="3"/>
  <c r="F1762" i="3"/>
  <c r="E1762" i="3"/>
  <c r="F1761" i="3"/>
  <c r="E1761" i="3"/>
  <c r="F1760" i="3"/>
  <c r="E1760" i="3"/>
  <c r="F1759" i="3"/>
  <c r="E1759" i="3"/>
  <c r="F1758" i="3"/>
  <c r="E1758" i="3"/>
  <c r="F1757" i="3"/>
  <c r="E1757" i="3"/>
  <c r="F1756" i="3"/>
  <c r="E1756" i="3"/>
  <c r="F1755" i="3"/>
  <c r="E1755" i="3"/>
  <c r="F1754" i="3"/>
  <c r="E1754" i="3"/>
  <c r="F1753" i="3"/>
  <c r="E1753" i="3"/>
  <c r="F1752" i="3"/>
  <c r="E1752" i="3"/>
  <c r="F1751" i="3"/>
  <c r="E1751" i="3"/>
  <c r="F1750" i="3"/>
  <c r="E1750" i="3"/>
  <c r="F1749" i="3"/>
  <c r="E1749" i="3"/>
  <c r="F1748" i="3"/>
  <c r="E1748" i="3"/>
  <c r="F1747" i="3"/>
  <c r="E1747" i="3"/>
  <c r="F1746" i="3"/>
  <c r="E1746" i="3"/>
  <c r="F1745" i="3"/>
  <c r="E1745" i="3"/>
  <c r="F1744" i="3"/>
  <c r="E1744" i="3"/>
  <c r="F1743" i="3"/>
  <c r="E1743" i="3"/>
  <c r="F1742" i="3"/>
  <c r="E1742" i="3"/>
  <c r="F1741" i="3"/>
  <c r="E1741" i="3"/>
  <c r="F1740" i="3"/>
  <c r="E1740" i="3"/>
  <c r="F1739" i="3"/>
  <c r="E1739" i="3"/>
  <c r="F1738" i="3"/>
  <c r="E1738" i="3"/>
  <c r="F1737" i="3"/>
  <c r="E1737" i="3"/>
  <c r="F1736" i="3"/>
  <c r="E1736" i="3"/>
  <c r="F1735" i="3"/>
  <c r="E1735" i="3"/>
  <c r="F1734" i="3"/>
  <c r="E1734" i="3"/>
  <c r="F1733" i="3"/>
  <c r="E1733" i="3"/>
  <c r="F1732" i="3"/>
  <c r="E1732" i="3"/>
  <c r="F1731" i="3"/>
  <c r="E1731" i="3"/>
  <c r="F1730" i="3"/>
  <c r="E1730" i="3"/>
  <c r="F1729" i="3"/>
  <c r="E1729" i="3"/>
  <c r="F1728" i="3"/>
  <c r="E1728" i="3"/>
  <c r="F1727" i="3"/>
  <c r="E1727" i="3"/>
  <c r="F1726" i="3"/>
  <c r="E1726" i="3"/>
  <c r="F1725" i="3"/>
  <c r="E1725" i="3"/>
  <c r="F1724" i="3"/>
  <c r="E1724" i="3"/>
  <c r="F1723" i="3"/>
  <c r="E1723" i="3"/>
  <c r="F1722" i="3"/>
  <c r="E1722" i="3"/>
  <c r="F1721" i="3"/>
  <c r="E1721" i="3"/>
  <c r="F1720" i="3"/>
  <c r="E1720" i="3"/>
  <c r="F1719" i="3"/>
  <c r="E1719" i="3"/>
  <c r="F1718" i="3"/>
  <c r="E1718" i="3"/>
  <c r="F1717" i="3"/>
  <c r="E1717" i="3"/>
  <c r="F1716" i="3"/>
  <c r="E1716" i="3"/>
  <c r="F1715" i="3"/>
  <c r="E1715" i="3"/>
  <c r="F1714" i="3"/>
  <c r="E1714" i="3"/>
  <c r="F1713" i="3"/>
  <c r="E1713" i="3"/>
  <c r="F1712" i="3"/>
  <c r="E1712" i="3"/>
  <c r="F1711" i="3"/>
  <c r="E1711" i="3"/>
  <c r="F1710" i="3"/>
  <c r="E1710" i="3"/>
  <c r="F1709" i="3"/>
  <c r="E1709" i="3"/>
  <c r="F1708" i="3"/>
  <c r="E1708" i="3"/>
  <c r="F1707" i="3"/>
  <c r="E1707" i="3"/>
  <c r="F1706" i="3"/>
  <c r="E1706" i="3"/>
  <c r="F1705" i="3"/>
  <c r="E1705" i="3"/>
  <c r="F1704" i="3"/>
  <c r="E1704" i="3"/>
  <c r="F1703" i="3"/>
  <c r="E1703" i="3"/>
  <c r="F1702" i="3"/>
  <c r="E1702" i="3"/>
  <c r="F1701" i="3"/>
  <c r="E1701" i="3"/>
  <c r="F1700" i="3"/>
  <c r="E1700" i="3"/>
  <c r="F1699" i="3"/>
  <c r="E1699" i="3"/>
  <c r="F1698" i="3"/>
  <c r="E1698" i="3"/>
  <c r="F1697" i="3"/>
  <c r="E1697" i="3"/>
  <c r="F1696" i="3"/>
  <c r="E1696" i="3"/>
  <c r="F1695" i="3"/>
  <c r="E1695" i="3"/>
  <c r="F1694" i="3"/>
  <c r="E1694" i="3"/>
  <c r="F1693" i="3"/>
  <c r="E1693" i="3"/>
  <c r="F1692" i="3"/>
  <c r="E1692" i="3"/>
  <c r="F1691" i="3"/>
  <c r="E1691" i="3"/>
  <c r="F1690" i="3"/>
  <c r="E1690" i="3"/>
  <c r="F1689" i="3"/>
  <c r="E1689" i="3"/>
  <c r="F1688" i="3"/>
  <c r="E1688" i="3"/>
  <c r="F1687" i="3"/>
  <c r="E1687" i="3"/>
  <c r="F1686" i="3"/>
  <c r="E1686" i="3"/>
  <c r="F1685" i="3"/>
  <c r="E1685" i="3"/>
  <c r="F1684" i="3"/>
  <c r="E1684" i="3"/>
  <c r="F1683" i="3"/>
  <c r="E1683" i="3"/>
  <c r="F1682" i="3"/>
  <c r="E1682" i="3"/>
  <c r="F1681" i="3"/>
  <c r="E1681" i="3"/>
  <c r="F1680" i="3"/>
  <c r="E1680" i="3"/>
  <c r="F1679" i="3"/>
  <c r="E1679" i="3"/>
  <c r="F1678" i="3"/>
  <c r="E1678" i="3"/>
  <c r="F1677" i="3"/>
  <c r="E1677" i="3"/>
  <c r="F1676" i="3"/>
  <c r="E1676" i="3"/>
  <c r="F1675" i="3"/>
  <c r="E1675" i="3"/>
  <c r="F1674" i="3"/>
  <c r="E1674" i="3"/>
  <c r="F1673" i="3"/>
  <c r="E1673" i="3"/>
  <c r="F1672" i="3"/>
  <c r="E1672" i="3"/>
  <c r="F1671" i="3"/>
  <c r="E1671" i="3"/>
  <c r="F1670" i="3"/>
  <c r="E1670" i="3"/>
  <c r="F1669" i="3"/>
  <c r="E1669" i="3"/>
  <c r="F1668" i="3"/>
  <c r="E1668" i="3"/>
  <c r="F1667" i="3"/>
  <c r="E1667" i="3"/>
  <c r="F1666" i="3"/>
  <c r="E1666" i="3"/>
  <c r="F1665" i="3"/>
  <c r="E1665" i="3"/>
  <c r="F1664" i="3"/>
  <c r="E1664" i="3"/>
  <c r="F1663" i="3"/>
  <c r="E1663" i="3"/>
  <c r="F1662" i="3"/>
  <c r="E1662" i="3"/>
  <c r="F1661" i="3"/>
  <c r="E1661" i="3"/>
  <c r="F1660" i="3"/>
  <c r="E1660" i="3"/>
  <c r="F1659" i="3"/>
  <c r="E1659" i="3"/>
  <c r="F1658" i="3"/>
  <c r="E1658" i="3"/>
  <c r="F1657" i="3"/>
  <c r="E1657" i="3"/>
  <c r="F1656" i="3"/>
  <c r="E1656" i="3"/>
  <c r="F1655" i="3"/>
  <c r="E1655" i="3"/>
  <c r="F1654" i="3"/>
  <c r="E1654" i="3"/>
  <c r="F1653" i="3"/>
  <c r="E1653" i="3"/>
  <c r="F1652" i="3"/>
  <c r="E1652" i="3"/>
  <c r="F1651" i="3"/>
  <c r="E1651" i="3"/>
  <c r="F1650" i="3"/>
  <c r="E1650" i="3"/>
  <c r="F1649" i="3"/>
  <c r="E1649" i="3"/>
  <c r="F1648" i="3"/>
  <c r="E1648" i="3"/>
  <c r="F1647" i="3"/>
  <c r="E1647" i="3"/>
  <c r="F1646" i="3"/>
  <c r="E1646" i="3"/>
  <c r="F1645" i="3"/>
  <c r="E1645" i="3"/>
  <c r="F1644" i="3"/>
  <c r="E1644" i="3"/>
  <c r="F1643" i="3"/>
  <c r="E1643" i="3"/>
  <c r="F1642" i="3"/>
  <c r="E1642" i="3"/>
  <c r="F1641" i="3"/>
  <c r="E1641" i="3"/>
  <c r="F1640" i="3"/>
  <c r="E1640" i="3"/>
  <c r="F1639" i="3"/>
  <c r="E1639" i="3"/>
  <c r="F1638" i="3"/>
  <c r="E1638" i="3"/>
  <c r="F1637" i="3"/>
  <c r="E1637" i="3"/>
  <c r="F1636" i="3"/>
  <c r="E1636" i="3"/>
  <c r="F1635" i="3"/>
  <c r="E1635" i="3"/>
  <c r="F1634" i="3"/>
  <c r="E1634" i="3"/>
  <c r="F1633" i="3"/>
  <c r="E1633" i="3"/>
  <c r="F1632" i="3"/>
  <c r="E1632" i="3"/>
  <c r="F1631" i="3"/>
  <c r="E1631" i="3"/>
  <c r="F1630" i="3"/>
  <c r="E1630" i="3"/>
  <c r="F1629" i="3"/>
  <c r="E1629" i="3"/>
  <c r="F1628" i="3"/>
  <c r="E1628" i="3"/>
  <c r="F1627" i="3"/>
  <c r="E1627" i="3"/>
  <c r="F1626" i="3"/>
  <c r="E1626" i="3"/>
  <c r="F1625" i="3"/>
  <c r="E1625" i="3"/>
  <c r="F1624" i="3"/>
  <c r="E1624" i="3"/>
  <c r="F1623" i="3"/>
  <c r="E1623" i="3"/>
  <c r="F1622" i="3"/>
  <c r="E1622" i="3"/>
  <c r="F1621" i="3"/>
  <c r="E1621" i="3"/>
  <c r="F1620" i="3"/>
  <c r="E1620" i="3"/>
  <c r="F1619" i="3"/>
  <c r="E1619" i="3"/>
  <c r="F1618" i="3"/>
  <c r="E1618" i="3"/>
  <c r="F1617" i="3"/>
  <c r="E1617" i="3"/>
  <c r="F1616" i="3"/>
  <c r="E1616" i="3"/>
  <c r="F1615" i="3"/>
  <c r="E1615" i="3"/>
  <c r="F1614" i="3"/>
  <c r="E1614" i="3"/>
  <c r="F1613" i="3"/>
  <c r="E1613" i="3"/>
  <c r="F1612" i="3"/>
  <c r="E1612" i="3"/>
  <c r="F1611" i="3"/>
  <c r="E1611" i="3"/>
  <c r="F1610" i="3"/>
  <c r="E1610" i="3"/>
  <c r="F1609" i="3"/>
  <c r="E1609" i="3"/>
  <c r="F1608" i="3"/>
  <c r="E1608" i="3"/>
  <c r="F1607" i="3"/>
  <c r="E1607" i="3"/>
  <c r="F1606" i="3"/>
  <c r="E1606" i="3"/>
  <c r="F1605" i="3"/>
  <c r="E1605" i="3"/>
  <c r="F1604" i="3"/>
  <c r="E1604" i="3"/>
  <c r="F1603" i="3"/>
  <c r="E1603" i="3"/>
  <c r="F1602" i="3"/>
  <c r="E1602" i="3"/>
  <c r="F1601" i="3"/>
  <c r="E1601" i="3"/>
  <c r="F1600" i="3"/>
  <c r="E1600" i="3"/>
  <c r="F1599" i="3"/>
  <c r="E1599" i="3"/>
  <c r="F1598" i="3"/>
  <c r="E1598" i="3"/>
  <c r="F1597" i="3"/>
  <c r="E1597" i="3"/>
  <c r="F1596" i="3"/>
  <c r="E1596" i="3"/>
  <c r="F1595" i="3"/>
  <c r="E1595" i="3"/>
  <c r="F1594" i="3"/>
  <c r="E1594" i="3"/>
  <c r="F1593" i="3"/>
  <c r="E1593" i="3"/>
  <c r="F1592" i="3"/>
  <c r="E1592" i="3"/>
  <c r="F1591" i="3"/>
  <c r="E1591" i="3"/>
  <c r="F1590" i="3"/>
  <c r="E1590" i="3"/>
  <c r="F1589" i="3"/>
  <c r="E1589" i="3"/>
  <c r="F1588" i="3"/>
  <c r="E1588" i="3"/>
  <c r="F1587" i="3"/>
  <c r="E1587" i="3"/>
  <c r="F1586" i="3"/>
  <c r="E1586" i="3"/>
  <c r="F1585" i="3"/>
  <c r="E1585" i="3"/>
  <c r="F1584" i="3"/>
  <c r="E1584" i="3"/>
  <c r="F1583" i="3"/>
  <c r="E1583" i="3"/>
  <c r="F1582" i="3"/>
  <c r="E1582" i="3"/>
  <c r="F1581" i="3"/>
  <c r="E1581" i="3"/>
  <c r="F1580" i="3"/>
  <c r="E1580" i="3"/>
  <c r="F1579" i="3"/>
  <c r="E1579" i="3"/>
  <c r="F1578" i="3"/>
  <c r="E1578" i="3"/>
  <c r="F1577" i="3"/>
  <c r="E1577" i="3"/>
  <c r="F1576" i="3"/>
  <c r="E1576" i="3"/>
  <c r="F1575" i="3"/>
  <c r="E1575" i="3"/>
  <c r="F1574" i="3"/>
  <c r="E1574" i="3"/>
  <c r="F1573" i="3"/>
  <c r="E1573" i="3"/>
  <c r="F1572" i="3"/>
  <c r="E1572" i="3"/>
  <c r="F1571" i="3"/>
  <c r="E1571" i="3"/>
  <c r="F1570" i="3"/>
  <c r="E1570" i="3"/>
  <c r="F1569" i="3"/>
  <c r="E1569" i="3"/>
  <c r="F1568" i="3"/>
  <c r="E1568" i="3"/>
  <c r="F1567" i="3"/>
  <c r="E1567" i="3"/>
  <c r="F1566" i="3"/>
  <c r="E1566" i="3"/>
  <c r="F1565" i="3"/>
  <c r="E1565" i="3"/>
  <c r="F1564" i="3"/>
  <c r="E1564" i="3"/>
  <c r="F1563" i="3"/>
  <c r="E1563" i="3"/>
  <c r="F1562" i="3"/>
  <c r="E1562" i="3"/>
  <c r="F1561" i="3"/>
  <c r="E1561" i="3"/>
  <c r="F1560" i="3"/>
  <c r="E1560" i="3"/>
  <c r="F1559" i="3"/>
  <c r="E1559" i="3"/>
  <c r="F1558" i="3"/>
  <c r="E1558" i="3"/>
  <c r="F1557" i="3"/>
  <c r="E1557" i="3"/>
  <c r="F1556" i="3"/>
  <c r="E1556" i="3"/>
  <c r="F1555" i="3"/>
  <c r="E1555" i="3"/>
  <c r="F1554" i="3"/>
  <c r="E1554" i="3"/>
  <c r="F1553" i="3"/>
  <c r="E1553" i="3"/>
  <c r="F1552" i="3"/>
  <c r="E1552" i="3"/>
  <c r="F1551" i="3"/>
  <c r="E1551" i="3"/>
  <c r="F1550" i="3"/>
  <c r="E1550" i="3"/>
  <c r="F1549" i="3"/>
  <c r="E1549" i="3"/>
  <c r="F1548" i="3"/>
  <c r="E1548" i="3"/>
  <c r="F1547" i="3"/>
  <c r="E1547" i="3"/>
  <c r="F1546" i="3"/>
  <c r="E1546" i="3"/>
  <c r="F1545" i="3"/>
  <c r="E1545" i="3"/>
  <c r="F1544" i="3"/>
  <c r="E1544" i="3"/>
  <c r="F1543" i="3"/>
  <c r="E1543" i="3"/>
  <c r="F1542" i="3"/>
  <c r="E1542" i="3"/>
  <c r="F1541" i="3"/>
  <c r="E1541" i="3"/>
  <c r="F1540" i="3"/>
  <c r="E1540" i="3"/>
  <c r="F1539" i="3"/>
  <c r="E1539" i="3"/>
  <c r="F1538" i="3"/>
  <c r="E1538" i="3"/>
  <c r="F1537" i="3"/>
  <c r="E1537" i="3"/>
  <c r="F1536" i="3"/>
  <c r="E1536" i="3"/>
  <c r="F1535" i="3"/>
  <c r="E1535" i="3"/>
  <c r="F1534" i="3"/>
  <c r="E1534" i="3"/>
  <c r="F1533" i="3"/>
  <c r="E1533" i="3"/>
  <c r="F1532" i="3"/>
  <c r="E1532" i="3"/>
  <c r="F1531" i="3"/>
  <c r="E1531" i="3"/>
  <c r="F1530" i="3"/>
  <c r="E1530" i="3"/>
  <c r="F1529" i="3"/>
  <c r="E1529" i="3"/>
  <c r="F1528" i="3"/>
  <c r="E1528" i="3"/>
  <c r="F1527" i="3"/>
  <c r="E1527" i="3"/>
  <c r="F1526" i="3"/>
  <c r="E1526" i="3"/>
  <c r="F1525" i="3"/>
  <c r="E1525" i="3"/>
  <c r="F1524" i="3"/>
  <c r="E1524" i="3"/>
  <c r="F1523" i="3"/>
  <c r="E1523" i="3"/>
  <c r="F1522" i="3"/>
  <c r="E1522" i="3"/>
  <c r="F1521" i="3"/>
  <c r="E1521" i="3"/>
  <c r="F1520" i="3"/>
  <c r="E1520" i="3"/>
  <c r="F1519" i="3"/>
  <c r="E1519" i="3"/>
  <c r="F1518" i="3"/>
  <c r="E1518" i="3"/>
  <c r="F1517" i="3"/>
  <c r="E1517" i="3"/>
  <c r="F1516" i="3"/>
  <c r="E1516" i="3"/>
  <c r="F1515" i="3"/>
  <c r="E1515" i="3"/>
  <c r="F1514" i="3"/>
  <c r="E1514" i="3"/>
  <c r="F1513" i="3"/>
  <c r="E1513" i="3"/>
  <c r="F1512" i="3"/>
  <c r="E1512" i="3"/>
  <c r="F1511" i="3"/>
  <c r="E1511" i="3"/>
  <c r="F1510" i="3"/>
  <c r="E1510" i="3"/>
  <c r="F1509" i="3"/>
  <c r="E1509" i="3"/>
  <c r="F1508" i="3"/>
  <c r="E1508" i="3"/>
  <c r="F1507" i="3"/>
  <c r="E1507" i="3"/>
  <c r="F1506" i="3"/>
  <c r="E1506" i="3"/>
  <c r="F1505" i="3"/>
  <c r="E1505" i="3"/>
  <c r="F1504" i="3"/>
  <c r="E1504" i="3"/>
  <c r="F1503" i="3"/>
  <c r="E1503" i="3"/>
  <c r="F1502" i="3"/>
  <c r="E1502" i="3"/>
  <c r="F1501" i="3"/>
  <c r="E1501" i="3"/>
  <c r="F1500" i="3"/>
  <c r="E1500" i="3"/>
  <c r="F1499" i="3"/>
  <c r="E1499" i="3"/>
  <c r="F1498" i="3"/>
  <c r="E1498" i="3"/>
  <c r="F1497" i="3"/>
  <c r="E1497" i="3"/>
  <c r="F1496" i="3"/>
  <c r="E1496" i="3"/>
  <c r="F1495" i="3"/>
  <c r="E1495" i="3"/>
  <c r="F1494" i="3"/>
  <c r="E1494" i="3"/>
  <c r="F1493" i="3"/>
  <c r="E1493" i="3"/>
  <c r="F1492" i="3"/>
  <c r="E1492" i="3"/>
  <c r="F1491" i="3"/>
  <c r="E1491" i="3"/>
  <c r="F1490" i="3"/>
  <c r="E1490" i="3"/>
  <c r="F1489" i="3"/>
  <c r="E1489" i="3"/>
  <c r="F1488" i="3"/>
  <c r="E1488" i="3"/>
  <c r="F1487" i="3"/>
  <c r="E1487" i="3"/>
  <c r="F1486" i="3"/>
  <c r="E1486" i="3"/>
  <c r="F1485" i="3"/>
  <c r="E1485" i="3"/>
  <c r="F1484" i="3"/>
  <c r="E1484" i="3"/>
  <c r="F1483" i="3"/>
  <c r="E1483" i="3"/>
  <c r="F1482" i="3"/>
  <c r="E1482" i="3"/>
  <c r="F1481" i="3"/>
  <c r="E1481" i="3"/>
  <c r="F1480" i="3"/>
  <c r="E1480" i="3"/>
  <c r="F1479" i="3"/>
  <c r="E1479" i="3"/>
  <c r="F1478" i="3"/>
  <c r="E1478" i="3"/>
  <c r="F1477" i="3"/>
  <c r="E1477" i="3"/>
  <c r="F1476" i="3"/>
  <c r="E1476" i="3"/>
  <c r="F1475" i="3"/>
  <c r="E1475" i="3"/>
  <c r="F1474" i="3"/>
  <c r="E1474" i="3"/>
  <c r="F1473" i="3"/>
  <c r="E1473" i="3"/>
  <c r="F1472" i="3"/>
  <c r="E1472" i="3"/>
  <c r="F1471" i="3"/>
  <c r="E1471" i="3"/>
  <c r="F1470" i="3"/>
  <c r="E1470" i="3"/>
  <c r="F1469" i="3"/>
  <c r="E1469" i="3"/>
  <c r="F1468" i="3"/>
  <c r="E1468" i="3"/>
  <c r="F1467" i="3"/>
  <c r="E1467" i="3"/>
  <c r="F1466" i="3"/>
  <c r="E1466" i="3"/>
  <c r="F1465" i="3"/>
  <c r="E1465" i="3"/>
  <c r="F1464" i="3"/>
  <c r="E1464" i="3"/>
  <c r="F1463" i="3"/>
  <c r="E1463" i="3"/>
  <c r="F1462" i="3"/>
  <c r="E1462" i="3"/>
  <c r="F1461" i="3"/>
  <c r="E1461" i="3"/>
  <c r="F1460" i="3"/>
  <c r="E1460" i="3"/>
  <c r="F1459" i="3"/>
  <c r="E1459" i="3"/>
  <c r="F1458" i="3"/>
  <c r="E1458" i="3"/>
  <c r="F1457" i="3"/>
  <c r="E1457" i="3"/>
  <c r="F1456" i="3"/>
  <c r="E1456" i="3"/>
  <c r="F1455" i="3"/>
  <c r="E1455" i="3"/>
  <c r="F1454" i="3"/>
  <c r="E1454" i="3"/>
  <c r="F1453" i="3"/>
  <c r="E1453" i="3"/>
  <c r="F1452" i="3"/>
  <c r="E1452" i="3"/>
  <c r="F1451" i="3"/>
  <c r="E1451" i="3"/>
  <c r="F1450" i="3"/>
  <c r="E1450" i="3"/>
  <c r="F1449" i="3"/>
  <c r="E1449" i="3"/>
  <c r="F1448" i="3"/>
  <c r="E1448" i="3"/>
  <c r="F1447" i="3"/>
  <c r="E1447" i="3"/>
  <c r="F1446" i="3"/>
  <c r="E1446" i="3"/>
  <c r="F1445" i="3"/>
  <c r="E1445" i="3"/>
  <c r="F1444" i="3"/>
  <c r="E1444" i="3"/>
  <c r="F1443" i="3"/>
  <c r="E1443" i="3"/>
  <c r="F1442" i="3"/>
  <c r="E1442" i="3"/>
  <c r="F1441" i="3"/>
  <c r="E1441" i="3"/>
  <c r="F1440" i="3"/>
  <c r="E1440" i="3"/>
  <c r="F1439" i="3"/>
  <c r="E1439" i="3"/>
  <c r="F1438" i="3"/>
  <c r="E1438" i="3"/>
  <c r="F1437" i="3"/>
  <c r="E1437" i="3"/>
  <c r="F1436" i="3"/>
  <c r="E1436" i="3"/>
  <c r="F1435" i="3"/>
  <c r="E1435" i="3"/>
  <c r="F1434" i="3"/>
  <c r="E1434" i="3"/>
  <c r="F1433" i="3"/>
  <c r="E1433" i="3"/>
  <c r="F1432" i="3"/>
  <c r="E1432" i="3"/>
  <c r="F1431" i="3"/>
  <c r="E1431" i="3"/>
  <c r="F1430" i="3"/>
  <c r="E1430" i="3"/>
  <c r="F1429" i="3"/>
  <c r="E1429" i="3"/>
  <c r="F1428" i="3"/>
  <c r="E1428" i="3"/>
  <c r="F1427" i="3"/>
  <c r="E1427" i="3"/>
  <c r="F1426" i="3"/>
  <c r="E1426" i="3"/>
  <c r="F1425" i="3"/>
  <c r="E1425" i="3"/>
  <c r="F1424" i="3"/>
  <c r="E1424" i="3"/>
  <c r="F1423" i="3"/>
  <c r="E1423" i="3"/>
  <c r="F1422" i="3"/>
  <c r="E1422" i="3"/>
  <c r="F1421" i="3"/>
  <c r="E1421" i="3"/>
  <c r="F1420" i="3"/>
  <c r="E1420" i="3"/>
  <c r="F1419" i="3"/>
  <c r="E1419" i="3"/>
  <c r="F1418" i="3"/>
  <c r="E1418" i="3"/>
  <c r="F1417" i="3"/>
  <c r="E1417" i="3"/>
  <c r="F1416" i="3"/>
  <c r="E1416" i="3"/>
  <c r="F1415" i="3"/>
  <c r="E1415" i="3"/>
  <c r="F1414" i="3"/>
  <c r="E1414" i="3"/>
  <c r="F1413" i="3"/>
  <c r="E1413" i="3"/>
  <c r="F1412" i="3"/>
  <c r="E1412" i="3"/>
  <c r="F1411" i="3"/>
  <c r="E1411" i="3"/>
  <c r="F1410" i="3"/>
  <c r="E1410" i="3"/>
  <c r="F1409" i="3"/>
  <c r="E1409" i="3"/>
  <c r="F1408" i="3"/>
  <c r="E1408" i="3"/>
  <c r="F1407" i="3"/>
  <c r="E1407" i="3"/>
  <c r="F1406" i="3"/>
  <c r="E1406" i="3"/>
  <c r="F1405" i="3"/>
  <c r="E1405" i="3"/>
  <c r="F1404" i="3"/>
  <c r="E1404" i="3"/>
  <c r="F1403" i="3"/>
  <c r="E1403" i="3"/>
  <c r="F1402" i="3"/>
  <c r="E1402" i="3"/>
  <c r="F1401" i="3"/>
  <c r="E1401" i="3"/>
  <c r="F1400" i="3"/>
  <c r="E1400" i="3"/>
  <c r="F1399" i="3"/>
  <c r="E1399" i="3"/>
  <c r="F1398" i="3"/>
  <c r="E1398" i="3"/>
  <c r="F1397" i="3"/>
  <c r="E1397" i="3"/>
  <c r="F1396" i="3"/>
  <c r="E1396" i="3"/>
  <c r="F1395" i="3"/>
  <c r="E1395" i="3"/>
  <c r="F1394" i="3"/>
  <c r="E1394" i="3"/>
  <c r="F1393" i="3"/>
  <c r="E1393" i="3"/>
  <c r="F1392" i="3"/>
  <c r="E1392" i="3"/>
  <c r="F1391" i="3"/>
  <c r="E1391" i="3"/>
  <c r="F1390" i="3"/>
  <c r="E1390" i="3"/>
  <c r="F1389" i="3"/>
  <c r="E1389" i="3"/>
  <c r="F1388" i="3"/>
  <c r="E1388" i="3"/>
  <c r="F1387" i="3"/>
  <c r="E1387" i="3"/>
  <c r="F1386" i="3"/>
  <c r="E1386" i="3"/>
  <c r="F1385" i="3"/>
  <c r="E1385" i="3"/>
  <c r="F1384" i="3"/>
  <c r="E1384" i="3"/>
  <c r="F1383" i="3"/>
  <c r="E1383" i="3"/>
  <c r="F1382" i="3"/>
  <c r="E1382" i="3"/>
  <c r="F1381" i="3"/>
  <c r="E1381" i="3"/>
  <c r="F1380" i="3"/>
  <c r="E1380" i="3"/>
  <c r="F1379" i="3"/>
  <c r="E1379" i="3"/>
  <c r="F1378" i="3"/>
  <c r="E1378" i="3"/>
  <c r="F1377" i="3"/>
  <c r="E1377" i="3"/>
  <c r="F1376" i="3"/>
  <c r="E1376" i="3"/>
  <c r="F1375" i="3"/>
  <c r="E1375" i="3"/>
  <c r="F1374" i="3"/>
  <c r="E1374" i="3"/>
  <c r="F1373" i="3"/>
  <c r="E1373" i="3"/>
  <c r="F1372" i="3"/>
  <c r="E1372" i="3"/>
  <c r="F1371" i="3"/>
  <c r="E1371" i="3"/>
  <c r="F1370" i="3"/>
  <c r="E1370" i="3"/>
  <c r="F1369" i="3"/>
  <c r="E1369" i="3"/>
  <c r="F1368" i="3"/>
  <c r="E1368" i="3"/>
  <c r="F1367" i="3"/>
  <c r="E1367" i="3"/>
  <c r="F1366" i="3"/>
  <c r="E1366" i="3"/>
  <c r="F1365" i="3"/>
  <c r="E1365" i="3"/>
  <c r="F1364" i="3"/>
  <c r="E1364" i="3"/>
  <c r="F1363" i="3"/>
  <c r="E1363" i="3"/>
  <c r="F1362" i="3"/>
  <c r="E1362" i="3"/>
  <c r="F1361" i="3"/>
  <c r="E1361" i="3"/>
  <c r="F1360" i="3"/>
  <c r="E1360" i="3"/>
  <c r="F1359" i="3"/>
  <c r="E1359" i="3"/>
  <c r="F1358" i="3"/>
  <c r="E1358" i="3"/>
  <c r="F1357" i="3"/>
  <c r="E1357" i="3"/>
  <c r="F1356" i="3"/>
  <c r="E1356" i="3"/>
  <c r="F1355" i="3"/>
  <c r="E1355" i="3"/>
  <c r="F1354" i="3"/>
  <c r="E1354" i="3"/>
  <c r="F1353" i="3"/>
  <c r="E1353" i="3"/>
  <c r="F1352" i="3"/>
  <c r="E1352" i="3"/>
  <c r="F1351" i="3"/>
  <c r="E1351" i="3"/>
  <c r="F1350" i="3"/>
  <c r="E1350" i="3"/>
  <c r="F1349" i="3"/>
  <c r="E1349" i="3"/>
  <c r="F1348" i="3"/>
  <c r="E1348" i="3"/>
  <c r="F1347" i="3"/>
  <c r="E1347" i="3"/>
  <c r="F1346" i="3"/>
  <c r="E1346" i="3"/>
  <c r="F1345" i="3"/>
  <c r="E1345" i="3"/>
  <c r="F1344" i="3"/>
  <c r="E1344" i="3"/>
  <c r="F1343" i="3"/>
  <c r="E1343" i="3"/>
  <c r="F1342" i="3"/>
  <c r="E1342" i="3"/>
  <c r="F1341" i="3"/>
  <c r="E1341" i="3"/>
  <c r="F1340" i="3"/>
  <c r="E1340" i="3"/>
  <c r="F1339" i="3"/>
  <c r="E1339" i="3"/>
  <c r="F1338" i="3"/>
  <c r="E1338" i="3"/>
  <c r="F1337" i="3"/>
  <c r="E1337" i="3"/>
  <c r="F1336" i="3"/>
  <c r="E1336" i="3"/>
  <c r="F1335" i="3"/>
  <c r="E1335" i="3"/>
  <c r="F1334" i="3"/>
  <c r="E1334" i="3"/>
  <c r="F1333" i="3"/>
  <c r="E1333" i="3"/>
  <c r="F1332" i="3"/>
  <c r="E1332" i="3"/>
  <c r="F1331" i="3"/>
  <c r="E1331" i="3"/>
  <c r="F1330" i="3"/>
  <c r="E1330" i="3"/>
  <c r="F1329" i="3"/>
  <c r="E1329" i="3"/>
  <c r="F1328" i="3"/>
  <c r="E1328" i="3"/>
  <c r="F1327" i="3"/>
  <c r="E1327" i="3"/>
  <c r="F1326" i="3"/>
  <c r="E1326" i="3"/>
  <c r="F1325" i="3"/>
  <c r="E1325" i="3"/>
  <c r="F1324" i="3"/>
  <c r="E1324" i="3"/>
  <c r="F1323" i="3"/>
  <c r="E1323" i="3"/>
  <c r="F1322" i="3"/>
  <c r="E1322" i="3"/>
  <c r="F1321" i="3"/>
  <c r="E1321" i="3"/>
  <c r="F1320" i="3"/>
  <c r="E1320" i="3"/>
  <c r="F1319" i="3"/>
  <c r="E1319" i="3"/>
  <c r="F1318" i="3"/>
  <c r="E1318" i="3"/>
  <c r="F1317" i="3"/>
  <c r="E1317" i="3"/>
  <c r="F1316" i="3"/>
  <c r="E1316" i="3"/>
  <c r="F1315" i="3"/>
  <c r="E1315" i="3"/>
  <c r="F1314" i="3"/>
  <c r="E1314" i="3"/>
  <c r="F1313" i="3"/>
  <c r="E1313" i="3"/>
  <c r="F1312" i="3"/>
  <c r="E1312" i="3"/>
  <c r="F1311" i="3"/>
  <c r="E1311" i="3"/>
  <c r="F1310" i="3"/>
  <c r="E1310" i="3"/>
  <c r="F1309" i="3"/>
  <c r="E1309" i="3"/>
  <c r="F1308" i="3"/>
  <c r="E1308" i="3"/>
  <c r="F1307" i="3"/>
  <c r="E1307" i="3"/>
  <c r="F1306" i="3"/>
  <c r="E1306" i="3"/>
  <c r="F1305" i="3"/>
  <c r="E1305" i="3"/>
  <c r="F1304" i="3"/>
  <c r="E1304" i="3"/>
  <c r="F1303" i="3"/>
  <c r="E1303" i="3"/>
  <c r="F1302" i="3"/>
  <c r="E1302" i="3"/>
  <c r="F1301" i="3"/>
  <c r="E1301" i="3"/>
  <c r="F1300" i="3"/>
  <c r="E1300" i="3"/>
  <c r="F1299" i="3"/>
  <c r="E1299" i="3"/>
  <c r="F1298" i="3"/>
  <c r="E1298" i="3"/>
  <c r="F1297" i="3"/>
  <c r="E1297" i="3"/>
  <c r="F1296" i="3"/>
  <c r="E1296" i="3"/>
  <c r="F1295" i="3"/>
  <c r="E1295" i="3"/>
  <c r="F1294" i="3"/>
  <c r="E1294" i="3"/>
  <c r="F1293" i="3"/>
  <c r="E1293" i="3"/>
  <c r="F1292" i="3"/>
  <c r="E1292" i="3"/>
  <c r="F1291" i="3"/>
  <c r="E1291" i="3"/>
  <c r="F1290" i="3"/>
  <c r="E1290" i="3"/>
  <c r="F1289" i="3"/>
  <c r="E1289" i="3"/>
  <c r="F1288" i="3"/>
  <c r="E1288" i="3"/>
  <c r="F1287" i="3"/>
  <c r="E1287" i="3"/>
  <c r="F1286" i="3"/>
  <c r="E1286" i="3"/>
  <c r="F1285" i="3"/>
  <c r="E1285" i="3"/>
  <c r="F1284" i="3"/>
  <c r="E1284" i="3"/>
  <c r="F1283" i="3"/>
  <c r="E1283" i="3"/>
  <c r="F1282" i="3"/>
  <c r="E1282" i="3"/>
  <c r="F1281" i="3"/>
  <c r="E1281" i="3"/>
  <c r="F1280" i="3"/>
  <c r="E1280" i="3"/>
  <c r="F1279" i="3"/>
  <c r="E1279" i="3"/>
  <c r="F1278" i="3"/>
  <c r="E1278" i="3"/>
  <c r="F1277" i="3"/>
  <c r="E1277" i="3"/>
  <c r="F1276" i="3"/>
  <c r="E1276" i="3"/>
  <c r="F1275" i="3"/>
  <c r="E1275" i="3"/>
  <c r="F1274" i="3"/>
  <c r="E1274" i="3"/>
  <c r="F1273" i="3"/>
  <c r="E1273" i="3"/>
  <c r="F1272" i="3"/>
  <c r="E1272" i="3"/>
  <c r="F1271" i="3"/>
  <c r="E1271" i="3"/>
  <c r="F1270" i="3"/>
  <c r="E1270" i="3"/>
  <c r="F1269" i="3"/>
  <c r="E1269" i="3"/>
  <c r="F1268" i="3"/>
  <c r="E1268" i="3"/>
  <c r="F1267" i="3"/>
  <c r="E1267" i="3"/>
  <c r="F1266" i="3"/>
  <c r="E1266" i="3"/>
  <c r="F1265" i="3"/>
  <c r="E1265" i="3"/>
  <c r="F1264" i="3"/>
  <c r="E1264" i="3"/>
  <c r="F1263" i="3"/>
  <c r="E1263" i="3"/>
  <c r="F1262" i="3"/>
  <c r="E1262" i="3"/>
  <c r="F1261" i="3"/>
  <c r="E1261" i="3"/>
  <c r="F1260" i="3"/>
  <c r="E1260" i="3"/>
  <c r="F1259" i="3"/>
  <c r="E1259" i="3"/>
  <c r="F1258" i="3"/>
  <c r="E1258" i="3"/>
  <c r="F1257" i="3"/>
  <c r="E1257" i="3"/>
  <c r="F1256" i="3"/>
  <c r="E1256" i="3"/>
  <c r="F1255" i="3"/>
  <c r="E1255" i="3"/>
  <c r="F1254" i="3"/>
  <c r="E1254" i="3"/>
  <c r="F1253" i="3"/>
  <c r="E1253" i="3"/>
  <c r="F1252" i="3"/>
  <c r="E1252" i="3"/>
  <c r="F1251" i="3"/>
  <c r="E1251" i="3"/>
  <c r="F1250" i="3"/>
  <c r="E1250" i="3"/>
  <c r="F1249" i="3"/>
  <c r="E1249" i="3"/>
  <c r="F1248" i="3"/>
  <c r="E1248" i="3"/>
  <c r="F1247" i="3"/>
  <c r="E1247" i="3"/>
  <c r="F1246" i="3"/>
  <c r="E1246" i="3"/>
  <c r="F1245" i="3"/>
  <c r="E1245" i="3"/>
  <c r="F1244" i="3"/>
  <c r="E1244" i="3"/>
  <c r="F1243" i="3"/>
  <c r="E1243" i="3"/>
  <c r="F1242" i="3"/>
  <c r="E1242" i="3"/>
  <c r="F1241" i="3"/>
  <c r="E1241" i="3"/>
  <c r="F1240" i="3"/>
  <c r="E1240" i="3"/>
  <c r="F1239" i="3"/>
  <c r="E1239" i="3"/>
  <c r="F1238" i="3"/>
  <c r="E1238" i="3"/>
  <c r="F1237" i="3"/>
  <c r="E1237" i="3"/>
  <c r="F1236" i="3"/>
  <c r="E1236" i="3"/>
  <c r="F1235" i="3"/>
  <c r="E1235" i="3"/>
  <c r="F1234" i="3"/>
  <c r="E1234" i="3"/>
  <c r="F1233" i="3"/>
  <c r="E1233" i="3"/>
  <c r="F1232" i="3"/>
  <c r="E1232" i="3"/>
  <c r="F1231" i="3"/>
  <c r="E1231" i="3"/>
  <c r="F1230" i="3"/>
  <c r="E1230" i="3"/>
  <c r="F1229" i="3"/>
  <c r="E1229" i="3"/>
  <c r="F1228" i="3"/>
  <c r="E1228" i="3"/>
  <c r="F1227" i="3"/>
  <c r="E1227" i="3"/>
  <c r="F1226" i="3"/>
  <c r="E1226" i="3"/>
  <c r="F1225" i="3"/>
  <c r="E1225" i="3"/>
  <c r="F1224" i="3"/>
  <c r="E1224" i="3"/>
  <c r="F1223" i="3"/>
  <c r="E1223" i="3"/>
  <c r="F1222" i="3"/>
  <c r="E1222" i="3"/>
  <c r="F1221" i="3"/>
  <c r="E1221" i="3"/>
  <c r="F1220" i="3"/>
  <c r="E1220" i="3"/>
  <c r="F1219" i="3"/>
  <c r="E1219" i="3"/>
  <c r="F1218" i="3"/>
  <c r="E1218" i="3"/>
  <c r="F1217" i="3"/>
  <c r="E1217" i="3"/>
  <c r="F1216" i="3"/>
  <c r="E1216" i="3"/>
  <c r="F1215" i="3"/>
  <c r="E1215" i="3"/>
  <c r="F1214" i="3"/>
  <c r="E1214" i="3"/>
  <c r="F1213" i="3"/>
  <c r="E1213" i="3"/>
  <c r="F1212" i="3"/>
  <c r="E1212" i="3"/>
  <c r="F1211" i="3"/>
  <c r="E1211" i="3"/>
  <c r="F1210" i="3"/>
  <c r="E1210" i="3"/>
  <c r="F1209" i="3"/>
  <c r="E1209" i="3"/>
  <c r="F1208" i="3"/>
  <c r="E1208" i="3"/>
  <c r="F1207" i="3"/>
  <c r="E1207" i="3"/>
  <c r="F1206" i="3"/>
  <c r="E1206" i="3"/>
  <c r="F1205" i="3"/>
  <c r="E1205" i="3"/>
  <c r="F1204" i="3"/>
  <c r="E1204" i="3"/>
  <c r="F1203" i="3"/>
  <c r="E1203" i="3"/>
  <c r="F1202" i="3"/>
  <c r="E1202" i="3"/>
  <c r="F1201" i="3"/>
  <c r="E1201" i="3"/>
  <c r="F1200" i="3"/>
  <c r="E1200" i="3"/>
  <c r="F1199" i="3"/>
  <c r="E1199" i="3"/>
  <c r="F1198" i="3"/>
  <c r="E1198" i="3"/>
  <c r="F1197" i="3"/>
  <c r="E1197" i="3"/>
  <c r="F1196" i="3"/>
  <c r="E1196" i="3"/>
  <c r="F1195" i="3"/>
  <c r="E1195" i="3"/>
  <c r="F1194" i="3"/>
  <c r="E1194" i="3"/>
  <c r="F1193" i="3"/>
  <c r="E1193" i="3"/>
  <c r="F1192" i="3"/>
  <c r="E1192" i="3"/>
  <c r="F1191" i="3"/>
  <c r="E1191" i="3"/>
  <c r="F1190" i="3"/>
  <c r="E1190" i="3"/>
  <c r="F1189" i="3"/>
  <c r="E1189" i="3"/>
  <c r="F1188" i="3"/>
  <c r="E1188" i="3"/>
  <c r="F1187" i="3"/>
  <c r="E1187" i="3"/>
  <c r="F1186" i="3"/>
  <c r="E1186" i="3"/>
  <c r="F1185" i="3"/>
  <c r="E1185" i="3"/>
  <c r="F1184" i="3"/>
  <c r="E1184" i="3"/>
  <c r="F1183" i="3"/>
  <c r="E1183" i="3"/>
  <c r="F1182" i="3"/>
  <c r="E1182" i="3"/>
  <c r="F1181" i="3"/>
  <c r="E1181" i="3"/>
  <c r="F1180" i="3"/>
  <c r="E1180" i="3"/>
  <c r="F1179" i="3"/>
  <c r="E1179" i="3"/>
  <c r="F1178" i="3"/>
  <c r="E1178" i="3"/>
  <c r="F1177" i="3"/>
  <c r="E1177" i="3"/>
  <c r="F1176" i="3"/>
  <c r="E1176" i="3"/>
  <c r="F1175" i="3"/>
  <c r="E1175" i="3"/>
  <c r="F1174" i="3"/>
  <c r="E1174" i="3"/>
  <c r="F1173" i="3"/>
  <c r="E1173" i="3"/>
  <c r="F1172" i="3"/>
  <c r="E1172" i="3"/>
  <c r="F1171" i="3"/>
  <c r="E1171" i="3"/>
  <c r="F1170" i="3"/>
  <c r="E1170" i="3"/>
  <c r="F1169" i="3"/>
  <c r="E1169" i="3"/>
  <c r="F1168" i="3"/>
  <c r="E1168" i="3"/>
  <c r="F1167" i="3"/>
  <c r="E1167" i="3"/>
  <c r="F1166" i="3"/>
  <c r="E1166" i="3"/>
  <c r="F1165" i="3"/>
  <c r="E1165" i="3"/>
  <c r="F1164" i="3"/>
  <c r="E1164" i="3"/>
  <c r="F1163" i="3"/>
  <c r="E1163" i="3"/>
  <c r="F1162" i="3"/>
  <c r="E1162" i="3"/>
  <c r="F1161" i="3"/>
  <c r="E1161" i="3"/>
  <c r="F1160" i="3"/>
  <c r="E1160" i="3"/>
  <c r="F1159" i="3"/>
  <c r="E1159" i="3"/>
  <c r="F1158" i="3"/>
  <c r="E1158" i="3"/>
  <c r="F1157" i="3"/>
  <c r="E1157" i="3"/>
  <c r="F1156" i="3"/>
  <c r="E1156" i="3"/>
  <c r="F1155" i="3"/>
  <c r="E1155" i="3"/>
  <c r="F1154" i="3"/>
  <c r="E1154" i="3"/>
  <c r="F1153" i="3"/>
  <c r="E1153" i="3"/>
  <c r="F1152" i="3"/>
  <c r="E1152" i="3"/>
  <c r="F1151" i="3"/>
  <c r="E1151" i="3"/>
  <c r="F1150" i="3"/>
  <c r="E1150" i="3"/>
  <c r="F1149" i="3"/>
  <c r="E1149" i="3"/>
  <c r="F1148" i="3"/>
  <c r="E1148" i="3"/>
  <c r="F1147" i="3"/>
  <c r="E1147" i="3"/>
  <c r="F1146" i="3"/>
  <c r="E1146" i="3"/>
  <c r="F1145" i="3"/>
  <c r="E1145" i="3"/>
  <c r="F1144" i="3"/>
  <c r="E1144" i="3"/>
  <c r="F1143" i="3"/>
  <c r="E1143" i="3"/>
  <c r="F1142" i="3"/>
  <c r="E1142" i="3"/>
  <c r="F1141" i="3"/>
  <c r="E1141" i="3"/>
  <c r="F1140" i="3"/>
  <c r="E1140" i="3"/>
  <c r="F1139" i="3"/>
  <c r="E1139" i="3"/>
  <c r="F1138" i="3"/>
  <c r="E1138" i="3"/>
  <c r="F1137" i="3"/>
  <c r="E1137" i="3"/>
  <c r="F1136" i="3"/>
  <c r="E1136" i="3"/>
  <c r="F1135" i="3"/>
  <c r="E1135" i="3"/>
  <c r="F1134" i="3"/>
  <c r="E1134" i="3"/>
  <c r="F1133" i="3"/>
  <c r="E1133" i="3"/>
  <c r="F1132" i="3"/>
  <c r="E1132" i="3"/>
  <c r="F1131" i="3"/>
  <c r="E1131" i="3"/>
  <c r="F1130" i="3"/>
  <c r="E1130" i="3"/>
  <c r="F1129" i="3"/>
  <c r="E1129" i="3"/>
  <c r="F1128" i="3"/>
  <c r="E1128" i="3"/>
  <c r="F1127" i="3"/>
  <c r="E1127" i="3"/>
  <c r="F1126" i="3"/>
  <c r="E1126" i="3"/>
  <c r="F1125" i="3"/>
  <c r="E1125" i="3"/>
  <c r="F1124" i="3"/>
  <c r="E1124" i="3"/>
  <c r="F1123" i="3"/>
  <c r="E1123" i="3"/>
  <c r="F1122" i="3"/>
  <c r="E1122" i="3"/>
  <c r="F1121" i="3"/>
  <c r="E1121" i="3"/>
  <c r="F1120" i="3"/>
  <c r="E1120" i="3"/>
  <c r="F1119" i="3"/>
  <c r="E1119" i="3"/>
  <c r="F1118" i="3"/>
  <c r="E1118" i="3"/>
  <c r="F1117" i="3"/>
  <c r="E1117" i="3"/>
  <c r="F1116" i="3"/>
  <c r="E1116" i="3"/>
  <c r="F1115" i="3"/>
  <c r="E1115" i="3"/>
  <c r="F1114" i="3"/>
  <c r="E1114" i="3"/>
  <c r="F1113" i="3"/>
  <c r="E1113" i="3"/>
  <c r="F1112" i="3"/>
  <c r="E1112" i="3"/>
  <c r="F1111" i="3"/>
  <c r="E1111" i="3"/>
  <c r="F1110" i="3"/>
  <c r="E1110" i="3"/>
  <c r="F1109" i="3"/>
  <c r="E1109" i="3"/>
  <c r="F1108" i="3"/>
  <c r="E1108" i="3"/>
  <c r="F1107" i="3"/>
  <c r="E1107" i="3"/>
  <c r="F1106" i="3"/>
  <c r="E1106" i="3"/>
  <c r="F1105" i="3"/>
  <c r="E1105" i="3"/>
  <c r="F1104" i="3"/>
  <c r="E1104" i="3"/>
  <c r="F1103" i="3"/>
  <c r="E1103" i="3"/>
  <c r="F1102" i="3"/>
  <c r="E1102" i="3"/>
  <c r="F1101" i="3"/>
  <c r="E1101" i="3"/>
  <c r="F1100" i="3"/>
  <c r="E1100" i="3"/>
  <c r="F1099" i="3"/>
  <c r="E1099" i="3"/>
  <c r="F1098" i="3"/>
  <c r="E1098" i="3"/>
  <c r="F1097" i="3"/>
  <c r="E1097" i="3"/>
  <c r="F1096" i="3"/>
  <c r="E1096" i="3"/>
  <c r="F1095" i="3"/>
  <c r="E1095" i="3"/>
  <c r="F1094" i="3"/>
  <c r="E1094" i="3"/>
  <c r="F1093" i="3"/>
  <c r="E1093" i="3"/>
  <c r="F1092" i="3"/>
  <c r="E1092" i="3"/>
  <c r="F1091" i="3"/>
  <c r="E1091" i="3"/>
  <c r="F1090" i="3"/>
  <c r="E1090" i="3"/>
  <c r="F1089" i="3"/>
  <c r="E1089" i="3"/>
  <c r="F1088" i="3"/>
  <c r="E1088" i="3"/>
  <c r="F1087" i="3"/>
  <c r="E1087" i="3"/>
  <c r="F1086" i="3"/>
  <c r="E1086" i="3"/>
  <c r="F1085" i="3"/>
  <c r="E1085" i="3"/>
  <c r="F1084" i="3"/>
  <c r="E1084" i="3"/>
  <c r="F1083" i="3"/>
  <c r="E1083" i="3"/>
  <c r="F1082" i="3"/>
  <c r="E1082" i="3"/>
  <c r="F1081" i="3"/>
  <c r="E1081" i="3"/>
  <c r="F1080" i="3"/>
  <c r="E1080" i="3"/>
  <c r="F1079" i="3"/>
  <c r="E1079" i="3"/>
  <c r="F1078" i="3"/>
  <c r="E1078" i="3"/>
  <c r="F1077" i="3"/>
  <c r="E1077" i="3"/>
  <c r="F1076" i="3"/>
  <c r="E1076" i="3"/>
  <c r="F1075" i="3"/>
  <c r="E1075" i="3"/>
  <c r="F1074" i="3"/>
  <c r="E1074" i="3"/>
  <c r="F1073" i="3"/>
  <c r="E1073" i="3"/>
  <c r="F1072" i="3"/>
  <c r="E1072" i="3"/>
  <c r="F1071" i="3"/>
  <c r="E1071" i="3"/>
  <c r="F1070" i="3"/>
  <c r="E1070" i="3"/>
  <c r="F1069" i="3"/>
  <c r="E1069" i="3"/>
  <c r="F1068" i="3"/>
  <c r="E1068" i="3"/>
  <c r="F1067" i="3"/>
  <c r="E1067" i="3"/>
  <c r="F1066" i="3"/>
  <c r="E1066" i="3"/>
  <c r="F1065" i="3"/>
  <c r="E1065" i="3"/>
  <c r="F1064" i="3"/>
  <c r="E1064" i="3"/>
  <c r="F1063" i="3"/>
  <c r="E1063" i="3"/>
  <c r="F1062" i="3"/>
  <c r="E1062" i="3"/>
  <c r="F1061" i="3"/>
  <c r="E1061" i="3"/>
  <c r="F1060" i="3"/>
  <c r="E1060" i="3"/>
  <c r="F1059" i="3"/>
  <c r="E1059" i="3"/>
  <c r="F1058" i="3"/>
  <c r="E1058" i="3"/>
  <c r="F1057" i="3"/>
  <c r="E1057" i="3"/>
  <c r="F1056" i="3"/>
  <c r="E1056" i="3"/>
  <c r="F1055" i="3"/>
  <c r="E1055" i="3"/>
  <c r="F1054" i="3"/>
  <c r="E1054" i="3"/>
  <c r="F1053" i="3"/>
  <c r="E1053" i="3"/>
  <c r="F1052" i="3"/>
  <c r="E1052" i="3"/>
  <c r="F1051" i="3"/>
  <c r="E1051" i="3"/>
  <c r="F1050" i="3"/>
  <c r="E1050" i="3"/>
  <c r="F1049" i="3"/>
  <c r="E1049" i="3"/>
  <c r="F1048" i="3"/>
  <c r="E1048" i="3"/>
  <c r="F1047" i="3"/>
  <c r="E1047" i="3"/>
  <c r="F1046" i="3"/>
  <c r="E1046" i="3"/>
  <c r="F1045" i="3"/>
  <c r="E1045" i="3"/>
  <c r="F1044" i="3"/>
  <c r="E1044" i="3"/>
  <c r="F1043" i="3"/>
  <c r="E1043" i="3"/>
  <c r="F1042" i="3"/>
  <c r="E1042" i="3"/>
  <c r="F1041" i="3"/>
  <c r="E1041" i="3"/>
  <c r="F1040" i="3"/>
  <c r="E1040" i="3"/>
  <c r="F1039" i="3"/>
  <c r="E1039" i="3"/>
  <c r="F1038" i="3"/>
  <c r="E1038" i="3"/>
  <c r="F1037" i="3"/>
  <c r="E1037" i="3"/>
  <c r="F1036" i="3"/>
  <c r="E1036" i="3"/>
  <c r="F1035" i="3"/>
  <c r="E1035" i="3"/>
  <c r="F1034" i="3"/>
  <c r="E1034" i="3"/>
  <c r="F1033" i="3"/>
  <c r="E1033" i="3"/>
  <c r="F1032" i="3"/>
  <c r="E1032" i="3"/>
  <c r="F1031" i="3"/>
  <c r="E1031" i="3"/>
  <c r="F1030" i="3"/>
  <c r="E1030" i="3"/>
  <c r="F1029" i="3"/>
  <c r="E1029" i="3"/>
  <c r="F1028" i="3"/>
  <c r="E1028" i="3"/>
  <c r="F1027" i="3"/>
  <c r="E1027" i="3"/>
  <c r="F1026" i="3"/>
  <c r="E1026" i="3"/>
  <c r="F1025" i="3"/>
  <c r="E1025" i="3"/>
  <c r="F1024" i="3"/>
  <c r="E1024" i="3"/>
  <c r="F1023" i="3"/>
  <c r="E1023" i="3"/>
  <c r="F1022" i="3"/>
  <c r="E1022" i="3"/>
  <c r="F1021" i="3"/>
  <c r="E1021" i="3"/>
  <c r="F1020" i="3"/>
  <c r="E1020" i="3"/>
  <c r="F1019" i="3"/>
  <c r="E1019" i="3"/>
  <c r="F1018" i="3"/>
  <c r="E1018" i="3"/>
  <c r="F1017" i="3"/>
  <c r="E1017" i="3"/>
  <c r="F1016" i="3"/>
  <c r="E1016" i="3"/>
  <c r="F1015" i="3"/>
  <c r="E1015" i="3"/>
  <c r="F1014" i="3"/>
  <c r="E1014" i="3"/>
  <c r="F1013" i="3"/>
  <c r="E1013" i="3"/>
  <c r="F1012" i="3"/>
  <c r="E1012" i="3"/>
  <c r="F1011" i="3"/>
  <c r="E1011" i="3"/>
  <c r="F1010" i="3"/>
  <c r="E1010" i="3"/>
  <c r="F1009" i="3"/>
  <c r="E1009" i="3"/>
  <c r="F1008" i="3"/>
  <c r="E1008" i="3"/>
  <c r="F1007" i="3"/>
  <c r="E1007" i="3"/>
  <c r="F1006" i="3"/>
  <c r="E1006" i="3"/>
  <c r="F1005" i="3"/>
  <c r="E1005" i="3"/>
  <c r="F1004" i="3"/>
  <c r="E1004" i="3"/>
  <c r="F1003" i="3"/>
  <c r="E1003" i="3"/>
  <c r="F1002" i="3"/>
  <c r="E1002" i="3"/>
  <c r="F1001" i="3"/>
  <c r="E1001" i="3"/>
  <c r="F1000" i="3"/>
  <c r="E1000" i="3"/>
  <c r="F999" i="3"/>
  <c r="E999" i="3"/>
  <c r="F998" i="3"/>
  <c r="E998" i="3"/>
  <c r="F997" i="3"/>
  <c r="E997" i="3"/>
  <c r="F996" i="3"/>
  <c r="E996" i="3"/>
  <c r="F995" i="3"/>
  <c r="E995" i="3"/>
  <c r="F994" i="3"/>
  <c r="E994" i="3"/>
  <c r="F993" i="3"/>
  <c r="E993" i="3"/>
  <c r="F992" i="3"/>
  <c r="E992" i="3"/>
  <c r="F991" i="3"/>
  <c r="E991" i="3"/>
  <c r="F990" i="3"/>
  <c r="E990" i="3"/>
  <c r="F989" i="3"/>
  <c r="E989" i="3"/>
  <c r="F988" i="3"/>
  <c r="E988" i="3"/>
  <c r="F987" i="3"/>
  <c r="E987" i="3"/>
  <c r="F986" i="3"/>
  <c r="E986" i="3"/>
  <c r="F985" i="3"/>
  <c r="E985" i="3"/>
  <c r="F984" i="3"/>
  <c r="E984" i="3"/>
  <c r="F983" i="3"/>
  <c r="E983" i="3"/>
  <c r="F982" i="3"/>
  <c r="E982" i="3"/>
  <c r="F981" i="3"/>
  <c r="E981" i="3"/>
  <c r="F980" i="3"/>
  <c r="E980" i="3"/>
  <c r="F979" i="3"/>
  <c r="E979" i="3"/>
  <c r="F978" i="3"/>
  <c r="E978" i="3"/>
  <c r="F977" i="3"/>
  <c r="E977" i="3"/>
  <c r="F976" i="3"/>
  <c r="E976" i="3"/>
  <c r="F975" i="3"/>
  <c r="E975" i="3"/>
  <c r="F974" i="3"/>
  <c r="E974" i="3"/>
  <c r="F973" i="3"/>
  <c r="E973" i="3"/>
  <c r="F972" i="3"/>
  <c r="E972" i="3"/>
  <c r="F971" i="3"/>
  <c r="E971" i="3"/>
  <c r="F970" i="3"/>
  <c r="E970" i="3"/>
  <c r="F969" i="3"/>
  <c r="E969" i="3"/>
  <c r="F968" i="3"/>
  <c r="E968" i="3"/>
  <c r="F967" i="3"/>
  <c r="E967" i="3"/>
  <c r="F966" i="3"/>
  <c r="E966" i="3"/>
  <c r="F965" i="3"/>
  <c r="E965" i="3"/>
  <c r="F964" i="3"/>
  <c r="E964" i="3"/>
  <c r="F963" i="3"/>
  <c r="E963" i="3"/>
  <c r="F962" i="3"/>
  <c r="E962" i="3"/>
  <c r="F961" i="3"/>
  <c r="E961" i="3"/>
  <c r="F960" i="3"/>
  <c r="E960" i="3"/>
  <c r="F959" i="3"/>
  <c r="E959" i="3"/>
  <c r="F958" i="3"/>
  <c r="E958" i="3"/>
  <c r="F957" i="3"/>
  <c r="E957" i="3"/>
  <c r="F956" i="3"/>
  <c r="E956" i="3"/>
  <c r="F955" i="3"/>
  <c r="E955" i="3"/>
  <c r="F954" i="3"/>
  <c r="E954" i="3"/>
  <c r="F953" i="3"/>
  <c r="E953" i="3"/>
  <c r="F952" i="3"/>
  <c r="E952" i="3"/>
  <c r="F951" i="3"/>
  <c r="E951" i="3"/>
  <c r="F950" i="3"/>
  <c r="E950" i="3"/>
  <c r="F949" i="3"/>
  <c r="E949" i="3"/>
  <c r="F948" i="3"/>
  <c r="E948" i="3"/>
  <c r="F947" i="3"/>
  <c r="E947" i="3"/>
  <c r="F946" i="3"/>
  <c r="E946" i="3"/>
  <c r="F945" i="3"/>
  <c r="E945" i="3"/>
  <c r="F944" i="3"/>
  <c r="E944" i="3"/>
  <c r="F943" i="3"/>
  <c r="E943" i="3"/>
  <c r="F942" i="3"/>
  <c r="E942" i="3"/>
  <c r="F941" i="3"/>
  <c r="E941" i="3"/>
  <c r="F940" i="3"/>
  <c r="E940" i="3"/>
  <c r="F939" i="3"/>
  <c r="E939" i="3"/>
  <c r="F938" i="3"/>
  <c r="E938" i="3"/>
  <c r="F937" i="3"/>
  <c r="E937" i="3"/>
  <c r="F936" i="3"/>
  <c r="E936" i="3"/>
  <c r="F935" i="3"/>
  <c r="E935" i="3"/>
  <c r="F934" i="3"/>
  <c r="E934" i="3"/>
  <c r="F933" i="3"/>
  <c r="E933" i="3"/>
  <c r="F932" i="3"/>
  <c r="E932" i="3"/>
  <c r="F931" i="3"/>
  <c r="E931" i="3"/>
  <c r="F930" i="3"/>
  <c r="E930" i="3"/>
  <c r="F929" i="3"/>
  <c r="E929" i="3"/>
  <c r="F928" i="3"/>
  <c r="E928" i="3"/>
  <c r="F927" i="3"/>
  <c r="E927" i="3"/>
  <c r="F926" i="3"/>
  <c r="E926" i="3"/>
  <c r="F925" i="3"/>
  <c r="E925" i="3"/>
  <c r="F924" i="3"/>
  <c r="E924" i="3"/>
  <c r="F923" i="3"/>
  <c r="E923" i="3"/>
  <c r="F922" i="3"/>
  <c r="E922" i="3"/>
  <c r="F921" i="3"/>
  <c r="E921" i="3"/>
  <c r="F920" i="3"/>
  <c r="E920" i="3"/>
  <c r="F919" i="3"/>
  <c r="E919" i="3"/>
  <c r="F918" i="3"/>
  <c r="E918" i="3"/>
  <c r="F917" i="3"/>
  <c r="E917" i="3"/>
  <c r="F916" i="3"/>
  <c r="E916" i="3"/>
  <c r="F915" i="3"/>
  <c r="E915" i="3"/>
  <c r="F914" i="3"/>
  <c r="E914" i="3"/>
  <c r="F913" i="3"/>
  <c r="E913" i="3"/>
  <c r="F912" i="3"/>
  <c r="E912" i="3"/>
  <c r="F911" i="3"/>
  <c r="E911" i="3"/>
  <c r="F910" i="3"/>
  <c r="E910" i="3"/>
  <c r="F909" i="3"/>
  <c r="E909" i="3"/>
  <c r="F908" i="3"/>
  <c r="E908" i="3"/>
  <c r="F907" i="3"/>
  <c r="E907" i="3"/>
  <c r="F906" i="3"/>
  <c r="E906" i="3"/>
  <c r="F905" i="3"/>
  <c r="E905" i="3"/>
  <c r="F904" i="3"/>
  <c r="E904" i="3"/>
  <c r="F903" i="3"/>
  <c r="E903" i="3"/>
  <c r="F902" i="3"/>
  <c r="E902" i="3"/>
  <c r="F901" i="3"/>
  <c r="E901" i="3"/>
  <c r="F900" i="3"/>
  <c r="E900" i="3"/>
  <c r="F899" i="3"/>
  <c r="E899" i="3"/>
  <c r="F898" i="3"/>
  <c r="E898" i="3"/>
  <c r="F897" i="3"/>
  <c r="E897" i="3"/>
  <c r="F896" i="3"/>
  <c r="E896" i="3"/>
  <c r="F895" i="3"/>
  <c r="E895" i="3"/>
  <c r="F894" i="3"/>
  <c r="E894" i="3"/>
  <c r="F893" i="3"/>
  <c r="E893" i="3"/>
  <c r="F892" i="3"/>
  <c r="E892" i="3"/>
  <c r="F891" i="3"/>
  <c r="E891" i="3"/>
  <c r="F890" i="3"/>
  <c r="E890" i="3"/>
  <c r="F889" i="3"/>
  <c r="E889" i="3"/>
  <c r="F888" i="3"/>
  <c r="E888" i="3"/>
  <c r="F887" i="3"/>
  <c r="E887" i="3"/>
  <c r="F886" i="3"/>
  <c r="E886" i="3"/>
  <c r="F885" i="3"/>
  <c r="E885" i="3"/>
  <c r="F884" i="3"/>
  <c r="E884" i="3"/>
  <c r="F883" i="3"/>
  <c r="E883" i="3"/>
  <c r="F882" i="3"/>
  <c r="E882" i="3"/>
  <c r="F881" i="3"/>
  <c r="E881" i="3"/>
  <c r="F880" i="3"/>
  <c r="E880" i="3"/>
  <c r="F879" i="3"/>
  <c r="E879" i="3"/>
  <c r="F878" i="3"/>
  <c r="E878" i="3"/>
  <c r="F877" i="3"/>
  <c r="E877" i="3"/>
  <c r="F876" i="3"/>
  <c r="E876" i="3"/>
  <c r="F875" i="3"/>
  <c r="E875" i="3"/>
  <c r="F874" i="3"/>
  <c r="E874" i="3"/>
  <c r="F873" i="3"/>
  <c r="E873" i="3"/>
  <c r="F872" i="3"/>
  <c r="E872" i="3"/>
  <c r="F871" i="3"/>
  <c r="E871" i="3"/>
  <c r="F870" i="3"/>
  <c r="E870" i="3"/>
  <c r="F869" i="3"/>
  <c r="E869" i="3"/>
  <c r="F868" i="3"/>
  <c r="E868" i="3"/>
  <c r="F867" i="3"/>
  <c r="E867" i="3"/>
  <c r="F866" i="3"/>
  <c r="E866" i="3"/>
  <c r="F865" i="3"/>
  <c r="E865" i="3"/>
  <c r="F864" i="3"/>
  <c r="E864" i="3"/>
  <c r="F863" i="3"/>
  <c r="E863" i="3"/>
  <c r="F862" i="3"/>
  <c r="E862" i="3"/>
  <c r="F861" i="3"/>
  <c r="E861" i="3"/>
  <c r="F860" i="3"/>
  <c r="E860" i="3"/>
  <c r="F859" i="3"/>
  <c r="E859" i="3"/>
  <c r="F858" i="3"/>
  <c r="E858" i="3"/>
  <c r="F857" i="3"/>
  <c r="E857" i="3"/>
  <c r="F856" i="3"/>
  <c r="E856" i="3"/>
  <c r="F855" i="3"/>
  <c r="E855" i="3"/>
  <c r="F854" i="3"/>
  <c r="E854" i="3"/>
  <c r="F853" i="3"/>
  <c r="E853" i="3"/>
  <c r="F852" i="3"/>
  <c r="E852" i="3"/>
  <c r="F851" i="3"/>
  <c r="E851" i="3"/>
  <c r="F850" i="3"/>
  <c r="E850" i="3"/>
  <c r="F849" i="3"/>
  <c r="E849" i="3"/>
  <c r="F848" i="3"/>
  <c r="E848" i="3"/>
  <c r="F847" i="3"/>
  <c r="E847" i="3"/>
  <c r="F846" i="3"/>
  <c r="E846" i="3"/>
  <c r="F845" i="3"/>
  <c r="E845" i="3"/>
  <c r="F844" i="3"/>
  <c r="E844" i="3"/>
  <c r="F843" i="3"/>
  <c r="E843" i="3"/>
  <c r="F842" i="3"/>
  <c r="E842" i="3"/>
  <c r="F841" i="3"/>
  <c r="E841" i="3"/>
  <c r="F840" i="3"/>
  <c r="E840" i="3"/>
  <c r="F839" i="3"/>
  <c r="E839" i="3"/>
  <c r="F838" i="3"/>
  <c r="E838" i="3"/>
  <c r="F837" i="3"/>
  <c r="E837" i="3"/>
  <c r="F836" i="3"/>
  <c r="E836" i="3"/>
  <c r="F835" i="3"/>
  <c r="E835" i="3"/>
  <c r="F834" i="3"/>
  <c r="E834" i="3"/>
  <c r="F833" i="3"/>
  <c r="E833" i="3"/>
  <c r="F832" i="3"/>
  <c r="E832" i="3"/>
  <c r="F831" i="3"/>
  <c r="E831" i="3"/>
  <c r="F830" i="3"/>
  <c r="E830" i="3"/>
  <c r="F829" i="3"/>
  <c r="E829" i="3"/>
  <c r="F828" i="3"/>
  <c r="E828" i="3"/>
  <c r="F827" i="3"/>
  <c r="E827" i="3"/>
  <c r="F826" i="3"/>
  <c r="E826" i="3"/>
  <c r="F825" i="3"/>
  <c r="E825" i="3"/>
  <c r="F824" i="3"/>
  <c r="E824" i="3"/>
  <c r="F823" i="3"/>
  <c r="E823" i="3"/>
  <c r="F822" i="3"/>
  <c r="E822" i="3"/>
  <c r="F821" i="3"/>
  <c r="E821" i="3"/>
  <c r="F820" i="3"/>
  <c r="E820" i="3"/>
  <c r="F819" i="3"/>
  <c r="E819" i="3"/>
  <c r="F818" i="3"/>
  <c r="E818" i="3"/>
  <c r="F817" i="3"/>
  <c r="E817" i="3"/>
  <c r="F816" i="3"/>
  <c r="E816" i="3"/>
  <c r="F815" i="3"/>
  <c r="E815" i="3"/>
  <c r="F814" i="3"/>
  <c r="E814" i="3"/>
  <c r="F813" i="3"/>
  <c r="E813" i="3"/>
  <c r="F812" i="3"/>
  <c r="E812" i="3"/>
  <c r="F811" i="3"/>
  <c r="E811" i="3"/>
  <c r="F810" i="3"/>
  <c r="E810" i="3"/>
  <c r="F809" i="3"/>
  <c r="E809" i="3"/>
  <c r="F808" i="3"/>
  <c r="E808" i="3"/>
  <c r="F807" i="3"/>
  <c r="E807" i="3"/>
  <c r="F806" i="3"/>
  <c r="E806" i="3"/>
  <c r="F805" i="3"/>
  <c r="E805" i="3"/>
  <c r="F804" i="3"/>
  <c r="E804" i="3"/>
  <c r="F803" i="3"/>
  <c r="E803" i="3"/>
  <c r="F802" i="3"/>
  <c r="E802" i="3"/>
  <c r="F801" i="3"/>
  <c r="E801" i="3"/>
  <c r="F800" i="3"/>
  <c r="E800" i="3"/>
  <c r="F799" i="3"/>
  <c r="E799" i="3"/>
  <c r="F798" i="3"/>
  <c r="E798" i="3"/>
  <c r="F797" i="3"/>
  <c r="E797" i="3"/>
  <c r="F796" i="3"/>
  <c r="E796" i="3"/>
  <c r="F795" i="3"/>
  <c r="E795" i="3"/>
  <c r="F794" i="3"/>
  <c r="E794" i="3"/>
  <c r="F793" i="3"/>
  <c r="E793" i="3"/>
  <c r="F792" i="3"/>
  <c r="E792" i="3"/>
  <c r="F791" i="3"/>
  <c r="E791" i="3"/>
  <c r="F790" i="3"/>
  <c r="E790" i="3"/>
  <c r="F789" i="3"/>
  <c r="E789" i="3"/>
  <c r="F788" i="3"/>
  <c r="E788" i="3"/>
  <c r="F787" i="3"/>
  <c r="E787" i="3"/>
  <c r="F786" i="3"/>
  <c r="E786" i="3"/>
  <c r="F785" i="3"/>
  <c r="E785" i="3"/>
  <c r="F784" i="3"/>
  <c r="E784" i="3"/>
  <c r="F783" i="3"/>
  <c r="E783" i="3"/>
  <c r="F782" i="3"/>
  <c r="E782" i="3"/>
  <c r="F781" i="3"/>
  <c r="E781" i="3"/>
  <c r="F780" i="3"/>
  <c r="E780" i="3"/>
  <c r="F779" i="3"/>
  <c r="E779" i="3"/>
  <c r="F778" i="3"/>
  <c r="E778" i="3"/>
  <c r="F777" i="3"/>
  <c r="E777" i="3"/>
  <c r="F776" i="3"/>
  <c r="E776" i="3"/>
  <c r="F775" i="3"/>
  <c r="E775" i="3"/>
  <c r="F774" i="3"/>
  <c r="E774" i="3"/>
  <c r="F773" i="3"/>
  <c r="E773" i="3"/>
  <c r="F772" i="3"/>
  <c r="E772" i="3"/>
  <c r="F771" i="3"/>
  <c r="E771" i="3"/>
  <c r="F770" i="3"/>
  <c r="E770" i="3"/>
  <c r="F769" i="3"/>
  <c r="E769" i="3"/>
  <c r="F768" i="3"/>
  <c r="E768" i="3"/>
  <c r="F767" i="3"/>
  <c r="E767" i="3"/>
  <c r="F766" i="3"/>
  <c r="E766" i="3"/>
  <c r="F765" i="3"/>
  <c r="E765" i="3"/>
  <c r="F764" i="3"/>
  <c r="E764" i="3"/>
  <c r="F763" i="3"/>
  <c r="E763" i="3"/>
  <c r="F762" i="3"/>
  <c r="E762" i="3"/>
  <c r="F761" i="3"/>
  <c r="E761" i="3"/>
  <c r="F760" i="3"/>
  <c r="E760" i="3"/>
  <c r="F759" i="3"/>
  <c r="E759" i="3"/>
  <c r="F758" i="3"/>
  <c r="E758" i="3"/>
  <c r="F757" i="3"/>
  <c r="E757" i="3"/>
  <c r="F756" i="3"/>
  <c r="E756" i="3"/>
  <c r="F755" i="3"/>
  <c r="E755" i="3"/>
  <c r="F754" i="3"/>
  <c r="E754" i="3"/>
  <c r="F753" i="3"/>
  <c r="E753" i="3"/>
  <c r="F752" i="3"/>
  <c r="E752" i="3"/>
  <c r="F751" i="3"/>
  <c r="E751" i="3"/>
  <c r="F750" i="3"/>
  <c r="E750" i="3"/>
  <c r="F749" i="3"/>
  <c r="E749" i="3"/>
  <c r="F748" i="3"/>
  <c r="E748" i="3"/>
  <c r="F747" i="3"/>
  <c r="E747" i="3"/>
  <c r="F746" i="3"/>
  <c r="E746" i="3"/>
  <c r="F745" i="3"/>
  <c r="E745" i="3"/>
  <c r="F744" i="3"/>
  <c r="E744" i="3"/>
  <c r="F743" i="3"/>
  <c r="E743" i="3"/>
  <c r="F742" i="3"/>
  <c r="E742" i="3"/>
  <c r="F741" i="3"/>
  <c r="E741" i="3"/>
  <c r="F740" i="3"/>
  <c r="E740" i="3"/>
  <c r="F739" i="3"/>
  <c r="E739" i="3"/>
  <c r="F738" i="3"/>
  <c r="E738" i="3"/>
  <c r="F737" i="3"/>
  <c r="E737" i="3"/>
  <c r="F736" i="3"/>
  <c r="E736" i="3"/>
  <c r="F735" i="3"/>
  <c r="E735" i="3"/>
  <c r="F734" i="3"/>
  <c r="E734" i="3"/>
  <c r="F733" i="3"/>
  <c r="E733" i="3"/>
  <c r="F732" i="3"/>
  <c r="E732" i="3"/>
  <c r="F731" i="3"/>
  <c r="E731" i="3"/>
  <c r="F730" i="3"/>
  <c r="E730" i="3"/>
  <c r="F729" i="3"/>
  <c r="E729" i="3"/>
  <c r="F728" i="3"/>
  <c r="E728" i="3"/>
  <c r="F727" i="3"/>
  <c r="E727" i="3"/>
  <c r="F726" i="3"/>
  <c r="E726" i="3"/>
  <c r="F725" i="3"/>
  <c r="E725" i="3"/>
  <c r="F724" i="3"/>
  <c r="E724" i="3"/>
  <c r="F723" i="3"/>
  <c r="E723" i="3"/>
  <c r="F722" i="3"/>
  <c r="E722" i="3"/>
  <c r="F721" i="3"/>
  <c r="E721" i="3"/>
  <c r="F720" i="3"/>
  <c r="E720" i="3"/>
  <c r="F719" i="3"/>
  <c r="E719" i="3"/>
  <c r="F718" i="3"/>
  <c r="E718" i="3"/>
  <c r="F717" i="3"/>
  <c r="E717" i="3"/>
  <c r="F716" i="3"/>
  <c r="E716" i="3"/>
  <c r="F715" i="3"/>
  <c r="E715" i="3"/>
  <c r="F714" i="3"/>
  <c r="E714" i="3"/>
  <c r="F713" i="3"/>
  <c r="E713" i="3"/>
  <c r="F712" i="3"/>
  <c r="E712" i="3"/>
  <c r="F711" i="3"/>
  <c r="E711" i="3"/>
  <c r="F710" i="3"/>
  <c r="E710" i="3"/>
  <c r="F709" i="3"/>
  <c r="E709" i="3"/>
  <c r="F708" i="3"/>
  <c r="E708" i="3"/>
  <c r="F707" i="3"/>
  <c r="E707" i="3"/>
  <c r="F706" i="3"/>
  <c r="E706" i="3"/>
  <c r="F705" i="3"/>
  <c r="E705" i="3"/>
  <c r="F704" i="3"/>
  <c r="E704" i="3"/>
  <c r="F703" i="3"/>
  <c r="E703" i="3"/>
  <c r="F702" i="3"/>
  <c r="E702" i="3"/>
  <c r="F701" i="3"/>
  <c r="E701" i="3"/>
  <c r="F700" i="3"/>
  <c r="E700" i="3"/>
  <c r="F699" i="3"/>
  <c r="E699" i="3"/>
  <c r="F698" i="3"/>
  <c r="E698" i="3"/>
  <c r="F697" i="3"/>
  <c r="E697" i="3"/>
  <c r="F696" i="3"/>
  <c r="E696" i="3"/>
  <c r="F695" i="3"/>
  <c r="E695" i="3"/>
  <c r="F694" i="3"/>
  <c r="E694" i="3"/>
  <c r="F693" i="3"/>
  <c r="E693" i="3"/>
  <c r="F692" i="3"/>
  <c r="E692" i="3"/>
  <c r="F691" i="3"/>
  <c r="E691" i="3"/>
  <c r="F690" i="3"/>
  <c r="E690" i="3"/>
  <c r="F689" i="3"/>
  <c r="E689" i="3"/>
  <c r="F688" i="3"/>
  <c r="E688" i="3"/>
  <c r="F687" i="3"/>
  <c r="E687" i="3"/>
  <c r="F686" i="3"/>
  <c r="E686" i="3"/>
  <c r="F685" i="3"/>
  <c r="E685" i="3"/>
  <c r="F684" i="3"/>
  <c r="E684" i="3"/>
  <c r="F683" i="3"/>
  <c r="E683" i="3"/>
  <c r="F682" i="3"/>
  <c r="E682" i="3"/>
  <c r="F681" i="3"/>
  <c r="E681" i="3"/>
  <c r="F680" i="3"/>
  <c r="E680" i="3"/>
  <c r="F679" i="3"/>
  <c r="E679" i="3"/>
  <c r="F678" i="3"/>
  <c r="E678" i="3"/>
  <c r="F677" i="3"/>
  <c r="E677" i="3"/>
  <c r="F676" i="3"/>
  <c r="E676" i="3"/>
  <c r="F675" i="3"/>
  <c r="E675" i="3"/>
  <c r="F674" i="3"/>
  <c r="E674" i="3"/>
  <c r="F673" i="3"/>
  <c r="E673" i="3"/>
  <c r="F672" i="3"/>
  <c r="E672" i="3"/>
  <c r="F671" i="3"/>
  <c r="E671" i="3"/>
  <c r="F670" i="3"/>
  <c r="E670" i="3"/>
  <c r="F669" i="3"/>
  <c r="E669" i="3"/>
  <c r="F668" i="3"/>
  <c r="E668" i="3"/>
  <c r="F667" i="3"/>
  <c r="E667" i="3"/>
  <c r="F666" i="3"/>
  <c r="E666" i="3"/>
  <c r="F665" i="3"/>
  <c r="E665" i="3"/>
  <c r="F664" i="3"/>
  <c r="E664" i="3"/>
  <c r="F663" i="3"/>
  <c r="E663" i="3"/>
  <c r="F662" i="3"/>
  <c r="E662" i="3"/>
  <c r="F661" i="3"/>
  <c r="E661" i="3"/>
  <c r="F660" i="3"/>
  <c r="E660" i="3"/>
  <c r="F659" i="3"/>
  <c r="E659" i="3"/>
  <c r="F658" i="3"/>
  <c r="E658" i="3"/>
  <c r="F657" i="3"/>
  <c r="E657" i="3"/>
  <c r="F656" i="3"/>
  <c r="E656" i="3"/>
  <c r="F655" i="3"/>
  <c r="E655" i="3"/>
  <c r="F654" i="3"/>
  <c r="E654" i="3"/>
  <c r="F653" i="3"/>
  <c r="E653" i="3"/>
  <c r="F652" i="3"/>
  <c r="E652" i="3"/>
  <c r="F651" i="3"/>
  <c r="E651" i="3"/>
  <c r="F650" i="3"/>
  <c r="E650" i="3"/>
  <c r="F649" i="3"/>
  <c r="E649" i="3"/>
  <c r="F648" i="3"/>
  <c r="E648" i="3"/>
  <c r="F647" i="3"/>
  <c r="E647" i="3"/>
  <c r="F646" i="3"/>
  <c r="E646" i="3"/>
  <c r="F645" i="3"/>
  <c r="E645" i="3"/>
  <c r="F644" i="3"/>
  <c r="E644" i="3"/>
  <c r="F643" i="3"/>
  <c r="E643" i="3"/>
  <c r="F642" i="3"/>
  <c r="E642" i="3"/>
  <c r="F641" i="3"/>
  <c r="E641" i="3"/>
  <c r="F640" i="3"/>
  <c r="E640" i="3"/>
  <c r="F639" i="3"/>
  <c r="E639" i="3"/>
  <c r="F638" i="3"/>
  <c r="E638" i="3"/>
  <c r="F637" i="3"/>
  <c r="E637" i="3"/>
  <c r="F636" i="3"/>
  <c r="E636" i="3"/>
  <c r="F635" i="3"/>
  <c r="E635" i="3"/>
  <c r="F634" i="3"/>
  <c r="E634" i="3"/>
  <c r="F633" i="3"/>
  <c r="E633" i="3"/>
  <c r="F632" i="3"/>
  <c r="E632" i="3"/>
  <c r="F631" i="3"/>
  <c r="E631" i="3"/>
  <c r="F630" i="3"/>
  <c r="E630" i="3"/>
  <c r="F629" i="3"/>
  <c r="E629" i="3"/>
  <c r="F628" i="3"/>
  <c r="E628" i="3"/>
  <c r="F627" i="3"/>
  <c r="E627" i="3"/>
  <c r="F626" i="3"/>
  <c r="E626" i="3"/>
  <c r="F625" i="3"/>
  <c r="E625" i="3"/>
  <c r="F624" i="3"/>
  <c r="E624" i="3"/>
  <c r="F623" i="3"/>
  <c r="E623" i="3"/>
  <c r="F622" i="3"/>
  <c r="E622" i="3"/>
  <c r="F621" i="3"/>
  <c r="E621" i="3"/>
  <c r="F620" i="3"/>
  <c r="E620" i="3"/>
  <c r="F619" i="3"/>
  <c r="E619" i="3"/>
  <c r="F618" i="3"/>
  <c r="E618" i="3"/>
  <c r="F617" i="3"/>
  <c r="E617" i="3"/>
  <c r="F616" i="3"/>
  <c r="E616" i="3"/>
  <c r="F615" i="3"/>
  <c r="E615" i="3"/>
  <c r="F614" i="3"/>
  <c r="E614" i="3"/>
  <c r="F613" i="3"/>
  <c r="E613" i="3"/>
  <c r="F612" i="3"/>
  <c r="E612" i="3"/>
  <c r="F611" i="3"/>
  <c r="E611" i="3"/>
  <c r="F610" i="3"/>
  <c r="E610" i="3"/>
  <c r="F609" i="3"/>
  <c r="E609" i="3"/>
  <c r="F608" i="3"/>
  <c r="E608" i="3"/>
  <c r="F607" i="3"/>
  <c r="E607" i="3"/>
  <c r="F606" i="3"/>
  <c r="E606" i="3"/>
  <c r="F605" i="3"/>
  <c r="E605" i="3"/>
  <c r="F604" i="3"/>
  <c r="E604" i="3"/>
  <c r="F603" i="3"/>
  <c r="E603" i="3"/>
  <c r="F602" i="3"/>
  <c r="E602" i="3"/>
  <c r="F601" i="3"/>
  <c r="E601" i="3"/>
  <c r="F600" i="3"/>
  <c r="E600" i="3"/>
  <c r="F599" i="3"/>
  <c r="E599" i="3"/>
  <c r="F598" i="3"/>
  <c r="E598" i="3"/>
  <c r="F597" i="3"/>
  <c r="E597" i="3"/>
  <c r="F596" i="3"/>
  <c r="E596" i="3"/>
  <c r="F595" i="3"/>
  <c r="E595" i="3"/>
  <c r="F594" i="3"/>
  <c r="E594" i="3"/>
  <c r="F593" i="3"/>
  <c r="E593" i="3"/>
  <c r="F592" i="3"/>
  <c r="E592" i="3"/>
  <c r="F591" i="3"/>
  <c r="E591" i="3"/>
  <c r="F590" i="3"/>
  <c r="E590" i="3"/>
  <c r="F589" i="3"/>
  <c r="E589" i="3"/>
  <c r="F588" i="3"/>
  <c r="E588" i="3"/>
  <c r="F587" i="3"/>
  <c r="E587" i="3"/>
  <c r="F586" i="3"/>
  <c r="E586" i="3"/>
  <c r="F585" i="3"/>
  <c r="E585" i="3"/>
  <c r="F584" i="3"/>
  <c r="E584" i="3"/>
  <c r="F583" i="3"/>
  <c r="E583" i="3"/>
  <c r="F582" i="3"/>
  <c r="E582" i="3"/>
  <c r="F581" i="3"/>
  <c r="E581" i="3"/>
  <c r="F580" i="3"/>
  <c r="E580" i="3"/>
  <c r="F579" i="3"/>
  <c r="E579" i="3"/>
  <c r="F578" i="3"/>
  <c r="E578" i="3"/>
  <c r="F577" i="3"/>
  <c r="E577" i="3"/>
  <c r="F576" i="3"/>
  <c r="E576" i="3"/>
  <c r="F575" i="3"/>
  <c r="E575" i="3"/>
  <c r="F574" i="3"/>
  <c r="E574" i="3"/>
  <c r="F573" i="3"/>
  <c r="E573" i="3"/>
  <c r="F572" i="3"/>
  <c r="E572" i="3"/>
  <c r="F571" i="3"/>
  <c r="E571" i="3"/>
  <c r="F570" i="3"/>
  <c r="E570" i="3"/>
  <c r="F569" i="3"/>
  <c r="E569" i="3"/>
  <c r="F568" i="3"/>
  <c r="E568" i="3"/>
  <c r="F567" i="3"/>
  <c r="E567" i="3"/>
  <c r="F566" i="3"/>
  <c r="E566" i="3"/>
  <c r="F565" i="3"/>
  <c r="E565" i="3"/>
  <c r="F564" i="3"/>
  <c r="E564" i="3"/>
  <c r="F563" i="3"/>
  <c r="E563" i="3"/>
  <c r="F562" i="3"/>
  <c r="E562" i="3"/>
  <c r="F561" i="3"/>
  <c r="E561" i="3"/>
  <c r="F560" i="3"/>
  <c r="E560" i="3"/>
  <c r="F559" i="3"/>
  <c r="E559" i="3"/>
  <c r="F558" i="3"/>
  <c r="E558" i="3"/>
  <c r="F557" i="3"/>
  <c r="E557" i="3"/>
  <c r="F556" i="3"/>
  <c r="E556" i="3"/>
  <c r="F555" i="3"/>
  <c r="E555" i="3"/>
  <c r="F554" i="3"/>
  <c r="E554" i="3"/>
  <c r="F553" i="3"/>
  <c r="E553" i="3"/>
  <c r="F552" i="3"/>
  <c r="E552" i="3"/>
  <c r="F551" i="3"/>
  <c r="E551" i="3"/>
  <c r="F550" i="3"/>
  <c r="E550" i="3"/>
  <c r="F549" i="3"/>
  <c r="E549" i="3"/>
  <c r="F548" i="3"/>
  <c r="E548" i="3"/>
  <c r="F547" i="3"/>
  <c r="E547" i="3"/>
  <c r="F546" i="3"/>
  <c r="E546" i="3"/>
  <c r="F545" i="3"/>
  <c r="E545" i="3"/>
  <c r="F544" i="3"/>
  <c r="E544" i="3"/>
  <c r="F543" i="3"/>
  <c r="E543" i="3"/>
  <c r="F542" i="3"/>
  <c r="E542" i="3"/>
  <c r="F541" i="3"/>
  <c r="E541" i="3"/>
  <c r="F540" i="3"/>
  <c r="E540" i="3"/>
  <c r="F539" i="3"/>
  <c r="E539" i="3"/>
  <c r="F538" i="3"/>
  <c r="E538" i="3"/>
  <c r="F537" i="3"/>
  <c r="E537" i="3"/>
  <c r="F536" i="3"/>
  <c r="E536" i="3"/>
  <c r="F535" i="3"/>
  <c r="E535" i="3"/>
  <c r="F534" i="3"/>
  <c r="E534" i="3"/>
  <c r="F533" i="3"/>
  <c r="E533" i="3"/>
  <c r="F532" i="3"/>
  <c r="E532" i="3"/>
  <c r="F531" i="3"/>
  <c r="E531" i="3"/>
  <c r="F530" i="3"/>
  <c r="E530" i="3"/>
  <c r="F529" i="3"/>
  <c r="E529" i="3"/>
  <c r="F528" i="3"/>
  <c r="E528" i="3"/>
  <c r="F527" i="3"/>
  <c r="E527" i="3"/>
  <c r="F526" i="3"/>
  <c r="E526" i="3"/>
  <c r="F525" i="3"/>
  <c r="E525" i="3"/>
  <c r="F524" i="3"/>
  <c r="E524" i="3"/>
  <c r="F523" i="3"/>
  <c r="E523" i="3"/>
  <c r="F522" i="3"/>
  <c r="E522" i="3"/>
  <c r="F521" i="3"/>
  <c r="E521" i="3"/>
  <c r="F520" i="3"/>
  <c r="E520" i="3"/>
  <c r="F519" i="3"/>
  <c r="E519" i="3"/>
  <c r="F518" i="3"/>
  <c r="E518" i="3"/>
  <c r="F517" i="3"/>
  <c r="E517" i="3"/>
  <c r="F516" i="3"/>
  <c r="E516" i="3"/>
  <c r="F515" i="3"/>
  <c r="E515" i="3"/>
  <c r="F514" i="3"/>
  <c r="E514" i="3"/>
  <c r="F513" i="3"/>
  <c r="E513" i="3"/>
  <c r="F512" i="3"/>
  <c r="E512" i="3"/>
  <c r="F511" i="3"/>
  <c r="E511" i="3"/>
  <c r="F510" i="3"/>
  <c r="E510" i="3"/>
  <c r="F509" i="3"/>
  <c r="E509" i="3"/>
  <c r="F508" i="3"/>
  <c r="E508" i="3"/>
  <c r="F507" i="3"/>
  <c r="E507" i="3"/>
  <c r="F506" i="3"/>
  <c r="E506" i="3"/>
  <c r="F505" i="3"/>
  <c r="E505" i="3"/>
  <c r="F504" i="3"/>
  <c r="E504" i="3"/>
  <c r="F503" i="3"/>
  <c r="E503" i="3"/>
  <c r="F502" i="3"/>
  <c r="E502" i="3"/>
  <c r="F501" i="3"/>
  <c r="E501" i="3"/>
  <c r="F500" i="3"/>
  <c r="E500" i="3"/>
  <c r="F499" i="3"/>
  <c r="E499" i="3"/>
  <c r="F498" i="3"/>
  <c r="E498" i="3"/>
  <c r="F497" i="3"/>
  <c r="E497" i="3"/>
  <c r="F496" i="3"/>
  <c r="E496" i="3"/>
  <c r="F495" i="3"/>
  <c r="E495" i="3"/>
  <c r="F494" i="3"/>
  <c r="E494" i="3"/>
  <c r="F493" i="3"/>
  <c r="E493" i="3"/>
  <c r="F492" i="3"/>
  <c r="E492" i="3"/>
  <c r="F491" i="3"/>
  <c r="E491" i="3"/>
  <c r="F490" i="3"/>
  <c r="E490" i="3"/>
  <c r="F489" i="3"/>
  <c r="E489" i="3"/>
  <c r="F488" i="3"/>
  <c r="E488" i="3"/>
  <c r="F487" i="3"/>
  <c r="E487" i="3"/>
  <c r="F486" i="3"/>
  <c r="E486" i="3"/>
  <c r="F485" i="3"/>
  <c r="E485" i="3"/>
  <c r="F484" i="3"/>
  <c r="E484" i="3"/>
  <c r="F483" i="3"/>
  <c r="E483" i="3"/>
  <c r="F482" i="3"/>
  <c r="E482" i="3"/>
  <c r="F481" i="3"/>
  <c r="E481" i="3"/>
  <c r="F480" i="3"/>
  <c r="E480" i="3"/>
  <c r="F479" i="3"/>
  <c r="E479" i="3"/>
  <c r="F478" i="3"/>
  <c r="E478" i="3"/>
  <c r="F477" i="3"/>
  <c r="E477" i="3"/>
  <c r="F476" i="3"/>
  <c r="E476" i="3"/>
  <c r="F475" i="3"/>
  <c r="E475" i="3"/>
  <c r="F474" i="3"/>
  <c r="E474" i="3"/>
  <c r="F473" i="3"/>
  <c r="E473" i="3"/>
  <c r="F472" i="3"/>
  <c r="E472" i="3"/>
  <c r="F471" i="3"/>
  <c r="E471" i="3"/>
  <c r="F470" i="3"/>
  <c r="E470" i="3"/>
  <c r="F469" i="3"/>
  <c r="E469" i="3"/>
  <c r="F468" i="3"/>
  <c r="E468" i="3"/>
  <c r="F467" i="3"/>
  <c r="E467" i="3"/>
  <c r="F466" i="3"/>
  <c r="E466" i="3"/>
  <c r="F465" i="3"/>
  <c r="E465" i="3"/>
  <c r="F464" i="3"/>
  <c r="E464" i="3"/>
  <c r="F463" i="3"/>
  <c r="E463" i="3"/>
  <c r="F462" i="3"/>
  <c r="E462" i="3"/>
  <c r="F461" i="3"/>
  <c r="E461" i="3"/>
  <c r="F460" i="3"/>
  <c r="E460" i="3"/>
  <c r="F459" i="3"/>
  <c r="E459" i="3"/>
  <c r="F458" i="3"/>
  <c r="E458" i="3"/>
  <c r="F457" i="3"/>
  <c r="E457" i="3"/>
  <c r="F456" i="3"/>
  <c r="E456" i="3"/>
  <c r="F455" i="3"/>
  <c r="E455" i="3"/>
  <c r="F454" i="3"/>
  <c r="E454" i="3"/>
  <c r="F453" i="3"/>
  <c r="E453" i="3"/>
  <c r="F452" i="3"/>
  <c r="E452" i="3"/>
  <c r="F451" i="3"/>
  <c r="E451" i="3"/>
  <c r="F450" i="3"/>
  <c r="E450" i="3"/>
  <c r="F449" i="3"/>
  <c r="E449" i="3"/>
  <c r="F448" i="3"/>
  <c r="E448" i="3"/>
  <c r="F447" i="3"/>
  <c r="E447" i="3"/>
  <c r="F446" i="3"/>
  <c r="E446" i="3"/>
  <c r="F445" i="3"/>
  <c r="E445" i="3"/>
  <c r="F444" i="3"/>
  <c r="E444" i="3"/>
  <c r="F443" i="3"/>
  <c r="E443" i="3"/>
  <c r="F442" i="3"/>
  <c r="E442" i="3"/>
  <c r="F441" i="3"/>
  <c r="E441" i="3"/>
  <c r="F440" i="3"/>
  <c r="E440" i="3"/>
  <c r="F439" i="3"/>
  <c r="E439" i="3"/>
  <c r="F438" i="3"/>
  <c r="E438" i="3"/>
  <c r="F437" i="3"/>
  <c r="E437" i="3"/>
  <c r="F436" i="3"/>
  <c r="E436" i="3"/>
  <c r="F435" i="3"/>
  <c r="E435" i="3"/>
  <c r="F434" i="3"/>
  <c r="E434" i="3"/>
  <c r="F433" i="3"/>
  <c r="E433" i="3"/>
  <c r="F432" i="3"/>
  <c r="E432" i="3"/>
  <c r="F431" i="3"/>
  <c r="E431" i="3"/>
  <c r="F430" i="3"/>
  <c r="E430" i="3"/>
  <c r="F429" i="3"/>
  <c r="E429" i="3"/>
  <c r="F428" i="3"/>
  <c r="E428" i="3"/>
  <c r="F427" i="3"/>
  <c r="E427" i="3"/>
  <c r="F426" i="3"/>
  <c r="E426" i="3"/>
  <c r="F425" i="3"/>
  <c r="E425" i="3"/>
  <c r="F424" i="3"/>
  <c r="E424" i="3"/>
  <c r="F423" i="3"/>
  <c r="E423" i="3"/>
  <c r="F422" i="3"/>
  <c r="E422" i="3"/>
  <c r="F421" i="3"/>
  <c r="E421" i="3"/>
  <c r="F420" i="3"/>
  <c r="E420" i="3"/>
  <c r="F419" i="3"/>
  <c r="E419" i="3"/>
  <c r="F418" i="3"/>
  <c r="E418" i="3"/>
  <c r="F417" i="3"/>
  <c r="E417" i="3"/>
  <c r="F416" i="3"/>
  <c r="E416" i="3"/>
  <c r="F415" i="3"/>
  <c r="E415" i="3"/>
  <c r="F414" i="3"/>
  <c r="E414" i="3"/>
  <c r="F413" i="3"/>
  <c r="E413" i="3"/>
  <c r="F412" i="3"/>
  <c r="E412" i="3"/>
  <c r="F411" i="3"/>
  <c r="E411" i="3"/>
  <c r="F410" i="3"/>
  <c r="E410" i="3"/>
  <c r="F409" i="3"/>
  <c r="E409" i="3"/>
  <c r="F408" i="3"/>
  <c r="E408" i="3"/>
  <c r="F407" i="3"/>
  <c r="E407" i="3"/>
  <c r="F406" i="3"/>
  <c r="E406" i="3"/>
  <c r="F405" i="3"/>
  <c r="E405" i="3"/>
  <c r="F404" i="3"/>
  <c r="E404" i="3"/>
  <c r="F403" i="3"/>
  <c r="E403" i="3"/>
  <c r="F402" i="3"/>
  <c r="E402" i="3"/>
  <c r="F401" i="3"/>
  <c r="E401" i="3"/>
  <c r="F400" i="3"/>
  <c r="E400" i="3"/>
  <c r="F399" i="3"/>
  <c r="E399" i="3"/>
  <c r="F398" i="3"/>
  <c r="E398" i="3"/>
  <c r="F397" i="3"/>
  <c r="E397" i="3"/>
  <c r="F396" i="3"/>
  <c r="E396" i="3"/>
  <c r="F395" i="3"/>
  <c r="E395" i="3"/>
  <c r="F394" i="3"/>
  <c r="E394" i="3"/>
  <c r="F393" i="3"/>
  <c r="E393" i="3"/>
  <c r="F392" i="3"/>
  <c r="E392" i="3"/>
  <c r="F391" i="3"/>
  <c r="E391" i="3"/>
  <c r="F390" i="3"/>
  <c r="E390" i="3"/>
  <c r="F389" i="3"/>
  <c r="E389" i="3"/>
  <c r="F388" i="3"/>
  <c r="E388" i="3"/>
  <c r="F387" i="3"/>
  <c r="E387" i="3"/>
  <c r="F386" i="3"/>
  <c r="E386" i="3"/>
  <c r="F385" i="3"/>
  <c r="E385" i="3"/>
  <c r="F384" i="3"/>
  <c r="E384" i="3"/>
  <c r="F383" i="3"/>
  <c r="E383" i="3"/>
  <c r="F382" i="3"/>
  <c r="E382" i="3"/>
  <c r="F381" i="3"/>
  <c r="E381" i="3"/>
  <c r="F380" i="3"/>
  <c r="E380" i="3"/>
  <c r="F379" i="3"/>
  <c r="E379" i="3"/>
  <c r="F378" i="3"/>
  <c r="E378" i="3"/>
  <c r="F377" i="3"/>
  <c r="E377" i="3"/>
  <c r="F376" i="3"/>
  <c r="E376" i="3"/>
  <c r="F375" i="3"/>
  <c r="E375" i="3"/>
  <c r="F374" i="3"/>
  <c r="E374" i="3"/>
  <c r="F373" i="3"/>
  <c r="E373" i="3"/>
  <c r="F372" i="3"/>
  <c r="E372" i="3"/>
  <c r="F371" i="3"/>
  <c r="E371" i="3"/>
  <c r="F370" i="3"/>
  <c r="E370" i="3"/>
  <c r="F369" i="3"/>
  <c r="E369" i="3"/>
  <c r="F368" i="3"/>
  <c r="E368" i="3"/>
  <c r="F367" i="3"/>
  <c r="E367" i="3"/>
  <c r="F366" i="3"/>
  <c r="E366" i="3"/>
  <c r="F365" i="3"/>
  <c r="E365" i="3"/>
  <c r="F364" i="3"/>
  <c r="E364" i="3"/>
  <c r="F363" i="3"/>
  <c r="E363" i="3"/>
  <c r="F362" i="3"/>
  <c r="E362" i="3"/>
  <c r="F361" i="3"/>
  <c r="E361" i="3"/>
  <c r="F360" i="3"/>
  <c r="E360" i="3"/>
  <c r="F359" i="3"/>
  <c r="E359" i="3"/>
  <c r="F358" i="3"/>
  <c r="E358" i="3"/>
  <c r="F357" i="3"/>
  <c r="E357" i="3"/>
  <c r="F356" i="3"/>
  <c r="E356" i="3"/>
  <c r="F355" i="3"/>
  <c r="E355" i="3"/>
  <c r="F354" i="3"/>
  <c r="E354" i="3"/>
  <c r="F353" i="3"/>
  <c r="E353" i="3"/>
  <c r="F352" i="3"/>
  <c r="E352" i="3"/>
  <c r="F351" i="3"/>
  <c r="E351" i="3"/>
  <c r="F350" i="3"/>
  <c r="E350" i="3"/>
  <c r="F349" i="3"/>
  <c r="E349" i="3"/>
  <c r="F348" i="3"/>
  <c r="E348" i="3"/>
  <c r="F347" i="3"/>
  <c r="E347" i="3"/>
  <c r="F346" i="3"/>
  <c r="E346" i="3"/>
  <c r="F345" i="3"/>
  <c r="E345" i="3"/>
  <c r="F344" i="3"/>
  <c r="E344" i="3"/>
  <c r="F343" i="3"/>
  <c r="E343" i="3"/>
  <c r="F342" i="3"/>
  <c r="E342" i="3"/>
  <c r="F341" i="3"/>
  <c r="E341" i="3"/>
  <c r="F340" i="3"/>
  <c r="E340" i="3"/>
  <c r="F339" i="3"/>
  <c r="E339" i="3"/>
  <c r="F338" i="3"/>
  <c r="E338" i="3"/>
  <c r="F337" i="3"/>
  <c r="E337" i="3"/>
  <c r="F336" i="3"/>
  <c r="E336" i="3"/>
  <c r="F335" i="3"/>
  <c r="E335" i="3"/>
  <c r="F334" i="3"/>
  <c r="E334" i="3"/>
  <c r="F333" i="3"/>
  <c r="E333" i="3"/>
  <c r="F332" i="3"/>
  <c r="E332" i="3"/>
  <c r="F331" i="3"/>
  <c r="E331" i="3"/>
  <c r="F330" i="3"/>
  <c r="E330" i="3"/>
  <c r="F329" i="3"/>
  <c r="E329" i="3"/>
  <c r="F328" i="3"/>
  <c r="E328" i="3"/>
  <c r="F327" i="3"/>
  <c r="E327" i="3"/>
  <c r="F326" i="3"/>
  <c r="E326" i="3"/>
  <c r="F325" i="3"/>
  <c r="E325" i="3"/>
  <c r="F324" i="3"/>
  <c r="E324" i="3"/>
  <c r="F323" i="3"/>
  <c r="E323" i="3"/>
  <c r="F322" i="3"/>
  <c r="E322" i="3"/>
  <c r="F321" i="3"/>
  <c r="E321" i="3"/>
  <c r="F320" i="3"/>
  <c r="E320" i="3"/>
  <c r="F319" i="3"/>
  <c r="E319" i="3"/>
  <c r="F318" i="3"/>
  <c r="E318" i="3"/>
  <c r="F317" i="3"/>
  <c r="E317" i="3"/>
  <c r="F316" i="3"/>
  <c r="E316" i="3"/>
  <c r="F315" i="3"/>
  <c r="E315" i="3"/>
  <c r="F314" i="3"/>
  <c r="E314" i="3"/>
  <c r="F313" i="3"/>
  <c r="E313" i="3"/>
  <c r="F312" i="3"/>
  <c r="E312" i="3"/>
  <c r="F311" i="3"/>
  <c r="E311" i="3"/>
  <c r="F310" i="3"/>
  <c r="E310" i="3"/>
  <c r="F309" i="3"/>
  <c r="E309" i="3"/>
  <c r="F308" i="3"/>
  <c r="E308" i="3"/>
  <c r="F307" i="3"/>
  <c r="E307" i="3"/>
  <c r="F306" i="3"/>
  <c r="E306" i="3"/>
  <c r="F305" i="3"/>
  <c r="E305" i="3"/>
  <c r="F304" i="3"/>
  <c r="E304" i="3"/>
  <c r="F303" i="3"/>
  <c r="E303" i="3"/>
  <c r="F302" i="3"/>
  <c r="E302" i="3"/>
  <c r="F301" i="3"/>
  <c r="E301" i="3"/>
  <c r="F300" i="3"/>
  <c r="E300" i="3"/>
  <c r="F299" i="3"/>
  <c r="E299" i="3"/>
  <c r="F298" i="3"/>
  <c r="E298" i="3"/>
  <c r="F297" i="3"/>
  <c r="E297" i="3"/>
  <c r="F296" i="3"/>
  <c r="E296" i="3"/>
  <c r="F295" i="3"/>
  <c r="E295" i="3"/>
  <c r="F294" i="3"/>
  <c r="E294" i="3"/>
  <c r="F293" i="3"/>
  <c r="E293" i="3"/>
  <c r="F292" i="3"/>
  <c r="E292" i="3"/>
  <c r="F291" i="3"/>
  <c r="E291" i="3"/>
  <c r="F290" i="3"/>
  <c r="E290" i="3"/>
  <c r="F289" i="3"/>
  <c r="E289" i="3"/>
  <c r="F288" i="3"/>
  <c r="E288" i="3"/>
  <c r="F287" i="3"/>
  <c r="E287" i="3"/>
  <c r="F286" i="3"/>
  <c r="E286" i="3"/>
  <c r="F285" i="3"/>
  <c r="E285" i="3"/>
  <c r="F284" i="3"/>
  <c r="E284" i="3"/>
  <c r="F283" i="3"/>
  <c r="E283" i="3"/>
  <c r="F282" i="3"/>
  <c r="E282" i="3"/>
  <c r="F281" i="3"/>
  <c r="E281" i="3"/>
  <c r="F280" i="3"/>
  <c r="E280" i="3"/>
  <c r="F279" i="3"/>
  <c r="E279" i="3"/>
  <c r="F278" i="3"/>
  <c r="E278" i="3"/>
  <c r="F277" i="3"/>
  <c r="E277" i="3"/>
  <c r="F276" i="3"/>
  <c r="E276" i="3"/>
  <c r="F275" i="3"/>
  <c r="E275" i="3"/>
  <c r="F274" i="3"/>
  <c r="E274" i="3"/>
  <c r="F273" i="3"/>
  <c r="E273" i="3"/>
  <c r="F272" i="3"/>
  <c r="E272" i="3"/>
  <c r="F271" i="3"/>
  <c r="E271" i="3"/>
  <c r="F270" i="3"/>
  <c r="E270" i="3"/>
  <c r="F269" i="3"/>
  <c r="E269" i="3"/>
  <c r="F268" i="3"/>
  <c r="E268" i="3"/>
  <c r="F267" i="3"/>
  <c r="E267" i="3"/>
  <c r="F266" i="3"/>
  <c r="E266" i="3"/>
  <c r="F265" i="3"/>
  <c r="E265" i="3"/>
  <c r="F264" i="3"/>
  <c r="E264" i="3"/>
  <c r="F263" i="3"/>
  <c r="E263" i="3"/>
  <c r="F262" i="3"/>
  <c r="E262" i="3"/>
  <c r="F261" i="3"/>
  <c r="E261" i="3"/>
  <c r="F260" i="3"/>
  <c r="E260" i="3"/>
  <c r="F259" i="3"/>
  <c r="E259" i="3"/>
  <c r="F258" i="3"/>
  <c r="E258" i="3"/>
  <c r="F257" i="3"/>
  <c r="E257" i="3"/>
  <c r="F256" i="3"/>
  <c r="E256" i="3"/>
  <c r="F255" i="3"/>
  <c r="E255" i="3"/>
  <c r="F254" i="3"/>
  <c r="E254" i="3"/>
  <c r="F253" i="3"/>
  <c r="E253" i="3"/>
  <c r="F252" i="3"/>
  <c r="E252" i="3"/>
  <c r="F251" i="3"/>
  <c r="E251" i="3"/>
  <c r="F250" i="3"/>
  <c r="E250" i="3"/>
  <c r="F249" i="3"/>
  <c r="E249" i="3"/>
  <c r="F248" i="3"/>
  <c r="E248" i="3"/>
  <c r="F247" i="3"/>
  <c r="E247" i="3"/>
  <c r="F246" i="3"/>
  <c r="E246" i="3"/>
  <c r="F245" i="3"/>
  <c r="E245" i="3"/>
  <c r="F244" i="3"/>
  <c r="E244" i="3"/>
  <c r="F243" i="3"/>
  <c r="E243" i="3"/>
  <c r="F242" i="3"/>
  <c r="E242" i="3"/>
  <c r="F241" i="3"/>
  <c r="E241" i="3"/>
  <c r="F240" i="3"/>
  <c r="E240" i="3"/>
  <c r="F239" i="3"/>
  <c r="E239" i="3"/>
  <c r="F238" i="3"/>
  <c r="E238" i="3"/>
  <c r="F237" i="3"/>
  <c r="E237" i="3"/>
  <c r="F236" i="3"/>
  <c r="E236" i="3"/>
  <c r="F235" i="3"/>
  <c r="E235" i="3"/>
  <c r="F234" i="3"/>
  <c r="E234" i="3"/>
  <c r="F233" i="3"/>
  <c r="E233" i="3"/>
  <c r="F232" i="3"/>
  <c r="E232" i="3"/>
  <c r="F231" i="3"/>
  <c r="E231" i="3"/>
  <c r="F230" i="3"/>
  <c r="E230" i="3"/>
  <c r="F229" i="3"/>
  <c r="E229" i="3"/>
  <c r="F228" i="3"/>
  <c r="E228" i="3"/>
  <c r="F227" i="3"/>
  <c r="E227" i="3"/>
  <c r="F226" i="3"/>
  <c r="E226" i="3"/>
  <c r="F225" i="3"/>
  <c r="E225" i="3"/>
  <c r="F224" i="3"/>
  <c r="E224" i="3"/>
  <c r="F223" i="3"/>
  <c r="E223" i="3"/>
  <c r="F222" i="3"/>
  <c r="E222" i="3"/>
  <c r="F221" i="3"/>
  <c r="E221" i="3"/>
  <c r="F220" i="3"/>
  <c r="E220" i="3"/>
  <c r="F219" i="3"/>
  <c r="E219" i="3"/>
  <c r="F218" i="3"/>
  <c r="E218" i="3"/>
  <c r="F217" i="3"/>
  <c r="E217" i="3"/>
  <c r="F216" i="3"/>
  <c r="E216" i="3"/>
  <c r="F215" i="3"/>
  <c r="E215" i="3"/>
  <c r="F214" i="3"/>
  <c r="E214" i="3"/>
  <c r="F213" i="3"/>
  <c r="E213" i="3"/>
  <c r="F212" i="3"/>
  <c r="E212" i="3"/>
  <c r="F211" i="3"/>
  <c r="E211" i="3"/>
  <c r="F210" i="3"/>
  <c r="E210" i="3"/>
  <c r="F209" i="3"/>
  <c r="E209" i="3"/>
  <c r="F208" i="3"/>
  <c r="E208" i="3"/>
  <c r="F207" i="3"/>
  <c r="E207" i="3"/>
  <c r="F206" i="3"/>
  <c r="E206" i="3"/>
  <c r="F205" i="3"/>
  <c r="E205" i="3"/>
  <c r="F204" i="3"/>
  <c r="E204" i="3"/>
  <c r="F203" i="3"/>
  <c r="E203" i="3"/>
  <c r="F202" i="3"/>
  <c r="E202" i="3"/>
  <c r="F201" i="3"/>
  <c r="E201" i="3"/>
  <c r="F200" i="3"/>
  <c r="E200" i="3"/>
  <c r="F199" i="3"/>
  <c r="E199" i="3"/>
  <c r="F198" i="3"/>
  <c r="E198" i="3"/>
  <c r="F197" i="3"/>
  <c r="E197" i="3"/>
  <c r="F196" i="3"/>
  <c r="E196" i="3"/>
  <c r="F195" i="3"/>
  <c r="E195" i="3"/>
  <c r="F194" i="3"/>
  <c r="E194" i="3"/>
  <c r="F193" i="3"/>
  <c r="E193" i="3"/>
  <c r="F192" i="3"/>
  <c r="E192" i="3"/>
  <c r="F191" i="3"/>
  <c r="E191" i="3"/>
  <c r="F190" i="3"/>
  <c r="E190" i="3"/>
  <c r="F189" i="3"/>
  <c r="E189" i="3"/>
  <c r="F188" i="3"/>
  <c r="E188" i="3"/>
  <c r="F187" i="3"/>
  <c r="E187" i="3"/>
  <c r="F186" i="3"/>
  <c r="E186" i="3"/>
  <c r="F185" i="3"/>
  <c r="E185" i="3"/>
  <c r="F184" i="3"/>
  <c r="E184" i="3"/>
  <c r="F183" i="3"/>
  <c r="E183" i="3"/>
  <c r="F182" i="3"/>
  <c r="E182" i="3"/>
  <c r="F181" i="3"/>
  <c r="E181" i="3"/>
  <c r="F180" i="3"/>
  <c r="E180" i="3"/>
  <c r="F179" i="3"/>
  <c r="E179" i="3"/>
  <c r="F178" i="3"/>
  <c r="E178" i="3"/>
  <c r="F177" i="3"/>
  <c r="E177" i="3"/>
  <c r="F176" i="3"/>
  <c r="E176" i="3"/>
  <c r="F175" i="3"/>
  <c r="E175" i="3"/>
  <c r="F174" i="3"/>
  <c r="E174" i="3"/>
  <c r="F173" i="3"/>
  <c r="E173" i="3"/>
  <c r="F172" i="3"/>
  <c r="E172" i="3"/>
  <c r="F171" i="3"/>
  <c r="E171" i="3"/>
  <c r="F170" i="3"/>
  <c r="E170" i="3"/>
  <c r="F169" i="3"/>
  <c r="E169" i="3"/>
  <c r="F168" i="3"/>
  <c r="E168" i="3"/>
  <c r="F167" i="3"/>
  <c r="E167" i="3"/>
  <c r="F166" i="3"/>
  <c r="E166" i="3"/>
  <c r="F165" i="3"/>
  <c r="E165" i="3"/>
  <c r="F164" i="3"/>
  <c r="E164" i="3"/>
  <c r="F163" i="3"/>
  <c r="E163" i="3"/>
  <c r="F162" i="3"/>
  <c r="E162" i="3"/>
  <c r="F161" i="3"/>
  <c r="E161" i="3"/>
  <c r="F160" i="3"/>
  <c r="E160" i="3"/>
  <c r="F159" i="3"/>
  <c r="E159" i="3"/>
  <c r="F158" i="3"/>
  <c r="E158" i="3"/>
  <c r="F157" i="3"/>
  <c r="E157" i="3"/>
  <c r="F156" i="3"/>
  <c r="E156" i="3"/>
  <c r="F155" i="3"/>
  <c r="E155" i="3"/>
  <c r="F154" i="3"/>
  <c r="E154" i="3"/>
  <c r="F153" i="3"/>
  <c r="E153" i="3"/>
  <c r="F152" i="3"/>
  <c r="E152" i="3"/>
  <c r="F151" i="3"/>
  <c r="E151" i="3"/>
  <c r="F150" i="3"/>
  <c r="E150" i="3"/>
  <c r="F149" i="3"/>
  <c r="E149" i="3"/>
  <c r="F148" i="3"/>
  <c r="E148" i="3"/>
  <c r="F147" i="3"/>
  <c r="E147" i="3"/>
  <c r="F146" i="3"/>
  <c r="E146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F126" i="3"/>
  <c r="E126" i="3"/>
  <c r="F125" i="3"/>
  <c r="E125" i="3"/>
  <c r="F124" i="3"/>
  <c r="E124" i="3"/>
  <c r="F123" i="3"/>
  <c r="E123" i="3"/>
  <c r="F122" i="3"/>
  <c r="E122" i="3"/>
  <c r="F121" i="3"/>
  <c r="E121" i="3"/>
  <c r="F120" i="3"/>
  <c r="E120" i="3"/>
  <c r="F119" i="3"/>
  <c r="E119" i="3"/>
  <c r="F118" i="3"/>
  <c r="E118" i="3"/>
  <c r="F117" i="3"/>
  <c r="E117" i="3"/>
  <c r="F116" i="3"/>
  <c r="E116" i="3"/>
  <c r="F115" i="3"/>
  <c r="E115" i="3"/>
  <c r="F114" i="3"/>
  <c r="E114" i="3"/>
  <c r="F113" i="3"/>
  <c r="E113" i="3"/>
  <c r="F112" i="3"/>
  <c r="E112" i="3"/>
  <c r="F111" i="3"/>
  <c r="E111" i="3"/>
  <c r="F110" i="3"/>
  <c r="E110" i="3"/>
  <c r="F109" i="3"/>
  <c r="E109" i="3"/>
  <c r="F108" i="3"/>
  <c r="E108" i="3"/>
  <c r="F107" i="3"/>
  <c r="E107" i="3"/>
  <c r="F106" i="3"/>
  <c r="E106" i="3"/>
  <c r="F105" i="3"/>
  <c r="E105" i="3"/>
  <c r="F104" i="3"/>
  <c r="E104" i="3"/>
  <c r="F103" i="3"/>
  <c r="E103" i="3"/>
  <c r="F102" i="3"/>
  <c r="E102" i="3"/>
  <c r="F101" i="3"/>
  <c r="E101" i="3"/>
  <c r="F100" i="3"/>
  <c r="E100" i="3"/>
  <c r="F99" i="3"/>
  <c r="E99" i="3"/>
  <c r="F98" i="3"/>
  <c r="E98" i="3"/>
  <c r="F97" i="3"/>
  <c r="E97" i="3"/>
  <c r="F96" i="3"/>
  <c r="E96" i="3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F87" i="3"/>
  <c r="E87" i="3"/>
  <c r="F86" i="3"/>
  <c r="E86" i="3"/>
  <c r="F85" i="3"/>
  <c r="E85" i="3"/>
  <c r="F84" i="3"/>
  <c r="E84" i="3"/>
  <c r="F83" i="3"/>
  <c r="E83" i="3"/>
  <c r="F82" i="3"/>
  <c r="E82" i="3"/>
  <c r="F81" i="3"/>
  <c r="E81" i="3"/>
  <c r="F80" i="3"/>
  <c r="E80" i="3"/>
  <c r="F79" i="3"/>
  <c r="E79" i="3"/>
  <c r="F78" i="3"/>
  <c r="E78" i="3"/>
  <c r="F77" i="3"/>
  <c r="E77" i="3"/>
  <c r="F76" i="3"/>
  <c r="E76" i="3"/>
  <c r="F75" i="3"/>
  <c r="E75" i="3"/>
  <c r="F74" i="3"/>
  <c r="E74" i="3"/>
  <c r="F73" i="3"/>
  <c r="E73" i="3"/>
  <c r="F72" i="3"/>
  <c r="E72" i="3"/>
  <c r="F71" i="3"/>
  <c r="E71" i="3"/>
  <c r="F70" i="3"/>
  <c r="E70" i="3"/>
  <c r="F69" i="3"/>
  <c r="E69" i="3"/>
  <c r="F68" i="3"/>
  <c r="E68" i="3"/>
  <c r="F67" i="3"/>
  <c r="E67" i="3"/>
  <c r="F66" i="3"/>
  <c r="E66" i="3"/>
  <c r="F65" i="3"/>
  <c r="E65" i="3"/>
  <c r="F64" i="3"/>
  <c r="E64" i="3"/>
  <c r="F63" i="3"/>
  <c r="E63" i="3"/>
  <c r="F62" i="3"/>
  <c r="E62" i="3"/>
  <c r="F61" i="3"/>
  <c r="E61" i="3"/>
  <c r="F60" i="3"/>
  <c r="E60" i="3"/>
  <c r="F59" i="3"/>
  <c r="E59" i="3"/>
  <c r="F58" i="3"/>
  <c r="E58" i="3"/>
  <c r="F57" i="3"/>
  <c r="E57" i="3"/>
  <c r="F56" i="3"/>
  <c r="E56" i="3"/>
  <c r="F55" i="3"/>
  <c r="E55" i="3"/>
  <c r="F54" i="3"/>
  <c r="E54" i="3"/>
  <c r="F53" i="3"/>
  <c r="E53" i="3"/>
  <c r="F52" i="3"/>
  <c r="E52" i="3"/>
  <c r="F51" i="3"/>
  <c r="E51" i="3"/>
  <c r="F50" i="3"/>
  <c r="E50" i="3"/>
  <c r="F49" i="3"/>
  <c r="E49" i="3"/>
  <c r="F48" i="3"/>
  <c r="E48" i="3"/>
  <c r="F47" i="3"/>
  <c r="E47" i="3"/>
  <c r="F46" i="3"/>
  <c r="E46" i="3"/>
  <c r="F45" i="3"/>
  <c r="E45" i="3"/>
  <c r="F44" i="3"/>
  <c r="E44" i="3"/>
  <c r="F43" i="3"/>
  <c r="E43" i="3"/>
  <c r="F42" i="3"/>
  <c r="E42" i="3"/>
  <c r="F41" i="3"/>
  <c r="E41" i="3"/>
  <c r="F40" i="3"/>
  <c r="E40" i="3"/>
  <c r="F39" i="3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AC58" i="13"/>
  <c r="AC57" i="13"/>
  <c r="AC56" i="13" s="1"/>
  <c r="AB58" i="13"/>
  <c r="W58" i="13"/>
  <c r="V58" i="13"/>
  <c r="Q58" i="13"/>
  <c r="Q57" i="13"/>
  <c r="P58" i="13"/>
  <c r="J58" i="13"/>
  <c r="E58" i="13"/>
  <c r="F58" i="13"/>
  <c r="G58" i="13" s="1"/>
  <c r="D58" i="13"/>
  <c r="AB57" i="13"/>
  <c r="V57" i="13"/>
  <c r="P57" i="13"/>
  <c r="J57" i="13"/>
  <c r="D57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AB56" i="13"/>
  <c r="V56" i="13"/>
  <c r="P56" i="13"/>
  <c r="J56" i="13"/>
  <c r="D56" i="13"/>
  <c r="AB55" i="13"/>
  <c r="V55" i="13"/>
  <c r="P55" i="13"/>
  <c r="J55" i="13"/>
  <c r="D55" i="13"/>
  <c r="AB54" i="13"/>
  <c r="V54" i="13"/>
  <c r="P54" i="13"/>
  <c r="J54" i="13"/>
  <c r="D54" i="13"/>
  <c r="AB53" i="13"/>
  <c r="V53" i="13"/>
  <c r="P53" i="13"/>
  <c r="J53" i="13"/>
  <c r="D53" i="13"/>
  <c r="AB52" i="13"/>
  <c r="V52" i="13"/>
  <c r="P52" i="13"/>
  <c r="J52" i="13"/>
  <c r="D52" i="13"/>
  <c r="AB51" i="13"/>
  <c r="V51" i="13"/>
  <c r="P51" i="13"/>
  <c r="J51" i="13"/>
  <c r="D51" i="13"/>
  <c r="AB50" i="13"/>
  <c r="V50" i="13"/>
  <c r="P50" i="13"/>
  <c r="J50" i="13"/>
  <c r="D50" i="13"/>
  <c r="AB49" i="13"/>
  <c r="V49" i="13"/>
  <c r="P49" i="13"/>
  <c r="J49" i="13"/>
  <c r="D49" i="13"/>
  <c r="AB48" i="13"/>
  <c r="V48" i="13"/>
  <c r="P48" i="13"/>
  <c r="J48" i="13"/>
  <c r="D48" i="13"/>
  <c r="AB47" i="13"/>
  <c r="V47" i="13"/>
  <c r="P47" i="13"/>
  <c r="J47" i="13"/>
  <c r="D47" i="13"/>
  <c r="AB46" i="13"/>
  <c r="V46" i="13"/>
  <c r="P46" i="13"/>
  <c r="J46" i="13"/>
  <c r="D46" i="13"/>
  <c r="AB45" i="13"/>
  <c r="V45" i="13"/>
  <c r="P45" i="13"/>
  <c r="J45" i="13"/>
  <c r="D45" i="13"/>
  <c r="AB44" i="13"/>
  <c r="V44" i="13"/>
  <c r="P44" i="13"/>
  <c r="J44" i="13"/>
  <c r="D44" i="13"/>
  <c r="AB43" i="13"/>
  <c r="V43" i="13"/>
  <c r="P43" i="13"/>
  <c r="J43" i="13"/>
  <c r="D43" i="13"/>
  <c r="AB42" i="13"/>
  <c r="V42" i="13"/>
  <c r="P42" i="13"/>
  <c r="J42" i="13"/>
  <c r="D42" i="13"/>
  <c r="AB41" i="13"/>
  <c r="V41" i="13"/>
  <c r="P41" i="13"/>
  <c r="J41" i="13"/>
  <c r="D41" i="13"/>
  <c r="AB40" i="13"/>
  <c r="V40" i="13"/>
  <c r="P40" i="13"/>
  <c r="J40" i="13"/>
  <c r="D40" i="13"/>
  <c r="AB39" i="13"/>
  <c r="V39" i="13"/>
  <c r="P39" i="13"/>
  <c r="J39" i="13"/>
  <c r="D39" i="13"/>
  <c r="AB38" i="13"/>
  <c r="V38" i="13"/>
  <c r="P38" i="13"/>
  <c r="J38" i="13"/>
  <c r="D38" i="13"/>
  <c r="AB37" i="13"/>
  <c r="V37" i="13"/>
  <c r="P37" i="13"/>
  <c r="J37" i="13"/>
  <c r="D37" i="13"/>
  <c r="AB36" i="13"/>
  <c r="V36" i="13"/>
  <c r="P36" i="13"/>
  <c r="J36" i="13"/>
  <c r="D36" i="13"/>
  <c r="AB35" i="13"/>
  <c r="V35" i="13"/>
  <c r="P35" i="13"/>
  <c r="J35" i="13"/>
  <c r="D35" i="13"/>
  <c r="AB34" i="13"/>
  <c r="V34" i="13"/>
  <c r="P34" i="13"/>
  <c r="J34" i="13"/>
  <c r="D34" i="13"/>
  <c r="AB33" i="13"/>
  <c r="V33" i="13"/>
  <c r="P33" i="13"/>
  <c r="J33" i="13"/>
  <c r="D33" i="13"/>
  <c r="AB32" i="13"/>
  <c r="V32" i="13"/>
  <c r="P32" i="13"/>
  <c r="J32" i="13"/>
  <c r="D32" i="13"/>
  <c r="AB31" i="13"/>
  <c r="V31" i="13"/>
  <c r="P31" i="13"/>
  <c r="J31" i="13"/>
  <c r="D31" i="13"/>
  <c r="AB30" i="13"/>
  <c r="V30" i="13"/>
  <c r="P30" i="13"/>
  <c r="J30" i="13"/>
  <c r="D30" i="13"/>
  <c r="AB29" i="13"/>
  <c r="V29" i="13"/>
  <c r="P29" i="13"/>
  <c r="J29" i="13"/>
  <c r="D29" i="13"/>
  <c r="AB28" i="13"/>
  <c r="V28" i="13"/>
  <c r="P28" i="13"/>
  <c r="J28" i="13"/>
  <c r="D28" i="13"/>
  <c r="AB27" i="13"/>
  <c r="V27" i="13"/>
  <c r="P27" i="13"/>
  <c r="J27" i="13"/>
  <c r="D27" i="13"/>
  <c r="AB26" i="13"/>
  <c r="V26" i="13"/>
  <c r="P26" i="13"/>
  <c r="J26" i="13"/>
  <c r="D26" i="13"/>
  <c r="AB25" i="13"/>
  <c r="V25" i="13"/>
  <c r="P25" i="13"/>
  <c r="J25" i="13"/>
  <c r="D25" i="13"/>
  <c r="AB24" i="13"/>
  <c r="V24" i="13"/>
  <c r="P24" i="13"/>
  <c r="J24" i="13"/>
  <c r="D24" i="13"/>
  <c r="AB23" i="13"/>
  <c r="V23" i="13"/>
  <c r="P23" i="13"/>
  <c r="J23" i="13"/>
  <c r="D23" i="13"/>
  <c r="AB22" i="13"/>
  <c r="V22" i="13"/>
  <c r="P22" i="13"/>
  <c r="J22" i="13"/>
  <c r="D22" i="13"/>
  <c r="AB21" i="13"/>
  <c r="V21" i="13"/>
  <c r="P21" i="13"/>
  <c r="J21" i="13"/>
  <c r="D21" i="13"/>
  <c r="AB20" i="13"/>
  <c r="V20" i="13"/>
  <c r="P20" i="13"/>
  <c r="J20" i="13"/>
  <c r="D20" i="13"/>
  <c r="AB19" i="13"/>
  <c r="V19" i="13"/>
  <c r="P19" i="13"/>
  <c r="J19" i="13"/>
  <c r="D19" i="13"/>
  <c r="AB18" i="13"/>
  <c r="V18" i="13"/>
  <c r="P18" i="13"/>
  <c r="J18" i="13"/>
  <c r="D18" i="13"/>
  <c r="AB17" i="13"/>
  <c r="V17" i="13"/>
  <c r="P17" i="13"/>
  <c r="J17" i="13"/>
  <c r="D17" i="13"/>
  <c r="AB16" i="13"/>
  <c r="V16" i="13"/>
  <c r="P16" i="13"/>
  <c r="J16" i="13"/>
  <c r="D16" i="13"/>
  <c r="AB15" i="13"/>
  <c r="V15" i="13"/>
  <c r="P15" i="13"/>
  <c r="J15" i="13"/>
  <c r="D15" i="13"/>
  <c r="AB14" i="13"/>
  <c r="V14" i="13"/>
  <c r="P14" i="13"/>
  <c r="J14" i="13"/>
  <c r="D14" i="13"/>
  <c r="AB13" i="13"/>
  <c r="V13" i="13"/>
  <c r="P13" i="13"/>
  <c r="J13" i="13"/>
  <c r="D13" i="13"/>
  <c r="AB12" i="13"/>
  <c r="V12" i="13"/>
  <c r="P12" i="13"/>
  <c r="J12" i="13"/>
  <c r="D12" i="13"/>
  <c r="AB11" i="13"/>
  <c r="V11" i="13"/>
  <c r="P11" i="13"/>
  <c r="J11" i="13"/>
  <c r="D11" i="13"/>
  <c r="AB10" i="13"/>
  <c r="V10" i="13"/>
  <c r="P10" i="13"/>
  <c r="J10" i="13"/>
  <c r="D10" i="13"/>
  <c r="AB9" i="13"/>
  <c r="V9" i="13"/>
  <c r="P9" i="13"/>
  <c r="J9" i="13"/>
  <c r="D9" i="13"/>
  <c r="AB8" i="13"/>
  <c r="V8" i="13"/>
  <c r="P8" i="13"/>
  <c r="J8" i="13"/>
  <c r="D8" i="13"/>
  <c r="AB7" i="13"/>
  <c r="V7" i="13"/>
  <c r="P7" i="13"/>
  <c r="J7" i="13"/>
  <c r="D7" i="13"/>
  <c r="AC58" i="12"/>
  <c r="AD58" i="12" s="1"/>
  <c r="AB58" i="12"/>
  <c r="W58" i="12"/>
  <c r="W57" i="12"/>
  <c r="V58" i="12"/>
  <c r="Q58" i="12"/>
  <c r="Q57" i="12" s="1"/>
  <c r="S57" i="12" s="1"/>
  <c r="P58" i="12"/>
  <c r="K58" i="12"/>
  <c r="J58" i="12"/>
  <c r="E58" i="12"/>
  <c r="E57" i="12" s="1"/>
  <c r="E56" i="12"/>
  <c r="D58" i="12"/>
  <c r="AB57" i="12"/>
  <c r="V57" i="12"/>
  <c r="P57" i="12"/>
  <c r="J57" i="12"/>
  <c r="D57" i="12"/>
  <c r="B57" i="12"/>
  <c r="AB56" i="12"/>
  <c r="V56" i="12"/>
  <c r="P56" i="12"/>
  <c r="J56" i="12"/>
  <c r="D56" i="12"/>
  <c r="B56" i="12"/>
  <c r="B55" i="12"/>
  <c r="B54" i="12"/>
  <c r="AB55" i="12"/>
  <c r="V55" i="12"/>
  <c r="P55" i="12"/>
  <c r="J55" i="12"/>
  <c r="D55" i="12"/>
  <c r="AB54" i="12"/>
  <c r="V54" i="12"/>
  <c r="P54" i="12"/>
  <c r="J54" i="12"/>
  <c r="D54" i="12"/>
  <c r="AB53" i="12"/>
  <c r="V53" i="12"/>
  <c r="P53" i="12"/>
  <c r="J53" i="12"/>
  <c r="D53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AB52" i="12"/>
  <c r="V52" i="12"/>
  <c r="P52" i="12"/>
  <c r="J52" i="12"/>
  <c r="D52" i="12"/>
  <c r="AB51" i="12"/>
  <c r="V51" i="12"/>
  <c r="P51" i="12"/>
  <c r="J51" i="12"/>
  <c r="D51" i="12"/>
  <c r="AB50" i="12"/>
  <c r="V50" i="12"/>
  <c r="P50" i="12"/>
  <c r="J50" i="12"/>
  <c r="D50" i="12"/>
  <c r="AB49" i="12"/>
  <c r="V49" i="12"/>
  <c r="P49" i="12"/>
  <c r="J49" i="12"/>
  <c r="D49" i="12"/>
  <c r="AB48" i="12"/>
  <c r="V48" i="12"/>
  <c r="P48" i="12"/>
  <c r="J48" i="12"/>
  <c r="D48" i="12"/>
  <c r="AB47" i="12"/>
  <c r="V47" i="12"/>
  <c r="P47" i="12"/>
  <c r="J47" i="12"/>
  <c r="D47" i="12"/>
  <c r="AB46" i="12"/>
  <c r="V46" i="12"/>
  <c r="P46" i="12"/>
  <c r="J46" i="12"/>
  <c r="D46" i="12"/>
  <c r="AB45" i="12"/>
  <c r="V45" i="12"/>
  <c r="P45" i="12"/>
  <c r="J45" i="12"/>
  <c r="D45" i="12"/>
  <c r="AB44" i="12"/>
  <c r="V44" i="12"/>
  <c r="P44" i="12"/>
  <c r="J44" i="12"/>
  <c r="D44" i="12"/>
  <c r="AB43" i="12"/>
  <c r="V43" i="12"/>
  <c r="P43" i="12"/>
  <c r="J43" i="12"/>
  <c r="D43" i="12"/>
  <c r="AB42" i="12"/>
  <c r="V42" i="12"/>
  <c r="P42" i="12"/>
  <c r="J42" i="12"/>
  <c r="D42" i="12"/>
  <c r="AB41" i="12"/>
  <c r="V41" i="12"/>
  <c r="P41" i="12"/>
  <c r="J41" i="12"/>
  <c r="D41" i="12"/>
  <c r="AB40" i="12"/>
  <c r="V40" i="12"/>
  <c r="P40" i="12"/>
  <c r="J40" i="12"/>
  <c r="D40" i="12"/>
  <c r="AB39" i="12"/>
  <c r="V39" i="12"/>
  <c r="P39" i="12"/>
  <c r="J39" i="12"/>
  <c r="D39" i="12"/>
  <c r="AB38" i="12"/>
  <c r="V38" i="12"/>
  <c r="P38" i="12"/>
  <c r="J38" i="12"/>
  <c r="D38" i="12"/>
  <c r="AB37" i="12"/>
  <c r="V37" i="12"/>
  <c r="P37" i="12"/>
  <c r="J37" i="12"/>
  <c r="D37" i="12"/>
  <c r="AB36" i="12"/>
  <c r="V36" i="12"/>
  <c r="P36" i="12"/>
  <c r="J36" i="12"/>
  <c r="D36" i="12"/>
  <c r="AB35" i="12"/>
  <c r="V35" i="12"/>
  <c r="P35" i="12"/>
  <c r="J35" i="12"/>
  <c r="D35" i="12"/>
  <c r="AB34" i="12"/>
  <c r="V34" i="12"/>
  <c r="P34" i="12"/>
  <c r="J34" i="12"/>
  <c r="D34" i="12"/>
  <c r="AB33" i="12"/>
  <c r="V33" i="12"/>
  <c r="P33" i="12"/>
  <c r="J33" i="12"/>
  <c r="D33" i="12"/>
  <c r="AB32" i="12"/>
  <c r="V32" i="12"/>
  <c r="P32" i="12"/>
  <c r="J32" i="12"/>
  <c r="D32" i="12"/>
  <c r="AB31" i="12"/>
  <c r="V31" i="12"/>
  <c r="P31" i="12"/>
  <c r="J31" i="12"/>
  <c r="D31" i="12"/>
  <c r="AB30" i="12"/>
  <c r="V30" i="12"/>
  <c r="P30" i="12"/>
  <c r="J30" i="12"/>
  <c r="D30" i="12"/>
  <c r="AB29" i="12"/>
  <c r="V29" i="12"/>
  <c r="P29" i="12"/>
  <c r="J29" i="12"/>
  <c r="D29" i="12"/>
  <c r="AB28" i="12"/>
  <c r="V28" i="12"/>
  <c r="P28" i="12"/>
  <c r="J28" i="12"/>
  <c r="D28" i="12"/>
  <c r="AB27" i="12"/>
  <c r="V27" i="12"/>
  <c r="P27" i="12"/>
  <c r="J27" i="12"/>
  <c r="D27" i="12"/>
  <c r="AB26" i="12"/>
  <c r="V26" i="12"/>
  <c r="P26" i="12"/>
  <c r="J26" i="12"/>
  <c r="D26" i="12"/>
  <c r="AB25" i="12"/>
  <c r="V25" i="12"/>
  <c r="P25" i="12"/>
  <c r="J25" i="12"/>
  <c r="D25" i="12"/>
  <c r="AB24" i="12"/>
  <c r="V24" i="12"/>
  <c r="P24" i="12"/>
  <c r="J24" i="12"/>
  <c r="D24" i="12"/>
  <c r="AB23" i="12"/>
  <c r="V23" i="12"/>
  <c r="P23" i="12"/>
  <c r="J23" i="12"/>
  <c r="D23" i="12"/>
  <c r="AB22" i="12"/>
  <c r="V22" i="12"/>
  <c r="P22" i="12"/>
  <c r="J22" i="12"/>
  <c r="D22" i="12"/>
  <c r="AB21" i="12"/>
  <c r="V21" i="12"/>
  <c r="P21" i="12"/>
  <c r="J21" i="12"/>
  <c r="D21" i="12"/>
  <c r="AB20" i="12"/>
  <c r="V20" i="12"/>
  <c r="P20" i="12"/>
  <c r="J20" i="12"/>
  <c r="D20" i="12"/>
  <c r="AB19" i="12"/>
  <c r="V19" i="12"/>
  <c r="P19" i="12"/>
  <c r="J19" i="12"/>
  <c r="D19" i="12"/>
  <c r="AB18" i="12"/>
  <c r="V18" i="12"/>
  <c r="P18" i="12"/>
  <c r="J18" i="12"/>
  <c r="D18" i="12"/>
  <c r="AB17" i="12"/>
  <c r="V17" i="12"/>
  <c r="P17" i="12"/>
  <c r="J17" i="12"/>
  <c r="D17" i="12"/>
  <c r="AB16" i="12"/>
  <c r="V16" i="12"/>
  <c r="P16" i="12"/>
  <c r="J16" i="12"/>
  <c r="D16" i="12"/>
  <c r="AB15" i="12"/>
  <c r="V15" i="12"/>
  <c r="P15" i="12"/>
  <c r="J15" i="12"/>
  <c r="D15" i="12"/>
  <c r="AB14" i="12"/>
  <c r="V14" i="12"/>
  <c r="P14" i="12"/>
  <c r="J14" i="12"/>
  <c r="D14" i="12"/>
  <c r="AB13" i="12"/>
  <c r="V13" i="12"/>
  <c r="P13" i="12"/>
  <c r="J13" i="12"/>
  <c r="D13" i="12"/>
  <c r="AB12" i="12"/>
  <c r="V12" i="12"/>
  <c r="P12" i="12"/>
  <c r="J12" i="12"/>
  <c r="D12" i="12"/>
  <c r="AB11" i="12"/>
  <c r="V11" i="12"/>
  <c r="P11" i="12"/>
  <c r="J11" i="12"/>
  <c r="D11" i="12"/>
  <c r="AB10" i="12"/>
  <c r="V10" i="12"/>
  <c r="P10" i="12"/>
  <c r="J10" i="12"/>
  <c r="D10" i="12"/>
  <c r="AB9" i="12"/>
  <c r="V9" i="12"/>
  <c r="P9" i="12"/>
  <c r="J9" i="12"/>
  <c r="D9" i="12"/>
  <c r="AB8" i="12"/>
  <c r="V8" i="12"/>
  <c r="P8" i="12"/>
  <c r="J8" i="12"/>
  <c r="D8" i="12"/>
  <c r="AB7" i="12"/>
  <c r="V7" i="12"/>
  <c r="P7" i="12"/>
  <c r="J7" i="12"/>
  <c r="D7" i="12"/>
  <c r="AC58" i="11"/>
  <c r="AC57" i="11"/>
  <c r="AB58" i="11"/>
  <c r="W58" i="11"/>
  <c r="X58" i="11"/>
  <c r="V58" i="11"/>
  <c r="Q58" i="11"/>
  <c r="Q57" i="11" s="1"/>
  <c r="P58" i="11"/>
  <c r="K58" i="11"/>
  <c r="K57" i="11"/>
  <c r="J58" i="11"/>
  <c r="E58" i="11"/>
  <c r="E57" i="11"/>
  <c r="D58" i="11"/>
  <c r="AB57" i="11"/>
  <c r="V57" i="11"/>
  <c r="P57" i="11"/>
  <c r="J57" i="11"/>
  <c r="D57" i="11"/>
  <c r="B57" i="11"/>
  <c r="AB56" i="11"/>
  <c r="V56" i="11"/>
  <c r="P56" i="11"/>
  <c r="J56" i="11"/>
  <c r="D56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AB55" i="11"/>
  <c r="V55" i="11"/>
  <c r="P55" i="11"/>
  <c r="J55" i="11"/>
  <c r="D55" i="11"/>
  <c r="AB54" i="11"/>
  <c r="V54" i="11"/>
  <c r="P54" i="11"/>
  <c r="J54" i="11"/>
  <c r="D54" i="11"/>
  <c r="AB53" i="11"/>
  <c r="V53" i="11"/>
  <c r="P53" i="11"/>
  <c r="J53" i="11"/>
  <c r="D53" i="11"/>
  <c r="AB52" i="11"/>
  <c r="V52" i="11"/>
  <c r="P52" i="11"/>
  <c r="J52" i="11"/>
  <c r="D52" i="11"/>
  <c r="AB51" i="11"/>
  <c r="V51" i="11"/>
  <c r="P51" i="11"/>
  <c r="J51" i="11"/>
  <c r="D51" i="11"/>
  <c r="AB50" i="11"/>
  <c r="V50" i="11"/>
  <c r="P50" i="11"/>
  <c r="J50" i="11"/>
  <c r="D50" i="11"/>
  <c r="AB49" i="11"/>
  <c r="V49" i="11"/>
  <c r="P49" i="11"/>
  <c r="J49" i="11"/>
  <c r="D49" i="11"/>
  <c r="AB48" i="11"/>
  <c r="V48" i="11"/>
  <c r="P48" i="11"/>
  <c r="J48" i="11"/>
  <c r="D48" i="11"/>
  <c r="AB47" i="11"/>
  <c r="V47" i="11"/>
  <c r="P47" i="11"/>
  <c r="J47" i="11"/>
  <c r="D47" i="11"/>
  <c r="AB46" i="11"/>
  <c r="V46" i="11"/>
  <c r="P46" i="11"/>
  <c r="J46" i="11"/>
  <c r="D46" i="11"/>
  <c r="AB45" i="11"/>
  <c r="V45" i="11"/>
  <c r="P45" i="11"/>
  <c r="J45" i="11"/>
  <c r="D45" i="11"/>
  <c r="AB44" i="11"/>
  <c r="V44" i="11"/>
  <c r="P44" i="11"/>
  <c r="J44" i="11"/>
  <c r="D44" i="11"/>
  <c r="AB43" i="11"/>
  <c r="V43" i="11"/>
  <c r="P43" i="11"/>
  <c r="J43" i="11"/>
  <c r="D43" i="11"/>
  <c r="AB42" i="11"/>
  <c r="V42" i="11"/>
  <c r="P42" i="11"/>
  <c r="J42" i="11"/>
  <c r="D42" i="11"/>
  <c r="AB41" i="11"/>
  <c r="V41" i="11"/>
  <c r="P41" i="11"/>
  <c r="J41" i="11"/>
  <c r="D41" i="11"/>
  <c r="AB40" i="11"/>
  <c r="V40" i="11"/>
  <c r="P40" i="11"/>
  <c r="J40" i="11"/>
  <c r="D40" i="11"/>
  <c r="AB39" i="11"/>
  <c r="V39" i="11"/>
  <c r="P39" i="11"/>
  <c r="J39" i="11"/>
  <c r="D39" i="11"/>
  <c r="AB38" i="11"/>
  <c r="V38" i="11"/>
  <c r="P38" i="11"/>
  <c r="J38" i="11"/>
  <c r="D38" i="11"/>
  <c r="AB37" i="11"/>
  <c r="V37" i="11"/>
  <c r="P37" i="11"/>
  <c r="J37" i="11"/>
  <c r="D37" i="11"/>
  <c r="AB36" i="11"/>
  <c r="V36" i="11"/>
  <c r="P36" i="11"/>
  <c r="J36" i="11"/>
  <c r="D36" i="11"/>
  <c r="AB35" i="11"/>
  <c r="V35" i="11"/>
  <c r="P35" i="11"/>
  <c r="J35" i="11"/>
  <c r="D35" i="11"/>
  <c r="AB34" i="11"/>
  <c r="V34" i="11"/>
  <c r="P34" i="11"/>
  <c r="J34" i="11"/>
  <c r="D34" i="11"/>
  <c r="AB33" i="11"/>
  <c r="V33" i="11"/>
  <c r="P33" i="11"/>
  <c r="J33" i="11"/>
  <c r="D33" i="11"/>
  <c r="AB32" i="11"/>
  <c r="V32" i="11"/>
  <c r="P32" i="11"/>
  <c r="J32" i="11"/>
  <c r="D32" i="11"/>
  <c r="AB31" i="11"/>
  <c r="V31" i="11"/>
  <c r="P31" i="11"/>
  <c r="J31" i="11"/>
  <c r="D31" i="11"/>
  <c r="AB30" i="11"/>
  <c r="V30" i="11"/>
  <c r="P30" i="11"/>
  <c r="J30" i="11"/>
  <c r="D30" i="11"/>
  <c r="AB29" i="11"/>
  <c r="V29" i="11"/>
  <c r="P29" i="11"/>
  <c r="J29" i="11"/>
  <c r="D29" i="11"/>
  <c r="AB28" i="11"/>
  <c r="V28" i="11"/>
  <c r="P28" i="11"/>
  <c r="J28" i="11"/>
  <c r="D28" i="11"/>
  <c r="AB27" i="11"/>
  <c r="V27" i="11"/>
  <c r="P27" i="11"/>
  <c r="J27" i="11"/>
  <c r="D27" i="11"/>
  <c r="AB26" i="11"/>
  <c r="V26" i="11"/>
  <c r="P26" i="11"/>
  <c r="J26" i="11"/>
  <c r="D26" i="11"/>
  <c r="AB25" i="11"/>
  <c r="V25" i="11"/>
  <c r="P25" i="11"/>
  <c r="J25" i="11"/>
  <c r="D25" i="11"/>
  <c r="AB24" i="11"/>
  <c r="V24" i="11"/>
  <c r="P24" i="11"/>
  <c r="J24" i="11"/>
  <c r="D24" i="11"/>
  <c r="AB23" i="11"/>
  <c r="V23" i="11"/>
  <c r="P23" i="11"/>
  <c r="J23" i="11"/>
  <c r="D23" i="11"/>
  <c r="AB22" i="11"/>
  <c r="V22" i="11"/>
  <c r="P22" i="11"/>
  <c r="J22" i="11"/>
  <c r="D22" i="11"/>
  <c r="AB21" i="11"/>
  <c r="V21" i="11"/>
  <c r="P21" i="11"/>
  <c r="J21" i="11"/>
  <c r="D21" i="11"/>
  <c r="AB20" i="11"/>
  <c r="V20" i="11"/>
  <c r="P20" i="11"/>
  <c r="J20" i="11"/>
  <c r="D20" i="11"/>
  <c r="AB19" i="11"/>
  <c r="V19" i="11"/>
  <c r="P19" i="11"/>
  <c r="J19" i="11"/>
  <c r="D19" i="11"/>
  <c r="AB18" i="11"/>
  <c r="V18" i="11"/>
  <c r="P18" i="11"/>
  <c r="J18" i="11"/>
  <c r="D18" i="11"/>
  <c r="AB17" i="11"/>
  <c r="V17" i="11"/>
  <c r="P17" i="11"/>
  <c r="J17" i="11"/>
  <c r="D17" i="11"/>
  <c r="AB16" i="11"/>
  <c r="V16" i="11"/>
  <c r="P16" i="11"/>
  <c r="J16" i="11"/>
  <c r="D16" i="11"/>
  <c r="AB15" i="11"/>
  <c r="V15" i="11"/>
  <c r="P15" i="11"/>
  <c r="J15" i="11"/>
  <c r="D15" i="11"/>
  <c r="AB14" i="11"/>
  <c r="V14" i="11"/>
  <c r="P14" i="11"/>
  <c r="J14" i="11"/>
  <c r="D14" i="11"/>
  <c r="AB13" i="11"/>
  <c r="V13" i="11"/>
  <c r="P13" i="11"/>
  <c r="J13" i="11"/>
  <c r="D13" i="11"/>
  <c r="AB12" i="11"/>
  <c r="V12" i="11"/>
  <c r="P12" i="11"/>
  <c r="J12" i="11"/>
  <c r="D12" i="11"/>
  <c r="AB11" i="11"/>
  <c r="V11" i="11"/>
  <c r="P11" i="11"/>
  <c r="J11" i="11"/>
  <c r="D11" i="11"/>
  <c r="AB10" i="11"/>
  <c r="V10" i="11"/>
  <c r="P10" i="11"/>
  <c r="J10" i="11"/>
  <c r="D10" i="11"/>
  <c r="AB9" i="11"/>
  <c r="V9" i="11"/>
  <c r="P9" i="11"/>
  <c r="J9" i="11"/>
  <c r="D9" i="11"/>
  <c r="AB8" i="11"/>
  <c r="V8" i="11"/>
  <c r="P8" i="11"/>
  <c r="J8" i="11"/>
  <c r="D8" i="11"/>
  <c r="AB7" i="11"/>
  <c r="V7" i="11"/>
  <c r="P7" i="11"/>
  <c r="J7" i="11"/>
  <c r="D7" i="11"/>
  <c r="AC58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W58" i="5"/>
  <c r="X58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Q58" i="5"/>
  <c r="S58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K58" i="5"/>
  <c r="L58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E2" i="3"/>
  <c r="F2" i="3"/>
  <c r="G2" i="6"/>
  <c r="F2" i="6"/>
  <c r="E2" i="6"/>
  <c r="L3" i="14"/>
  <c r="F3" i="14"/>
  <c r="I3" i="14" s="1"/>
  <c r="F4" i="15"/>
  <c r="Y58" i="5"/>
  <c r="AE58" i="13"/>
  <c r="AD58" i="13"/>
  <c r="Y58" i="12"/>
  <c r="X58" i="12"/>
  <c r="F58" i="11"/>
  <c r="G58" i="11" s="1"/>
  <c r="E57" i="13"/>
  <c r="E56" i="13"/>
  <c r="F56" i="13" s="1"/>
  <c r="G56" i="13" s="1"/>
  <c r="E55" i="13"/>
  <c r="W57" i="11"/>
  <c r="W56" i="11" s="1"/>
  <c r="X56" i="11" s="1"/>
  <c r="A58" i="5"/>
  <c r="R58" i="5"/>
  <c r="F58" i="5"/>
  <c r="R58" i="11"/>
  <c r="K57" i="13"/>
  <c r="L57" i="13" s="1"/>
  <c r="K56" i="13"/>
  <c r="F4" i="14"/>
  <c r="I4" i="14" s="1"/>
  <c r="L4" i="14"/>
  <c r="I10" i="14"/>
  <c r="AC57" i="12"/>
  <c r="AD57" i="12" s="1"/>
  <c r="AC56" i="12"/>
  <c r="A58" i="11"/>
  <c r="Y58" i="11"/>
  <c r="M58" i="5"/>
  <c r="M58" i="13"/>
  <c r="F58" i="12"/>
  <c r="G58" i="12" s="1"/>
  <c r="AE58" i="12"/>
  <c r="K57" i="5"/>
  <c r="M57" i="5"/>
  <c r="L56" i="13"/>
  <c r="R57" i="11"/>
  <c r="S57" i="11"/>
  <c r="S58" i="11"/>
  <c r="S58" i="12"/>
  <c r="K56" i="5"/>
  <c r="L56" i="5" s="1"/>
  <c r="K55" i="5"/>
  <c r="K54" i="5" s="1"/>
  <c r="AE58" i="11"/>
  <c r="S58" i="13"/>
  <c r="R58" i="13"/>
  <c r="L58" i="11"/>
  <c r="AD58" i="11"/>
  <c r="Q57" i="5"/>
  <c r="Q56" i="5"/>
  <c r="M58" i="11"/>
  <c r="F57" i="12"/>
  <c r="G57" i="12" s="1"/>
  <c r="AE57" i="13"/>
  <c r="X57" i="11"/>
  <c r="F57" i="13"/>
  <c r="G57" i="13" s="1"/>
  <c r="S57" i="13"/>
  <c r="AE57" i="11"/>
  <c r="Y57" i="11"/>
  <c r="AE57" i="12"/>
  <c r="Q56" i="12"/>
  <c r="S56" i="12" s="1"/>
  <c r="R57" i="12"/>
  <c r="Q56" i="11"/>
  <c r="R58" i="12"/>
  <c r="W57" i="5"/>
  <c r="M57" i="13"/>
  <c r="M56" i="5"/>
  <c r="L57" i="5"/>
  <c r="R57" i="5"/>
  <c r="S57" i="5"/>
  <c r="L55" i="5"/>
  <c r="M55" i="5"/>
  <c r="S56" i="11"/>
  <c r="W55" i="11"/>
  <c r="Y55" i="11" s="1"/>
  <c r="Y56" i="11"/>
  <c r="Q55" i="12"/>
  <c r="Q54" i="12" s="1"/>
  <c r="R56" i="12"/>
  <c r="X55" i="11"/>
  <c r="W54" i="11"/>
  <c r="S55" i="12"/>
  <c r="X54" i="11"/>
  <c r="F4" i="18" l="1"/>
  <c r="F8" i="18"/>
  <c r="R4" i="15"/>
  <c r="H8" i="14"/>
  <c r="I7" i="14"/>
  <c r="W57" i="13"/>
  <c r="Y58" i="13"/>
  <c r="X58" i="13"/>
  <c r="F61" i="11"/>
  <c r="E56" i="11"/>
  <c r="AE56" i="13"/>
  <c r="AC55" i="13"/>
  <c r="AD56" i="13"/>
  <c r="AD56" i="12"/>
  <c r="AE56" i="12"/>
  <c r="AC55" i="12"/>
  <c r="Y57" i="12"/>
  <c r="X57" i="12"/>
  <c r="W56" i="12"/>
  <c r="Q55" i="5"/>
  <c r="R56" i="5"/>
  <c r="S56" i="5"/>
  <c r="R54" i="12"/>
  <c r="Q53" i="12"/>
  <c r="S54" i="12"/>
  <c r="X57" i="5"/>
  <c r="Y57" i="5"/>
  <c r="M57" i="11"/>
  <c r="L57" i="11"/>
  <c r="AC56" i="11"/>
  <c r="AD57" i="11"/>
  <c r="E56" i="5"/>
  <c r="R55" i="12"/>
  <c r="W56" i="5"/>
  <c r="K56" i="11"/>
  <c r="F55" i="13"/>
  <c r="G55" i="13" s="1"/>
  <c r="E54" i="13"/>
  <c r="R56" i="11"/>
  <c r="Q55" i="11"/>
  <c r="K53" i="5"/>
  <c r="L54" i="5"/>
  <c r="M54" i="5"/>
  <c r="AE58" i="5"/>
  <c r="AC57" i="5"/>
  <c r="AD58" i="5"/>
  <c r="L58" i="12"/>
  <c r="K57" i="12"/>
  <c r="M58" i="12"/>
  <c r="Q56" i="13"/>
  <c r="R57" i="13"/>
  <c r="K55" i="13"/>
  <c r="M56" i="13"/>
  <c r="E55" i="12"/>
  <c r="F56" i="12"/>
  <c r="G56" i="12" s="1"/>
  <c r="AD57" i="13"/>
  <c r="Y54" i="11"/>
  <c r="W53" i="11"/>
  <c r="F60" i="5"/>
  <c r="Y53" i="11" l="1"/>
  <c r="X53" i="11"/>
  <c r="W52" i="11"/>
  <c r="S56" i="13"/>
  <c r="R56" i="13"/>
  <c r="Q55" i="13"/>
  <c r="AD57" i="5"/>
  <c r="AC56" i="5"/>
  <c r="AE57" i="5"/>
  <c r="M55" i="13"/>
  <c r="K54" i="13"/>
  <c r="L55" i="13"/>
  <c r="L56" i="11"/>
  <c r="K55" i="11"/>
  <c r="M56" i="11"/>
  <c r="Q54" i="5"/>
  <c r="S55" i="5"/>
  <c r="R55" i="5"/>
  <c r="AD55" i="13"/>
  <c r="AC54" i="13"/>
  <c r="AE55" i="13"/>
  <c r="W55" i="5"/>
  <c r="Y56" i="5"/>
  <c r="X56" i="5"/>
  <c r="E55" i="11"/>
  <c r="K52" i="5"/>
  <c r="M53" i="5"/>
  <c r="L53" i="5"/>
  <c r="E55" i="5"/>
  <c r="Q52" i="12"/>
  <c r="R53" i="12"/>
  <c r="S53" i="12"/>
  <c r="AC54" i="12"/>
  <c r="AD55" i="12"/>
  <c r="AE55" i="12"/>
  <c r="X56" i="12"/>
  <c r="Y56" i="12"/>
  <c r="W55" i="12"/>
  <c r="K56" i="12"/>
  <c r="L57" i="12"/>
  <c r="M57" i="12"/>
  <c r="S55" i="11"/>
  <c r="R55" i="11"/>
  <c r="Q54" i="11"/>
  <c r="E54" i="12"/>
  <c r="F55" i="12"/>
  <c r="G55" i="12" s="1"/>
  <c r="F54" i="13"/>
  <c r="G54" i="13" s="1"/>
  <c r="E53" i="13"/>
  <c r="AE56" i="11"/>
  <c r="AC55" i="11"/>
  <c r="AD56" i="11"/>
  <c r="Y57" i="13"/>
  <c r="X57" i="13"/>
  <c r="W56" i="13"/>
  <c r="W54" i="5" l="1"/>
  <c r="X55" i="5"/>
  <c r="Y55" i="5"/>
  <c r="M55" i="11"/>
  <c r="L55" i="11"/>
  <c r="K54" i="11"/>
  <c r="M56" i="12"/>
  <c r="K55" i="12"/>
  <c r="L56" i="12"/>
  <c r="F54" i="12"/>
  <c r="G54" i="12" s="1"/>
  <c r="E53" i="12"/>
  <c r="E54" i="5"/>
  <c r="AE56" i="5"/>
  <c r="AC55" i="5"/>
  <c r="AD56" i="5"/>
  <c r="AD54" i="12"/>
  <c r="AE54" i="12"/>
  <c r="AC53" i="12"/>
  <c r="L52" i="5"/>
  <c r="M52" i="5"/>
  <c r="K51" i="5"/>
  <c r="M54" i="13"/>
  <c r="K53" i="13"/>
  <c r="L54" i="13"/>
  <c r="R54" i="11"/>
  <c r="Q53" i="11"/>
  <c r="S54" i="11"/>
  <c r="E52" i="13"/>
  <c r="F53" i="13"/>
  <c r="G53" i="13" s="1"/>
  <c r="E54" i="11"/>
  <c r="W51" i="11"/>
  <c r="X52" i="11"/>
  <c r="Y52" i="11"/>
  <c r="AD54" i="13"/>
  <c r="AE54" i="13"/>
  <c r="AC53" i="13"/>
  <c r="R55" i="13"/>
  <c r="Q54" i="13"/>
  <c r="S55" i="13"/>
  <c r="AD55" i="11"/>
  <c r="AE55" i="11"/>
  <c r="AC54" i="11"/>
  <c r="X56" i="13"/>
  <c r="Y56" i="13"/>
  <c r="W55" i="13"/>
  <c r="W54" i="12"/>
  <c r="X55" i="12"/>
  <c r="Y55" i="12"/>
  <c r="S52" i="12"/>
  <c r="Q51" i="12"/>
  <c r="R52" i="12"/>
  <c r="Q53" i="5"/>
  <c r="S54" i="5"/>
  <c r="R54" i="5"/>
  <c r="W54" i="13" l="1"/>
  <c r="X55" i="13"/>
  <c r="Y55" i="13"/>
  <c r="AD55" i="5"/>
  <c r="AC54" i="5"/>
  <c r="AE55" i="5"/>
  <c r="R51" i="12"/>
  <c r="Q50" i="12"/>
  <c r="S51" i="12"/>
  <c r="AC53" i="11"/>
  <c r="AE54" i="11"/>
  <c r="AD54" i="11"/>
  <c r="W53" i="12"/>
  <c r="Y54" i="12"/>
  <c r="X54" i="12"/>
  <c r="R54" i="13"/>
  <c r="Q53" i="13"/>
  <c r="S54" i="13"/>
  <c r="E53" i="11"/>
  <c r="M53" i="13"/>
  <c r="L53" i="13"/>
  <c r="K52" i="13"/>
  <c r="K54" i="12"/>
  <c r="M55" i="12"/>
  <c r="L55" i="12"/>
  <c r="S53" i="5"/>
  <c r="R53" i="5"/>
  <c r="Q52" i="5"/>
  <c r="AC52" i="13"/>
  <c r="AD53" i="13"/>
  <c r="AE53" i="13"/>
  <c r="E51" i="13"/>
  <c r="F52" i="13"/>
  <c r="G52" i="13" s="1"/>
  <c r="K50" i="5"/>
  <c r="M51" i="5"/>
  <c r="L51" i="5"/>
  <c r="Q52" i="11"/>
  <c r="R53" i="11"/>
  <c r="S53" i="11"/>
  <c r="AC52" i="12"/>
  <c r="AE53" i="12"/>
  <c r="AD53" i="12"/>
  <c r="F53" i="12"/>
  <c r="G53" i="12" s="1"/>
  <c r="E52" i="12"/>
  <c r="E53" i="5"/>
  <c r="M54" i="11"/>
  <c r="L54" i="11"/>
  <c r="K53" i="11"/>
  <c r="W50" i="11"/>
  <c r="Y51" i="11"/>
  <c r="X51" i="11"/>
  <c r="X54" i="5"/>
  <c r="Y54" i="5"/>
  <c r="W53" i="5"/>
  <c r="X53" i="12" l="1"/>
  <c r="Y53" i="12"/>
  <c r="W52" i="12"/>
  <c r="AD54" i="5"/>
  <c r="AC53" i="5"/>
  <c r="AE54" i="5"/>
  <c r="Y50" i="11"/>
  <c r="X50" i="11"/>
  <c r="W49" i="11"/>
  <c r="K52" i="11"/>
  <c r="L53" i="11"/>
  <c r="M53" i="11"/>
  <c r="Y53" i="5"/>
  <c r="W52" i="5"/>
  <c r="X53" i="5"/>
  <c r="K53" i="12"/>
  <c r="M54" i="12"/>
  <c r="L54" i="12"/>
  <c r="S50" i="12"/>
  <c r="R50" i="12"/>
  <c r="Q49" i="12"/>
  <c r="M52" i="13"/>
  <c r="K51" i="13"/>
  <c r="L52" i="13"/>
  <c r="E52" i="11"/>
  <c r="AE52" i="13"/>
  <c r="AD52" i="13"/>
  <c r="AC51" i="13"/>
  <c r="K49" i="5"/>
  <c r="M50" i="5"/>
  <c r="L50" i="5"/>
  <c r="E51" i="12"/>
  <c r="F52" i="12"/>
  <c r="G52" i="12" s="1"/>
  <c r="Q51" i="5"/>
  <c r="R52" i="5"/>
  <c r="S52" i="5"/>
  <c r="AD53" i="11"/>
  <c r="AE53" i="11"/>
  <c r="AC52" i="11"/>
  <c r="E52" i="5"/>
  <c r="Q51" i="11"/>
  <c r="R52" i="11"/>
  <c r="S52" i="11"/>
  <c r="AE52" i="12"/>
  <c r="AC51" i="12"/>
  <c r="AD52" i="12"/>
  <c r="E50" i="13"/>
  <c r="F51" i="13"/>
  <c r="G51" i="13" s="1"/>
  <c r="Q52" i="13"/>
  <c r="S53" i="13"/>
  <c r="R53" i="13"/>
  <c r="W53" i="13"/>
  <c r="Y54" i="13"/>
  <c r="X54" i="13"/>
  <c r="AC51" i="11" l="1"/>
  <c r="AD52" i="11"/>
  <c r="AE52" i="11"/>
  <c r="M53" i="12"/>
  <c r="K52" i="12"/>
  <c r="L53" i="12"/>
  <c r="M49" i="5"/>
  <c r="K48" i="5"/>
  <c r="L49" i="5"/>
  <c r="AE53" i="5"/>
  <c r="AD53" i="5"/>
  <c r="AC52" i="5"/>
  <c r="AD51" i="12"/>
  <c r="AC50" i="12"/>
  <c r="AE51" i="12"/>
  <c r="AD51" i="13"/>
  <c r="AE51" i="13"/>
  <c r="AC50" i="13"/>
  <c r="R49" i="12"/>
  <c r="Q48" i="12"/>
  <c r="S49" i="12"/>
  <c r="S52" i="13"/>
  <c r="Q51" i="13"/>
  <c r="R52" i="13"/>
  <c r="Q50" i="11"/>
  <c r="R51" i="11"/>
  <c r="S51" i="11"/>
  <c r="R51" i="5"/>
  <c r="S51" i="5"/>
  <c r="Q50" i="5"/>
  <c r="X52" i="12"/>
  <c r="W51" i="12"/>
  <c r="Y52" i="12"/>
  <c r="X53" i="13"/>
  <c r="Y53" i="13"/>
  <c r="W52" i="13"/>
  <c r="K50" i="13"/>
  <c r="M51" i="13"/>
  <c r="L51" i="13"/>
  <c r="X52" i="5"/>
  <c r="W51" i="5"/>
  <c r="Y52" i="5"/>
  <c r="K51" i="11"/>
  <c r="L52" i="11"/>
  <c r="M52" i="11"/>
  <c r="E49" i="13"/>
  <c r="F50" i="13"/>
  <c r="G50" i="13" s="1"/>
  <c r="E51" i="5"/>
  <c r="F51" i="12"/>
  <c r="G51" i="12" s="1"/>
  <c r="E50" i="12"/>
  <c r="E51" i="11"/>
  <c r="Y49" i="11"/>
  <c r="X49" i="11"/>
  <c r="W48" i="11"/>
  <c r="F49" i="13" l="1"/>
  <c r="G49" i="13" s="1"/>
  <c r="E48" i="13"/>
  <c r="E50" i="11"/>
  <c r="K51" i="12"/>
  <c r="M52" i="12"/>
  <c r="L52" i="12"/>
  <c r="W50" i="12"/>
  <c r="Y51" i="12"/>
  <c r="X51" i="12"/>
  <c r="AE50" i="12"/>
  <c r="AD50" i="12"/>
  <c r="AC49" i="12"/>
  <c r="M50" i="13"/>
  <c r="K49" i="13"/>
  <c r="L50" i="13"/>
  <c r="X52" i="13"/>
  <c r="W51" i="13"/>
  <c r="Y52" i="13"/>
  <c r="S48" i="12"/>
  <c r="Q47" i="12"/>
  <c r="R48" i="12"/>
  <c r="AE52" i="5"/>
  <c r="AC51" i="5"/>
  <c r="AD52" i="5"/>
  <c r="M48" i="5"/>
  <c r="L48" i="5"/>
  <c r="K47" i="5"/>
  <c r="R51" i="13"/>
  <c r="Q50" i="13"/>
  <c r="S51" i="13"/>
  <c r="S50" i="5"/>
  <c r="R50" i="5"/>
  <c r="Q49" i="5"/>
  <c r="F50" i="12"/>
  <c r="G50" i="12" s="1"/>
  <c r="E49" i="12"/>
  <c r="M51" i="11"/>
  <c r="K50" i="11"/>
  <c r="L51" i="11"/>
  <c r="AE50" i="13"/>
  <c r="AD50" i="13"/>
  <c r="AC49" i="13"/>
  <c r="W47" i="11"/>
  <c r="X48" i="11"/>
  <c r="Y48" i="11"/>
  <c r="E50" i="5"/>
  <c r="Y51" i="5"/>
  <c r="X51" i="5"/>
  <c r="W50" i="5"/>
  <c r="Q49" i="11"/>
  <c r="R50" i="11"/>
  <c r="S50" i="11"/>
  <c r="AD51" i="11"/>
  <c r="AE51" i="11"/>
  <c r="AC50" i="11"/>
  <c r="AE51" i="5" l="1"/>
  <c r="AC50" i="5"/>
  <c r="AD51" i="5"/>
  <c r="Y50" i="12"/>
  <c r="W49" i="12"/>
  <c r="X50" i="12"/>
  <c r="M49" i="13"/>
  <c r="K48" i="13"/>
  <c r="L49" i="13"/>
  <c r="E49" i="5"/>
  <c r="M50" i="11"/>
  <c r="L50" i="11"/>
  <c r="K49" i="11"/>
  <c r="Q49" i="13"/>
  <c r="S50" i="13"/>
  <c r="R50" i="13"/>
  <c r="S47" i="12"/>
  <c r="Q46" i="12"/>
  <c r="R47" i="12"/>
  <c r="AD49" i="12"/>
  <c r="AE49" i="12"/>
  <c r="AC48" i="12"/>
  <c r="K50" i="12"/>
  <c r="M51" i="12"/>
  <c r="L51" i="12"/>
  <c r="E49" i="11"/>
  <c r="AD50" i="11"/>
  <c r="AE50" i="11"/>
  <c r="AC49" i="11"/>
  <c r="E48" i="12"/>
  <c r="F49" i="12"/>
  <c r="G49" i="12" s="1"/>
  <c r="L47" i="5"/>
  <c r="K46" i="5"/>
  <c r="M47" i="5"/>
  <c r="R49" i="11"/>
  <c r="S49" i="11"/>
  <c r="Q48" i="11"/>
  <c r="X47" i="11"/>
  <c r="W46" i="11"/>
  <c r="Y47" i="11"/>
  <c r="W49" i="5"/>
  <c r="Y50" i="5"/>
  <c r="X50" i="5"/>
  <c r="AE49" i="13"/>
  <c r="AC48" i="13"/>
  <c r="AD49" i="13"/>
  <c r="R49" i="5"/>
  <c r="S49" i="5"/>
  <c r="Q48" i="5"/>
  <c r="W50" i="13"/>
  <c r="Y51" i="13"/>
  <c r="X51" i="13"/>
  <c r="F48" i="13"/>
  <c r="G48" i="13" s="1"/>
  <c r="E47" i="13"/>
  <c r="Y46" i="11" l="1"/>
  <c r="X46" i="11"/>
  <c r="W45" i="11"/>
  <c r="E46" i="13"/>
  <c r="F47" i="13"/>
  <c r="G47" i="13" s="1"/>
  <c r="F48" i="12"/>
  <c r="G48" i="12" s="1"/>
  <c r="E47" i="12"/>
  <c r="M50" i="12"/>
  <c r="L50" i="12"/>
  <c r="K49" i="12"/>
  <c r="K47" i="13"/>
  <c r="M48" i="13"/>
  <c r="L48" i="13"/>
  <c r="L49" i="11"/>
  <c r="M49" i="11"/>
  <c r="K48" i="11"/>
  <c r="Y49" i="12"/>
  <c r="W48" i="12"/>
  <c r="X49" i="12"/>
  <c r="X50" i="13"/>
  <c r="W49" i="13"/>
  <c r="Y50" i="13"/>
  <c r="Q47" i="5"/>
  <c r="R48" i="5"/>
  <c r="S48" i="5"/>
  <c r="Y49" i="5"/>
  <c r="X49" i="5"/>
  <c r="W48" i="5"/>
  <c r="K45" i="5"/>
  <c r="L46" i="5"/>
  <c r="M46" i="5"/>
  <c r="E48" i="11"/>
  <c r="Q45" i="12"/>
  <c r="S46" i="12"/>
  <c r="R46" i="12"/>
  <c r="E48" i="5"/>
  <c r="AD50" i="5"/>
  <c r="AC49" i="5"/>
  <c r="AE50" i="5"/>
  <c r="AC47" i="13"/>
  <c r="AD48" i="13"/>
  <c r="AE48" i="13"/>
  <c r="Q47" i="11"/>
  <c r="R48" i="11"/>
  <c r="S48" i="11"/>
  <c r="AE49" i="11"/>
  <c r="AD49" i="11"/>
  <c r="AC48" i="11"/>
  <c r="AC47" i="12"/>
  <c r="AD48" i="12"/>
  <c r="AE48" i="12"/>
  <c r="S49" i="13"/>
  <c r="R49" i="13"/>
  <c r="Q48" i="13"/>
  <c r="E47" i="11" l="1"/>
  <c r="R48" i="13"/>
  <c r="S48" i="13"/>
  <c r="Q47" i="13"/>
  <c r="AD49" i="5"/>
  <c r="AE49" i="5"/>
  <c r="AC48" i="5"/>
  <c r="L48" i="11"/>
  <c r="M48" i="11"/>
  <c r="K47" i="11"/>
  <c r="W47" i="5"/>
  <c r="Y48" i="5"/>
  <c r="X48" i="5"/>
  <c r="F46" i="13"/>
  <c r="G46" i="13" s="1"/>
  <c r="E45" i="13"/>
  <c r="M47" i="13"/>
  <c r="L47" i="13"/>
  <c r="K46" i="13"/>
  <c r="W44" i="11"/>
  <c r="Y45" i="11"/>
  <c r="X45" i="11"/>
  <c r="Q46" i="5"/>
  <c r="R47" i="5"/>
  <c r="S47" i="5"/>
  <c r="F47" i="12"/>
  <c r="G47" i="12" s="1"/>
  <c r="E46" i="12"/>
  <c r="AD47" i="12"/>
  <c r="AE47" i="12"/>
  <c r="AC46" i="12"/>
  <c r="AE48" i="11"/>
  <c r="AD48" i="11"/>
  <c r="AC47" i="11"/>
  <c r="AC46" i="13"/>
  <c r="AE47" i="13"/>
  <c r="AD47" i="13"/>
  <c r="R45" i="12"/>
  <c r="Q44" i="12"/>
  <c r="S45" i="12"/>
  <c r="W47" i="12"/>
  <c r="X48" i="12"/>
  <c r="Y48" i="12"/>
  <c r="L49" i="12"/>
  <c r="K48" i="12"/>
  <c r="M49" i="12"/>
  <c r="S47" i="11"/>
  <c r="Q46" i="11"/>
  <c r="R47" i="11"/>
  <c r="E47" i="5"/>
  <c r="M45" i="5"/>
  <c r="L45" i="5"/>
  <c r="K44" i="5"/>
  <c r="Y49" i="13"/>
  <c r="W48" i="13"/>
  <c r="X49" i="13"/>
  <c r="R46" i="5" l="1"/>
  <c r="Q45" i="5"/>
  <c r="S46" i="5"/>
  <c r="AE47" i="11"/>
  <c r="AD47" i="11"/>
  <c r="AC46" i="11"/>
  <c r="Y47" i="12"/>
  <c r="X47" i="12"/>
  <c r="W46" i="12"/>
  <c r="F45" i="13"/>
  <c r="G45" i="13" s="1"/>
  <c r="E44" i="13"/>
  <c r="AD48" i="5"/>
  <c r="AC47" i="5"/>
  <c r="AE48" i="5"/>
  <c r="W43" i="11"/>
  <c r="Y44" i="11"/>
  <c r="X44" i="11"/>
  <c r="X47" i="5"/>
  <c r="W46" i="5"/>
  <c r="Y47" i="5"/>
  <c r="S44" i="12"/>
  <c r="Q43" i="12"/>
  <c r="R44" i="12"/>
  <c r="AE46" i="12"/>
  <c r="AD46" i="12"/>
  <c r="AC45" i="12"/>
  <c r="K43" i="5"/>
  <c r="L44" i="5"/>
  <c r="M44" i="5"/>
  <c r="S47" i="13"/>
  <c r="R47" i="13"/>
  <c r="Q46" i="13"/>
  <c r="L48" i="12"/>
  <c r="K47" i="12"/>
  <c r="M48" i="12"/>
  <c r="E45" i="12"/>
  <c r="F46" i="12"/>
  <c r="G46" i="12" s="1"/>
  <c r="L46" i="13"/>
  <c r="M46" i="13"/>
  <c r="K45" i="13"/>
  <c r="M47" i="11"/>
  <c r="K46" i="11"/>
  <c r="L47" i="11"/>
  <c r="F47" i="11"/>
  <c r="G47" i="11" s="1"/>
  <c r="E46" i="11"/>
  <c r="Y48" i="13"/>
  <c r="W47" i="13"/>
  <c r="X48" i="13"/>
  <c r="S46" i="11"/>
  <c r="R46" i="11"/>
  <c r="Q45" i="11"/>
  <c r="AC45" i="13"/>
  <c r="AD46" i="13"/>
  <c r="AE46" i="13"/>
  <c r="F47" i="5"/>
  <c r="G47" i="5" s="1"/>
  <c r="E46" i="5"/>
  <c r="Y47" i="13" l="1"/>
  <c r="W46" i="13"/>
  <c r="X47" i="13"/>
  <c r="S43" i="12"/>
  <c r="R43" i="12"/>
  <c r="Q42" i="12"/>
  <c r="AD47" i="5"/>
  <c r="AE47" i="5"/>
  <c r="AC46" i="5"/>
  <c r="A46" i="5"/>
  <c r="F46" i="5"/>
  <c r="G46" i="5" s="1"/>
  <c r="E45" i="5"/>
  <c r="K44" i="13"/>
  <c r="M45" i="13"/>
  <c r="L45" i="13"/>
  <c r="S46" i="13"/>
  <c r="Q45" i="13"/>
  <c r="R46" i="13"/>
  <c r="AC45" i="11"/>
  <c r="AD46" i="11"/>
  <c r="AE46" i="11"/>
  <c r="AD45" i="13"/>
  <c r="AE45" i="13"/>
  <c r="AC44" i="13"/>
  <c r="E44" i="12"/>
  <c r="F45" i="12"/>
  <c r="G45" i="12" s="1"/>
  <c r="R45" i="11"/>
  <c r="Q44" i="11"/>
  <c r="S45" i="11"/>
  <c r="L43" i="5"/>
  <c r="K42" i="5"/>
  <c r="M43" i="5"/>
  <c r="W45" i="5"/>
  <c r="X46" i="5"/>
  <c r="Y46" i="5"/>
  <c r="F44" i="13"/>
  <c r="G44" i="13" s="1"/>
  <c r="E43" i="13"/>
  <c r="Y43" i="11"/>
  <c r="W42" i="11"/>
  <c r="X43" i="11"/>
  <c r="E45" i="11"/>
  <c r="F46" i="11"/>
  <c r="G46" i="11" s="1"/>
  <c r="A46" i="11"/>
  <c r="K45" i="11"/>
  <c r="L46" i="11"/>
  <c r="M46" i="11"/>
  <c r="M47" i="12"/>
  <c r="L47" i="12"/>
  <c r="K46" i="12"/>
  <c r="AC44" i="12"/>
  <c r="AE45" i="12"/>
  <c r="AD45" i="12"/>
  <c r="S45" i="5"/>
  <c r="R45" i="5"/>
  <c r="Q44" i="5"/>
  <c r="Y46" i="12"/>
  <c r="X46" i="12"/>
  <c r="W45" i="12"/>
  <c r="W41" i="11" l="1"/>
  <c r="X42" i="11"/>
  <c r="Y42" i="11"/>
  <c r="L42" i="5"/>
  <c r="M42" i="5"/>
  <c r="K41" i="5"/>
  <c r="AD44" i="13"/>
  <c r="AE44" i="13"/>
  <c r="AC43" i="13"/>
  <c r="F43" i="13"/>
  <c r="G43" i="13" s="1"/>
  <c r="E42" i="13"/>
  <c r="Q43" i="11"/>
  <c r="R44" i="11"/>
  <c r="S44" i="11"/>
  <c r="F45" i="5"/>
  <c r="G45" i="5" s="1"/>
  <c r="E44" i="5"/>
  <c r="R42" i="12"/>
  <c r="S42" i="12"/>
  <c r="Q41" i="12"/>
  <c r="M44" i="13"/>
  <c r="L44" i="13"/>
  <c r="K43" i="13"/>
  <c r="L45" i="11"/>
  <c r="K44" i="11"/>
  <c r="M45" i="11"/>
  <c r="AE45" i="11"/>
  <c r="AC44" i="11"/>
  <c r="AD45" i="11"/>
  <c r="X45" i="12"/>
  <c r="W44" i="12"/>
  <c r="Y45" i="12"/>
  <c r="AC43" i="12"/>
  <c r="AD44" i="12"/>
  <c r="AE44" i="12"/>
  <c r="X46" i="13"/>
  <c r="W45" i="13"/>
  <c r="Y46" i="13"/>
  <c r="Q43" i="5"/>
  <c r="R44" i="5"/>
  <c r="S44" i="5"/>
  <c r="K45" i="12"/>
  <c r="L46" i="12"/>
  <c r="M46" i="12"/>
  <c r="F45" i="11"/>
  <c r="G45" i="11" s="1"/>
  <c r="E44" i="11"/>
  <c r="X45" i="5"/>
  <c r="W44" i="5"/>
  <c r="Y45" i="5"/>
  <c r="E43" i="12"/>
  <c r="F44" i="12"/>
  <c r="G44" i="12" s="1"/>
  <c r="Q44" i="13"/>
  <c r="S45" i="13"/>
  <c r="R45" i="13"/>
  <c r="AD46" i="5"/>
  <c r="AC45" i="5"/>
  <c r="AE46" i="5"/>
  <c r="E43" i="11" l="1"/>
  <c r="F44" i="11"/>
  <c r="G44" i="11" s="1"/>
  <c r="AD43" i="12"/>
  <c r="AE43" i="12"/>
  <c r="AC42" i="12"/>
  <c r="K43" i="11"/>
  <c r="M44" i="11"/>
  <c r="L44" i="11"/>
  <c r="E43" i="5"/>
  <c r="F44" i="5"/>
  <c r="G44" i="5" s="1"/>
  <c r="Y45" i="13"/>
  <c r="X45" i="13"/>
  <c r="W44" i="13"/>
  <c r="S43" i="11"/>
  <c r="Q42" i="11"/>
  <c r="R43" i="11"/>
  <c r="S43" i="5"/>
  <c r="R43" i="5"/>
  <c r="Q42" i="5"/>
  <c r="Y44" i="12"/>
  <c r="W43" i="12"/>
  <c r="X44" i="12"/>
  <c r="M43" i="13"/>
  <c r="L43" i="13"/>
  <c r="K42" i="13"/>
  <c r="R44" i="13"/>
  <c r="Q43" i="13"/>
  <c r="S44" i="13"/>
  <c r="AD44" i="11"/>
  <c r="AE44" i="11"/>
  <c r="AC43" i="11"/>
  <c r="S41" i="12"/>
  <c r="Q40" i="12"/>
  <c r="R41" i="12"/>
  <c r="F42" i="13"/>
  <c r="G42" i="13" s="1"/>
  <c r="E41" i="13"/>
  <c r="AC44" i="5"/>
  <c r="AD45" i="5"/>
  <c r="AE45" i="5"/>
  <c r="X44" i="5"/>
  <c r="Y44" i="5"/>
  <c r="W43" i="5"/>
  <c r="K40" i="5"/>
  <c r="L41" i="5"/>
  <c r="M41" i="5"/>
  <c r="F43" i="12"/>
  <c r="G43" i="12" s="1"/>
  <c r="E42" i="12"/>
  <c r="M45" i="12"/>
  <c r="K44" i="12"/>
  <c r="L45" i="12"/>
  <c r="AC42" i="13"/>
  <c r="AD43" i="13"/>
  <c r="AE43" i="13"/>
  <c r="Y41" i="11"/>
  <c r="W40" i="11"/>
  <c r="X41" i="11"/>
  <c r="X40" i="11" l="1"/>
  <c r="W39" i="11"/>
  <c r="Y40" i="11"/>
  <c r="E41" i="12"/>
  <c r="F42" i="12"/>
  <c r="G42" i="12" s="1"/>
  <c r="AE44" i="5"/>
  <c r="AD44" i="5"/>
  <c r="AC43" i="5"/>
  <c r="Q41" i="11"/>
  <c r="R42" i="11"/>
  <c r="S42" i="11"/>
  <c r="K42" i="11"/>
  <c r="M43" i="11"/>
  <c r="L43" i="11"/>
  <c r="E40" i="13"/>
  <c r="F41" i="13"/>
  <c r="G41" i="13" s="1"/>
  <c r="AD42" i="13"/>
  <c r="AE42" i="13"/>
  <c r="AC41" i="13"/>
  <c r="L40" i="5"/>
  <c r="M40" i="5"/>
  <c r="K39" i="5"/>
  <c r="R43" i="13"/>
  <c r="Q42" i="13"/>
  <c r="S43" i="13"/>
  <c r="Q41" i="5"/>
  <c r="S42" i="5"/>
  <c r="R42" i="5"/>
  <c r="AE43" i="11"/>
  <c r="AD43" i="11"/>
  <c r="AC42" i="11"/>
  <c r="Y43" i="12"/>
  <c r="X43" i="12"/>
  <c r="W42" i="12"/>
  <c r="W43" i="13"/>
  <c r="Y44" i="13"/>
  <c r="X44" i="13"/>
  <c r="AD42" i="12"/>
  <c r="AC41" i="12"/>
  <c r="AE42" i="12"/>
  <c r="Y43" i="5"/>
  <c r="W42" i="5"/>
  <c r="X43" i="5"/>
  <c r="L44" i="12"/>
  <c r="M44" i="12"/>
  <c r="K43" i="12"/>
  <c r="R40" i="12"/>
  <c r="Q39" i="12"/>
  <c r="S40" i="12"/>
  <c r="M42" i="13"/>
  <c r="K41" i="13"/>
  <c r="L42" i="13"/>
  <c r="F43" i="5"/>
  <c r="G43" i="5" s="1"/>
  <c r="E42" i="5"/>
  <c r="F43" i="11"/>
  <c r="G43" i="11" s="1"/>
  <c r="E42" i="11"/>
  <c r="F42" i="11" l="1"/>
  <c r="G42" i="11" s="1"/>
  <c r="E41" i="11"/>
  <c r="S39" i="12"/>
  <c r="R39" i="12"/>
  <c r="Q38" i="12"/>
  <c r="R42" i="13"/>
  <c r="S42" i="13"/>
  <c r="Q41" i="13"/>
  <c r="AC42" i="5"/>
  <c r="AD43" i="5"/>
  <c r="AE43" i="5"/>
  <c r="F40" i="13"/>
  <c r="G40" i="13" s="1"/>
  <c r="E39" i="13"/>
  <c r="M42" i="11"/>
  <c r="K41" i="11"/>
  <c r="L42" i="11"/>
  <c r="F41" i="12"/>
  <c r="G41" i="12" s="1"/>
  <c r="E40" i="12"/>
  <c r="AD41" i="12"/>
  <c r="AE41" i="12"/>
  <c r="AC40" i="12"/>
  <c r="AC41" i="11"/>
  <c r="AD42" i="11"/>
  <c r="AE42" i="11"/>
  <c r="M41" i="13"/>
  <c r="L41" i="13"/>
  <c r="K40" i="13"/>
  <c r="X43" i="13"/>
  <c r="Y43" i="13"/>
  <c r="W42" i="13"/>
  <c r="AD41" i="13"/>
  <c r="AE41" i="13"/>
  <c r="AC40" i="13"/>
  <c r="E41" i="5"/>
  <c r="F42" i="5"/>
  <c r="G42" i="5" s="1"/>
  <c r="K42" i="12"/>
  <c r="M43" i="12"/>
  <c r="L43" i="12"/>
  <c r="W41" i="5"/>
  <c r="X42" i="5"/>
  <c r="Y42" i="5"/>
  <c r="Y42" i="12"/>
  <c r="X42" i="12"/>
  <c r="W41" i="12"/>
  <c r="S41" i="5"/>
  <c r="R41" i="5"/>
  <c r="Q40" i="5"/>
  <c r="Y39" i="11"/>
  <c r="X39" i="11"/>
  <c r="W38" i="11"/>
  <c r="K38" i="5"/>
  <c r="L39" i="5"/>
  <c r="M39" i="5"/>
  <c r="S41" i="11"/>
  <c r="R41" i="11"/>
  <c r="Q40" i="11"/>
  <c r="L41" i="11" l="1"/>
  <c r="K40" i="11"/>
  <c r="M41" i="11"/>
  <c r="AD40" i="12"/>
  <c r="AE40" i="12"/>
  <c r="AC39" i="12"/>
  <c r="F39" i="13"/>
  <c r="G39" i="13" s="1"/>
  <c r="E38" i="13"/>
  <c r="S38" i="12"/>
  <c r="R38" i="12"/>
  <c r="Q37" i="12"/>
  <c r="R40" i="11"/>
  <c r="Q39" i="11"/>
  <c r="S40" i="11"/>
  <c r="Q40" i="13"/>
  <c r="S41" i="13"/>
  <c r="R41" i="13"/>
  <c r="R40" i="5"/>
  <c r="Q39" i="5"/>
  <c r="S40" i="5"/>
  <c r="W40" i="5"/>
  <c r="X41" i="5"/>
  <c r="Y41" i="5"/>
  <c r="W41" i="13"/>
  <c r="X42" i="13"/>
  <c r="Y42" i="13"/>
  <c r="AD41" i="11"/>
  <c r="AC40" i="11"/>
  <c r="AE41" i="11"/>
  <c r="K37" i="5"/>
  <c r="L38" i="5"/>
  <c r="M38" i="5"/>
  <c r="K39" i="13"/>
  <c r="M40" i="13"/>
  <c r="L40" i="13"/>
  <c r="E40" i="5"/>
  <c r="F41" i="5"/>
  <c r="G41" i="5" s="1"/>
  <c r="E39" i="12"/>
  <c r="F40" i="12"/>
  <c r="G40" i="12" s="1"/>
  <c r="E40" i="11"/>
  <c r="F41" i="11"/>
  <c r="G41" i="11" s="1"/>
  <c r="W40" i="12"/>
  <c r="X41" i="12"/>
  <c r="Y41" i="12"/>
  <c r="L42" i="12"/>
  <c r="K41" i="12"/>
  <c r="M42" i="12"/>
  <c r="Y38" i="11"/>
  <c r="X38" i="11"/>
  <c r="W37" i="11"/>
  <c r="AE40" i="13"/>
  <c r="AD40" i="13"/>
  <c r="AC39" i="13"/>
  <c r="AC41" i="5"/>
  <c r="AE42" i="5"/>
  <c r="AD42" i="5"/>
  <c r="AC40" i="5" l="1"/>
  <c r="AE41" i="5"/>
  <c r="AD41" i="5"/>
  <c r="K40" i="12"/>
  <c r="M41" i="12"/>
  <c r="L41" i="12"/>
  <c r="F39" i="12"/>
  <c r="G39" i="12" s="1"/>
  <c r="E38" i="12"/>
  <c r="M37" i="5"/>
  <c r="K36" i="5"/>
  <c r="L37" i="5"/>
  <c r="K38" i="13"/>
  <c r="M39" i="13"/>
  <c r="L39" i="13"/>
  <c r="E39" i="11"/>
  <c r="F40" i="11"/>
  <c r="G40" i="11" s="1"/>
  <c r="X41" i="13"/>
  <c r="Y41" i="13"/>
  <c r="W40" i="13"/>
  <c r="F38" i="13"/>
  <c r="G38" i="13" s="1"/>
  <c r="E37" i="13"/>
  <c r="Q39" i="13"/>
  <c r="R40" i="13"/>
  <c r="S40" i="13"/>
  <c r="F40" i="5"/>
  <c r="G40" i="5" s="1"/>
  <c r="E39" i="5"/>
  <c r="AE40" i="11"/>
  <c r="AD40" i="11"/>
  <c r="AC39" i="11"/>
  <c r="R39" i="5"/>
  <c r="Q38" i="5"/>
  <c r="S39" i="5"/>
  <c r="S37" i="12"/>
  <c r="R37" i="12"/>
  <c r="Q36" i="12"/>
  <c r="W39" i="5"/>
  <c r="X40" i="5"/>
  <c r="Y40" i="5"/>
  <c r="S39" i="11"/>
  <c r="R39" i="11"/>
  <c r="Q38" i="11"/>
  <c r="K39" i="11"/>
  <c r="M40" i="11"/>
  <c r="L40" i="11"/>
  <c r="AC38" i="12"/>
  <c r="AD39" i="12"/>
  <c r="AE39" i="12"/>
  <c r="AC38" i="13"/>
  <c r="AE39" i="13"/>
  <c r="AD39" i="13"/>
  <c r="W36" i="11"/>
  <c r="Y37" i="11"/>
  <c r="X37" i="11"/>
  <c r="W39" i="12"/>
  <c r="X40" i="12"/>
  <c r="Y40" i="12"/>
  <c r="Y39" i="12" l="1"/>
  <c r="X39" i="12"/>
  <c r="W38" i="12"/>
  <c r="S38" i="11"/>
  <c r="R38" i="11"/>
  <c r="Q37" i="11"/>
  <c r="AE38" i="13"/>
  <c r="AD38" i="13"/>
  <c r="AC37" i="13"/>
  <c r="F38" i="12"/>
  <c r="G38" i="12" s="1"/>
  <c r="E37" i="12"/>
  <c r="Y39" i="5"/>
  <c r="X39" i="5"/>
  <c r="W38" i="5"/>
  <c r="M38" i="13"/>
  <c r="K37" i="13"/>
  <c r="L38" i="13"/>
  <c r="M40" i="12"/>
  <c r="L40" i="12"/>
  <c r="K39" i="12"/>
  <c r="R38" i="5"/>
  <c r="S38" i="5"/>
  <c r="Q37" i="5"/>
  <c r="Q38" i="13"/>
  <c r="S39" i="13"/>
  <c r="R39" i="13"/>
  <c r="AE38" i="12"/>
  <c r="AC37" i="12"/>
  <c r="AD38" i="12"/>
  <c r="Y36" i="11"/>
  <c r="X36" i="11"/>
  <c r="W35" i="11"/>
  <c r="R36" i="12"/>
  <c r="Q35" i="12"/>
  <c r="S36" i="12"/>
  <c r="Y40" i="13"/>
  <c r="X40" i="13"/>
  <c r="W39" i="13"/>
  <c r="M39" i="11"/>
  <c r="K38" i="11"/>
  <c r="L39" i="11"/>
  <c r="E38" i="5"/>
  <c r="F39" i="5"/>
  <c r="G39" i="5" s="1"/>
  <c r="M36" i="5"/>
  <c r="L36" i="5"/>
  <c r="K35" i="5"/>
  <c r="E38" i="11"/>
  <c r="F39" i="11"/>
  <c r="G39" i="11" s="1"/>
  <c r="AC38" i="11"/>
  <c r="AE39" i="11"/>
  <c r="AD39" i="11"/>
  <c r="F37" i="13"/>
  <c r="G37" i="13" s="1"/>
  <c r="E36" i="13"/>
  <c r="AE40" i="5"/>
  <c r="AC39" i="5"/>
  <c r="AD40" i="5"/>
  <c r="AC38" i="5" l="1"/>
  <c r="AD39" i="5"/>
  <c r="AE39" i="5"/>
  <c r="E37" i="11"/>
  <c r="F38" i="11"/>
  <c r="G38" i="11" s="1"/>
  <c r="F38" i="5"/>
  <c r="G38" i="5" s="1"/>
  <c r="E37" i="5"/>
  <c r="Q34" i="12"/>
  <c r="R35" i="12"/>
  <c r="S35" i="12"/>
  <c r="K37" i="11"/>
  <c r="M38" i="11"/>
  <c r="L38" i="11"/>
  <c r="X35" i="11"/>
  <c r="W34" i="11"/>
  <c r="Y35" i="11"/>
  <c r="S38" i="13"/>
  <c r="Q37" i="13"/>
  <c r="R38" i="13"/>
  <c r="K36" i="13"/>
  <c r="M37" i="13"/>
  <c r="L37" i="13"/>
  <c r="L35" i="5"/>
  <c r="K34" i="5"/>
  <c r="M35" i="5"/>
  <c r="X39" i="13"/>
  <c r="W38" i="13"/>
  <c r="Y39" i="13"/>
  <c r="AE37" i="12"/>
  <c r="AD37" i="12"/>
  <c r="AC36" i="12"/>
  <c r="K38" i="12"/>
  <c r="M39" i="12"/>
  <c r="L39" i="12"/>
  <c r="F37" i="12"/>
  <c r="G37" i="12" s="1"/>
  <c r="E36" i="12"/>
  <c r="X38" i="12"/>
  <c r="Y38" i="12"/>
  <c r="W37" i="12"/>
  <c r="Q36" i="5"/>
  <c r="S37" i="5"/>
  <c r="R37" i="5"/>
  <c r="X38" i="5"/>
  <c r="W37" i="5"/>
  <c r="Y38" i="5"/>
  <c r="S37" i="11"/>
  <c r="R37" i="11"/>
  <c r="Q36" i="11"/>
  <c r="F36" i="13"/>
  <c r="G36" i="13" s="1"/>
  <c r="E35" i="13"/>
  <c r="AD38" i="11"/>
  <c r="AC37" i="11"/>
  <c r="AE38" i="11"/>
  <c r="AC36" i="13"/>
  <c r="AD37" i="13"/>
  <c r="AE37" i="13"/>
  <c r="E34" i="13" l="1"/>
  <c r="F35" i="13"/>
  <c r="G35" i="13" s="1"/>
  <c r="S36" i="11"/>
  <c r="R36" i="11"/>
  <c r="Q35" i="11"/>
  <c r="R36" i="5"/>
  <c r="S36" i="5"/>
  <c r="Q35" i="5"/>
  <c r="M38" i="12"/>
  <c r="L38" i="12"/>
  <c r="K37" i="12"/>
  <c r="K33" i="5"/>
  <c r="M34" i="5"/>
  <c r="L34" i="5"/>
  <c r="R34" i="12"/>
  <c r="Q33" i="12"/>
  <c r="S34" i="12"/>
  <c r="AD37" i="11"/>
  <c r="AC36" i="11"/>
  <c r="AE37" i="11"/>
  <c r="Y37" i="5"/>
  <c r="X37" i="5"/>
  <c r="W36" i="5"/>
  <c r="F36" i="12"/>
  <c r="G36" i="12" s="1"/>
  <c r="E35" i="12"/>
  <c r="M36" i="13"/>
  <c r="L36" i="13"/>
  <c r="K35" i="13"/>
  <c r="E36" i="11"/>
  <c r="F37" i="11"/>
  <c r="G37" i="11" s="1"/>
  <c r="X37" i="12"/>
  <c r="W36" i="12"/>
  <c r="Y37" i="12"/>
  <c r="AD36" i="12"/>
  <c r="AE36" i="12"/>
  <c r="AC35" i="12"/>
  <c r="Y38" i="13"/>
  <c r="X38" i="13"/>
  <c r="W37" i="13"/>
  <c r="M37" i="11"/>
  <c r="L37" i="11"/>
  <c r="K36" i="11"/>
  <c r="Q36" i="13"/>
  <c r="S37" i="13"/>
  <c r="R37" i="13"/>
  <c r="Y34" i="11"/>
  <c r="W33" i="11"/>
  <c r="X34" i="11"/>
  <c r="F37" i="5"/>
  <c r="G37" i="5" s="1"/>
  <c r="E36" i="5"/>
  <c r="AD36" i="13"/>
  <c r="AC35" i="13"/>
  <c r="AE36" i="13"/>
  <c r="AD38" i="5"/>
  <c r="AE38" i="5"/>
  <c r="AC37" i="5"/>
  <c r="AE37" i="5" l="1"/>
  <c r="AC36" i="5"/>
  <c r="AD37" i="5"/>
  <c r="W35" i="12"/>
  <c r="X36" i="12"/>
  <c r="Y36" i="12"/>
  <c r="Q32" i="12"/>
  <c r="S33" i="12"/>
  <c r="R33" i="12"/>
  <c r="Q34" i="5"/>
  <c r="S35" i="5"/>
  <c r="R35" i="5"/>
  <c r="AE35" i="12"/>
  <c r="AC34" i="12"/>
  <c r="AD35" i="12"/>
  <c r="K34" i="13"/>
  <c r="M35" i="13"/>
  <c r="L35" i="13"/>
  <c r="M33" i="5"/>
  <c r="K32" i="5"/>
  <c r="L33" i="5"/>
  <c r="Y36" i="5"/>
  <c r="X36" i="5"/>
  <c r="W35" i="5"/>
  <c r="R35" i="11"/>
  <c r="S35" i="11"/>
  <c r="Q34" i="11"/>
  <c r="AC34" i="13"/>
  <c r="AD35" i="13"/>
  <c r="AE35" i="13"/>
  <c r="R36" i="13"/>
  <c r="Q35" i="13"/>
  <c r="S36" i="13"/>
  <c r="AE36" i="11"/>
  <c r="AD36" i="11"/>
  <c r="AC35" i="11"/>
  <c r="L37" i="12"/>
  <c r="K36" i="12"/>
  <c r="M37" i="12"/>
  <c r="X33" i="11"/>
  <c r="W32" i="11"/>
  <c r="Y33" i="11"/>
  <c r="W36" i="13"/>
  <c r="X37" i="13"/>
  <c r="Y37" i="13"/>
  <c r="E35" i="11"/>
  <c r="F36" i="11"/>
  <c r="G36" i="11" s="1"/>
  <c r="E35" i="5"/>
  <c r="F36" i="5"/>
  <c r="G36" i="5" s="1"/>
  <c r="K35" i="11"/>
  <c r="M36" i="11"/>
  <c r="L36" i="11"/>
  <c r="F35" i="12"/>
  <c r="G35" i="12" s="1"/>
  <c r="E34" i="12"/>
  <c r="E33" i="13"/>
  <c r="F34" i="13"/>
  <c r="G34" i="13" s="1"/>
  <c r="AE35" i="11" l="1"/>
  <c r="AC34" i="11"/>
  <c r="AD35" i="11"/>
  <c r="AE34" i="13"/>
  <c r="AD34" i="13"/>
  <c r="AC33" i="13"/>
  <c r="M32" i="5"/>
  <c r="K31" i="5"/>
  <c r="L32" i="5"/>
  <c r="K34" i="11"/>
  <c r="L35" i="11"/>
  <c r="M35" i="11"/>
  <c r="X32" i="11"/>
  <c r="W31" i="11"/>
  <c r="Y32" i="11"/>
  <c r="E34" i="5"/>
  <c r="F35" i="5"/>
  <c r="G35" i="5" s="1"/>
  <c r="R35" i="13"/>
  <c r="Q34" i="13"/>
  <c r="S35" i="13"/>
  <c r="W34" i="5"/>
  <c r="X35" i="5"/>
  <c r="Y35" i="5"/>
  <c r="M34" i="13"/>
  <c r="L34" i="13"/>
  <c r="K33" i="13"/>
  <c r="S32" i="12"/>
  <c r="Q31" i="12"/>
  <c r="R32" i="12"/>
  <c r="E33" i="12"/>
  <c r="F34" i="12"/>
  <c r="G34" i="12" s="1"/>
  <c r="F35" i="11"/>
  <c r="G35" i="11" s="1"/>
  <c r="E34" i="11"/>
  <c r="M36" i="12"/>
  <c r="L36" i="12"/>
  <c r="K35" i="12"/>
  <c r="AD34" i="12"/>
  <c r="AE34" i="12"/>
  <c r="AC33" i="12"/>
  <c r="Y35" i="12"/>
  <c r="W34" i="12"/>
  <c r="X35" i="12"/>
  <c r="X36" i="13"/>
  <c r="Y36" i="13"/>
  <c r="W35" i="13"/>
  <c r="Q33" i="11"/>
  <c r="S34" i="11"/>
  <c r="R34" i="11"/>
  <c r="S34" i="5"/>
  <c r="Q33" i="5"/>
  <c r="R34" i="5"/>
  <c r="AE36" i="5"/>
  <c r="AC35" i="5"/>
  <c r="AD36" i="5"/>
  <c r="E32" i="13"/>
  <c r="F33" i="13"/>
  <c r="G33" i="13" s="1"/>
  <c r="E31" i="13" l="1"/>
  <c r="F32" i="13"/>
  <c r="G32" i="13" s="1"/>
  <c r="W30" i="11"/>
  <c r="Y31" i="11"/>
  <c r="X31" i="11"/>
  <c r="AE33" i="13"/>
  <c r="AC32" i="13"/>
  <c r="AD33" i="13"/>
  <c r="AC34" i="5"/>
  <c r="AE35" i="5"/>
  <c r="AD35" i="5"/>
  <c r="W34" i="13"/>
  <c r="Y35" i="13"/>
  <c r="X35" i="13"/>
  <c r="F34" i="5"/>
  <c r="G34" i="5" s="1"/>
  <c r="E33" i="5"/>
  <c r="M31" i="5"/>
  <c r="K30" i="5"/>
  <c r="L31" i="5"/>
  <c r="S33" i="11"/>
  <c r="Q32" i="11"/>
  <c r="R33" i="11"/>
  <c r="M35" i="12"/>
  <c r="K34" i="12"/>
  <c r="L35" i="12"/>
  <c r="S31" i="12"/>
  <c r="Q30" i="12"/>
  <c r="R31" i="12"/>
  <c r="R34" i="13"/>
  <c r="Q33" i="13"/>
  <c r="S34" i="13"/>
  <c r="K32" i="13"/>
  <c r="L33" i="13"/>
  <c r="M33" i="13"/>
  <c r="M34" i="11"/>
  <c r="K33" i="11"/>
  <c r="L34" i="11"/>
  <c r="AE34" i="11"/>
  <c r="AD34" i="11"/>
  <c r="AC33" i="11"/>
  <c r="AD33" i="12"/>
  <c r="AE33" i="12"/>
  <c r="AC32" i="12"/>
  <c r="E32" i="12"/>
  <c r="F33" i="12"/>
  <c r="G33" i="12" s="1"/>
  <c r="X34" i="5"/>
  <c r="W33" i="5"/>
  <c r="Y34" i="5"/>
  <c r="S33" i="5"/>
  <c r="R33" i="5"/>
  <c r="Q32" i="5"/>
  <c r="Y34" i="12"/>
  <c r="X34" i="12"/>
  <c r="W33" i="12"/>
  <c r="F34" i="11"/>
  <c r="G34" i="11" s="1"/>
  <c r="E33" i="11"/>
  <c r="Q31" i="11" l="1"/>
  <c r="R32" i="11"/>
  <c r="S32" i="11"/>
  <c r="E32" i="11"/>
  <c r="F33" i="11"/>
  <c r="G33" i="11" s="1"/>
  <c r="A33" i="11"/>
  <c r="AE33" i="11"/>
  <c r="AC32" i="11"/>
  <c r="AD33" i="11"/>
  <c r="L32" i="13"/>
  <c r="M32" i="13"/>
  <c r="K31" i="13"/>
  <c r="M34" i="12"/>
  <c r="K33" i="12"/>
  <c r="L34" i="12"/>
  <c r="E32" i="5"/>
  <c r="A33" i="5"/>
  <c r="F33" i="5"/>
  <c r="G33" i="5" s="1"/>
  <c r="F32" i="12"/>
  <c r="G32" i="12" s="1"/>
  <c r="E31" i="12"/>
  <c r="K32" i="11"/>
  <c r="M33" i="11"/>
  <c r="L33" i="11"/>
  <c r="W33" i="13"/>
  <c r="X34" i="13"/>
  <c r="Y34" i="13"/>
  <c r="Q32" i="13"/>
  <c r="R33" i="13"/>
  <c r="S33" i="13"/>
  <c r="S32" i="5"/>
  <c r="Q31" i="5"/>
  <c r="R32" i="5"/>
  <c r="AD32" i="12"/>
  <c r="AE32" i="12"/>
  <c r="AC31" i="12"/>
  <c r="S30" i="12"/>
  <c r="Q29" i="12"/>
  <c r="R30" i="12"/>
  <c r="X30" i="11"/>
  <c r="W29" i="11"/>
  <c r="Y30" i="11"/>
  <c r="AD32" i="13"/>
  <c r="AE32" i="13"/>
  <c r="AC31" i="13"/>
  <c r="W32" i="12"/>
  <c r="Y33" i="12"/>
  <c r="X33" i="12"/>
  <c r="Y33" i="5"/>
  <c r="X33" i="5"/>
  <c r="W32" i="5"/>
  <c r="K29" i="5"/>
  <c r="M30" i="5"/>
  <c r="L30" i="5"/>
  <c r="AC33" i="5"/>
  <c r="AD34" i="5"/>
  <c r="AE34" i="5"/>
  <c r="F31" i="13"/>
  <c r="G31" i="13" s="1"/>
  <c r="E30" i="13"/>
  <c r="AD33" i="5" l="1"/>
  <c r="AC32" i="5"/>
  <c r="AE33" i="5"/>
  <c r="W28" i="11"/>
  <c r="X29" i="11"/>
  <c r="Y29" i="11"/>
  <c r="Y33" i="13"/>
  <c r="X33" i="13"/>
  <c r="W32" i="13"/>
  <c r="E31" i="5"/>
  <c r="F32" i="5"/>
  <c r="G32" i="5" s="1"/>
  <c r="AC31" i="11"/>
  <c r="AE32" i="11"/>
  <c r="AD32" i="11"/>
  <c r="K31" i="11"/>
  <c r="L32" i="11"/>
  <c r="M32" i="11"/>
  <c r="AD31" i="13"/>
  <c r="AC30" i="13"/>
  <c r="AE31" i="13"/>
  <c r="E30" i="12"/>
  <c r="F31" i="12"/>
  <c r="G31" i="12" s="1"/>
  <c r="K30" i="13"/>
  <c r="M31" i="13"/>
  <c r="L31" i="13"/>
  <c r="E31" i="11"/>
  <c r="F32" i="11"/>
  <c r="G32" i="11" s="1"/>
  <c r="L33" i="12"/>
  <c r="K32" i="12"/>
  <c r="M33" i="12"/>
  <c r="M29" i="5"/>
  <c r="L29" i="5"/>
  <c r="K28" i="5"/>
  <c r="AC30" i="12"/>
  <c r="AD31" i="12"/>
  <c r="AE31" i="12"/>
  <c r="S32" i="13"/>
  <c r="Q31" i="13"/>
  <c r="R32" i="13"/>
  <c r="W31" i="12"/>
  <c r="X32" i="12"/>
  <c r="Y32" i="12"/>
  <c r="S29" i="12"/>
  <c r="R29" i="12"/>
  <c r="Q28" i="12"/>
  <c r="F30" i="13"/>
  <c r="G30" i="13" s="1"/>
  <c r="E29" i="13"/>
  <c r="X32" i="5"/>
  <c r="W31" i="5"/>
  <c r="Y32" i="5"/>
  <c r="Q30" i="5"/>
  <c r="S31" i="5"/>
  <c r="R31" i="5"/>
  <c r="Q30" i="11"/>
  <c r="R31" i="11"/>
  <c r="S31" i="11"/>
  <c r="L30" i="13" l="1"/>
  <c r="M30" i="13"/>
  <c r="K29" i="13"/>
  <c r="M31" i="11"/>
  <c r="L31" i="11"/>
  <c r="K30" i="11"/>
  <c r="W30" i="12"/>
  <c r="Y31" i="12"/>
  <c r="X31" i="12"/>
  <c r="S31" i="13"/>
  <c r="R31" i="13"/>
  <c r="Q30" i="13"/>
  <c r="M32" i="12"/>
  <c r="L32" i="12"/>
  <c r="K31" i="12"/>
  <c r="E29" i="12"/>
  <c r="F30" i="12"/>
  <c r="G30" i="12" s="1"/>
  <c r="AE31" i="11"/>
  <c r="AC30" i="11"/>
  <c r="AD31" i="11"/>
  <c r="Y28" i="11"/>
  <c r="W27" i="11"/>
  <c r="X28" i="11"/>
  <c r="R28" i="12"/>
  <c r="S28" i="12"/>
  <c r="Q27" i="12"/>
  <c r="AE30" i="13"/>
  <c r="AC29" i="13"/>
  <c r="AD30" i="13"/>
  <c r="Q29" i="11"/>
  <c r="R30" i="11"/>
  <c r="S30" i="11"/>
  <c r="AD30" i="12"/>
  <c r="AE30" i="12"/>
  <c r="AC29" i="12"/>
  <c r="E30" i="11"/>
  <c r="F31" i="11"/>
  <c r="G31" i="11" s="1"/>
  <c r="F31" i="5"/>
  <c r="G31" i="5" s="1"/>
  <c r="E30" i="5"/>
  <c r="AC31" i="5"/>
  <c r="AD32" i="5"/>
  <c r="AE32" i="5"/>
  <c r="F29" i="13"/>
  <c r="G29" i="13" s="1"/>
  <c r="E28" i="13"/>
  <c r="Q29" i="5"/>
  <c r="S30" i="5"/>
  <c r="R30" i="5"/>
  <c r="Y31" i="5"/>
  <c r="W30" i="5"/>
  <c r="X31" i="5"/>
  <c r="M28" i="5"/>
  <c r="L28" i="5"/>
  <c r="K27" i="5"/>
  <c r="X32" i="13"/>
  <c r="Y32" i="13"/>
  <c r="W31" i="13"/>
  <c r="M30" i="11" l="1"/>
  <c r="L30" i="11"/>
  <c r="K29" i="11"/>
  <c r="M27" i="5"/>
  <c r="K26" i="5"/>
  <c r="L27" i="5"/>
  <c r="Q28" i="5"/>
  <c r="R29" i="5"/>
  <c r="S29" i="5"/>
  <c r="W30" i="13"/>
  <c r="X31" i="13"/>
  <c r="Y31" i="13"/>
  <c r="AC30" i="5"/>
  <c r="AD31" i="5"/>
  <c r="AE31" i="5"/>
  <c r="E28" i="12"/>
  <c r="F29" i="12"/>
  <c r="G29" i="12" s="1"/>
  <c r="M31" i="12"/>
  <c r="L31" i="12"/>
  <c r="K30" i="12"/>
  <c r="Y30" i="12"/>
  <c r="X30" i="12"/>
  <c r="W29" i="12"/>
  <c r="E27" i="13"/>
  <c r="F28" i="13"/>
  <c r="G28" i="13" s="1"/>
  <c r="F30" i="11"/>
  <c r="G30" i="11" s="1"/>
  <c r="E29" i="11"/>
  <c r="AD29" i="13"/>
  <c r="AC28" i="13"/>
  <c r="AE29" i="13"/>
  <c r="S30" i="13"/>
  <c r="R30" i="13"/>
  <c r="Q29" i="13"/>
  <c r="F30" i="5"/>
  <c r="G30" i="5" s="1"/>
  <c r="E29" i="5"/>
  <c r="R29" i="11"/>
  <c r="S29" i="11"/>
  <c r="Q28" i="11"/>
  <c r="W26" i="11"/>
  <c r="Y27" i="11"/>
  <c r="X27" i="11"/>
  <c r="AE29" i="12"/>
  <c r="AD29" i="12"/>
  <c r="AC28" i="12"/>
  <c r="AE30" i="11"/>
  <c r="AD30" i="11"/>
  <c r="AC29" i="11"/>
  <c r="K28" i="13"/>
  <c r="M29" i="13"/>
  <c r="L29" i="13"/>
  <c r="S27" i="12"/>
  <c r="Q26" i="12"/>
  <c r="R27" i="12"/>
  <c r="W29" i="5"/>
  <c r="X30" i="5"/>
  <c r="Y30" i="5"/>
  <c r="S28" i="5" l="1"/>
  <c r="Q27" i="5"/>
  <c r="R28" i="5"/>
  <c r="X29" i="5"/>
  <c r="W28" i="5"/>
  <c r="Y29" i="5"/>
  <c r="L28" i="13"/>
  <c r="M28" i="13"/>
  <c r="K27" i="13"/>
  <c r="F27" i="13"/>
  <c r="G27" i="13" s="1"/>
  <c r="E26" i="13"/>
  <c r="F28" i="12"/>
  <c r="G28" i="12" s="1"/>
  <c r="E27" i="12"/>
  <c r="AC27" i="13"/>
  <c r="AE28" i="13"/>
  <c r="AD28" i="13"/>
  <c r="K29" i="12"/>
  <c r="M30" i="12"/>
  <c r="L30" i="12"/>
  <c r="AE29" i="11"/>
  <c r="AC28" i="11"/>
  <c r="AD29" i="11"/>
  <c r="W25" i="11"/>
  <c r="Y26" i="11"/>
  <c r="X26" i="11"/>
  <c r="AE30" i="5"/>
  <c r="AC29" i="5"/>
  <c r="AD30" i="5"/>
  <c r="M26" i="5"/>
  <c r="K25" i="5"/>
  <c r="L26" i="5"/>
  <c r="S26" i="12"/>
  <c r="R26" i="12"/>
  <c r="Q25" i="12"/>
  <c r="AD28" i="12"/>
  <c r="AE28" i="12"/>
  <c r="AC27" i="12"/>
  <c r="F29" i="5"/>
  <c r="G29" i="5" s="1"/>
  <c r="E28" i="5"/>
  <c r="F29" i="11"/>
  <c r="G29" i="11" s="1"/>
  <c r="E28" i="11"/>
  <c r="M29" i="11"/>
  <c r="L29" i="11"/>
  <c r="K28" i="11"/>
  <c r="S28" i="11"/>
  <c r="R28" i="11"/>
  <c r="Q27" i="11"/>
  <c r="X30" i="13"/>
  <c r="Y30" i="13"/>
  <c r="W29" i="13"/>
  <c r="X29" i="12"/>
  <c r="Y29" i="12"/>
  <c r="W28" i="12"/>
  <c r="S29" i="13"/>
  <c r="R29" i="13"/>
  <c r="Q28" i="13"/>
  <c r="AE27" i="12" l="1"/>
  <c r="AD27" i="12"/>
  <c r="AC26" i="12"/>
  <c r="R28" i="13"/>
  <c r="S28" i="13"/>
  <c r="Q27" i="13"/>
  <c r="S27" i="11"/>
  <c r="Q26" i="11"/>
  <c r="R27" i="11"/>
  <c r="W24" i="11"/>
  <c r="X25" i="11"/>
  <c r="Y25" i="11"/>
  <c r="AC27" i="11"/>
  <c r="AD28" i="11"/>
  <c r="AE28" i="11"/>
  <c r="F27" i="12"/>
  <c r="G27" i="12" s="1"/>
  <c r="E26" i="12"/>
  <c r="W27" i="5"/>
  <c r="Y28" i="5"/>
  <c r="X28" i="5"/>
  <c r="K24" i="5"/>
  <c r="L25" i="5"/>
  <c r="M25" i="5"/>
  <c r="X28" i="12"/>
  <c r="Y28" i="12"/>
  <c r="W27" i="12"/>
  <c r="AE29" i="5"/>
  <c r="AC28" i="5"/>
  <c r="AD29" i="5"/>
  <c r="E25" i="13"/>
  <c r="F26" i="13"/>
  <c r="G26" i="13" s="1"/>
  <c r="L28" i="11"/>
  <c r="K27" i="11"/>
  <c r="M28" i="11"/>
  <c r="Q26" i="5"/>
  <c r="S27" i="5"/>
  <c r="R27" i="5"/>
  <c r="F28" i="5"/>
  <c r="G28" i="5" s="1"/>
  <c r="E27" i="5"/>
  <c r="AD27" i="13"/>
  <c r="AE27" i="13"/>
  <c r="AC26" i="13"/>
  <c r="Y29" i="13"/>
  <c r="X29" i="13"/>
  <c r="W28" i="13"/>
  <c r="R25" i="12"/>
  <c r="S25" i="12"/>
  <c r="Q24" i="12"/>
  <c r="E27" i="11"/>
  <c r="F28" i="11"/>
  <c r="G28" i="11" s="1"/>
  <c r="K28" i="12"/>
  <c r="L29" i="12"/>
  <c r="M29" i="12"/>
  <c r="K26" i="13"/>
  <c r="L27" i="13"/>
  <c r="M27" i="13"/>
  <c r="Q25" i="11" l="1"/>
  <c r="S26" i="11"/>
  <c r="R26" i="11"/>
  <c r="E24" i="13"/>
  <c r="F25" i="13"/>
  <c r="G25" i="13" s="1"/>
  <c r="Q26" i="13"/>
  <c r="S27" i="13"/>
  <c r="R27" i="13"/>
  <c r="S24" i="12"/>
  <c r="Q23" i="12"/>
  <c r="R24" i="12"/>
  <c r="X28" i="13"/>
  <c r="Y28" i="13"/>
  <c r="W27" i="13"/>
  <c r="M24" i="5"/>
  <c r="L24" i="5"/>
  <c r="K23" i="5"/>
  <c r="AD27" i="11"/>
  <c r="AC26" i="11"/>
  <c r="AE27" i="11"/>
  <c r="AE28" i="5"/>
  <c r="AD28" i="5"/>
  <c r="AC27" i="5"/>
  <c r="K27" i="12"/>
  <c r="M28" i="12"/>
  <c r="L28" i="12"/>
  <c r="AD26" i="12"/>
  <c r="AC25" i="12"/>
  <c r="AE26" i="12"/>
  <c r="R26" i="5"/>
  <c r="S26" i="5"/>
  <c r="Q25" i="5"/>
  <c r="AC25" i="13"/>
  <c r="AD26" i="13"/>
  <c r="AE26" i="13"/>
  <c r="X27" i="12"/>
  <c r="Y27" i="12"/>
  <c r="W26" i="12"/>
  <c r="Y27" i="5"/>
  <c r="W26" i="5"/>
  <c r="X27" i="5"/>
  <c r="Y24" i="11"/>
  <c r="W23" i="11"/>
  <c r="X24" i="11"/>
  <c r="F27" i="5"/>
  <c r="G27" i="5" s="1"/>
  <c r="E26" i="5"/>
  <c r="K25" i="13"/>
  <c r="M26" i="13"/>
  <c r="L26" i="13"/>
  <c r="F27" i="11"/>
  <c r="G27" i="11" s="1"/>
  <c r="E26" i="11"/>
  <c r="K26" i="11"/>
  <c r="M27" i="11"/>
  <c r="L27" i="11"/>
  <c r="F26" i="12"/>
  <c r="G26" i="12" s="1"/>
  <c r="E25" i="12"/>
  <c r="F25" i="12" l="1"/>
  <c r="G25" i="12" s="1"/>
  <c r="E24" i="12"/>
  <c r="X26" i="5"/>
  <c r="W25" i="5"/>
  <c r="Y26" i="5"/>
  <c r="R25" i="5"/>
  <c r="Q24" i="5"/>
  <c r="S25" i="5"/>
  <c r="L27" i="12"/>
  <c r="M27" i="12"/>
  <c r="K26" i="12"/>
  <c r="K24" i="13"/>
  <c r="L25" i="13"/>
  <c r="M25" i="13"/>
  <c r="AC26" i="5"/>
  <c r="AE27" i="5"/>
  <c r="AD27" i="5"/>
  <c r="L26" i="11"/>
  <c r="K25" i="11"/>
  <c r="M26" i="11"/>
  <c r="F26" i="11"/>
  <c r="G26" i="11" s="1"/>
  <c r="E25" i="11"/>
  <c r="X23" i="11"/>
  <c r="Y23" i="11"/>
  <c r="W22" i="11"/>
  <c r="E25" i="5"/>
  <c r="F26" i="5"/>
  <c r="G26" i="5" s="1"/>
  <c r="X26" i="12"/>
  <c r="Y26" i="12"/>
  <c r="W25" i="12"/>
  <c r="X27" i="13"/>
  <c r="W26" i="13"/>
  <c r="Y27" i="13"/>
  <c r="Q25" i="13"/>
  <c r="S26" i="13"/>
  <c r="R26" i="13"/>
  <c r="AC24" i="12"/>
  <c r="AE25" i="12"/>
  <c r="AD25" i="12"/>
  <c r="E23" i="13"/>
  <c r="F24" i="13"/>
  <c r="G24" i="13" s="1"/>
  <c r="AE26" i="11"/>
  <c r="AC25" i="11"/>
  <c r="AD26" i="11"/>
  <c r="Q22" i="12"/>
  <c r="R23" i="12"/>
  <c r="S23" i="12"/>
  <c r="AE25" i="13"/>
  <c r="AC24" i="13"/>
  <c r="AD25" i="13"/>
  <c r="L23" i="5"/>
  <c r="K22" i="5"/>
  <c r="M23" i="5"/>
  <c r="R25" i="11"/>
  <c r="S25" i="11"/>
  <c r="Q24" i="11"/>
  <c r="Q23" i="11" l="1"/>
  <c r="S24" i="11"/>
  <c r="R24" i="11"/>
  <c r="F23" i="13"/>
  <c r="G23" i="13" s="1"/>
  <c r="E22" i="13"/>
  <c r="X26" i="13"/>
  <c r="W25" i="13"/>
  <c r="Y26" i="13"/>
  <c r="AD26" i="5"/>
  <c r="AE26" i="5"/>
  <c r="AC25" i="5"/>
  <c r="R24" i="5"/>
  <c r="S24" i="5"/>
  <c r="Q23" i="5"/>
  <c r="W24" i="12"/>
  <c r="X25" i="12"/>
  <c r="Y25" i="12"/>
  <c r="F25" i="11"/>
  <c r="G25" i="11" s="1"/>
  <c r="E24" i="11"/>
  <c r="S22" i="12"/>
  <c r="R22" i="12"/>
  <c r="Q21" i="12"/>
  <c r="AC23" i="12"/>
  <c r="AD24" i="12"/>
  <c r="AE24" i="12"/>
  <c r="M24" i="13"/>
  <c r="K23" i="13"/>
  <c r="L24" i="13"/>
  <c r="W24" i="5"/>
  <c r="X25" i="5"/>
  <c r="Y25" i="5"/>
  <c r="AE24" i="13"/>
  <c r="AD24" i="13"/>
  <c r="AC23" i="13"/>
  <c r="M22" i="5"/>
  <c r="L22" i="5"/>
  <c r="K21" i="5"/>
  <c r="AD25" i="11"/>
  <c r="AC24" i="11"/>
  <c r="AE25" i="11"/>
  <c r="L25" i="11"/>
  <c r="K24" i="11"/>
  <c r="M25" i="11"/>
  <c r="L26" i="12"/>
  <c r="M26" i="12"/>
  <c r="K25" i="12"/>
  <c r="S25" i="13"/>
  <c r="Q24" i="13"/>
  <c r="R25" i="13"/>
  <c r="E24" i="5"/>
  <c r="F25" i="5"/>
  <c r="G25" i="5" s="1"/>
  <c r="F24" i="12"/>
  <c r="G24" i="12" s="1"/>
  <c r="E23" i="12"/>
  <c r="Y22" i="11"/>
  <c r="W21" i="11"/>
  <c r="X22" i="11"/>
  <c r="Q23" i="13" l="1"/>
  <c r="R24" i="13"/>
  <c r="S24" i="13"/>
  <c r="Y21" i="11"/>
  <c r="X21" i="11"/>
  <c r="W20" i="11"/>
  <c r="AE24" i="11"/>
  <c r="AC23" i="11"/>
  <c r="AD24" i="11"/>
  <c r="AC22" i="12"/>
  <c r="AD23" i="12"/>
  <c r="AE23" i="12"/>
  <c r="Y24" i="12"/>
  <c r="W23" i="12"/>
  <c r="X24" i="12"/>
  <c r="X25" i="13"/>
  <c r="W24" i="13"/>
  <c r="Y25" i="13"/>
  <c r="L25" i="12"/>
  <c r="M25" i="12"/>
  <c r="K24" i="12"/>
  <c r="S21" i="12"/>
  <c r="Q20" i="12"/>
  <c r="R21" i="12"/>
  <c r="S23" i="5"/>
  <c r="Q22" i="5"/>
  <c r="R23" i="5"/>
  <c r="E22" i="12"/>
  <c r="F23" i="12"/>
  <c r="G23" i="12" s="1"/>
  <c r="K20" i="5"/>
  <c r="M21" i="5"/>
  <c r="L21" i="5"/>
  <c r="Y24" i="5"/>
  <c r="W23" i="5"/>
  <c r="X24" i="5"/>
  <c r="E21" i="13"/>
  <c r="F22" i="13"/>
  <c r="G22" i="13" s="1"/>
  <c r="K22" i="13"/>
  <c r="M23" i="13"/>
  <c r="L23" i="13"/>
  <c r="F24" i="11"/>
  <c r="G24" i="11" s="1"/>
  <c r="E23" i="11"/>
  <c r="AE25" i="5"/>
  <c r="AD25" i="5"/>
  <c r="AC24" i="5"/>
  <c r="F24" i="5"/>
  <c r="G24" i="5" s="1"/>
  <c r="E23" i="5"/>
  <c r="L24" i="11"/>
  <c r="M24" i="11"/>
  <c r="K23" i="11"/>
  <c r="AE23" i="13"/>
  <c r="AC22" i="13"/>
  <c r="AD23" i="13"/>
  <c r="R23" i="11"/>
  <c r="Q22" i="11"/>
  <c r="S23" i="11"/>
  <c r="AC22" i="11" l="1"/>
  <c r="AE23" i="11"/>
  <c r="AD23" i="11"/>
  <c r="R22" i="11"/>
  <c r="S22" i="11"/>
  <c r="Q21" i="11"/>
  <c r="F23" i="5"/>
  <c r="G23" i="5" s="1"/>
  <c r="E22" i="5"/>
  <c r="R20" i="12"/>
  <c r="S20" i="12"/>
  <c r="Q19" i="12"/>
  <c r="M22" i="13"/>
  <c r="L22" i="13"/>
  <c r="K21" i="13"/>
  <c r="L20" i="5"/>
  <c r="K19" i="5"/>
  <c r="M20" i="5"/>
  <c r="Y23" i="12"/>
  <c r="X23" i="12"/>
  <c r="W22" i="12"/>
  <c r="Y20" i="11"/>
  <c r="W19" i="11"/>
  <c r="X20" i="11"/>
  <c r="AE24" i="5"/>
  <c r="AD24" i="5"/>
  <c r="AC23" i="5"/>
  <c r="M24" i="12"/>
  <c r="K23" i="12"/>
  <c r="L24" i="12"/>
  <c r="F21" i="13"/>
  <c r="G21" i="13" s="1"/>
  <c r="E20" i="13"/>
  <c r="E21" i="12"/>
  <c r="F22" i="12"/>
  <c r="G22" i="12" s="1"/>
  <c r="AD22" i="13"/>
  <c r="AC21" i="13"/>
  <c r="AE22" i="13"/>
  <c r="L23" i="11"/>
  <c r="M23" i="11"/>
  <c r="K22" i="11"/>
  <c r="F23" i="11"/>
  <c r="G23" i="11" s="1"/>
  <c r="E22" i="11"/>
  <c r="X23" i="5"/>
  <c r="Y23" i="5"/>
  <c r="W22" i="5"/>
  <c r="S22" i="5"/>
  <c r="Q21" i="5"/>
  <c r="R22" i="5"/>
  <c r="AD22" i="12"/>
  <c r="AC21" i="12"/>
  <c r="AE22" i="12"/>
  <c r="W23" i="13"/>
  <c r="X24" i="13"/>
  <c r="Y24" i="13"/>
  <c r="R23" i="13"/>
  <c r="Q22" i="13"/>
  <c r="S23" i="13"/>
  <c r="F21" i="12" l="1"/>
  <c r="G21" i="12" s="1"/>
  <c r="E20" i="12"/>
  <c r="K18" i="5"/>
  <c r="M19" i="5"/>
  <c r="L19" i="5"/>
  <c r="E21" i="5"/>
  <c r="F22" i="5"/>
  <c r="G22" i="5" s="1"/>
  <c r="AC22" i="5"/>
  <c r="AE23" i="5"/>
  <c r="AD23" i="5"/>
  <c r="AC20" i="12"/>
  <c r="AD21" i="12"/>
  <c r="AE21" i="12"/>
  <c r="F22" i="11"/>
  <c r="G22" i="11" s="1"/>
  <c r="E21" i="11"/>
  <c r="Q21" i="13"/>
  <c r="S22" i="13"/>
  <c r="R22" i="13"/>
  <c r="M22" i="11"/>
  <c r="K21" i="11"/>
  <c r="L22" i="11"/>
  <c r="E19" i="13"/>
  <c r="F20" i="13"/>
  <c r="G20" i="13" s="1"/>
  <c r="R21" i="5"/>
  <c r="Q20" i="5"/>
  <c r="S21" i="5"/>
  <c r="Y19" i="11"/>
  <c r="X19" i="11"/>
  <c r="W18" i="11"/>
  <c r="K20" i="13"/>
  <c r="L21" i="13"/>
  <c r="M21" i="13"/>
  <c r="R21" i="11"/>
  <c r="S21" i="11"/>
  <c r="Q20" i="11"/>
  <c r="W21" i="5"/>
  <c r="Y22" i="5"/>
  <c r="X22" i="5"/>
  <c r="L23" i="12"/>
  <c r="K22" i="12"/>
  <c r="M23" i="12"/>
  <c r="X22" i="12"/>
  <c r="W21" i="12"/>
  <c r="Y22" i="12"/>
  <c r="X23" i="13"/>
  <c r="Y23" i="13"/>
  <c r="W22" i="13"/>
  <c r="AE21" i="13"/>
  <c r="AD21" i="13"/>
  <c r="AC20" i="13"/>
  <c r="Q18" i="12"/>
  <c r="R19" i="12"/>
  <c r="S19" i="12"/>
  <c r="AE22" i="11"/>
  <c r="AC21" i="11"/>
  <c r="AD22" i="11"/>
  <c r="L22" i="12" l="1"/>
  <c r="M22" i="12"/>
  <c r="K21" i="12"/>
  <c r="S21" i="13"/>
  <c r="Q20" i="13"/>
  <c r="R21" i="13"/>
  <c r="AE22" i="5"/>
  <c r="AC21" i="5"/>
  <c r="AD22" i="5"/>
  <c r="AD21" i="11"/>
  <c r="AE21" i="11"/>
  <c r="AC20" i="11"/>
  <c r="Y22" i="13"/>
  <c r="X22" i="13"/>
  <c r="W21" i="13"/>
  <c r="E20" i="11"/>
  <c r="F21" i="11"/>
  <c r="G21" i="11" s="1"/>
  <c r="M20" i="13"/>
  <c r="K19" i="13"/>
  <c r="L20" i="13"/>
  <c r="F19" i="13"/>
  <c r="G19" i="13" s="1"/>
  <c r="E18" i="13"/>
  <c r="E20" i="5"/>
  <c r="F21" i="5"/>
  <c r="G21" i="5" s="1"/>
  <c r="Y18" i="11"/>
  <c r="W17" i="11"/>
  <c r="X18" i="11"/>
  <c r="M21" i="11"/>
  <c r="K20" i="11"/>
  <c r="L21" i="11"/>
  <c r="W20" i="5"/>
  <c r="Y21" i="5"/>
  <c r="X21" i="5"/>
  <c r="Q17" i="12"/>
  <c r="S18" i="12"/>
  <c r="R18" i="12"/>
  <c r="W20" i="12"/>
  <c r="Y21" i="12"/>
  <c r="X21" i="12"/>
  <c r="R20" i="11"/>
  <c r="S20" i="11"/>
  <c r="Q19" i="11"/>
  <c r="AE20" i="12"/>
  <c r="AC19" i="12"/>
  <c r="AD20" i="12"/>
  <c r="K17" i="5"/>
  <c r="M18" i="5"/>
  <c r="L18" i="5"/>
  <c r="AC19" i="13"/>
  <c r="AD20" i="13"/>
  <c r="AE20" i="13"/>
  <c r="E19" i="12"/>
  <c r="F20" i="12"/>
  <c r="G20" i="12" s="1"/>
  <c r="R20" i="5"/>
  <c r="S20" i="5"/>
  <c r="Q19" i="5"/>
  <c r="F20" i="11" l="1"/>
  <c r="G20" i="11" s="1"/>
  <c r="A20" i="11"/>
  <c r="E19" i="11"/>
  <c r="AC20" i="5"/>
  <c r="AD21" i="5"/>
  <c r="AE21" i="5"/>
  <c r="Q18" i="5"/>
  <c r="S19" i="5"/>
  <c r="R19" i="5"/>
  <c r="X20" i="5"/>
  <c r="W19" i="5"/>
  <c r="Y20" i="5"/>
  <c r="F20" i="5"/>
  <c r="G20" i="5" s="1"/>
  <c r="A20" i="5"/>
  <c r="E19" i="5"/>
  <c r="X21" i="13"/>
  <c r="W20" i="13"/>
  <c r="Y21" i="13"/>
  <c r="E17" i="13"/>
  <c r="F18" i="13"/>
  <c r="G18" i="13" s="1"/>
  <c r="M17" i="5"/>
  <c r="L17" i="5"/>
  <c r="K16" i="5"/>
  <c r="W19" i="12"/>
  <c r="X20" i="12"/>
  <c r="Y20" i="12"/>
  <c r="L20" i="11"/>
  <c r="M20" i="11"/>
  <c r="K19" i="11"/>
  <c r="R20" i="13"/>
  <c r="S20" i="13"/>
  <c r="Q19" i="13"/>
  <c r="AC19" i="11"/>
  <c r="AD20" i="11"/>
  <c r="AE20" i="11"/>
  <c r="K18" i="13"/>
  <c r="M19" i="13"/>
  <c r="L19" i="13"/>
  <c r="K20" i="12"/>
  <c r="M21" i="12"/>
  <c r="L21" i="12"/>
  <c r="R19" i="11"/>
  <c r="Q18" i="11"/>
  <c r="S19" i="11"/>
  <c r="S17" i="12"/>
  <c r="Q16" i="12"/>
  <c r="R17" i="12"/>
  <c r="W16" i="11"/>
  <c r="X17" i="11"/>
  <c r="Y17" i="11"/>
  <c r="F19" i="12"/>
  <c r="G19" i="12" s="1"/>
  <c r="E18" i="12"/>
  <c r="AC18" i="12"/>
  <c r="AD19" i="12"/>
  <c r="AE19" i="12"/>
  <c r="AD19" i="13"/>
  <c r="AE19" i="13"/>
  <c r="AC18" i="13"/>
  <c r="Y16" i="11" l="1"/>
  <c r="X16" i="11"/>
  <c r="W15" i="11"/>
  <c r="S19" i="13"/>
  <c r="Q18" i="13"/>
  <c r="R19" i="13"/>
  <c r="X19" i="12"/>
  <c r="Y19" i="12"/>
  <c r="W18" i="12"/>
  <c r="AC17" i="13"/>
  <c r="AD18" i="13"/>
  <c r="AE18" i="13"/>
  <c r="K19" i="12"/>
  <c r="M20" i="12"/>
  <c r="L20" i="12"/>
  <c r="K15" i="5"/>
  <c r="L16" i="5"/>
  <c r="M16" i="5"/>
  <c r="F19" i="5"/>
  <c r="G19" i="5" s="1"/>
  <c r="E18" i="5"/>
  <c r="S18" i="5"/>
  <c r="R18" i="5"/>
  <c r="Q17" i="5"/>
  <c r="R16" i="12"/>
  <c r="S16" i="12"/>
  <c r="Q15" i="12"/>
  <c r="AD18" i="12"/>
  <c r="AE18" i="12"/>
  <c r="AC17" i="12"/>
  <c r="M19" i="11"/>
  <c r="K18" i="11"/>
  <c r="L19" i="11"/>
  <c r="M18" i="13"/>
  <c r="L18" i="13"/>
  <c r="K17" i="13"/>
  <c r="AD20" i="5"/>
  <c r="AC19" i="5"/>
  <c r="AE20" i="5"/>
  <c r="F18" i="12"/>
  <c r="G18" i="12" s="1"/>
  <c r="E17" i="12"/>
  <c r="S18" i="11"/>
  <c r="R18" i="11"/>
  <c r="Q17" i="11"/>
  <c r="F17" i="13"/>
  <c r="G17" i="13" s="1"/>
  <c r="E16" i="13"/>
  <c r="X19" i="5"/>
  <c r="W18" i="5"/>
  <c r="Y19" i="5"/>
  <c r="E18" i="11"/>
  <c r="F19" i="11"/>
  <c r="G19" i="11" s="1"/>
  <c r="AD19" i="11"/>
  <c r="AE19" i="11"/>
  <c r="AC18" i="11"/>
  <c r="X20" i="13"/>
  <c r="Y20" i="13"/>
  <c r="W19" i="13"/>
  <c r="E16" i="12" l="1"/>
  <c r="F17" i="12"/>
  <c r="G17" i="12" s="1"/>
  <c r="K14" i="5"/>
  <c r="M15" i="5"/>
  <c r="L15" i="5"/>
  <c r="Y18" i="5"/>
  <c r="W17" i="5"/>
  <c r="X18" i="5"/>
  <c r="M18" i="11"/>
  <c r="L18" i="11"/>
  <c r="K17" i="11"/>
  <c r="R17" i="5"/>
  <c r="Q16" i="5"/>
  <c r="S17" i="5"/>
  <c r="X19" i="13"/>
  <c r="W18" i="13"/>
  <c r="Y19" i="13"/>
  <c r="AD18" i="11"/>
  <c r="AE18" i="11"/>
  <c r="AC17" i="11"/>
  <c r="F16" i="13"/>
  <c r="G16" i="13" s="1"/>
  <c r="E15" i="13"/>
  <c r="AC18" i="5"/>
  <c r="AE19" i="5"/>
  <c r="AD19" i="5"/>
  <c r="AD17" i="12"/>
  <c r="AC16" i="12"/>
  <c r="AE17" i="12"/>
  <c r="K18" i="12"/>
  <c r="L19" i="12"/>
  <c r="M19" i="12"/>
  <c r="S18" i="13"/>
  <c r="Q17" i="13"/>
  <c r="R18" i="13"/>
  <c r="E17" i="5"/>
  <c r="F18" i="5"/>
  <c r="G18" i="5" s="1"/>
  <c r="S17" i="11"/>
  <c r="R17" i="11"/>
  <c r="Q16" i="11"/>
  <c r="K16" i="13"/>
  <c r="L17" i="13"/>
  <c r="M17" i="13"/>
  <c r="W14" i="11"/>
  <c r="Y15" i="11"/>
  <c r="X15" i="11"/>
  <c r="S15" i="12"/>
  <c r="R15" i="12"/>
  <c r="Q14" i="12"/>
  <c r="AC16" i="13"/>
  <c r="AD17" i="13"/>
  <c r="AE17" i="13"/>
  <c r="E17" i="11"/>
  <c r="F18" i="11"/>
  <c r="G18" i="11" s="1"/>
  <c r="W17" i="12"/>
  <c r="X18" i="12"/>
  <c r="Y18" i="12"/>
  <c r="R14" i="12" l="1"/>
  <c r="S14" i="12"/>
  <c r="Q13" i="12"/>
  <c r="K15" i="13"/>
  <c r="L16" i="13"/>
  <c r="M16" i="13"/>
  <c r="W17" i="13"/>
  <c r="Y18" i="13"/>
  <c r="X18" i="13"/>
  <c r="R16" i="11"/>
  <c r="Q15" i="11"/>
  <c r="S16" i="11"/>
  <c r="AE18" i="5"/>
  <c r="AC17" i="5"/>
  <c r="AD18" i="5"/>
  <c r="Y17" i="5"/>
  <c r="X17" i="5"/>
  <c r="W16" i="5"/>
  <c r="X17" i="12"/>
  <c r="Y17" i="12"/>
  <c r="W16" i="12"/>
  <c r="E14" i="13"/>
  <c r="F15" i="13"/>
  <c r="G15" i="13" s="1"/>
  <c r="K17" i="12"/>
  <c r="L18" i="12"/>
  <c r="M18" i="12"/>
  <c r="R16" i="5"/>
  <c r="Q15" i="5"/>
  <c r="S16" i="5"/>
  <c r="AE17" i="11"/>
  <c r="AD17" i="11"/>
  <c r="AC16" i="11"/>
  <c r="F17" i="11"/>
  <c r="G17" i="11" s="1"/>
  <c r="E16" i="11"/>
  <c r="X14" i="11"/>
  <c r="Y14" i="11"/>
  <c r="W13" i="11"/>
  <c r="E16" i="5"/>
  <c r="F17" i="5"/>
  <c r="G17" i="5" s="1"/>
  <c r="AC15" i="12"/>
  <c r="AD16" i="12"/>
  <c r="AE16" i="12"/>
  <c r="M17" i="11"/>
  <c r="L17" i="11"/>
  <c r="K16" i="11"/>
  <c r="L14" i="5"/>
  <c r="K13" i="5"/>
  <c r="M14" i="5"/>
  <c r="AE16" i="13"/>
  <c r="AC15" i="13"/>
  <c r="AD16" i="13"/>
  <c r="R17" i="13"/>
  <c r="S17" i="13"/>
  <c r="Q16" i="13"/>
  <c r="E15" i="12"/>
  <c r="F16" i="12"/>
  <c r="G16" i="12" s="1"/>
  <c r="AC14" i="13" l="1"/>
  <c r="AD15" i="13"/>
  <c r="AE15" i="13"/>
  <c r="AC14" i="12"/>
  <c r="AE15" i="12"/>
  <c r="AD15" i="12"/>
  <c r="AE16" i="11"/>
  <c r="AD16" i="11"/>
  <c r="AC15" i="11"/>
  <c r="K16" i="12"/>
  <c r="M17" i="12"/>
  <c r="L17" i="12"/>
  <c r="W16" i="13"/>
  <c r="X17" i="13"/>
  <c r="Y17" i="13"/>
  <c r="F15" i="12"/>
  <c r="G15" i="12" s="1"/>
  <c r="E14" i="12"/>
  <c r="L13" i="5"/>
  <c r="K12" i="5"/>
  <c r="M13" i="5"/>
  <c r="R16" i="13"/>
  <c r="Q15" i="13"/>
  <c r="S16" i="13"/>
  <c r="F16" i="5"/>
  <c r="G16" i="5" s="1"/>
  <c r="E15" i="5"/>
  <c r="F14" i="13"/>
  <c r="G14" i="13" s="1"/>
  <c r="E13" i="13"/>
  <c r="AD17" i="5"/>
  <c r="AC16" i="5"/>
  <c r="AE17" i="5"/>
  <c r="K15" i="11"/>
  <c r="M16" i="11"/>
  <c r="L16" i="11"/>
  <c r="Y13" i="11"/>
  <c r="W12" i="11"/>
  <c r="X13" i="11"/>
  <c r="W15" i="12"/>
  <c r="Y16" i="12"/>
  <c r="X16" i="12"/>
  <c r="S15" i="5"/>
  <c r="R15" i="5"/>
  <c r="Q14" i="5"/>
  <c r="M15" i="13"/>
  <c r="L15" i="13"/>
  <c r="K14" i="13"/>
  <c r="Q14" i="11"/>
  <c r="S15" i="11"/>
  <c r="R15" i="11"/>
  <c r="S13" i="12"/>
  <c r="Q12" i="12"/>
  <c r="R13" i="12"/>
  <c r="F16" i="11"/>
  <c r="G16" i="11" s="1"/>
  <c r="E15" i="11"/>
  <c r="X16" i="5"/>
  <c r="Y16" i="5"/>
  <c r="W15" i="5"/>
  <c r="X15" i="5" l="1"/>
  <c r="W14" i="5"/>
  <c r="Y15" i="5"/>
  <c r="L15" i="11"/>
  <c r="M15" i="11"/>
  <c r="K14" i="11"/>
  <c r="Q13" i="11"/>
  <c r="S14" i="11"/>
  <c r="R14" i="11"/>
  <c r="S15" i="13"/>
  <c r="Q14" i="13"/>
  <c r="R15" i="13"/>
  <c r="F15" i="11"/>
  <c r="G15" i="11" s="1"/>
  <c r="E14" i="11"/>
  <c r="M14" i="13"/>
  <c r="K13" i="13"/>
  <c r="L14" i="13"/>
  <c r="Y15" i="12"/>
  <c r="W14" i="12"/>
  <c r="X15" i="12"/>
  <c r="AD16" i="5"/>
  <c r="AE16" i="5"/>
  <c r="AC15" i="5"/>
  <c r="Y16" i="13"/>
  <c r="X16" i="13"/>
  <c r="W15" i="13"/>
  <c r="AC13" i="12"/>
  <c r="AE14" i="12"/>
  <c r="AD14" i="12"/>
  <c r="Y12" i="11"/>
  <c r="W11" i="11"/>
  <c r="X12" i="11"/>
  <c r="F13" i="13"/>
  <c r="G13" i="13" s="1"/>
  <c r="E12" i="13"/>
  <c r="K11" i="5"/>
  <c r="M12" i="5"/>
  <c r="L12" i="5"/>
  <c r="L16" i="12"/>
  <c r="M16" i="12"/>
  <c r="K15" i="12"/>
  <c r="Q11" i="12"/>
  <c r="S12" i="12"/>
  <c r="R12" i="12"/>
  <c r="R14" i="5"/>
  <c r="Q13" i="5"/>
  <c r="S14" i="5"/>
  <c r="F15" i="5"/>
  <c r="G15" i="5" s="1"/>
  <c r="E14" i="5"/>
  <c r="E13" i="12"/>
  <c r="F14" i="12"/>
  <c r="G14" i="12" s="1"/>
  <c r="AD15" i="11"/>
  <c r="AE15" i="11"/>
  <c r="AC14" i="11"/>
  <c r="AD14" i="13"/>
  <c r="AC13" i="13"/>
  <c r="AE14" i="13"/>
  <c r="AC13" i="11" l="1"/>
  <c r="AE14" i="11"/>
  <c r="AD14" i="11"/>
  <c r="S13" i="5"/>
  <c r="Q12" i="5"/>
  <c r="R13" i="5"/>
  <c r="K12" i="13"/>
  <c r="M13" i="13"/>
  <c r="L13" i="13"/>
  <c r="F14" i="5"/>
  <c r="G14" i="5" s="1"/>
  <c r="E13" i="5"/>
  <c r="K14" i="12"/>
  <c r="M15" i="12"/>
  <c r="L15" i="12"/>
  <c r="AD13" i="13"/>
  <c r="AE13" i="13"/>
  <c r="AC12" i="13"/>
  <c r="X11" i="11"/>
  <c r="Y11" i="11"/>
  <c r="W10" i="11"/>
  <c r="AE15" i="5"/>
  <c r="AC14" i="5"/>
  <c r="AD15" i="5"/>
  <c r="Q12" i="11"/>
  <c r="R13" i="11"/>
  <c r="S13" i="11"/>
  <c r="E13" i="11"/>
  <c r="F14" i="11"/>
  <c r="G14" i="11" s="1"/>
  <c r="M14" i="11"/>
  <c r="L14" i="11"/>
  <c r="K13" i="11"/>
  <c r="K10" i="5"/>
  <c r="L11" i="5"/>
  <c r="M11" i="5"/>
  <c r="AD13" i="12"/>
  <c r="AC12" i="12"/>
  <c r="AE13" i="12"/>
  <c r="Y14" i="12"/>
  <c r="W13" i="12"/>
  <c r="X14" i="12"/>
  <c r="Q13" i="13"/>
  <c r="S14" i="13"/>
  <c r="R14" i="13"/>
  <c r="E11" i="13"/>
  <c r="F12" i="13"/>
  <c r="G12" i="13" s="1"/>
  <c r="W14" i="13"/>
  <c r="Y15" i="13"/>
  <c r="X15" i="13"/>
  <c r="X14" i="5"/>
  <c r="Y14" i="5"/>
  <c r="W13" i="5"/>
  <c r="E12" i="12"/>
  <c r="F13" i="12"/>
  <c r="G13" i="12" s="1"/>
  <c r="R11" i="12"/>
  <c r="S11" i="12"/>
  <c r="Q10" i="12"/>
  <c r="K9" i="5" l="1"/>
  <c r="M10" i="5"/>
  <c r="L10" i="5"/>
  <c r="Q11" i="11"/>
  <c r="S12" i="11"/>
  <c r="R12" i="11"/>
  <c r="S10" i="12"/>
  <c r="R10" i="12"/>
  <c r="Q9" i="12"/>
  <c r="Y13" i="12"/>
  <c r="W12" i="12"/>
  <c r="X13" i="12"/>
  <c r="L13" i="11"/>
  <c r="M13" i="11"/>
  <c r="K12" i="11"/>
  <c r="M12" i="13"/>
  <c r="L12" i="13"/>
  <c r="K11" i="13"/>
  <c r="AC13" i="5"/>
  <c r="AE14" i="5"/>
  <c r="AD14" i="5"/>
  <c r="W13" i="13"/>
  <c r="X14" i="13"/>
  <c r="Y14" i="13"/>
  <c r="R12" i="5"/>
  <c r="Q11" i="5"/>
  <c r="S12" i="5"/>
  <c r="X13" i="5"/>
  <c r="W12" i="5"/>
  <c r="Y13" i="5"/>
  <c r="F12" i="12"/>
  <c r="G12" i="12" s="1"/>
  <c r="E11" i="12"/>
  <c r="E10" i="13"/>
  <c r="F11" i="13"/>
  <c r="G11" i="13" s="1"/>
  <c r="AE12" i="12"/>
  <c r="AD12" i="12"/>
  <c r="AC11" i="12"/>
  <c r="W9" i="11"/>
  <c r="X10" i="11"/>
  <c r="Y10" i="11"/>
  <c r="K13" i="12"/>
  <c r="L14" i="12"/>
  <c r="M14" i="12"/>
  <c r="F13" i="11"/>
  <c r="G13" i="11" s="1"/>
  <c r="E12" i="11"/>
  <c r="E12" i="5"/>
  <c r="F13" i="5"/>
  <c r="G13" i="5" s="1"/>
  <c r="R13" i="13"/>
  <c r="S13" i="13"/>
  <c r="Q12" i="13"/>
  <c r="AC11" i="13"/>
  <c r="AD12" i="13"/>
  <c r="AE12" i="13"/>
  <c r="AD13" i="11"/>
  <c r="AE13" i="11"/>
  <c r="AC12" i="11"/>
  <c r="E10" i="12" l="1"/>
  <c r="F11" i="12"/>
  <c r="G11" i="12" s="1"/>
  <c r="L12" i="11"/>
  <c r="M12" i="11"/>
  <c r="K11" i="11"/>
  <c r="F12" i="5"/>
  <c r="G12" i="5" s="1"/>
  <c r="E11" i="5"/>
  <c r="W8" i="11"/>
  <c r="Y9" i="11"/>
  <c r="X9" i="11"/>
  <c r="X13" i="13"/>
  <c r="Y13" i="13"/>
  <c r="W12" i="13"/>
  <c r="E11" i="11"/>
  <c r="F12" i="11"/>
  <c r="G12" i="11" s="1"/>
  <c r="AE11" i="12"/>
  <c r="AD11" i="12"/>
  <c r="AC10" i="12"/>
  <c r="X12" i="5"/>
  <c r="Y12" i="5"/>
  <c r="W11" i="5"/>
  <c r="R11" i="11"/>
  <c r="S11" i="11"/>
  <c r="Q10" i="11"/>
  <c r="AC10" i="13"/>
  <c r="AD11" i="13"/>
  <c r="AE11" i="13"/>
  <c r="AE13" i="5"/>
  <c r="AD13" i="5"/>
  <c r="AC12" i="5"/>
  <c r="Y12" i="12"/>
  <c r="W11" i="12"/>
  <c r="X12" i="12"/>
  <c r="AC11" i="11"/>
  <c r="AD12" i="11"/>
  <c r="AE12" i="11"/>
  <c r="R12" i="13"/>
  <c r="Q11" i="13"/>
  <c r="S12" i="13"/>
  <c r="Q10" i="5"/>
  <c r="R11" i="5"/>
  <c r="S11" i="5"/>
  <c r="M11" i="13"/>
  <c r="K10" i="13"/>
  <c r="L11" i="13"/>
  <c r="M13" i="12"/>
  <c r="K12" i="12"/>
  <c r="L13" i="12"/>
  <c r="F10" i="13"/>
  <c r="G10" i="13" s="1"/>
  <c r="E9" i="13"/>
  <c r="R9" i="12"/>
  <c r="Q8" i="12"/>
  <c r="S9" i="12"/>
  <c r="K8" i="5"/>
  <c r="L9" i="5"/>
  <c r="M9" i="5"/>
  <c r="Q9" i="5" l="1"/>
  <c r="R10" i="5"/>
  <c r="S10" i="5"/>
  <c r="Y11" i="12"/>
  <c r="W10" i="12"/>
  <c r="X11" i="12"/>
  <c r="Q9" i="11"/>
  <c r="R10" i="11"/>
  <c r="S10" i="11"/>
  <c r="Y8" i="11"/>
  <c r="W7" i="11"/>
  <c r="X8" i="11"/>
  <c r="K11" i="12"/>
  <c r="M12" i="12"/>
  <c r="L12" i="12"/>
  <c r="E10" i="5"/>
  <c r="F11" i="5"/>
  <c r="G11" i="5" s="1"/>
  <c r="K7" i="5"/>
  <c r="L8" i="5"/>
  <c r="M8" i="5"/>
  <c r="S11" i="13"/>
  <c r="R11" i="13"/>
  <c r="Q10" i="13"/>
  <c r="AC11" i="5"/>
  <c r="AE12" i="5"/>
  <c r="AD12" i="5"/>
  <c r="F11" i="11"/>
  <c r="G11" i="11" s="1"/>
  <c r="E10" i="11"/>
  <c r="W10" i="5"/>
  <c r="X11" i="5"/>
  <c r="Y11" i="5"/>
  <c r="W11" i="13"/>
  <c r="X12" i="13"/>
  <c r="Y12" i="13"/>
  <c r="K10" i="11"/>
  <c r="L11" i="11"/>
  <c r="M11" i="11"/>
  <c r="S8" i="12"/>
  <c r="R8" i="12"/>
  <c r="Q7" i="12"/>
  <c r="L10" i="13"/>
  <c r="K9" i="13"/>
  <c r="M10" i="13"/>
  <c r="AE11" i="11"/>
  <c r="AD11" i="11"/>
  <c r="AC10" i="11"/>
  <c r="AD10" i="12"/>
  <c r="AC9" i="12"/>
  <c r="AE10" i="12"/>
  <c r="F9" i="13"/>
  <c r="G9" i="13" s="1"/>
  <c r="E8" i="13"/>
  <c r="AD10" i="13"/>
  <c r="AC9" i="13"/>
  <c r="AE10" i="13"/>
  <c r="E9" i="12"/>
  <c r="F10" i="12"/>
  <c r="G10" i="12" s="1"/>
  <c r="AD9" i="12" l="1"/>
  <c r="AC8" i="12"/>
  <c r="AE9" i="12"/>
  <c r="R7" i="12"/>
  <c r="S7" i="12"/>
  <c r="Y11" i="13"/>
  <c r="W10" i="13"/>
  <c r="X11" i="13"/>
  <c r="AE11" i="5"/>
  <c r="AC10" i="5"/>
  <c r="AD11" i="5"/>
  <c r="E9" i="5"/>
  <c r="F10" i="5"/>
  <c r="G10" i="5" s="1"/>
  <c r="Q9" i="13"/>
  <c r="R10" i="13"/>
  <c r="S10" i="13"/>
  <c r="S9" i="11"/>
  <c r="Q8" i="11"/>
  <c r="R9" i="11"/>
  <c r="AC9" i="11"/>
  <c r="AE10" i="11"/>
  <c r="AD10" i="11"/>
  <c r="AE9" i="13"/>
  <c r="AC8" i="13"/>
  <c r="AD9" i="13"/>
  <c r="W9" i="5"/>
  <c r="X10" i="5"/>
  <c r="Y10" i="5"/>
  <c r="M11" i="12"/>
  <c r="K10" i="12"/>
  <c r="L11" i="12"/>
  <c r="X10" i="12"/>
  <c r="Y10" i="12"/>
  <c r="W9" i="12"/>
  <c r="E8" i="12"/>
  <c r="F9" i="12"/>
  <c r="G9" i="12" s="1"/>
  <c r="E9" i="11"/>
  <c r="F10" i="11"/>
  <c r="G10" i="11" s="1"/>
  <c r="E7" i="13"/>
  <c r="F7" i="13" s="1"/>
  <c r="G7" i="13" s="1"/>
  <c r="F8" i="13"/>
  <c r="G8" i="13" s="1"/>
  <c r="M10" i="11"/>
  <c r="K9" i="11"/>
  <c r="L10" i="11"/>
  <c r="Y7" i="11"/>
  <c r="X7" i="11"/>
  <c r="L7" i="5"/>
  <c r="M7" i="5"/>
  <c r="M9" i="13"/>
  <c r="L9" i="13"/>
  <c r="K8" i="13"/>
  <c r="R9" i="5"/>
  <c r="S9" i="5"/>
  <c r="Q8" i="5"/>
  <c r="AC7" i="13" l="1"/>
  <c r="AE8" i="13"/>
  <c r="AD8" i="13"/>
  <c r="W9" i="13"/>
  <c r="Y10" i="13"/>
  <c r="X10" i="13"/>
  <c r="L10" i="12"/>
  <c r="M10" i="12"/>
  <c r="K9" i="12"/>
  <c r="R9" i="13"/>
  <c r="S9" i="13"/>
  <c r="Q8" i="13"/>
  <c r="R8" i="5"/>
  <c r="Q7" i="5"/>
  <c r="S8" i="5"/>
  <c r="AC8" i="11"/>
  <c r="AD9" i="11"/>
  <c r="AE9" i="11"/>
  <c r="F9" i="5"/>
  <c r="G9" i="5" s="1"/>
  <c r="E8" i="5"/>
  <c r="F9" i="11"/>
  <c r="G9" i="11" s="1"/>
  <c r="E8" i="11"/>
  <c r="F8" i="12"/>
  <c r="G8" i="12" s="1"/>
  <c r="E7" i="12"/>
  <c r="F7" i="12" s="1"/>
  <c r="G7" i="12" s="1"/>
  <c r="K7" i="13"/>
  <c r="M8" i="13"/>
  <c r="L8" i="13"/>
  <c r="L9" i="11"/>
  <c r="K8" i="11"/>
  <c r="M9" i="11"/>
  <c r="Y9" i="12"/>
  <c r="W8" i="12"/>
  <c r="X9" i="12"/>
  <c r="W8" i="5"/>
  <c r="X9" i="5"/>
  <c r="Y9" i="5"/>
  <c r="S8" i="11"/>
  <c r="R8" i="11"/>
  <c r="Q7" i="11"/>
  <c r="AD10" i="5"/>
  <c r="AE10" i="5"/>
  <c r="AC9" i="5"/>
  <c r="AD8" i="12"/>
  <c r="AE8" i="12"/>
  <c r="AC7" i="12"/>
  <c r="X8" i="12" l="1"/>
  <c r="Y8" i="12"/>
  <c r="W7" i="12"/>
  <c r="AD8" i="11"/>
  <c r="AE8" i="11"/>
  <c r="AC7" i="11"/>
  <c r="R7" i="11"/>
  <c r="S7" i="11"/>
  <c r="E7" i="11"/>
  <c r="F8" i="11"/>
  <c r="G8" i="11" s="1"/>
  <c r="R7" i="5"/>
  <c r="S7" i="5"/>
  <c r="L8" i="11"/>
  <c r="K7" i="11"/>
  <c r="M8" i="11"/>
  <c r="AE9" i="5"/>
  <c r="AC8" i="5"/>
  <c r="AD9" i="5"/>
  <c r="AE7" i="12"/>
  <c r="AD7" i="12"/>
  <c r="F8" i="5"/>
  <c r="G8" i="5" s="1"/>
  <c r="E7" i="5"/>
  <c r="S8" i="13"/>
  <c r="Q7" i="13"/>
  <c r="R8" i="13"/>
  <c r="W8" i="13"/>
  <c r="Y9" i="13"/>
  <c r="X9" i="13"/>
  <c r="W7" i="5"/>
  <c r="Y8" i="5"/>
  <c r="X8" i="5"/>
  <c r="L7" i="13"/>
  <c r="M7" i="13"/>
  <c r="L9" i="12"/>
  <c r="M9" i="12"/>
  <c r="K8" i="12"/>
  <c r="AE7" i="13"/>
  <c r="AD7" i="13"/>
  <c r="S7" i="13" l="1"/>
  <c r="R7" i="13"/>
  <c r="W7" i="13"/>
  <c r="X8" i="13"/>
  <c r="Y8" i="13"/>
  <c r="A7" i="5"/>
  <c r="F7" i="5"/>
  <c r="G7" i="5" s="1"/>
  <c r="M7" i="11"/>
  <c r="L7" i="11"/>
  <c r="AE7" i="11"/>
  <c r="AD7" i="11"/>
  <c r="X7" i="5"/>
  <c r="Y7" i="5"/>
  <c r="X7" i="12"/>
  <c r="Y7" i="12"/>
  <c r="L8" i="12"/>
  <c r="K7" i="12"/>
  <c r="M8" i="12"/>
  <c r="AE8" i="5"/>
  <c r="AD8" i="5"/>
  <c r="AC7" i="5"/>
  <c r="A7" i="11"/>
  <c r="F7" i="11"/>
  <c r="G7" i="11" s="1"/>
  <c r="L7" i="12" l="1"/>
  <c r="M7" i="12"/>
  <c r="AE7" i="5"/>
  <c r="AD7" i="5"/>
  <c r="Y7" i="13"/>
  <c r="X7" i="13"/>
</calcChain>
</file>

<file path=xl/sharedStrings.xml><?xml version="1.0" encoding="utf-8"?>
<sst xmlns="http://schemas.openxmlformats.org/spreadsheetml/2006/main" count="10507" uniqueCount="258">
  <si>
    <t>Parent Name</t>
  </si>
  <si>
    <t>DUNKIN BRANDS</t>
  </si>
  <si>
    <t>Cornelius, Inc. CAD</t>
  </si>
  <si>
    <t>LEON MAX, INC.</t>
  </si>
  <si>
    <t>CINEMARK USA</t>
  </si>
  <si>
    <t>STARBUCKS COFFEE COMPANY</t>
  </si>
  <si>
    <t>STARBUCKS COFFEE COMPANY (CAN ACCT)</t>
  </si>
  <si>
    <t>SAFEWAY</t>
  </si>
  <si>
    <t>TARGET US</t>
  </si>
  <si>
    <t>PYRAMID FOODS</t>
  </si>
  <si>
    <t>ALBERTSON'S LLC</t>
  </si>
  <si>
    <t>Evolution Fresh</t>
  </si>
  <si>
    <t>NIMBUS WATER SYSTEMS</t>
  </si>
  <si>
    <t>HHC HA TRS, INC</t>
  </si>
  <si>
    <t>GIANT EAGLE SUPERMARKET</t>
  </si>
  <si>
    <t>WESTIN CALGARY</t>
  </si>
  <si>
    <t>HARRIS TEETER LLC</t>
  </si>
  <si>
    <t>MILWAUKEE HILTON CITY CENTER LLC</t>
  </si>
  <si>
    <t>JOHNSON &amp; WALES UNIVERSITY</t>
  </si>
  <si>
    <t>Food Services Management By MGR, LLC</t>
  </si>
  <si>
    <t>University of Utah</t>
  </si>
  <si>
    <t>KANEOHE BAY MARINE CORPS COMMUNITY SERVI</t>
  </si>
  <si>
    <t>ATELIER 123 LLC ATELIER CRENN LLC</t>
  </si>
  <si>
    <t>PHILADELPHIA YOUTH FOR CHANGE, INC</t>
  </si>
  <si>
    <t>INTERCONTINENTAL HOTEL -  CHICAGO</t>
  </si>
  <si>
    <t>GOOGLE</t>
  </si>
  <si>
    <t>Cornelius, Inc.</t>
  </si>
  <si>
    <t>JRUCW INC</t>
  </si>
  <si>
    <t>Venstar, Inc.</t>
  </si>
  <si>
    <t>STANFORD UNIVERSITY</t>
  </si>
  <si>
    <t>Macy’s Retail Holdings Inc. (Starbucks)</t>
  </si>
  <si>
    <t>HMS Host-Starbucks</t>
  </si>
  <si>
    <t>DELTA BOW VALLEY HOTEL</t>
  </si>
  <si>
    <t>FAIRFIELD UNIVERSITY BOOKSTORE</t>
  </si>
  <si>
    <t>University of Utah Healthcare</t>
  </si>
  <si>
    <t>Rpt Date</t>
  </si>
  <si>
    <t>Scenario</t>
  </si>
  <si>
    <t>Amount</t>
  </si>
  <si>
    <t>ScenarioGroup</t>
  </si>
  <si>
    <t>DateTxt</t>
  </si>
  <si>
    <t>ParentGroup</t>
  </si>
  <si>
    <t>Other</t>
  </si>
  <si>
    <t>SBUX</t>
  </si>
  <si>
    <t>Target</t>
  </si>
  <si>
    <t>PrentGroup</t>
  </si>
  <si>
    <t>DateFormat</t>
  </si>
  <si>
    <t>DayDate</t>
  </si>
  <si>
    <t>FARESTART</t>
  </si>
  <si>
    <t>Target Corporation</t>
  </si>
  <si>
    <t>Sunterra Quality Food Markets Inc.</t>
  </si>
  <si>
    <t>O'BRIEN'S MARKET</t>
  </si>
  <si>
    <t>SYMRISE - FLAVOR DIVISION</t>
  </si>
  <si>
    <t>DIAMOND ROCK BOSTON TENANT, LLC</t>
  </si>
  <si>
    <t>Le Crystal Hôtel Montreal Inc.</t>
  </si>
  <si>
    <t>University of Utah Health Care</t>
  </si>
  <si>
    <t>Current</t>
  </si>
  <si>
    <t>1 to 30</t>
  </si>
  <si>
    <t>31 to 60</t>
  </si>
  <si>
    <t>61 to 90</t>
  </si>
  <si>
    <t>91 to 120</t>
  </si>
  <si>
    <t>&gt; 120</t>
  </si>
  <si>
    <t>ASR GROUP INC.</t>
  </si>
  <si>
    <t>JW MARRIOTT - OAK BROOK</t>
  </si>
  <si>
    <t>Marriott - Wall Centre Starbucks</t>
  </si>
  <si>
    <t>BORDER STATES ELECTRIC</t>
  </si>
  <si>
    <t>INTERNAL CUSTOMER - LA SERVICE CENTER</t>
  </si>
  <si>
    <t>Group</t>
  </si>
  <si>
    <t>West</t>
  </si>
  <si>
    <t>AR Date</t>
  </si>
  <si>
    <t>Safeway</t>
  </si>
  <si>
    <t>Amount2</t>
  </si>
  <si>
    <t>West Division</t>
  </si>
  <si>
    <t>Starbucks</t>
  </si>
  <si>
    <t>PORTLAND YOUTH BUILDERS</t>
  </si>
  <si>
    <t>SOUTH BRONX OVERALL ECONOMIC DEVELOPMENT</t>
  </si>
  <si>
    <t>Start_Date</t>
  </si>
  <si>
    <t>Over 90</t>
  </si>
  <si>
    <t>CLIMB COMMUNITY DEVELOPMENT CORP</t>
  </si>
  <si>
    <t>Lifeworks Restaurant Group/JPMC Brooklyn</t>
  </si>
  <si>
    <t>LT NAPA PARTNERS LLC</t>
  </si>
  <si>
    <t>BRECKENRIDGE COFFEE LLC</t>
  </si>
  <si>
    <t>Simon SBUX Franchise LLC</t>
  </si>
  <si>
    <t>LC Hotel, LLC</t>
  </si>
  <si>
    <t>PLUMED HORSE GROUP LLC</t>
  </si>
  <si>
    <t>West Total</t>
  </si>
  <si>
    <t>West Division A/R Dashboard</t>
  </si>
  <si>
    <r>
      <t xml:space="preserve">West Total
195338.77
</t>
    </r>
    <r>
      <rPr>
        <b/>
        <sz val="11"/>
        <color rgb="FFFF0000"/>
        <rFont val="Calibri"/>
        <family val="2"/>
        <scheme val="minor"/>
      </rPr>
      <t>▲</t>
    </r>
  </si>
  <si>
    <t>Target Coffee</t>
  </si>
  <si>
    <t>Target Food Production</t>
  </si>
  <si>
    <t>Starbucks Coffee</t>
  </si>
  <si>
    <t>Starbucks Projects</t>
  </si>
  <si>
    <t>Starbucks Service Center</t>
  </si>
  <si>
    <t>Starbucks Total</t>
  </si>
  <si>
    <t>90 Days &amp; &gt;</t>
  </si>
  <si>
    <t>1-2395361311</t>
  </si>
  <si>
    <t>1-1975506681</t>
  </si>
  <si>
    <t>SWAGGENER</t>
  </si>
  <si>
    <t>KKUJAWA</t>
  </si>
  <si>
    <t>KVICTOR</t>
  </si>
  <si>
    <t>SR #</t>
  </si>
  <si>
    <t>Inv #</t>
  </si>
  <si>
    <t>Owner</t>
  </si>
  <si>
    <t>Open Amount</t>
  </si>
  <si>
    <t>Blue Cross Blue Shield</t>
  </si>
  <si>
    <t>Morrison Healthcare</t>
  </si>
  <si>
    <t>Customer_Center</t>
  </si>
  <si>
    <t>Date</t>
  </si>
  <si>
    <t>Ontario Inc.</t>
  </si>
  <si>
    <t>JSIMPSON</t>
  </si>
  <si>
    <t>1-2415832282</t>
  </si>
  <si>
    <t>NMORSE</t>
  </si>
  <si>
    <t>JSNELL</t>
  </si>
  <si>
    <t>MAREK HOSPITALITY INC</t>
  </si>
  <si>
    <t>PALMER CITY CORE ST. HELENA MANAGEMENT</t>
  </si>
  <si>
    <t>1-2415829762</t>
  </si>
  <si>
    <t>1-2434164591</t>
  </si>
  <si>
    <t>1-1742536146</t>
  </si>
  <si>
    <t>1-2945218920</t>
  </si>
  <si>
    <t>1-2436470201</t>
  </si>
  <si>
    <t>1-2593972254</t>
  </si>
  <si>
    <t>Billing Comments</t>
  </si>
  <si>
    <t>Aramark Food and Support Services Group,</t>
  </si>
  <si>
    <t>1-1760975861</t>
  </si>
  <si>
    <t>Change$</t>
  </si>
  <si>
    <t>Change %</t>
  </si>
  <si>
    <t>+/-</t>
  </si>
  <si>
    <t>Team</t>
  </si>
  <si>
    <t>1-3099398690</t>
  </si>
  <si>
    <t>1-3204574506</t>
  </si>
  <si>
    <t>1-3103638882</t>
  </si>
  <si>
    <t>1-1926375511</t>
  </si>
  <si>
    <t>1-2725690150</t>
  </si>
  <si>
    <t>1-2854634800</t>
  </si>
  <si>
    <t>1-3281206284</t>
  </si>
  <si>
    <t>1-2612716402</t>
  </si>
  <si>
    <t>1-2945218368</t>
  </si>
  <si>
    <t>1-2464810881</t>
  </si>
  <si>
    <t>1-2043949001</t>
  </si>
  <si>
    <t>1-3100843362</t>
  </si>
  <si>
    <t>1-2945218588</t>
  </si>
  <si>
    <t>16055351R No Flex</t>
  </si>
  <si>
    <t>AMIKLAS</t>
  </si>
  <si>
    <t>2 Sweet of Yonkers Inc.</t>
  </si>
  <si>
    <t>JP Morgan Chase &amp; Co.</t>
  </si>
  <si>
    <t>Mystic Tavern</t>
  </si>
  <si>
    <t>1-3148240351</t>
  </si>
  <si>
    <t>1-3292904071</t>
  </si>
  <si>
    <t>1-3290292741</t>
  </si>
  <si>
    <t>1-3286804033</t>
  </si>
  <si>
    <t>1-3224925100</t>
  </si>
  <si>
    <t>1-3215553942</t>
  </si>
  <si>
    <t>1-2945218375</t>
  </si>
  <si>
    <t>1-2945218525</t>
  </si>
  <si>
    <t>1-3079135481</t>
  </si>
  <si>
    <t>1-3115896121</t>
  </si>
  <si>
    <t>1-1803790861</t>
  </si>
  <si>
    <t>1-2786803903</t>
  </si>
  <si>
    <t>1-3058978193</t>
  </si>
  <si>
    <t>1-2173437809</t>
  </si>
  <si>
    <t>1-3070181832</t>
  </si>
  <si>
    <t>1-1465340636</t>
  </si>
  <si>
    <t>1-2795329655</t>
  </si>
  <si>
    <t>1-2725864125</t>
  </si>
  <si>
    <t>1-2988047659</t>
  </si>
  <si>
    <t>1-2416002352</t>
  </si>
  <si>
    <t>1-2669832151</t>
  </si>
  <si>
    <t>1-2945218239</t>
  </si>
  <si>
    <t>1-3056662621</t>
  </si>
  <si>
    <t>1-3056662333</t>
  </si>
  <si>
    <t>Need number</t>
  </si>
  <si>
    <t>16589376a</t>
  </si>
  <si>
    <t>14866293R</t>
  </si>
  <si>
    <t>  (I) Existing Vendor Invoice #/ Existing Invoice On Wt 2/13/18</t>
  </si>
  <si>
    <t> Billed 3/20/18</t>
  </si>
  <si>
    <t> (I) Existing Invoice On Wt 3/20/18</t>
  </si>
  <si>
    <t> Safeway</t>
  </si>
  <si>
    <t> No Wo #</t>
  </si>
  <si>
    <t>  </t>
  </si>
  <si>
    <t>Task Comletion</t>
  </si>
  <si>
    <t>Need WT #</t>
  </si>
  <si>
    <t>Top 60 Opportunities</t>
  </si>
  <si>
    <t>KHALLAN</t>
  </si>
  <si>
    <t>WSNYDER</t>
  </si>
  <si>
    <t>Ops Comments</t>
  </si>
  <si>
    <t>SBUX AP Comments</t>
  </si>
  <si>
    <t>SR # Orig</t>
  </si>
  <si>
    <t>No Valid WT #</t>
  </si>
  <si>
    <t>(I) Existing Vendor Invoice #/ Existing Invoice on WT 2/13/18</t>
  </si>
  <si>
    <t>Capital</t>
  </si>
  <si>
    <t>Sent flat file</t>
  </si>
  <si>
    <t>Paid</t>
  </si>
  <si>
    <t>Pending FSM Approval</t>
  </si>
  <si>
    <t>Invalid Compass WT</t>
  </si>
  <si>
    <t>Rejected</t>
  </si>
  <si>
    <t>Previously invoiced with a different number</t>
  </si>
  <si>
    <t>Complete WT and submit Invoice</t>
  </si>
  <si>
    <t>Submit invoice</t>
  </si>
  <si>
    <t>TPG Hotels &amp; Resorts</t>
  </si>
  <si>
    <t>Row Labels</t>
  </si>
  <si>
    <t>Grand Total</t>
  </si>
  <si>
    <t>Column Labels</t>
  </si>
  <si>
    <t>10-Jan</t>
  </si>
  <si>
    <t>31-Jan</t>
  </si>
  <si>
    <t>7-Feb</t>
  </si>
  <si>
    <t>14-Feb</t>
  </si>
  <si>
    <t>21-Feb</t>
  </si>
  <si>
    <t>28-Feb</t>
  </si>
  <si>
    <t>7-Mar</t>
  </si>
  <si>
    <t>14-Mar</t>
  </si>
  <si>
    <t>21-Mar</t>
  </si>
  <si>
    <t>21-Apr</t>
  </si>
  <si>
    <t>25-Apr</t>
  </si>
  <si>
    <t>Sum of Amount</t>
  </si>
  <si>
    <t xml:space="preserve">w/w : </t>
  </si>
  <si>
    <t>Target Food Prod</t>
  </si>
  <si>
    <t>1-3266757131</t>
  </si>
  <si>
    <t>1-2829758302</t>
  </si>
  <si>
    <t>1-3202425491</t>
  </si>
  <si>
    <t>1-3127952381</t>
  </si>
  <si>
    <t>Receiving needs to be completed</t>
  </si>
  <si>
    <t>Approval is required from the buyer/requestor for processing</t>
  </si>
  <si>
    <t>LELIZALDE</t>
  </si>
  <si>
    <t>SYOSHIMOTO - PM</t>
  </si>
  <si>
    <t>1-3061458125</t>
  </si>
  <si>
    <t>1-1996427098</t>
  </si>
  <si>
    <t>1-3124215605</t>
  </si>
  <si>
    <t>1-2945077551</t>
  </si>
  <si>
    <t>1-2290495032</t>
  </si>
  <si>
    <t>1-2945077847</t>
  </si>
  <si>
    <t>1-2945077943</t>
  </si>
  <si>
    <t>1-2945077271</t>
  </si>
  <si>
    <t>1-2945077927</t>
  </si>
  <si>
    <t>PO Received</t>
  </si>
  <si>
    <t>Contact FSM</t>
  </si>
  <si>
    <t>Credit Memo Needed</t>
  </si>
  <si>
    <t>Team Lead Review</t>
  </si>
  <si>
    <t>Valid WT # Exists</t>
  </si>
  <si>
    <t>Submit Task Completion</t>
  </si>
  <si>
    <t>Summary:</t>
  </si>
  <si>
    <t>Last</t>
  </si>
  <si>
    <t>Trend</t>
  </si>
  <si>
    <t>Chg</t>
  </si>
  <si>
    <t>Focus Area</t>
  </si>
  <si>
    <t>◄</t>
  </si>
  <si>
    <t>BLUE CROSS BLUE SHIELD</t>
  </si>
  <si>
    <t>Delta Bow Valley Hotel</t>
  </si>
  <si>
    <t>FIRMENICH</t>
  </si>
  <si>
    <t>GOOGLE HQ</t>
  </si>
  <si>
    <t>JOHNSON AND WALES UNIVERSITY</t>
  </si>
  <si>
    <t>LC HOTEL, LLC</t>
  </si>
  <si>
    <t>Leon Max, Inc.</t>
  </si>
  <si>
    <t>Macy?s Retail Holdings Inc.</t>
  </si>
  <si>
    <t>Nimbus Water Systems</t>
  </si>
  <si>
    <t>Rena’s Fudge Shops Inc.</t>
  </si>
  <si>
    <t>SIMON SBUX FRANCHISE LLC</t>
  </si>
  <si>
    <t>Starbucks Corporation</t>
  </si>
  <si>
    <t>SWA CALGARY</t>
  </si>
  <si>
    <t>Target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</si>
</sst>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,\ &quot;K&quot;"/>
    <numFmt numFmtId="165" formatCode="&quot;$&quot;0.0,\ &quot;K&quot;"/>
    <numFmt numFmtId="166" formatCode="0.0%&quot; |ttl&quot;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81">
    <xf numFmtId="0" fontId="0" fillId="0" borderId="0" xfId="0"/>
    <xf numFmtId="14" fontId="0" fillId="0" borderId="0" xfId="0" applyNumberFormat="1"/>
    <xf numFmtId="39" fontId="0" fillId="0" borderId="0" xfId="0" applyNumberFormat="1"/>
    <xf numFmtId="0" fontId="0" fillId="0" borderId="1" xfId="0" applyBorder="1"/>
    <xf numFmtId="43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2" xfId="0" applyFill="1" applyBorder="1"/>
    <xf numFmtId="14" fontId="0" fillId="3" borderId="2" xfId="0" applyNumberFormat="1" applyFill="1" applyBorder="1"/>
    <xf numFmtId="43" fontId="0" fillId="3" borderId="2" xfId="0" applyNumberFormat="1" applyFill="1" applyBorder="1"/>
    <xf numFmtId="0" fontId="1" fillId="4" borderId="0" xfId="0" applyFont="1" applyFill="1" applyBorder="1"/>
    <xf numFmtId="0" fontId="2" fillId="0" borderId="1" xfId="0" applyFont="1" applyBorder="1"/>
    <xf numFmtId="0" fontId="0" fillId="0" borderId="0" xfId="0" applyNumberFormat="1"/>
    <xf numFmtId="2" fontId="0" fillId="0" borderId="0" xfId="0" applyNumberFormat="1"/>
    <xf numFmtId="14" fontId="0" fillId="5" borderId="2" xfId="0" applyNumberFormat="1" applyFill="1" applyBorder="1"/>
    <xf numFmtId="0" fontId="0" fillId="0" borderId="0" xfId="0" applyAlignment="1">
      <alignment wrapText="1"/>
    </xf>
    <xf numFmtId="165" fontId="0" fillId="0" borderId="0" xfId="0" applyNumberFormat="1"/>
    <xf numFmtId="0" fontId="0" fillId="6" borderId="0" xfId="0" applyFill="1"/>
    <xf numFmtId="0" fontId="3" fillId="6" borderId="3" xfId="0" applyFont="1" applyFill="1" applyBorder="1"/>
    <xf numFmtId="0" fontId="0" fillId="6" borderId="3" xfId="0" applyFill="1" applyBorder="1"/>
    <xf numFmtId="0" fontId="7" fillId="6" borderId="0" xfId="0" applyFont="1" applyFill="1" applyAlignment="1">
      <alignment horizontal="right"/>
    </xf>
    <xf numFmtId="0" fontId="0" fillId="0" borderId="0" xfId="0" applyFill="1"/>
    <xf numFmtId="14" fontId="0" fillId="0" borderId="0" xfId="0" applyNumberFormat="1" applyFill="1"/>
    <xf numFmtId="0" fontId="0" fillId="0" borderId="0" xfId="0" quotePrefix="1" applyFill="1" applyAlignment="1">
      <alignment horizontal="center" vertical="center"/>
    </xf>
    <xf numFmtId="164" fontId="0" fillId="0" borderId="0" xfId="0" applyNumberFormat="1" applyFill="1"/>
    <xf numFmtId="0" fontId="0" fillId="0" borderId="0" xfId="0" applyFont="1" applyFill="1" applyAlignment="1">
      <alignment horizontal="center" vertical="center"/>
    </xf>
    <xf numFmtId="164" fontId="0" fillId="0" borderId="0" xfId="0" applyNumberFormat="1" applyFont="1" applyFill="1"/>
    <xf numFmtId="10" fontId="0" fillId="0" borderId="0" xfId="0" applyNumberFormat="1" applyFont="1" applyFill="1"/>
    <xf numFmtId="164" fontId="0" fillId="3" borderId="0" xfId="0" applyNumberFormat="1" applyFill="1"/>
    <xf numFmtId="0" fontId="0" fillId="0" borderId="7" xfId="0" applyBorder="1"/>
    <xf numFmtId="43" fontId="0" fillId="0" borderId="7" xfId="0" applyNumberFormat="1" applyBorder="1"/>
    <xf numFmtId="0" fontId="0" fillId="0" borderId="1" xfId="0" applyFill="1" applyBorder="1"/>
    <xf numFmtId="0" fontId="3" fillId="6" borderId="1" xfId="0" applyFont="1" applyFill="1" applyBorder="1"/>
    <xf numFmtId="0" fontId="0" fillId="6" borderId="1" xfId="0" applyFill="1" applyBorder="1"/>
    <xf numFmtId="0" fontId="0" fillId="6" borderId="0" xfId="0" applyFill="1" applyBorder="1" applyAlignment="1"/>
    <xf numFmtId="0" fontId="0" fillId="6" borderId="0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3" borderId="9" xfId="0" applyFill="1" applyBorder="1"/>
    <xf numFmtId="0" fontId="0" fillId="3" borderId="9" xfId="0" applyFill="1" applyBorder="1" applyAlignment="1">
      <alignment horizontal="center" vertical="center"/>
    </xf>
    <xf numFmtId="0" fontId="0" fillId="3" borderId="9" xfId="0" quotePrefix="1" applyFill="1" applyBorder="1" applyAlignment="1">
      <alignment horizontal="center" vertical="center"/>
    </xf>
    <xf numFmtId="0" fontId="0" fillId="0" borderId="9" xfId="0" applyBorder="1"/>
    <xf numFmtId="164" fontId="0" fillId="0" borderId="9" xfId="0" applyNumberFormat="1" applyFill="1" applyBorder="1"/>
    <xf numFmtId="0" fontId="10" fillId="0" borderId="9" xfId="0" applyFont="1" applyFill="1" applyBorder="1" applyAlignment="1">
      <alignment horizontal="center" vertical="center"/>
    </xf>
    <xf numFmtId="164" fontId="11" fillId="0" borderId="9" xfId="0" applyNumberFormat="1" applyFont="1" applyFill="1" applyBorder="1" applyAlignment="1">
      <alignment horizontal="left" vertical="center" indent="1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5" xfId="0" applyBorder="1" applyAlignment="1"/>
    <xf numFmtId="0" fontId="0" fillId="0" borderId="6" xfId="0" applyBorder="1" applyAlignment="1"/>
    <xf numFmtId="43" fontId="0" fillId="6" borderId="5" xfId="0" applyNumberFormat="1" applyFill="1" applyBorder="1" applyAlignment="1">
      <alignment horizontal="center" vertical="center"/>
    </xf>
    <xf numFmtId="43" fontId="0" fillId="0" borderId="6" xfId="0" applyNumberFormat="1" applyBorder="1" applyAlignment="1">
      <alignment horizontal="center" vertical="center"/>
    </xf>
    <xf numFmtId="165" fontId="6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9" fillId="6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0" fillId="0" borderId="8" xfId="0" applyBorder="1" applyAlignment="1">
      <alignment horizontal="right"/>
    </xf>
    <xf numFmtId="0" fontId="9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5" fillId="6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3" fillId="6" borderId="1" xfId="0" applyNumberFormat="1" applyFont="1" applyFill="1" applyBorder="1" applyAlignment="1"/>
    <xf numFmtId="166" fontId="0" fillId="6" borderId="1" xfId="0" applyNumberFormat="1" applyFill="1" applyBorder="1" applyAlignment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 applyAlignment="1"/>
    <xf numFmtId="0" fontId="0" fillId="3" borderId="6" xfId="0" applyFill="1" applyBorder="1" applyAlignment="1"/>
    <xf numFmtId="165" fontId="3" fillId="6" borderId="1" xfId="0" applyNumberFormat="1" applyFont="1" applyFill="1" applyBorder="1" applyAlignment="1"/>
    <xf numFmtId="0" fontId="0" fillId="6" borderId="1" xfId="0" applyFill="1" applyBorder="1" applyAlignment="1"/>
    <xf numFmtId="0" fontId="8" fillId="6" borderId="0" xfId="0" applyFont="1" applyFill="1" applyBorder="1" applyAlignment="1">
      <alignment horizontal="center" textRotation="90"/>
    </xf>
    <xf numFmtId="0" fontId="8" fillId="6" borderId="0" xfId="0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6" borderId="0" xfId="0" applyFill="1" applyBorder="1" applyAlignment="1"/>
    <xf numFmtId="0" fontId="0" fillId="0" borderId="0" xfId="0" applyBorder="1" applyAlignment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9" formatCode="m/d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FFFFF"/>
      <color rgb="FFE7ECD0"/>
      <color rgb="FFFAFAFA"/>
      <color rgb="FFDBDBDB"/>
      <color rgb="FFA16125"/>
      <color rgb="FF9B9B9B"/>
      <color rgb="FF7885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 AR Trend - 52 Weeks Aging</a:t>
            </a:r>
            <a:r>
              <a:rPr lang="en-US" baseline="0"/>
              <a:t> 90 Days and &gt;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Tables_Over90!$F$6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DBDBDB"/>
            </a:solidFill>
            <a:ln>
              <a:noFill/>
            </a:ln>
            <a:effectLst/>
          </c:spPr>
          <c:cat>
            <c:strRef>
              <c:f>Tables_Over90!$A$7:$A$58</c:f>
              <c:strCache>
                <c:ptCount val="52"/>
                <c:pt idx="0">
                  <c:v>Jul
19
2017</c:v>
                </c:pt>
                <c:pt idx="13">
                  <c:v>Oct
17</c:v>
                </c:pt>
                <c:pt idx="26">
                  <c:v>Jan
18</c:v>
                </c:pt>
                <c:pt idx="39">
                  <c:v>Apr
18</c:v>
                </c:pt>
                <c:pt idx="51">
                  <c:v>Jul
11
2018</c:v>
                </c:pt>
              </c:strCache>
            </c:strRef>
          </c:cat>
          <c:val>
            <c:numRef>
              <c:f>Tables_Over90!$F$7:$F$58</c:f>
              <c:numCache>
                <c:formatCode>_(* #,##0.00_);_(* \(#,##0.00\);_(* "-"??_);_(@_)</c:formatCode>
                <c:ptCount val="52"/>
                <c:pt idx="0">
                  <c:v>114001.39000000001</c:v>
                </c:pt>
                <c:pt idx="1">
                  <c:v>115521.32000000002</c:v>
                </c:pt>
                <c:pt idx="2">
                  <c:v>117333.10000000002</c:v>
                </c:pt>
                <c:pt idx="3">
                  <c:v>116108.81000000001</c:v>
                </c:pt>
                <c:pt idx="4">
                  <c:v>113206.80999999997</c:v>
                </c:pt>
                <c:pt idx="5">
                  <c:v>112423.48</c:v>
                </c:pt>
                <c:pt idx="6">
                  <c:v>124360.87000000001</c:v>
                </c:pt>
                <c:pt idx="7">
                  <c:v>125997.40999999999</c:v>
                </c:pt>
                <c:pt idx="8">
                  <c:v>276005.66000000003</c:v>
                </c:pt>
                <c:pt idx="9">
                  <c:v>271433.26</c:v>
                </c:pt>
                <c:pt idx="10">
                  <c:v>268054.09999999992</c:v>
                </c:pt>
                <c:pt idx="11">
                  <c:v>236149.33000000013</c:v>
                </c:pt>
                <c:pt idx="12">
                  <c:v>231850.1400000001</c:v>
                </c:pt>
                <c:pt idx="13">
                  <c:v>230295.10000000009</c:v>
                </c:pt>
                <c:pt idx="14">
                  <c:v>277383.38999999984</c:v>
                </c:pt>
                <c:pt idx="15">
                  <c:v>241320.06999999995</c:v>
                </c:pt>
                <c:pt idx="16">
                  <c:v>215729.04000000018</c:v>
                </c:pt>
                <c:pt idx="17">
                  <c:v>197493.18000000011</c:v>
                </c:pt>
                <c:pt idx="18">
                  <c:v>197493.18000000011</c:v>
                </c:pt>
                <c:pt idx="19">
                  <c:v>247276.74000000002</c:v>
                </c:pt>
                <c:pt idx="20">
                  <c:v>219537.57000000004</c:v>
                </c:pt>
                <c:pt idx="21">
                  <c:v>180480.05000000002</c:v>
                </c:pt>
                <c:pt idx="22">
                  <c:v>186360.81000000006</c:v>
                </c:pt>
                <c:pt idx="23">
                  <c:v>186360.81000000006</c:v>
                </c:pt>
                <c:pt idx="24">
                  <c:v>187694.7000000001</c:v>
                </c:pt>
                <c:pt idx="25">
                  <c:v>198327.02000000008</c:v>
                </c:pt>
                <c:pt idx="26">
                  <c:v>200348.40000000008</c:v>
                </c:pt>
                <c:pt idx="27">
                  <c:v>189335.09999999992</c:v>
                </c:pt>
                <c:pt idx="28">
                  <c:v>195338.76999999996</c:v>
                </c:pt>
                <c:pt idx="29">
                  <c:v>203315.8599999999</c:v>
                </c:pt>
                <c:pt idx="30">
                  <c:v>218338.30999999991</c:v>
                </c:pt>
                <c:pt idx="31">
                  <c:v>217177.9199999999</c:v>
                </c:pt>
                <c:pt idx="32">
                  <c:v>212736.79999999984</c:v>
                </c:pt>
                <c:pt idx="33">
                  <c:v>209029.06999999986</c:v>
                </c:pt>
                <c:pt idx="34">
                  <c:v>229380.70999999985</c:v>
                </c:pt>
                <c:pt idx="35">
                  <c:v>206200.86</c:v>
                </c:pt>
                <c:pt idx="36">
                  <c:v>206745.66999999995</c:v>
                </c:pt>
                <c:pt idx="37">
                  <c:v>211866.69999999998</c:v>
                </c:pt>
                <c:pt idx="38">
                  <c:v>219785.18000000005</c:v>
                </c:pt>
                <c:pt idx="39">
                  <c:v>216721.23000000019</c:v>
                </c:pt>
                <c:pt idx="40">
                  <c:v>223655.89000000022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369652.97000000009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9-4547-B444-050F11153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02768"/>
        <c:axId val="800303184"/>
      </c:areaChart>
      <c:lineChart>
        <c:grouping val="standard"/>
        <c:varyColors val="0"/>
        <c:ser>
          <c:idx val="1"/>
          <c:order val="1"/>
          <c:tx>
            <c:strRef>
              <c:f>Tables_Over90!$G$6</c:f>
              <c:strCache>
                <c:ptCount val="1"/>
                <c:pt idx="0">
                  <c:v>Amount2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5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61F-4681-9956-56444821D074}"/>
              </c:ext>
            </c:extLst>
          </c:dPt>
          <c:val>
            <c:numRef>
              <c:f>Tables_Over90!$G$7:$G$58</c:f>
              <c:numCache>
                <c:formatCode>_(* #,##0.00_);_(* \(#,##0.00\);_(* "-"??_);_(@_)</c:formatCode>
                <c:ptCount val="52"/>
                <c:pt idx="0">
                  <c:v>114001.39000000001</c:v>
                </c:pt>
                <c:pt idx="1">
                  <c:v>115521.32000000002</c:v>
                </c:pt>
                <c:pt idx="2">
                  <c:v>117333.10000000002</c:v>
                </c:pt>
                <c:pt idx="3">
                  <c:v>116108.81000000001</c:v>
                </c:pt>
                <c:pt idx="4">
                  <c:v>113206.80999999997</c:v>
                </c:pt>
                <c:pt idx="5">
                  <c:v>112423.48</c:v>
                </c:pt>
                <c:pt idx="6">
                  <c:v>124360.87000000001</c:v>
                </c:pt>
                <c:pt idx="7">
                  <c:v>125997.40999999999</c:v>
                </c:pt>
                <c:pt idx="8">
                  <c:v>276005.66000000003</c:v>
                </c:pt>
                <c:pt idx="9">
                  <c:v>271433.26</c:v>
                </c:pt>
                <c:pt idx="10">
                  <c:v>268054.09999999992</c:v>
                </c:pt>
                <c:pt idx="11">
                  <c:v>236149.33000000013</c:v>
                </c:pt>
                <c:pt idx="12">
                  <c:v>231850.1400000001</c:v>
                </c:pt>
                <c:pt idx="13">
                  <c:v>230295.10000000009</c:v>
                </c:pt>
                <c:pt idx="14">
                  <c:v>277383.38999999984</c:v>
                </c:pt>
                <c:pt idx="15">
                  <c:v>241320.06999999995</c:v>
                </c:pt>
                <c:pt idx="16">
                  <c:v>215729.04000000018</c:v>
                </c:pt>
                <c:pt idx="17">
                  <c:v>197493.18000000011</c:v>
                </c:pt>
                <c:pt idx="18">
                  <c:v>197493.18000000011</c:v>
                </c:pt>
                <c:pt idx="19">
                  <c:v>247276.74000000002</c:v>
                </c:pt>
                <c:pt idx="20">
                  <c:v>219537.57000000004</c:v>
                </c:pt>
                <c:pt idx="21">
                  <c:v>180480.05000000002</c:v>
                </c:pt>
                <c:pt idx="22">
                  <c:v>186360.81000000006</c:v>
                </c:pt>
                <c:pt idx="23">
                  <c:v>186360.81000000006</c:v>
                </c:pt>
                <c:pt idx="24">
                  <c:v>187694.7000000001</c:v>
                </c:pt>
                <c:pt idx="25">
                  <c:v>198327.02000000008</c:v>
                </c:pt>
                <c:pt idx="26">
                  <c:v>200348.40000000008</c:v>
                </c:pt>
                <c:pt idx="27">
                  <c:v>189335.09999999992</c:v>
                </c:pt>
                <c:pt idx="28">
                  <c:v>195338.76999999996</c:v>
                </c:pt>
                <c:pt idx="29">
                  <c:v>203315.8599999999</c:v>
                </c:pt>
                <c:pt idx="30">
                  <c:v>218338.30999999991</c:v>
                </c:pt>
                <c:pt idx="31">
                  <c:v>217177.9199999999</c:v>
                </c:pt>
                <c:pt idx="32">
                  <c:v>212736.79999999984</c:v>
                </c:pt>
                <c:pt idx="33">
                  <c:v>209029.06999999986</c:v>
                </c:pt>
                <c:pt idx="34">
                  <c:v>229380.70999999985</c:v>
                </c:pt>
                <c:pt idx="35">
                  <c:v>206200.86</c:v>
                </c:pt>
                <c:pt idx="36">
                  <c:v>206745.66999999995</c:v>
                </c:pt>
                <c:pt idx="37">
                  <c:v>211866.69999999998</c:v>
                </c:pt>
                <c:pt idx="38">
                  <c:v>219785.18000000005</c:v>
                </c:pt>
                <c:pt idx="39">
                  <c:v>216721.23000000019</c:v>
                </c:pt>
                <c:pt idx="40">
                  <c:v>223655.89000000022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369652.97000000009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9-4547-B444-050F11153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02768"/>
        <c:axId val="800303184"/>
      </c:lineChart>
      <c:catAx>
        <c:axId val="80030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3184"/>
        <c:crosses val="autoZero"/>
        <c:auto val="1"/>
        <c:lblAlgn val="ctr"/>
        <c:lblOffset val="100"/>
        <c:noMultiLvlLbl val="0"/>
      </c:catAx>
      <c:valAx>
        <c:axId val="8003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 AR Trend - 52 Weeks Aging</a:t>
            </a:r>
            <a:r>
              <a:rPr lang="en-US" baseline="0"/>
              <a:t> 61 to 90 Days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Tables_6190!$F$6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9B9B9B"/>
            </a:solidFill>
            <a:ln>
              <a:solidFill>
                <a:schemeClr val="tx2"/>
              </a:solidFill>
            </a:ln>
            <a:effectLst/>
          </c:spPr>
          <c:cat>
            <c:strRef>
              <c:f>Tables_Over90!$A$7:$A$58</c:f>
              <c:strCache>
                <c:ptCount val="52"/>
                <c:pt idx="0">
                  <c:v>Jul
19
2017</c:v>
                </c:pt>
                <c:pt idx="13">
                  <c:v>Oct
17</c:v>
                </c:pt>
                <c:pt idx="26">
                  <c:v>Jan
18</c:v>
                </c:pt>
                <c:pt idx="39">
                  <c:v>Apr
18</c:v>
                </c:pt>
                <c:pt idx="51">
                  <c:v>Jul
11
2018</c:v>
                </c:pt>
              </c:strCache>
            </c:strRef>
          </c:cat>
          <c:val>
            <c:numRef>
              <c:f>Tables_6190!$F$7:$F$58</c:f>
              <c:numCache>
                <c:formatCode>_(* #,##0.00_);_(* \(#,##0.00\);_(* "-"??_);_(@_)</c:formatCode>
                <c:ptCount val="52"/>
                <c:pt idx="0">
                  <c:v>5879.8</c:v>
                </c:pt>
                <c:pt idx="1">
                  <c:v>5327.1599999999989</c:v>
                </c:pt>
                <c:pt idx="2">
                  <c:v>16048.000000000002</c:v>
                </c:pt>
                <c:pt idx="3">
                  <c:v>17634.86</c:v>
                </c:pt>
                <c:pt idx="4">
                  <c:v>18933.8</c:v>
                </c:pt>
                <c:pt idx="5">
                  <c:v>20179.72</c:v>
                </c:pt>
                <c:pt idx="6">
                  <c:v>11065.990000000002</c:v>
                </c:pt>
                <c:pt idx="7">
                  <c:v>15141.139999999998</c:v>
                </c:pt>
                <c:pt idx="8">
                  <c:v>24298.029999999988</c:v>
                </c:pt>
                <c:pt idx="9">
                  <c:v>29208.339999999993</c:v>
                </c:pt>
                <c:pt idx="10">
                  <c:v>55408.450000000026</c:v>
                </c:pt>
                <c:pt idx="11">
                  <c:v>52382.719999999994</c:v>
                </c:pt>
                <c:pt idx="12">
                  <c:v>52176.56</c:v>
                </c:pt>
                <c:pt idx="13">
                  <c:v>51251.290000000008</c:v>
                </c:pt>
                <c:pt idx="14">
                  <c:v>37791.01</c:v>
                </c:pt>
                <c:pt idx="15">
                  <c:v>52862.479999999989</c:v>
                </c:pt>
                <c:pt idx="16">
                  <c:v>42327.239999999983</c:v>
                </c:pt>
                <c:pt idx="17">
                  <c:v>40330.389999999992</c:v>
                </c:pt>
                <c:pt idx="18">
                  <c:v>40330.389999999992</c:v>
                </c:pt>
                <c:pt idx="19">
                  <c:v>41914.729999999989</c:v>
                </c:pt>
                <c:pt idx="20">
                  <c:v>24787.010000000002</c:v>
                </c:pt>
                <c:pt idx="21">
                  <c:v>38742.090000000004</c:v>
                </c:pt>
                <c:pt idx="22">
                  <c:v>33278.47</c:v>
                </c:pt>
                <c:pt idx="23">
                  <c:v>33278.47</c:v>
                </c:pt>
                <c:pt idx="24">
                  <c:v>33202.1</c:v>
                </c:pt>
                <c:pt idx="25">
                  <c:v>38477.149999999987</c:v>
                </c:pt>
                <c:pt idx="26">
                  <c:v>69618.260000000009</c:v>
                </c:pt>
                <c:pt idx="27">
                  <c:v>71008.319999999992</c:v>
                </c:pt>
                <c:pt idx="28">
                  <c:v>80359.319999999992</c:v>
                </c:pt>
                <c:pt idx="29">
                  <c:v>86752.670000000013</c:v>
                </c:pt>
                <c:pt idx="30">
                  <c:v>97483.010000000009</c:v>
                </c:pt>
                <c:pt idx="31">
                  <c:v>70996.81</c:v>
                </c:pt>
                <c:pt idx="32">
                  <c:v>57649.410000000011</c:v>
                </c:pt>
                <c:pt idx="33">
                  <c:v>65532.429999999993</c:v>
                </c:pt>
                <c:pt idx="34">
                  <c:v>76937.3</c:v>
                </c:pt>
                <c:pt idx="35">
                  <c:v>68062.960000000006</c:v>
                </c:pt>
                <c:pt idx="36">
                  <c:v>80030.84</c:v>
                </c:pt>
                <c:pt idx="37">
                  <c:v>82501.359999999986</c:v>
                </c:pt>
                <c:pt idx="38">
                  <c:v>78538.690000000031</c:v>
                </c:pt>
                <c:pt idx="39">
                  <c:v>80464.319999999978</c:v>
                </c:pt>
                <c:pt idx="40">
                  <c:v>85517.10000000002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97840.650000000023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B-46D9-BF44-8F922A87F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02768"/>
        <c:axId val="800303184"/>
      </c:areaChart>
      <c:lineChart>
        <c:grouping val="standard"/>
        <c:varyColors val="0"/>
        <c:ser>
          <c:idx val="1"/>
          <c:order val="1"/>
          <c:tx>
            <c:strRef>
              <c:f>Tables_6190!$G$6</c:f>
              <c:strCache>
                <c:ptCount val="1"/>
                <c:pt idx="0">
                  <c:v>Amount2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5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D950-4C32-901C-25482CD97980}"/>
              </c:ext>
            </c:extLst>
          </c:dPt>
          <c:val>
            <c:numRef>
              <c:f>Tables_6190!$G$7:$G$58</c:f>
              <c:numCache>
                <c:formatCode>_(* #,##0.00_);_(* \(#,##0.00\);_(* "-"??_);_(@_)</c:formatCode>
                <c:ptCount val="52"/>
                <c:pt idx="0">
                  <c:v>5879.8</c:v>
                </c:pt>
                <c:pt idx="1">
                  <c:v>5327.1599999999989</c:v>
                </c:pt>
                <c:pt idx="2">
                  <c:v>16048.000000000002</c:v>
                </c:pt>
                <c:pt idx="3">
                  <c:v>17634.86</c:v>
                </c:pt>
                <c:pt idx="4">
                  <c:v>18933.8</c:v>
                </c:pt>
                <c:pt idx="5">
                  <c:v>20179.72</c:v>
                </c:pt>
                <c:pt idx="6">
                  <c:v>11065.990000000002</c:v>
                </c:pt>
                <c:pt idx="7">
                  <c:v>15141.139999999998</c:v>
                </c:pt>
                <c:pt idx="8">
                  <c:v>24298.029999999988</c:v>
                </c:pt>
                <c:pt idx="9">
                  <c:v>29208.339999999993</c:v>
                </c:pt>
                <c:pt idx="10">
                  <c:v>55408.450000000026</c:v>
                </c:pt>
                <c:pt idx="11">
                  <c:v>52382.719999999994</c:v>
                </c:pt>
                <c:pt idx="12">
                  <c:v>52176.56</c:v>
                </c:pt>
                <c:pt idx="13">
                  <c:v>51251.290000000008</c:v>
                </c:pt>
                <c:pt idx="14">
                  <c:v>37791.01</c:v>
                </c:pt>
                <c:pt idx="15">
                  <c:v>52862.479999999989</c:v>
                </c:pt>
                <c:pt idx="16">
                  <c:v>42327.239999999983</c:v>
                </c:pt>
                <c:pt idx="17">
                  <c:v>40330.389999999992</c:v>
                </c:pt>
                <c:pt idx="18">
                  <c:v>40330.389999999992</c:v>
                </c:pt>
                <c:pt idx="19">
                  <c:v>41914.729999999989</c:v>
                </c:pt>
                <c:pt idx="20">
                  <c:v>24787.010000000002</c:v>
                </c:pt>
                <c:pt idx="21">
                  <c:v>38742.090000000004</c:v>
                </c:pt>
                <c:pt idx="22">
                  <c:v>33278.47</c:v>
                </c:pt>
                <c:pt idx="23">
                  <c:v>33278.47</c:v>
                </c:pt>
                <c:pt idx="24">
                  <c:v>33202.1</c:v>
                </c:pt>
                <c:pt idx="25">
                  <c:v>38477.149999999987</c:v>
                </c:pt>
                <c:pt idx="26">
                  <c:v>69618.260000000009</c:v>
                </c:pt>
                <c:pt idx="27">
                  <c:v>71008.319999999992</c:v>
                </c:pt>
                <c:pt idx="28">
                  <c:v>80359.319999999992</c:v>
                </c:pt>
                <c:pt idx="29">
                  <c:v>86752.670000000013</c:v>
                </c:pt>
                <c:pt idx="30">
                  <c:v>97483.010000000009</c:v>
                </c:pt>
                <c:pt idx="31">
                  <c:v>70996.81</c:v>
                </c:pt>
                <c:pt idx="32">
                  <c:v>57649.410000000011</c:v>
                </c:pt>
                <c:pt idx="33">
                  <c:v>65532.429999999993</c:v>
                </c:pt>
                <c:pt idx="34">
                  <c:v>76937.3</c:v>
                </c:pt>
                <c:pt idx="35">
                  <c:v>68062.960000000006</c:v>
                </c:pt>
                <c:pt idx="36">
                  <c:v>80030.84</c:v>
                </c:pt>
                <c:pt idx="37">
                  <c:v>82501.359999999986</c:v>
                </c:pt>
                <c:pt idx="38">
                  <c:v>78538.690000000031</c:v>
                </c:pt>
                <c:pt idx="39">
                  <c:v>80464.319999999978</c:v>
                </c:pt>
                <c:pt idx="40">
                  <c:v>85517.10000000002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97840.650000000023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7B-46D9-BF44-8F922A87F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02768"/>
        <c:axId val="800303184"/>
      </c:lineChart>
      <c:catAx>
        <c:axId val="80030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3184"/>
        <c:crosses val="autoZero"/>
        <c:auto val="1"/>
        <c:lblAlgn val="ctr"/>
        <c:lblOffset val="100"/>
        <c:noMultiLvlLbl val="0"/>
      </c:catAx>
      <c:valAx>
        <c:axId val="8003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 AR Trend - 52 Weeks Aging</a:t>
            </a:r>
            <a:r>
              <a:rPr lang="en-US" baseline="0"/>
              <a:t> 90 Days and &gt;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Tables_Over90!$F$6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788536"/>
            </a:solidFill>
            <a:ln>
              <a:noFill/>
            </a:ln>
            <a:effectLst/>
          </c:spPr>
          <c:cat>
            <c:strRef>
              <c:f>Tables_Over90!$A$7:$A$58</c:f>
              <c:strCache>
                <c:ptCount val="52"/>
                <c:pt idx="0">
                  <c:v>Jul
19
2017</c:v>
                </c:pt>
                <c:pt idx="13">
                  <c:v>Oct
17</c:v>
                </c:pt>
                <c:pt idx="26">
                  <c:v>Jan
18</c:v>
                </c:pt>
                <c:pt idx="39">
                  <c:v>Apr
18</c:v>
                </c:pt>
                <c:pt idx="51">
                  <c:v>Jul
11
2018</c:v>
                </c:pt>
              </c:strCache>
            </c:strRef>
          </c:cat>
          <c:val>
            <c:numRef>
              <c:f>Tables_Over90!$F$7:$F$58</c:f>
              <c:numCache>
                <c:formatCode>_(* #,##0.00_);_(* \(#,##0.00\);_(* "-"??_);_(@_)</c:formatCode>
                <c:ptCount val="52"/>
                <c:pt idx="0">
                  <c:v>114001.39000000001</c:v>
                </c:pt>
                <c:pt idx="1">
                  <c:v>115521.32000000002</c:v>
                </c:pt>
                <c:pt idx="2">
                  <c:v>117333.10000000002</c:v>
                </c:pt>
                <c:pt idx="3">
                  <c:v>116108.81000000001</c:v>
                </c:pt>
                <c:pt idx="4">
                  <c:v>113206.80999999997</c:v>
                </c:pt>
                <c:pt idx="5">
                  <c:v>112423.48</c:v>
                </c:pt>
                <c:pt idx="6">
                  <c:v>124360.87000000001</c:v>
                </c:pt>
                <c:pt idx="7">
                  <c:v>125997.40999999999</c:v>
                </c:pt>
                <c:pt idx="8">
                  <c:v>276005.66000000003</c:v>
                </c:pt>
                <c:pt idx="9">
                  <c:v>271433.26</c:v>
                </c:pt>
                <c:pt idx="10">
                  <c:v>268054.09999999992</c:v>
                </c:pt>
                <c:pt idx="11">
                  <c:v>236149.33000000013</c:v>
                </c:pt>
                <c:pt idx="12">
                  <c:v>231850.1400000001</c:v>
                </c:pt>
                <c:pt idx="13">
                  <c:v>230295.10000000009</c:v>
                </c:pt>
                <c:pt idx="14">
                  <c:v>277383.38999999984</c:v>
                </c:pt>
                <c:pt idx="15">
                  <c:v>241320.06999999995</c:v>
                </c:pt>
                <c:pt idx="16">
                  <c:v>215729.04000000018</c:v>
                </c:pt>
                <c:pt idx="17">
                  <c:v>197493.18000000011</c:v>
                </c:pt>
                <c:pt idx="18">
                  <c:v>197493.18000000011</c:v>
                </c:pt>
                <c:pt idx="19">
                  <c:v>247276.74000000002</c:v>
                </c:pt>
                <c:pt idx="20">
                  <c:v>219537.57000000004</c:v>
                </c:pt>
                <c:pt idx="21">
                  <c:v>180480.05000000002</c:v>
                </c:pt>
                <c:pt idx="22">
                  <c:v>186360.81000000006</c:v>
                </c:pt>
                <c:pt idx="23">
                  <c:v>186360.81000000006</c:v>
                </c:pt>
                <c:pt idx="24">
                  <c:v>187694.7000000001</c:v>
                </c:pt>
                <c:pt idx="25">
                  <c:v>198327.02000000008</c:v>
                </c:pt>
                <c:pt idx="26">
                  <c:v>200348.40000000008</c:v>
                </c:pt>
                <c:pt idx="27">
                  <c:v>189335.09999999992</c:v>
                </c:pt>
                <c:pt idx="28">
                  <c:v>195338.76999999996</c:v>
                </c:pt>
                <c:pt idx="29">
                  <c:v>203315.8599999999</c:v>
                </c:pt>
                <c:pt idx="30">
                  <c:v>218338.30999999991</c:v>
                </c:pt>
                <c:pt idx="31">
                  <c:v>217177.9199999999</c:v>
                </c:pt>
                <c:pt idx="32">
                  <c:v>212736.79999999984</c:v>
                </c:pt>
                <c:pt idx="33">
                  <c:v>209029.06999999986</c:v>
                </c:pt>
                <c:pt idx="34">
                  <c:v>229380.70999999985</c:v>
                </c:pt>
                <c:pt idx="35">
                  <c:v>206200.86</c:v>
                </c:pt>
                <c:pt idx="36">
                  <c:v>206745.66999999995</c:v>
                </c:pt>
                <c:pt idx="37">
                  <c:v>211866.69999999998</c:v>
                </c:pt>
                <c:pt idx="38">
                  <c:v>219785.18000000005</c:v>
                </c:pt>
                <c:pt idx="39">
                  <c:v>216721.23000000019</c:v>
                </c:pt>
                <c:pt idx="40">
                  <c:v>223655.89000000022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369652.97000000009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D-4CF6-B636-55771FAC8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02768"/>
        <c:axId val="800303184"/>
      </c:areaChart>
      <c:lineChart>
        <c:grouping val="standard"/>
        <c:varyColors val="0"/>
        <c:ser>
          <c:idx val="1"/>
          <c:order val="1"/>
          <c:tx>
            <c:strRef>
              <c:f>Tables_Over90!$G$6</c:f>
              <c:strCache>
                <c:ptCount val="1"/>
                <c:pt idx="0">
                  <c:v>Amount2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Tables_Over90!$G$7:$G$58</c:f>
              <c:numCache>
                <c:formatCode>_(* #,##0.00_);_(* \(#,##0.00\);_(* "-"??_);_(@_)</c:formatCode>
                <c:ptCount val="52"/>
                <c:pt idx="0">
                  <c:v>114001.39000000001</c:v>
                </c:pt>
                <c:pt idx="1">
                  <c:v>115521.32000000002</c:v>
                </c:pt>
                <c:pt idx="2">
                  <c:v>117333.10000000002</c:v>
                </c:pt>
                <c:pt idx="3">
                  <c:v>116108.81000000001</c:v>
                </c:pt>
                <c:pt idx="4">
                  <c:v>113206.80999999997</c:v>
                </c:pt>
                <c:pt idx="5">
                  <c:v>112423.48</c:v>
                </c:pt>
                <c:pt idx="6">
                  <c:v>124360.87000000001</c:v>
                </c:pt>
                <c:pt idx="7">
                  <c:v>125997.40999999999</c:v>
                </c:pt>
                <c:pt idx="8">
                  <c:v>276005.66000000003</c:v>
                </c:pt>
                <c:pt idx="9">
                  <c:v>271433.26</c:v>
                </c:pt>
                <c:pt idx="10">
                  <c:v>268054.09999999992</c:v>
                </c:pt>
                <c:pt idx="11">
                  <c:v>236149.33000000013</c:v>
                </c:pt>
                <c:pt idx="12">
                  <c:v>231850.1400000001</c:v>
                </c:pt>
                <c:pt idx="13">
                  <c:v>230295.10000000009</c:v>
                </c:pt>
                <c:pt idx="14">
                  <c:v>277383.38999999984</c:v>
                </c:pt>
                <c:pt idx="15">
                  <c:v>241320.06999999995</c:v>
                </c:pt>
                <c:pt idx="16">
                  <c:v>215729.04000000018</c:v>
                </c:pt>
                <c:pt idx="17">
                  <c:v>197493.18000000011</c:v>
                </c:pt>
                <c:pt idx="18">
                  <c:v>197493.18000000011</c:v>
                </c:pt>
                <c:pt idx="19">
                  <c:v>247276.74000000002</c:v>
                </c:pt>
                <c:pt idx="20">
                  <c:v>219537.57000000004</c:v>
                </c:pt>
                <c:pt idx="21">
                  <c:v>180480.05000000002</c:v>
                </c:pt>
                <c:pt idx="22">
                  <c:v>186360.81000000006</c:v>
                </c:pt>
                <c:pt idx="23">
                  <c:v>186360.81000000006</c:v>
                </c:pt>
                <c:pt idx="24">
                  <c:v>187694.7000000001</c:v>
                </c:pt>
                <c:pt idx="25">
                  <c:v>198327.02000000008</c:v>
                </c:pt>
                <c:pt idx="26">
                  <c:v>200348.40000000008</c:v>
                </c:pt>
                <c:pt idx="27">
                  <c:v>189335.09999999992</c:v>
                </c:pt>
                <c:pt idx="28">
                  <c:v>195338.76999999996</c:v>
                </c:pt>
                <c:pt idx="29">
                  <c:v>203315.8599999999</c:v>
                </c:pt>
                <c:pt idx="30">
                  <c:v>218338.30999999991</c:v>
                </c:pt>
                <c:pt idx="31">
                  <c:v>217177.9199999999</c:v>
                </c:pt>
                <c:pt idx="32">
                  <c:v>212736.79999999984</c:v>
                </c:pt>
                <c:pt idx="33">
                  <c:v>209029.06999999986</c:v>
                </c:pt>
                <c:pt idx="34">
                  <c:v>229380.70999999985</c:v>
                </c:pt>
                <c:pt idx="35">
                  <c:v>206200.86</c:v>
                </c:pt>
                <c:pt idx="36">
                  <c:v>206745.66999999995</c:v>
                </c:pt>
                <c:pt idx="37">
                  <c:v>211866.69999999998</c:v>
                </c:pt>
                <c:pt idx="38">
                  <c:v>219785.18000000005</c:v>
                </c:pt>
                <c:pt idx="39">
                  <c:v>216721.23000000019</c:v>
                </c:pt>
                <c:pt idx="40">
                  <c:v>223655.89000000022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369652.97000000009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D-4CF6-B636-55771FAC8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02768"/>
        <c:axId val="800303184"/>
      </c:lineChart>
      <c:catAx>
        <c:axId val="80030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3184"/>
        <c:crosses val="autoZero"/>
        <c:auto val="1"/>
        <c:lblAlgn val="ctr"/>
        <c:lblOffset val="100"/>
        <c:noMultiLvlLbl val="0"/>
      </c:catAx>
      <c:valAx>
        <c:axId val="8003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 AR Trend - 52 Weeks Aging</a:t>
            </a:r>
            <a:r>
              <a:rPr lang="en-US" baseline="0"/>
              <a:t> 61 to 90 Days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Tables_6190!$F$6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9B9B9B"/>
            </a:solidFill>
            <a:ln>
              <a:solidFill>
                <a:schemeClr val="tx2"/>
              </a:solidFill>
            </a:ln>
            <a:effectLst/>
          </c:spPr>
          <c:cat>
            <c:strRef>
              <c:f>Tables_Over90!$A$7:$A$58</c:f>
              <c:strCache>
                <c:ptCount val="52"/>
                <c:pt idx="0">
                  <c:v>Jul
19
2017</c:v>
                </c:pt>
                <c:pt idx="13">
                  <c:v>Oct
17</c:v>
                </c:pt>
                <c:pt idx="26">
                  <c:v>Jan
18</c:v>
                </c:pt>
                <c:pt idx="39">
                  <c:v>Apr
18</c:v>
                </c:pt>
                <c:pt idx="51">
                  <c:v>Jul
11
2018</c:v>
                </c:pt>
              </c:strCache>
            </c:strRef>
          </c:cat>
          <c:val>
            <c:numRef>
              <c:f>Tables_6190!$F$7:$F$58</c:f>
              <c:numCache>
                <c:formatCode>_(* #,##0.00_);_(* \(#,##0.00\);_(* "-"??_);_(@_)</c:formatCode>
                <c:ptCount val="52"/>
                <c:pt idx="0">
                  <c:v>5879.8</c:v>
                </c:pt>
                <c:pt idx="1">
                  <c:v>5327.1599999999989</c:v>
                </c:pt>
                <c:pt idx="2">
                  <c:v>16048.000000000002</c:v>
                </c:pt>
                <c:pt idx="3">
                  <c:v>17634.86</c:v>
                </c:pt>
                <c:pt idx="4">
                  <c:v>18933.8</c:v>
                </c:pt>
                <c:pt idx="5">
                  <c:v>20179.72</c:v>
                </c:pt>
                <c:pt idx="6">
                  <c:v>11065.990000000002</c:v>
                </c:pt>
                <c:pt idx="7">
                  <c:v>15141.139999999998</c:v>
                </c:pt>
                <c:pt idx="8">
                  <c:v>24298.029999999988</c:v>
                </c:pt>
                <c:pt idx="9">
                  <c:v>29208.339999999993</c:v>
                </c:pt>
                <c:pt idx="10">
                  <c:v>55408.450000000026</c:v>
                </c:pt>
                <c:pt idx="11">
                  <c:v>52382.719999999994</c:v>
                </c:pt>
                <c:pt idx="12">
                  <c:v>52176.56</c:v>
                </c:pt>
                <c:pt idx="13">
                  <c:v>51251.290000000008</c:v>
                </c:pt>
                <c:pt idx="14">
                  <c:v>37791.01</c:v>
                </c:pt>
                <c:pt idx="15">
                  <c:v>52862.479999999989</c:v>
                </c:pt>
                <c:pt idx="16">
                  <c:v>42327.239999999983</c:v>
                </c:pt>
                <c:pt idx="17">
                  <c:v>40330.389999999992</c:v>
                </c:pt>
                <c:pt idx="18">
                  <c:v>40330.389999999992</c:v>
                </c:pt>
                <c:pt idx="19">
                  <c:v>41914.729999999989</c:v>
                </c:pt>
                <c:pt idx="20">
                  <c:v>24787.010000000002</c:v>
                </c:pt>
                <c:pt idx="21">
                  <c:v>38742.090000000004</c:v>
                </c:pt>
                <c:pt idx="22">
                  <c:v>33278.47</c:v>
                </c:pt>
                <c:pt idx="23">
                  <c:v>33278.47</c:v>
                </c:pt>
                <c:pt idx="24">
                  <c:v>33202.1</c:v>
                </c:pt>
                <c:pt idx="25">
                  <c:v>38477.149999999987</c:v>
                </c:pt>
                <c:pt idx="26">
                  <c:v>69618.260000000009</c:v>
                </c:pt>
                <c:pt idx="27">
                  <c:v>71008.319999999992</c:v>
                </c:pt>
                <c:pt idx="28">
                  <c:v>80359.319999999992</c:v>
                </c:pt>
                <c:pt idx="29">
                  <c:v>86752.670000000013</c:v>
                </c:pt>
                <c:pt idx="30">
                  <c:v>97483.010000000009</c:v>
                </c:pt>
                <c:pt idx="31">
                  <c:v>70996.81</c:v>
                </c:pt>
                <c:pt idx="32">
                  <c:v>57649.410000000011</c:v>
                </c:pt>
                <c:pt idx="33">
                  <c:v>65532.429999999993</c:v>
                </c:pt>
                <c:pt idx="34">
                  <c:v>76937.3</c:v>
                </c:pt>
                <c:pt idx="35">
                  <c:v>68062.960000000006</c:v>
                </c:pt>
                <c:pt idx="36">
                  <c:v>80030.84</c:v>
                </c:pt>
                <c:pt idx="37">
                  <c:v>82501.359999999986</c:v>
                </c:pt>
                <c:pt idx="38">
                  <c:v>78538.690000000031</c:v>
                </c:pt>
                <c:pt idx="39">
                  <c:v>80464.319999999978</c:v>
                </c:pt>
                <c:pt idx="40">
                  <c:v>85517.10000000002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97840.650000000023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A-43D7-9A86-2649752C0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02768"/>
        <c:axId val="800303184"/>
      </c:areaChart>
      <c:lineChart>
        <c:grouping val="standard"/>
        <c:varyColors val="0"/>
        <c:ser>
          <c:idx val="1"/>
          <c:order val="1"/>
          <c:tx>
            <c:strRef>
              <c:f>Tables_6190!$G$6</c:f>
              <c:strCache>
                <c:ptCount val="1"/>
                <c:pt idx="0">
                  <c:v>Amount2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Tables_6190!$G$7:$G$58</c:f>
              <c:numCache>
                <c:formatCode>_(* #,##0.00_);_(* \(#,##0.00\);_(* "-"??_);_(@_)</c:formatCode>
                <c:ptCount val="52"/>
                <c:pt idx="0">
                  <c:v>5879.8</c:v>
                </c:pt>
                <c:pt idx="1">
                  <c:v>5327.1599999999989</c:v>
                </c:pt>
                <c:pt idx="2">
                  <c:v>16048.000000000002</c:v>
                </c:pt>
                <c:pt idx="3">
                  <c:v>17634.86</c:v>
                </c:pt>
                <c:pt idx="4">
                  <c:v>18933.8</c:v>
                </c:pt>
                <c:pt idx="5">
                  <c:v>20179.72</c:v>
                </c:pt>
                <c:pt idx="6">
                  <c:v>11065.990000000002</c:v>
                </c:pt>
                <c:pt idx="7">
                  <c:v>15141.139999999998</c:v>
                </c:pt>
                <c:pt idx="8">
                  <c:v>24298.029999999988</c:v>
                </c:pt>
                <c:pt idx="9">
                  <c:v>29208.339999999993</c:v>
                </c:pt>
                <c:pt idx="10">
                  <c:v>55408.450000000026</c:v>
                </c:pt>
                <c:pt idx="11">
                  <c:v>52382.719999999994</c:v>
                </c:pt>
                <c:pt idx="12">
                  <c:v>52176.56</c:v>
                </c:pt>
                <c:pt idx="13">
                  <c:v>51251.290000000008</c:v>
                </c:pt>
                <c:pt idx="14">
                  <c:v>37791.01</c:v>
                </c:pt>
                <c:pt idx="15">
                  <c:v>52862.479999999989</c:v>
                </c:pt>
                <c:pt idx="16">
                  <c:v>42327.239999999983</c:v>
                </c:pt>
                <c:pt idx="17">
                  <c:v>40330.389999999992</c:v>
                </c:pt>
                <c:pt idx="18">
                  <c:v>40330.389999999992</c:v>
                </c:pt>
                <c:pt idx="19">
                  <c:v>41914.729999999989</c:v>
                </c:pt>
                <c:pt idx="20">
                  <c:v>24787.010000000002</c:v>
                </c:pt>
                <c:pt idx="21">
                  <c:v>38742.090000000004</c:v>
                </c:pt>
                <c:pt idx="22">
                  <c:v>33278.47</c:v>
                </c:pt>
                <c:pt idx="23">
                  <c:v>33278.47</c:v>
                </c:pt>
                <c:pt idx="24">
                  <c:v>33202.1</c:v>
                </c:pt>
                <c:pt idx="25">
                  <c:v>38477.149999999987</c:v>
                </c:pt>
                <c:pt idx="26">
                  <c:v>69618.260000000009</c:v>
                </c:pt>
                <c:pt idx="27">
                  <c:v>71008.319999999992</c:v>
                </c:pt>
                <c:pt idx="28">
                  <c:v>80359.319999999992</c:v>
                </c:pt>
                <c:pt idx="29">
                  <c:v>86752.670000000013</c:v>
                </c:pt>
                <c:pt idx="30">
                  <c:v>97483.010000000009</c:v>
                </c:pt>
                <c:pt idx="31">
                  <c:v>70996.81</c:v>
                </c:pt>
                <c:pt idx="32">
                  <c:v>57649.410000000011</c:v>
                </c:pt>
                <c:pt idx="33">
                  <c:v>65532.429999999993</c:v>
                </c:pt>
                <c:pt idx="34">
                  <c:v>76937.3</c:v>
                </c:pt>
                <c:pt idx="35">
                  <c:v>68062.960000000006</c:v>
                </c:pt>
                <c:pt idx="36">
                  <c:v>80030.84</c:v>
                </c:pt>
                <c:pt idx="37">
                  <c:v>82501.359999999986</c:v>
                </c:pt>
                <c:pt idx="38">
                  <c:v>78538.690000000031</c:v>
                </c:pt>
                <c:pt idx="39">
                  <c:v>80464.319999999978</c:v>
                </c:pt>
                <c:pt idx="40">
                  <c:v>85517.10000000002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97840.650000000023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A-43D7-9A86-2649752C0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302768"/>
        <c:axId val="800303184"/>
      </c:lineChart>
      <c:catAx>
        <c:axId val="80030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3184"/>
        <c:crosses val="autoZero"/>
        <c:auto val="1"/>
        <c:lblAlgn val="ctr"/>
        <c:lblOffset val="100"/>
        <c:noMultiLvlLbl val="0"/>
      </c:catAx>
      <c:valAx>
        <c:axId val="8003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13</xdr:col>
      <xdr:colOff>0</xdr:colOff>
      <xdr:row>19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9</xdr:row>
      <xdr:rowOff>0</xdr:rowOff>
    </xdr:from>
    <xdr:to>
      <xdr:col>32</xdr:col>
      <xdr:colOff>0</xdr:colOff>
      <xdr:row>19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38101</xdr:colOff>
      <xdr:row>11</xdr:row>
      <xdr:rowOff>19050</xdr:rowOff>
    </xdr:from>
    <xdr:to>
      <xdr:col>12</xdr:col>
      <xdr:colOff>323851</xdr:colOff>
      <xdr:row>12</xdr:row>
      <xdr:rowOff>66675</xdr:rowOff>
    </xdr:to>
    <xdr:sp macro="" textlink="">
      <xdr:nvSpPr>
        <xdr:cNvPr id="2" name="TextBox 1"/>
        <xdr:cNvSpPr txBox="1"/>
      </xdr:nvSpPr>
      <xdr:spPr>
        <a:xfrm>
          <a:off x="5867401" y="2162175"/>
          <a:ext cx="28575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►</a:t>
          </a:r>
        </a:p>
      </xdr:txBody>
    </xdr:sp>
    <xdr:clientData/>
  </xdr:twoCellAnchor>
  <xdr:oneCellAnchor>
    <xdr:from>
      <xdr:col>11</xdr:col>
      <xdr:colOff>95250</xdr:colOff>
      <xdr:row>11</xdr:row>
      <xdr:rowOff>9525</xdr:rowOff>
    </xdr:from>
    <xdr:ext cx="693331" cy="280205"/>
    <xdr:sp macro="" textlink="">
      <xdr:nvSpPr>
        <xdr:cNvPr id="3" name="TextBox 2"/>
        <xdr:cNvSpPr txBox="1"/>
      </xdr:nvSpPr>
      <xdr:spPr>
        <a:xfrm>
          <a:off x="5314950" y="2152650"/>
          <a:ext cx="6933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$369.6K</a:t>
          </a:r>
        </a:p>
      </xdr:txBody>
    </xdr:sp>
    <xdr:clientData/>
  </xdr:oneCellAnchor>
  <xdr:oneCellAnchor>
    <xdr:from>
      <xdr:col>29</xdr:col>
      <xdr:colOff>247650</xdr:colOff>
      <xdr:row>11</xdr:row>
      <xdr:rowOff>66675</xdr:rowOff>
    </xdr:from>
    <xdr:ext cx="615361" cy="280205"/>
    <xdr:sp macro="" textlink="">
      <xdr:nvSpPr>
        <xdr:cNvPr id="6" name="TextBox 5"/>
        <xdr:cNvSpPr txBox="1"/>
      </xdr:nvSpPr>
      <xdr:spPr>
        <a:xfrm>
          <a:off x="14458950" y="2209800"/>
          <a:ext cx="6153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$97.8K</a:t>
          </a:r>
        </a:p>
      </xdr:txBody>
    </xdr:sp>
    <xdr:clientData/>
  </xdr:oneCellAnchor>
  <xdr:twoCellAnchor>
    <xdr:from>
      <xdr:col>30</xdr:col>
      <xdr:colOff>323851</xdr:colOff>
      <xdr:row>11</xdr:row>
      <xdr:rowOff>85725</xdr:rowOff>
    </xdr:from>
    <xdr:to>
      <xdr:col>31</xdr:col>
      <xdr:colOff>161926</xdr:colOff>
      <xdr:row>12</xdr:row>
      <xdr:rowOff>133350</xdr:rowOff>
    </xdr:to>
    <xdr:sp macro="" textlink="">
      <xdr:nvSpPr>
        <xdr:cNvPr id="7" name="TextBox 6"/>
        <xdr:cNvSpPr txBox="1"/>
      </xdr:nvSpPr>
      <xdr:spPr>
        <a:xfrm>
          <a:off x="14982826" y="2228850"/>
          <a:ext cx="28575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69851</xdr:colOff>
      <xdr:row>28</xdr:row>
      <xdr:rowOff>60324</xdr:rowOff>
    </xdr:from>
    <xdr:to>
      <xdr:col>20</xdr:col>
      <xdr:colOff>371475</xdr:colOff>
      <xdr:row>44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736601</xdr:colOff>
      <xdr:row>12</xdr:row>
      <xdr:rowOff>76200</xdr:rowOff>
    </xdr:from>
    <xdr:to>
      <xdr:col>12</xdr:col>
      <xdr:colOff>63501</xdr:colOff>
      <xdr:row>27</xdr:row>
      <xdr:rowOff>107951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4</xdr:col>
      <xdr:colOff>209295</xdr:colOff>
      <xdr:row>17</xdr:row>
      <xdr:rowOff>76048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095500"/>
          <a:ext cx="2038095" cy="1219048"/>
        </a:xfrm>
        <a:prstGeom prst="rect">
          <a:avLst/>
        </a:prstGeom>
      </xdr:spPr>
    </xdr:pic>
    <xdr:clientData/>
  </xdr:twoCellAnchor>
  <xdr:oneCellAnchor>
    <xdr:from>
      <xdr:col>1</xdr:col>
      <xdr:colOff>95250</xdr:colOff>
      <xdr:row>19</xdr:row>
      <xdr:rowOff>152400</xdr:rowOff>
    </xdr:from>
    <xdr:ext cx="1579856" cy="264560"/>
    <xdr:sp macro="" textlink="">
      <xdr:nvSpPr>
        <xdr:cNvPr id="10" name="TextBox 9"/>
        <xdr:cNvSpPr txBox="1"/>
      </xdr:nvSpPr>
      <xdr:spPr>
        <a:xfrm>
          <a:off x="3752850" y="3771900"/>
          <a:ext cx="1579856" cy="264560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AR Balance over 90 days</a:t>
          </a:r>
        </a:p>
      </xdr:txBody>
    </xdr:sp>
    <xdr:clientData/>
  </xdr:oneCellAnchor>
  <xdr:twoCellAnchor>
    <xdr:from>
      <xdr:col>1</xdr:col>
      <xdr:colOff>238125</xdr:colOff>
      <xdr:row>12</xdr:row>
      <xdr:rowOff>133350</xdr:rowOff>
    </xdr:from>
    <xdr:to>
      <xdr:col>1</xdr:col>
      <xdr:colOff>283844</xdr:colOff>
      <xdr:row>12</xdr:row>
      <xdr:rowOff>179069</xdr:rowOff>
    </xdr:to>
    <xdr:sp macro="" textlink="">
      <xdr:nvSpPr>
        <xdr:cNvPr id="11" name="Rectangle 10"/>
        <xdr:cNvSpPr/>
      </xdr:nvSpPr>
      <xdr:spPr>
        <a:xfrm>
          <a:off x="3895725" y="2419350"/>
          <a:ext cx="45719" cy="45719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95249</xdr:colOff>
      <xdr:row>12</xdr:row>
      <xdr:rowOff>156210</xdr:rowOff>
    </xdr:from>
    <xdr:to>
      <xdr:col>1</xdr:col>
      <xdr:colOff>238124</xdr:colOff>
      <xdr:row>20</xdr:row>
      <xdr:rowOff>94180</xdr:rowOff>
    </xdr:to>
    <xdr:cxnSp macro="">
      <xdr:nvCxnSpPr>
        <xdr:cNvPr id="13" name="Elbow Connector 12"/>
        <xdr:cNvCxnSpPr>
          <a:stCxn id="10" idx="1"/>
          <a:endCxn id="11" idx="1"/>
        </xdr:cNvCxnSpPr>
      </xdr:nvCxnSpPr>
      <xdr:spPr>
        <a:xfrm rot="10800000" flipH="1">
          <a:off x="3752849" y="2442210"/>
          <a:ext cx="142875" cy="1461970"/>
        </a:xfrm>
        <a:prstGeom prst="bentConnector3">
          <a:avLst>
            <a:gd name="adj1" fmla="val -16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11</xdr:row>
      <xdr:rowOff>0</xdr:rowOff>
    </xdr:from>
    <xdr:to>
      <xdr:col>8</xdr:col>
      <xdr:colOff>209295</xdr:colOff>
      <xdr:row>17</xdr:row>
      <xdr:rowOff>76048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1775" y="2095500"/>
          <a:ext cx="2038095" cy="1219048"/>
        </a:xfrm>
        <a:prstGeom prst="rect">
          <a:avLst/>
        </a:prstGeom>
      </xdr:spPr>
    </xdr:pic>
    <xdr:clientData/>
  </xdr:twoCellAnchor>
  <xdr:oneCellAnchor>
    <xdr:from>
      <xdr:col>5</xdr:col>
      <xdr:colOff>219075</xdr:colOff>
      <xdr:row>19</xdr:row>
      <xdr:rowOff>152400</xdr:rowOff>
    </xdr:from>
    <xdr:ext cx="1608004" cy="264560"/>
    <xdr:sp macro="" textlink="">
      <xdr:nvSpPr>
        <xdr:cNvPr id="15" name="TextBox 14"/>
        <xdr:cNvSpPr txBox="1"/>
      </xdr:nvSpPr>
      <xdr:spPr>
        <a:xfrm>
          <a:off x="2990850" y="3771900"/>
          <a:ext cx="1608004" cy="264560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Week-over-week change</a:t>
          </a:r>
        </a:p>
      </xdr:txBody>
    </xdr:sp>
    <xdr:clientData/>
  </xdr:oneCellAnchor>
  <xdr:twoCellAnchor>
    <xdr:from>
      <xdr:col>5</xdr:col>
      <xdr:colOff>219075</xdr:colOff>
      <xdr:row>14</xdr:row>
      <xdr:rowOff>142875</xdr:rowOff>
    </xdr:from>
    <xdr:to>
      <xdr:col>5</xdr:col>
      <xdr:colOff>264794</xdr:colOff>
      <xdr:row>14</xdr:row>
      <xdr:rowOff>188594</xdr:rowOff>
    </xdr:to>
    <xdr:sp macro="" textlink="">
      <xdr:nvSpPr>
        <xdr:cNvPr id="16" name="Rectangle 15"/>
        <xdr:cNvSpPr/>
      </xdr:nvSpPr>
      <xdr:spPr>
        <a:xfrm>
          <a:off x="2990850" y="2809875"/>
          <a:ext cx="45719" cy="45719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219075</xdr:colOff>
      <xdr:row>14</xdr:row>
      <xdr:rowOff>165736</xdr:rowOff>
    </xdr:from>
    <xdr:to>
      <xdr:col>5</xdr:col>
      <xdr:colOff>231775</xdr:colOff>
      <xdr:row>20</xdr:row>
      <xdr:rowOff>94181</xdr:rowOff>
    </xdr:to>
    <xdr:cxnSp macro="">
      <xdr:nvCxnSpPr>
        <xdr:cNvPr id="20" name="Elbow Connector 19"/>
        <xdr:cNvCxnSpPr>
          <a:stCxn id="15" idx="1"/>
          <a:endCxn id="16" idx="1"/>
        </xdr:cNvCxnSpPr>
      </xdr:nvCxnSpPr>
      <xdr:spPr>
        <a:xfrm rot="10800000">
          <a:off x="2990850" y="2832736"/>
          <a:ext cx="12700" cy="1071445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11</xdr:row>
      <xdr:rowOff>0</xdr:rowOff>
    </xdr:from>
    <xdr:to>
      <xdr:col>12</xdr:col>
      <xdr:colOff>209295</xdr:colOff>
      <xdr:row>17</xdr:row>
      <xdr:rowOff>76048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095500"/>
          <a:ext cx="2038095" cy="1219048"/>
        </a:xfrm>
        <a:prstGeom prst="rect">
          <a:avLst/>
        </a:prstGeom>
      </xdr:spPr>
    </xdr:pic>
    <xdr:clientData/>
  </xdr:twoCellAnchor>
  <xdr:oneCellAnchor>
    <xdr:from>
      <xdr:col>9</xdr:col>
      <xdr:colOff>209550</xdr:colOff>
      <xdr:row>19</xdr:row>
      <xdr:rowOff>152400</xdr:rowOff>
    </xdr:from>
    <xdr:ext cx="1841530" cy="436786"/>
    <xdr:sp macro="" textlink="">
      <xdr:nvSpPr>
        <xdr:cNvPr id="22" name="TextBox 21"/>
        <xdr:cNvSpPr txBox="1"/>
      </xdr:nvSpPr>
      <xdr:spPr>
        <a:xfrm>
          <a:off x="5419725" y="3771900"/>
          <a:ext cx="1841530" cy="436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/>
            <a:t>Indicator: change </a:t>
          </a:r>
          <a:br>
            <a:rPr lang="en-US" sz="1100"/>
          </a:br>
          <a:r>
            <a:rPr lang="en-US" sz="1100"/>
            <a:t>Week-over-week is up/down</a:t>
          </a:r>
        </a:p>
      </xdr:txBody>
    </xdr:sp>
    <xdr:clientData/>
  </xdr:oneCellAnchor>
  <xdr:twoCellAnchor>
    <xdr:from>
      <xdr:col>12</xdr:col>
      <xdr:colOff>0</xdr:colOff>
      <xdr:row>12</xdr:row>
      <xdr:rowOff>123825</xdr:rowOff>
    </xdr:from>
    <xdr:to>
      <xdr:col>12</xdr:col>
      <xdr:colOff>45719</xdr:colOff>
      <xdr:row>12</xdr:row>
      <xdr:rowOff>169544</xdr:rowOff>
    </xdr:to>
    <xdr:sp macro="" textlink="">
      <xdr:nvSpPr>
        <xdr:cNvPr id="23" name="Rectangle 22"/>
        <xdr:cNvSpPr/>
      </xdr:nvSpPr>
      <xdr:spPr>
        <a:xfrm>
          <a:off x="7038975" y="2409825"/>
          <a:ext cx="45719" cy="45719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45719</xdr:colOff>
      <xdr:row>12</xdr:row>
      <xdr:rowOff>146685</xdr:rowOff>
    </xdr:from>
    <xdr:to>
      <xdr:col>12</xdr:col>
      <xdr:colOff>222280</xdr:colOff>
      <xdr:row>20</xdr:row>
      <xdr:rowOff>180293</xdr:rowOff>
    </xdr:to>
    <xdr:cxnSp macro="">
      <xdr:nvCxnSpPr>
        <xdr:cNvPr id="27" name="Elbow Connector 26"/>
        <xdr:cNvCxnSpPr>
          <a:stCxn id="22" idx="3"/>
          <a:endCxn id="23" idx="3"/>
        </xdr:cNvCxnSpPr>
      </xdr:nvCxnSpPr>
      <xdr:spPr>
        <a:xfrm flipH="1" flipV="1">
          <a:off x="7084694" y="2432685"/>
          <a:ext cx="176561" cy="1557608"/>
        </a:xfrm>
        <a:prstGeom prst="bentConnector3">
          <a:avLst>
            <a:gd name="adj1" fmla="val -12947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11</xdr:row>
      <xdr:rowOff>0</xdr:rowOff>
    </xdr:from>
    <xdr:to>
      <xdr:col>16</xdr:col>
      <xdr:colOff>209295</xdr:colOff>
      <xdr:row>17</xdr:row>
      <xdr:rowOff>76048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2095500"/>
          <a:ext cx="2038095" cy="1219048"/>
        </a:xfrm>
        <a:prstGeom prst="rect">
          <a:avLst/>
        </a:prstGeom>
      </xdr:spPr>
    </xdr:pic>
    <xdr:clientData/>
  </xdr:twoCellAnchor>
  <xdr:oneCellAnchor>
    <xdr:from>
      <xdr:col>13</xdr:col>
      <xdr:colOff>260493</xdr:colOff>
      <xdr:row>19</xdr:row>
      <xdr:rowOff>152400</xdr:rowOff>
    </xdr:from>
    <xdr:ext cx="1663469" cy="436786"/>
    <xdr:sp macro="" textlink="">
      <xdr:nvSpPr>
        <xdr:cNvPr id="30" name="TextBox 29"/>
        <xdr:cNvSpPr txBox="1"/>
      </xdr:nvSpPr>
      <xdr:spPr>
        <a:xfrm>
          <a:off x="7909068" y="3771900"/>
          <a:ext cx="1663469" cy="436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/>
            <a:t>Sparkline show</a:t>
          </a:r>
          <a:r>
            <a:rPr lang="en-US" sz="1100" baseline="0"/>
            <a:t>s AR Trend</a:t>
          </a:r>
        </a:p>
        <a:p>
          <a:pPr algn="ctr"/>
          <a:r>
            <a:rPr lang="en-US" sz="1100" baseline="0"/>
            <a:t>up/down over time</a:t>
          </a:r>
          <a:endParaRPr lang="en-US" sz="1100"/>
        </a:p>
      </xdr:txBody>
    </xdr:sp>
    <xdr:clientData/>
  </xdr:oneCellAnchor>
  <xdr:twoCellAnchor>
    <xdr:from>
      <xdr:col>16</xdr:col>
      <xdr:colOff>219075</xdr:colOff>
      <xdr:row>16</xdr:row>
      <xdr:rowOff>28575</xdr:rowOff>
    </xdr:from>
    <xdr:to>
      <xdr:col>16</xdr:col>
      <xdr:colOff>264794</xdr:colOff>
      <xdr:row>16</xdr:row>
      <xdr:rowOff>74294</xdr:rowOff>
    </xdr:to>
    <xdr:sp macro="" textlink="">
      <xdr:nvSpPr>
        <xdr:cNvPr id="31" name="Rectangle 30"/>
        <xdr:cNvSpPr/>
      </xdr:nvSpPr>
      <xdr:spPr>
        <a:xfrm>
          <a:off x="9696450" y="3076575"/>
          <a:ext cx="45719" cy="45719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95162</xdr:colOff>
      <xdr:row>16</xdr:row>
      <xdr:rowOff>51435</xdr:rowOff>
    </xdr:from>
    <xdr:to>
      <xdr:col>16</xdr:col>
      <xdr:colOff>264794</xdr:colOff>
      <xdr:row>20</xdr:row>
      <xdr:rowOff>180293</xdr:rowOff>
    </xdr:to>
    <xdr:cxnSp macro="">
      <xdr:nvCxnSpPr>
        <xdr:cNvPr id="33" name="Elbow Connector 32"/>
        <xdr:cNvCxnSpPr>
          <a:stCxn id="30" idx="3"/>
          <a:endCxn id="31" idx="3"/>
        </xdr:cNvCxnSpPr>
      </xdr:nvCxnSpPr>
      <xdr:spPr>
        <a:xfrm flipV="1">
          <a:off x="9572537" y="3099435"/>
          <a:ext cx="169632" cy="890858"/>
        </a:xfrm>
        <a:prstGeom prst="bentConnector3">
          <a:avLst>
            <a:gd name="adj1" fmla="val 23476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ston Snyder" refreshedDate="43219.570124305559" createdVersion="6" refreshedVersion="6" minRefreshableVersion="3" recordCount="88">
  <cacheSource type="worksheet">
    <worksheetSource name="Table2"/>
  </cacheSource>
  <cacheFields count="4">
    <cacheField name="Customer_Center" numFmtId="0">
      <sharedItems count="8">
        <s v="West Total"/>
        <s v="Starbucks Total"/>
        <s v="Starbucks Service Center"/>
        <s v="Starbucks Projects"/>
        <s v="Target Coffee"/>
        <s v="Target Food Production"/>
        <s v="Safeway"/>
        <s v="Other"/>
      </sharedItems>
    </cacheField>
    <cacheField name="Date" numFmtId="14">
      <sharedItems containsSemiMixedTypes="0" containsNonDate="0" containsDate="1" containsString="0" minDate="2018-01-10T00:00:00" maxDate="2018-04-26T00:00:00" count="11">
        <d v="2018-01-10T00:00:00"/>
        <d v="2018-01-31T00:00:00"/>
        <d v="2018-02-07T00:00:00"/>
        <d v="2018-02-14T00:00:00"/>
        <d v="2018-02-21T00:00:00"/>
        <d v="2018-02-28T00:00:00"/>
        <d v="2018-03-07T00:00:00"/>
        <d v="2018-03-14T00:00:00"/>
        <d v="2018-03-21T00:00:00"/>
        <d v="2018-04-21T00:00:00"/>
        <d v="2018-04-25T00:00:00"/>
      </sharedItems>
      <fieldGroup par="3" base="1">
        <rangePr groupBy="days" startDate="2018-01-10T00:00:00" endDate="2018-04-26T00:00:00"/>
        <groupItems count="368">
          <s v="&lt;1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6/2018"/>
        </groupItems>
      </fieldGroup>
    </cacheField>
    <cacheField name="Amount" numFmtId="0">
      <sharedItems containsSemiMixedTypes="0" containsString="0" containsNumber="1" minValue="1001.66" maxValue="229380.70999999993"/>
    </cacheField>
    <cacheField name="Months" numFmtId="0" databaseField="0">
      <fieldGroup base="1">
        <rangePr groupBy="months" startDate="2018-01-10T00:00:00" endDate="2018-04-26T00:00:00"/>
        <groupItems count="14">
          <s v="&lt;1/10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x v="0"/>
    <n v="189335.09999999992"/>
  </r>
  <r>
    <x v="1"/>
    <x v="0"/>
    <n v="162556.75999999992"/>
  </r>
  <r>
    <x v="2"/>
    <x v="0"/>
    <n v="97069.5"/>
  </r>
  <r>
    <x v="3"/>
    <x v="0"/>
    <n v="65487.259999999922"/>
  </r>
  <r>
    <x v="4"/>
    <x v="0"/>
    <n v="22810.79"/>
  </r>
  <r>
    <x v="5"/>
    <x v="0"/>
    <n v="3937.28"/>
  </r>
  <r>
    <x v="6"/>
    <x v="0"/>
    <n v="1137.75"/>
  </r>
  <r>
    <x v="7"/>
    <x v="0"/>
    <n v="1903.66"/>
  </r>
  <r>
    <x v="0"/>
    <x v="1"/>
    <n v="195338.77000000008"/>
  </r>
  <r>
    <x v="1"/>
    <x v="1"/>
    <n v="163829.07000000007"/>
  </r>
  <r>
    <x v="2"/>
    <x v="1"/>
    <n v="116729.07000000007"/>
  </r>
  <r>
    <x v="3"/>
    <x v="1"/>
    <n v="47100"/>
  </r>
  <r>
    <x v="4"/>
    <x v="1"/>
    <n v="23975.590000000004"/>
  </r>
  <r>
    <x v="5"/>
    <x v="1"/>
    <n v="4817.130000000001"/>
  </r>
  <r>
    <x v="6"/>
    <x v="1"/>
    <n v="1284.53"/>
  </r>
  <r>
    <x v="7"/>
    <x v="1"/>
    <n v="1432.45"/>
  </r>
  <r>
    <x v="0"/>
    <x v="2"/>
    <n v="203315.8600000001"/>
  </r>
  <r>
    <x v="1"/>
    <x v="2"/>
    <n v="166848.44000000009"/>
  </r>
  <r>
    <x v="2"/>
    <x v="2"/>
    <n v="105885.92"/>
  </r>
  <r>
    <x v="3"/>
    <x v="2"/>
    <n v="60962.520000000084"/>
  </r>
  <r>
    <x v="4"/>
    <x v="2"/>
    <n v="28640.429999999997"/>
  </r>
  <r>
    <x v="5"/>
    <x v="2"/>
    <n v="4817.1299999999992"/>
  </r>
  <r>
    <x v="6"/>
    <x v="2"/>
    <n v="1318.57"/>
  </r>
  <r>
    <x v="7"/>
    <x v="2"/>
    <n v="1691.2900000000043"/>
  </r>
  <r>
    <x v="0"/>
    <x v="3"/>
    <n v="218338.31"/>
  </r>
  <r>
    <x v="1"/>
    <x v="3"/>
    <n v="189600.74"/>
  </r>
  <r>
    <x v="2"/>
    <x v="3"/>
    <n v="111621.02"/>
  </r>
  <r>
    <x v="3"/>
    <x v="3"/>
    <n v="77979.72"/>
  </r>
  <r>
    <x v="4"/>
    <x v="3"/>
    <n v="18822.62"/>
  </r>
  <r>
    <x v="5"/>
    <x v="3"/>
    <n v="6367.26"/>
  </r>
  <r>
    <x v="6"/>
    <x v="3"/>
    <n v="2546.0300000000002"/>
  </r>
  <r>
    <x v="7"/>
    <x v="3"/>
    <n v="1001.66"/>
  </r>
  <r>
    <x v="0"/>
    <x v="4"/>
    <n v="217177.92000000004"/>
  </r>
  <r>
    <x v="1"/>
    <x v="4"/>
    <n v="186285.45"/>
  </r>
  <r>
    <x v="2"/>
    <x v="4"/>
    <n v="106722.43000000002"/>
  </r>
  <r>
    <x v="3"/>
    <x v="4"/>
    <n v="79563.019999999975"/>
  </r>
  <r>
    <x v="4"/>
    <x v="4"/>
    <n v="18080.770000000004"/>
  </r>
  <r>
    <x v="5"/>
    <x v="4"/>
    <n v="6564.06"/>
  </r>
  <r>
    <x v="6"/>
    <x v="4"/>
    <n v="4591.26"/>
  </r>
  <r>
    <x v="7"/>
    <x v="4"/>
    <n v="1656.3799999999999"/>
  </r>
  <r>
    <x v="0"/>
    <x v="5"/>
    <n v="212736.8"/>
  </r>
  <r>
    <x v="1"/>
    <x v="5"/>
    <n v="169599.62"/>
  </r>
  <r>
    <x v="2"/>
    <x v="5"/>
    <n v="94941.35"/>
  </r>
  <r>
    <x v="3"/>
    <x v="5"/>
    <n v="74658.27"/>
  </r>
  <r>
    <x v="4"/>
    <x v="5"/>
    <n v="22150.16"/>
  </r>
  <r>
    <x v="5"/>
    <x v="5"/>
    <n v="14351.68"/>
  </r>
  <r>
    <x v="6"/>
    <x v="5"/>
    <n v="4926.46"/>
  </r>
  <r>
    <x v="7"/>
    <x v="5"/>
    <n v="1708.88"/>
  </r>
  <r>
    <x v="0"/>
    <x v="6"/>
    <n v="209029.06999999995"/>
  </r>
  <r>
    <x v="1"/>
    <x v="6"/>
    <n v="168003.15999999995"/>
  </r>
  <r>
    <x v="2"/>
    <x v="6"/>
    <n v="91458.799999999974"/>
  </r>
  <r>
    <x v="3"/>
    <x v="6"/>
    <n v="76544.359999999971"/>
  </r>
  <r>
    <x v="4"/>
    <x v="6"/>
    <n v="18702.219999999998"/>
  </r>
  <r>
    <x v="5"/>
    <x v="6"/>
    <n v="14235.169999999998"/>
  </r>
  <r>
    <x v="6"/>
    <x v="6"/>
    <n v="6672.0999999999995"/>
  </r>
  <r>
    <x v="7"/>
    <x v="6"/>
    <n v="1416.42"/>
  </r>
  <r>
    <x v="0"/>
    <x v="7"/>
    <n v="229380.70999999993"/>
  </r>
  <r>
    <x v="1"/>
    <x v="7"/>
    <n v="171680.29999999993"/>
  </r>
  <r>
    <x v="2"/>
    <x v="7"/>
    <n v="91600.869999999981"/>
  </r>
  <r>
    <x v="3"/>
    <x v="7"/>
    <n v="80079.429999999964"/>
  </r>
  <r>
    <x v="4"/>
    <x v="7"/>
    <n v="23014.720000000001"/>
  </r>
  <r>
    <x v="5"/>
    <x v="7"/>
    <n v="22722.52"/>
  </r>
  <r>
    <x v="6"/>
    <x v="7"/>
    <n v="9641.17"/>
  </r>
  <r>
    <x v="7"/>
    <x v="7"/>
    <n v="2322"/>
  </r>
  <r>
    <x v="0"/>
    <x v="8"/>
    <n v="210160.01"/>
  </r>
  <r>
    <x v="1"/>
    <x v="8"/>
    <n v="147648.07999999999"/>
  </r>
  <r>
    <x v="2"/>
    <x v="8"/>
    <n v="91068.22"/>
  </r>
  <r>
    <x v="3"/>
    <x v="8"/>
    <n v="56579.859999999993"/>
  </r>
  <r>
    <x v="4"/>
    <x v="8"/>
    <n v="25687.42"/>
  </r>
  <r>
    <x v="5"/>
    <x v="8"/>
    <n v="25285.710000000003"/>
  </r>
  <r>
    <x v="6"/>
    <x v="8"/>
    <n v="9306.76"/>
  </r>
  <r>
    <x v="7"/>
    <x v="8"/>
    <n v="2232.04"/>
  </r>
  <r>
    <x v="0"/>
    <x v="9"/>
    <n v="216556.59000000005"/>
  </r>
  <r>
    <x v="1"/>
    <x v="9"/>
    <n v="126661.21000000008"/>
  </r>
  <r>
    <x v="2"/>
    <x v="9"/>
    <n v="84795.22"/>
  </r>
  <r>
    <x v="3"/>
    <x v="9"/>
    <n v="41865.990000000085"/>
  </r>
  <r>
    <x v="4"/>
    <x v="9"/>
    <n v="31614.899999999998"/>
  </r>
  <r>
    <x v="5"/>
    <x v="9"/>
    <n v="44250.909999999989"/>
  </r>
  <r>
    <x v="6"/>
    <x v="9"/>
    <n v="10823.77"/>
  </r>
  <r>
    <x v="7"/>
    <x v="9"/>
    <n v="3205.8"/>
  </r>
  <r>
    <x v="0"/>
    <x v="10"/>
    <n v="223655.89"/>
  </r>
  <r>
    <x v="1"/>
    <x v="10"/>
    <n v="134562.78000000003"/>
  </r>
  <r>
    <x v="2"/>
    <x v="10"/>
    <n v="92374.750000000015"/>
  </r>
  <r>
    <x v="3"/>
    <x v="10"/>
    <n v="42188.03"/>
  </r>
  <r>
    <x v="4"/>
    <x v="10"/>
    <n v="31839.9"/>
  </r>
  <r>
    <x v="5"/>
    <x v="10"/>
    <n v="43648.56"/>
  </r>
  <r>
    <x v="6"/>
    <x v="10"/>
    <n v="11012.780000000002"/>
  </r>
  <r>
    <x v="7"/>
    <x v="10"/>
    <n v="2591.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2:T22" firstHeaderRow="1" firstDataRow="2" firstDataCol="1"/>
  <pivotFields count="4">
    <pivotField axis="axisRow" showAll="0" sortType="descending">
      <items count="9">
        <item x="7"/>
        <item x="6"/>
        <item x="3"/>
        <item x="2"/>
        <item x="1"/>
        <item x="4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9">
    <i>
      <x v="7"/>
    </i>
    <i>
      <x v="4"/>
    </i>
    <i>
      <x v="3"/>
    </i>
    <i>
      <x v="2"/>
    </i>
    <i>
      <x v="5"/>
    </i>
    <i>
      <x v="6"/>
    </i>
    <i>
      <x v="1"/>
    </i>
    <i>
      <x/>
    </i>
    <i t="grand">
      <x/>
    </i>
  </rowItems>
  <colFields count="1">
    <field x="1"/>
  </colFields>
  <colItems count="12">
    <i>
      <x v="10"/>
    </i>
    <i>
      <x v="31"/>
    </i>
    <i>
      <x v="38"/>
    </i>
    <i>
      <x v="45"/>
    </i>
    <i>
      <x v="52"/>
    </i>
    <i>
      <x v="59"/>
    </i>
    <i>
      <x v="67"/>
    </i>
    <i>
      <x v="74"/>
    </i>
    <i>
      <x v="81"/>
    </i>
    <i>
      <x v="112"/>
    </i>
    <i>
      <x v="116"/>
    </i>
    <i t="grand">
      <x/>
    </i>
  </colItem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C12:E100" totalsRowShown="0">
  <autoFilter ref="C12:E100"/>
  <tableColumns count="3">
    <tableColumn id="1" name="Customer_Center"/>
    <tableColumn id="2" name="Date" dataDxfId="12"/>
    <tableColumn id="3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Data" displayName="tblData" ref="A1:G4382" totalsRowShown="0">
  <autoFilter ref="A1:G4382"/>
  <sortState ref="A2:H1929">
    <sortCondition ref="B2:B1929"/>
    <sortCondition ref="A2:A1929"/>
  </sortState>
  <tableColumns count="7">
    <tableColumn id="1" name="Parent Name"/>
    <tableColumn id="2" name="Rpt Date" dataDxfId="3"/>
    <tableColumn id="3" name="Scenario"/>
    <tableColumn id="4" name="Amount"/>
    <tableColumn id="5" name="ScenarioGroup" dataDxfId="2">
      <calculatedColumnFormula>VLOOKUP(C2,inf!$A$2:$B$7,2,FALSE)</calculatedColumnFormula>
    </tableColumn>
    <tableColumn id="6" name="DateTxt" dataDxfId="1">
      <calculatedColumnFormula>TEXT(B2,"MM/DD/YYYY")</calculatedColumnFormula>
    </tableColumn>
    <tableColumn id="7" name="PrentGroup" dataDxfId="0">
      <calculatedColumnFormula>VLOOKUP(A2,inf!$D$2:$E$48,2,FALSE)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D2"/>
  <sheetViews>
    <sheetView workbookViewId="0">
      <selection activeCell="C24" sqref="C24"/>
    </sheetView>
  </sheetViews>
  <sheetFormatPr defaultRowHeight="15" x14ac:dyDescent="0.25"/>
  <cols>
    <col min="3" max="3" width="19.42578125" customWidth="1"/>
    <col min="4" max="4" width="11.42578125" customWidth="1"/>
  </cols>
  <sheetData>
    <row r="2" spans="3:4" x14ac:dyDescent="0.25">
      <c r="C2" s="1">
        <v>43292</v>
      </c>
      <c r="D2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82"/>
  <sheetViews>
    <sheetView showGridLines="0" workbookViewId="0">
      <selection activeCell="D4" sqref="D4:E5"/>
    </sheetView>
  </sheetViews>
  <sheetFormatPr defaultRowHeight="15" x14ac:dyDescent="0.25"/>
  <cols>
    <col min="3" max="3" width="1.7109375" customWidth="1"/>
    <col min="4" max="6" width="9.140625" style="21"/>
    <col min="7" max="7" width="1.7109375" style="21" customWidth="1"/>
    <col min="8" max="10" width="9.140625" style="21"/>
    <col min="11" max="11" width="1.7109375" style="21" customWidth="1"/>
    <col min="12" max="14" width="9.140625" style="21"/>
    <col min="15" max="15" width="1.7109375" style="21" customWidth="1"/>
    <col min="16" max="18" width="9.140625" style="21"/>
    <col min="19" max="19" width="1.7109375" style="21" customWidth="1"/>
    <col min="20" max="22" width="9.140625" style="21"/>
    <col min="23" max="23" width="1.7109375" style="21" customWidth="1"/>
    <col min="24" max="26" width="9.140625" style="21"/>
    <col min="27" max="27" width="1.7109375" style="21" customWidth="1"/>
    <col min="28" max="28" width="9.140625" style="21"/>
    <col min="29" max="29" width="9.140625" style="21" customWidth="1"/>
    <col min="30" max="32" width="6.7109375" style="21" customWidth="1"/>
    <col min="33" max="16384" width="9.140625" style="21"/>
  </cols>
  <sheetData>
    <row r="1" spans="1:36" customFormat="1" ht="2.1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</row>
    <row r="2" spans="1:36" customFormat="1" ht="23.25" x14ac:dyDescent="0.35">
      <c r="A2" s="17"/>
      <c r="B2" s="75" t="s">
        <v>93</v>
      </c>
      <c r="C2" s="17"/>
      <c r="D2" s="18" t="s">
        <v>85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7"/>
      <c r="AF2" s="17"/>
      <c r="AG2" s="17"/>
      <c r="AH2" s="17"/>
      <c r="AI2" s="17"/>
      <c r="AJ2" s="17"/>
    </row>
    <row r="3" spans="1:36" customFormat="1" ht="15" customHeight="1" x14ac:dyDescent="0.25">
      <c r="A3" s="17"/>
      <c r="B3" s="7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20" t="str">
        <f>"As of "&amp;TEXT(Start_Date,"MMMM DD, YYYY")</f>
        <v>As of July 11, 2018</v>
      </c>
      <c r="AE3" s="17"/>
      <c r="AF3" s="17"/>
      <c r="AG3" s="17"/>
      <c r="AH3" s="17"/>
      <c r="AI3" s="17"/>
      <c r="AJ3" s="17"/>
    </row>
    <row r="4" spans="1:36" customFormat="1" ht="15" customHeight="1" x14ac:dyDescent="0.25">
      <c r="A4" s="17"/>
      <c r="B4" s="76"/>
      <c r="C4" s="17"/>
      <c r="D4" s="64">
        <f>Calculations!D3</f>
        <v>223655.89</v>
      </c>
      <c r="E4" s="65"/>
      <c r="F4" s="56" t="str">
        <f>Calculations!F3</f>
        <v>▬</v>
      </c>
      <c r="G4" s="17"/>
      <c r="H4" s="64">
        <f>Calculations!D5</f>
        <v>92374.750000000015</v>
      </c>
      <c r="I4" s="65"/>
      <c r="J4" s="56" t="str">
        <f>Calculations!F5</f>
        <v>▬</v>
      </c>
      <c r="K4" s="17"/>
      <c r="L4" s="64">
        <f>Calculations!D6</f>
        <v>42188.03</v>
      </c>
      <c r="M4" s="65"/>
      <c r="N4" s="56" t="str">
        <f>Calculations!F6</f>
        <v>▬</v>
      </c>
      <c r="O4" s="17"/>
      <c r="P4" s="64">
        <f>Calculations!D7</f>
        <v>31839.9</v>
      </c>
      <c r="Q4" s="65"/>
      <c r="R4" s="56" t="str">
        <f>Calculations!F7</f>
        <v>▬</v>
      </c>
      <c r="S4" s="17"/>
      <c r="T4" s="64">
        <f>Calculations!D8</f>
        <v>43648.56</v>
      </c>
      <c r="U4" s="65"/>
      <c r="V4" s="56" t="str">
        <f>Calculations!F8</f>
        <v>▬</v>
      </c>
      <c r="W4" s="17"/>
      <c r="X4" s="64">
        <f>Calculations!D9</f>
        <v>11012.780000000002</v>
      </c>
      <c r="Y4" s="65"/>
      <c r="Z4" s="56" t="str">
        <f>Calculations!F9</f>
        <v>▬</v>
      </c>
      <c r="AA4" s="17"/>
      <c r="AB4" s="64">
        <f>Calculations!D10</f>
        <v>2591.87</v>
      </c>
      <c r="AC4" s="65"/>
      <c r="AD4" s="56" t="str">
        <f>Calculations!F10</f>
        <v>▬</v>
      </c>
      <c r="AE4" s="17"/>
      <c r="AF4" s="17"/>
      <c r="AG4" s="17"/>
      <c r="AH4" s="17"/>
      <c r="AI4" s="17"/>
      <c r="AJ4" s="17"/>
    </row>
    <row r="5" spans="1:36" customFormat="1" ht="15" customHeight="1" x14ac:dyDescent="0.25">
      <c r="A5" s="17"/>
      <c r="B5" s="76"/>
      <c r="C5" s="17"/>
      <c r="D5" s="66"/>
      <c r="E5" s="66"/>
      <c r="F5" s="57"/>
      <c r="G5" s="17"/>
      <c r="H5" s="66"/>
      <c r="I5" s="66"/>
      <c r="J5" s="57"/>
      <c r="K5" s="17"/>
      <c r="L5" s="66"/>
      <c r="M5" s="66"/>
      <c r="N5" s="57"/>
      <c r="O5" s="17"/>
      <c r="P5" s="66"/>
      <c r="Q5" s="66"/>
      <c r="R5" s="57"/>
      <c r="S5" s="17"/>
      <c r="T5" s="66"/>
      <c r="U5" s="66"/>
      <c r="V5" s="57"/>
      <c r="W5" s="17"/>
      <c r="X5" s="66"/>
      <c r="Y5" s="66"/>
      <c r="Z5" s="57"/>
      <c r="AA5" s="17"/>
      <c r="AB5" s="66"/>
      <c r="AC5" s="66"/>
      <c r="AD5" s="57"/>
      <c r="AE5" s="17"/>
      <c r="AF5" s="17"/>
      <c r="AG5" s="17"/>
      <c r="AH5" s="17"/>
      <c r="AI5" s="17"/>
      <c r="AJ5" s="17"/>
    </row>
    <row r="6" spans="1:36" customFormat="1" ht="15" customHeight="1" x14ac:dyDescent="0.25">
      <c r="A6" s="17"/>
      <c r="B6" s="76"/>
      <c r="C6" s="58" t="s">
        <v>213</v>
      </c>
      <c r="D6" s="59"/>
      <c r="E6" s="61" t="str">
        <f>TEXT(Calculations!G3,"$0.0, ""K""")</f>
        <v>$0.0 K</v>
      </c>
      <c r="F6" s="62"/>
      <c r="G6" s="58" t="s">
        <v>213</v>
      </c>
      <c r="H6" s="59"/>
      <c r="I6" s="61" t="str">
        <f>TEXT(Calculations!G5,"$0.0, ""K""")</f>
        <v>$0.0 K</v>
      </c>
      <c r="J6" s="62"/>
      <c r="K6" s="58" t="s">
        <v>213</v>
      </c>
      <c r="L6" s="59"/>
      <c r="M6" s="61" t="str">
        <f>TEXT(Calculations!G6,"$0.0, ""K""")</f>
        <v>$0.0 K</v>
      </c>
      <c r="N6" s="62"/>
      <c r="O6" s="58" t="s">
        <v>213</v>
      </c>
      <c r="P6" s="59"/>
      <c r="Q6" s="61" t="str">
        <f>TEXT(Calculations!G7,"$0.0, ""K""")</f>
        <v>$0.0 K</v>
      </c>
      <c r="R6" s="62"/>
      <c r="S6" s="58" t="s">
        <v>213</v>
      </c>
      <c r="T6" s="59"/>
      <c r="U6" s="61" t="str">
        <f>TEXT(Calculations!G8,"$0.0, ""K""")</f>
        <v>$0.0 K</v>
      </c>
      <c r="V6" s="62"/>
      <c r="W6" s="58" t="s">
        <v>213</v>
      </c>
      <c r="X6" s="59"/>
      <c r="Y6" s="61" t="str">
        <f>TEXT(Calculations!G9,"$0.0, ""K""")</f>
        <v>$0.0 K</v>
      </c>
      <c r="Z6" s="62"/>
      <c r="AA6" s="58" t="s">
        <v>213</v>
      </c>
      <c r="AB6" s="59"/>
      <c r="AC6" s="61" t="str">
        <f>TEXT(Calculations!G10,"$0.0, ""K""")</f>
        <v>$0.0 K</v>
      </c>
      <c r="AD6" s="62"/>
      <c r="AE6" s="17"/>
      <c r="AF6" s="17"/>
      <c r="AG6" s="17"/>
      <c r="AH6" s="17"/>
      <c r="AI6" s="17"/>
      <c r="AJ6" s="17"/>
    </row>
    <row r="7" spans="1:36" customFormat="1" ht="15" customHeight="1" x14ac:dyDescent="0.25">
      <c r="A7" s="17"/>
      <c r="B7" s="76"/>
      <c r="C7" s="60"/>
      <c r="D7" s="60"/>
      <c r="E7" s="63"/>
      <c r="F7" s="63"/>
      <c r="G7" s="60"/>
      <c r="H7" s="60"/>
      <c r="I7" s="63"/>
      <c r="J7" s="63"/>
      <c r="K7" s="60"/>
      <c r="L7" s="60"/>
      <c r="M7" s="63"/>
      <c r="N7" s="63"/>
      <c r="O7" s="60"/>
      <c r="P7" s="60"/>
      <c r="Q7" s="63"/>
      <c r="R7" s="63"/>
      <c r="S7" s="60"/>
      <c r="T7" s="60"/>
      <c r="U7" s="63"/>
      <c r="V7" s="63"/>
      <c r="W7" s="60"/>
      <c r="X7" s="60"/>
      <c r="Y7" s="63"/>
      <c r="Z7" s="63"/>
      <c r="AA7" s="60"/>
      <c r="AB7" s="60"/>
      <c r="AC7" s="63"/>
      <c r="AD7" s="63"/>
      <c r="AE7" s="17"/>
      <c r="AF7" s="17"/>
      <c r="AG7" s="17"/>
      <c r="AH7" s="17"/>
      <c r="AI7" s="17"/>
      <c r="AJ7" s="17"/>
    </row>
    <row r="8" spans="1:36" customFormat="1" x14ac:dyDescent="0.25">
      <c r="A8" s="17"/>
      <c r="B8" s="17"/>
      <c r="C8" s="17"/>
      <c r="D8" s="17" t="s">
        <v>84</v>
      </c>
      <c r="E8" s="17"/>
      <c r="G8" s="17"/>
      <c r="H8" s="17" t="s">
        <v>89</v>
      </c>
      <c r="I8" s="17"/>
      <c r="K8" s="17"/>
      <c r="L8" s="17" t="s">
        <v>90</v>
      </c>
      <c r="M8" s="17"/>
      <c r="O8" s="17"/>
      <c r="P8" s="17" t="s">
        <v>87</v>
      </c>
      <c r="Q8" s="17"/>
      <c r="S8" s="17"/>
      <c r="T8" s="17" t="s">
        <v>214</v>
      </c>
      <c r="U8" s="17"/>
      <c r="W8" s="17"/>
      <c r="X8" s="17" t="s">
        <v>69</v>
      </c>
      <c r="Y8" s="17"/>
      <c r="AA8" s="17"/>
      <c r="AB8" s="17" t="s">
        <v>41</v>
      </c>
      <c r="AC8" s="17"/>
      <c r="AE8" s="17"/>
      <c r="AF8" s="17"/>
      <c r="AG8" s="17"/>
      <c r="AH8" s="17"/>
      <c r="AI8" s="17"/>
      <c r="AJ8" s="17"/>
    </row>
    <row r="9" spans="1:36" customFormat="1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</row>
    <row r="10" spans="1:36" customFormat="1" ht="20.100000000000001" customHeight="1" x14ac:dyDescent="0.25">
      <c r="A10" s="17"/>
      <c r="B10" s="79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34"/>
      <c r="O10" s="34"/>
      <c r="P10" s="34"/>
      <c r="Q10" s="35"/>
      <c r="R10" s="34"/>
      <c r="S10" s="34"/>
      <c r="T10" s="34"/>
      <c r="U10" s="79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17"/>
      <c r="AH10" s="17"/>
      <c r="AI10" s="17"/>
      <c r="AJ10" s="17"/>
    </row>
    <row r="11" spans="1:36" customFormat="1" ht="20.100000000000001" customHeight="1" x14ac:dyDescent="0.25">
      <c r="A11" s="17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34"/>
      <c r="O11" s="34"/>
      <c r="P11" s="34"/>
      <c r="Q11" s="35"/>
      <c r="R11" s="34"/>
      <c r="S11" s="34"/>
      <c r="T11" s="34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17"/>
      <c r="AH11" s="17"/>
      <c r="AI11" s="17"/>
      <c r="AJ11" s="17"/>
    </row>
    <row r="12" spans="1:36" customFormat="1" ht="20.100000000000001" customHeight="1" x14ac:dyDescent="0.25">
      <c r="A12" s="17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34"/>
      <c r="O12" s="34"/>
      <c r="P12" s="34"/>
      <c r="Q12" s="35"/>
      <c r="R12" s="34"/>
      <c r="S12" s="34"/>
      <c r="T12" s="34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17"/>
      <c r="AH12" s="17"/>
      <c r="AI12" s="17"/>
      <c r="AJ12" s="17"/>
    </row>
    <row r="13" spans="1:36" customFormat="1" ht="20.100000000000001" customHeight="1" x14ac:dyDescent="0.25">
      <c r="A13" s="17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34"/>
      <c r="O13" s="34"/>
      <c r="P13" s="34"/>
      <c r="Q13" s="35"/>
      <c r="R13" s="34"/>
      <c r="S13" s="34"/>
      <c r="T13" s="34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17"/>
      <c r="AH13" s="17"/>
      <c r="AI13" s="17"/>
      <c r="AJ13" s="17"/>
    </row>
    <row r="14" spans="1:36" customFormat="1" ht="20.100000000000001" customHeight="1" x14ac:dyDescent="0.25">
      <c r="A14" s="17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34"/>
      <c r="O14" s="34"/>
      <c r="P14" s="34"/>
      <c r="Q14" s="35"/>
      <c r="R14" s="34"/>
      <c r="S14" s="34"/>
      <c r="T14" s="34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17"/>
      <c r="AH14" s="17"/>
      <c r="AI14" s="17"/>
      <c r="AJ14" s="17"/>
    </row>
    <row r="15" spans="1:36" customFormat="1" ht="20.100000000000001" customHeight="1" x14ac:dyDescent="0.25">
      <c r="A15" s="17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34"/>
      <c r="O15" s="34"/>
      <c r="P15" s="34"/>
      <c r="Q15" s="35"/>
      <c r="R15" s="34"/>
      <c r="S15" s="34"/>
      <c r="T15" s="34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17"/>
      <c r="AH15" s="17"/>
      <c r="AI15" s="17"/>
      <c r="AJ15" s="17"/>
    </row>
    <row r="16" spans="1:36" customFormat="1" ht="20.100000000000001" customHeight="1" x14ac:dyDescent="0.25">
      <c r="A16" s="17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34"/>
      <c r="O16" s="34"/>
      <c r="P16" s="34"/>
      <c r="Q16" s="35"/>
      <c r="R16" s="34"/>
      <c r="S16" s="34"/>
      <c r="T16" s="34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17"/>
      <c r="AH16" s="17"/>
      <c r="AI16" s="17"/>
      <c r="AJ16" s="17"/>
    </row>
    <row r="17" spans="1:36" customFormat="1" ht="20.100000000000001" customHeight="1" x14ac:dyDescent="0.25">
      <c r="A17" s="17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34"/>
      <c r="O17" s="34"/>
      <c r="P17" s="34"/>
      <c r="Q17" s="35"/>
      <c r="R17" s="34"/>
      <c r="S17" s="34"/>
      <c r="T17" s="34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17"/>
      <c r="AH17" s="17"/>
      <c r="AI17" s="17"/>
      <c r="AJ17" s="17"/>
    </row>
    <row r="18" spans="1:36" customFormat="1" ht="20.100000000000001" customHeight="1" x14ac:dyDescent="0.25">
      <c r="A18" s="17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34"/>
      <c r="O18" s="34"/>
      <c r="P18" s="34"/>
      <c r="Q18" s="35"/>
      <c r="R18" s="34"/>
      <c r="S18" s="34"/>
      <c r="T18" s="34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17"/>
      <c r="AH18" s="17"/>
      <c r="AI18" s="17"/>
      <c r="AJ18" s="17"/>
    </row>
    <row r="19" spans="1:36" customFormat="1" x14ac:dyDescent="0.25">
      <c r="A19" s="17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34"/>
      <c r="O19" s="34"/>
      <c r="P19" s="34"/>
      <c r="Q19" s="35"/>
      <c r="R19" s="34"/>
      <c r="S19" s="34"/>
      <c r="T19" s="34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17"/>
      <c r="AH19" s="17"/>
      <c r="AI19" s="17"/>
      <c r="AJ19" s="17"/>
    </row>
    <row r="20" spans="1:36" customFormat="1" ht="23.25" x14ac:dyDescent="0.35">
      <c r="A20" s="17"/>
      <c r="B20" s="17"/>
      <c r="C20" s="17"/>
      <c r="D20" s="32" t="s">
        <v>180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1"/>
      <c r="Z20" s="31"/>
      <c r="AA20" s="67"/>
      <c r="AB20" s="68"/>
      <c r="AC20" s="68"/>
      <c r="AD20" s="67">
        <f>AG20/D4</f>
        <v>0.36635158591173239</v>
      </c>
      <c r="AE20" s="68"/>
      <c r="AF20" s="68"/>
      <c r="AG20" s="73">
        <f>SUM(AG22:AH82)</f>
        <v>81936.689999999973</v>
      </c>
      <c r="AH20" s="74"/>
      <c r="AI20" s="17"/>
      <c r="AJ20" s="17"/>
    </row>
    <row r="21" spans="1:36" customFormat="1" ht="8.1" customHeight="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</row>
    <row r="22" spans="1:36" customFormat="1" x14ac:dyDescent="0.25">
      <c r="A22" s="17"/>
      <c r="B22" s="17"/>
      <c r="C22" s="17"/>
      <c r="D22" s="77" t="s">
        <v>99</v>
      </c>
      <c r="E22" s="77"/>
      <c r="F22" s="77" t="s">
        <v>100</v>
      </c>
      <c r="G22" s="77"/>
      <c r="H22" s="69" t="s">
        <v>183</v>
      </c>
      <c r="I22" s="70"/>
      <c r="J22" s="70"/>
      <c r="K22" s="70"/>
      <c r="L22" s="78"/>
      <c r="M22" s="69" t="s">
        <v>120</v>
      </c>
      <c r="N22" s="70"/>
      <c r="O22" s="70"/>
      <c r="P22" s="70"/>
      <c r="Q22" s="70"/>
      <c r="R22" s="70"/>
      <c r="S22" s="70"/>
      <c r="T22" s="70"/>
      <c r="U22" s="78"/>
      <c r="V22" s="69" t="s">
        <v>184</v>
      </c>
      <c r="W22" s="70"/>
      <c r="X22" s="70"/>
      <c r="Y22" s="71"/>
      <c r="Z22" s="71"/>
      <c r="AA22" s="71"/>
      <c r="AB22" s="71"/>
      <c r="AC22" s="72"/>
      <c r="AD22" s="69" t="s">
        <v>101</v>
      </c>
      <c r="AE22" s="71"/>
      <c r="AF22" s="72"/>
      <c r="AG22" s="70" t="s">
        <v>102</v>
      </c>
      <c r="AH22" s="78"/>
      <c r="AI22" s="17"/>
      <c r="AJ22" s="17"/>
    </row>
    <row r="23" spans="1:36" x14ac:dyDescent="0.25">
      <c r="A23" s="17">
        <v>1</v>
      </c>
      <c r="B23" s="17"/>
      <c r="C23" s="17"/>
      <c r="D23" s="45" t="str">
        <f>'Top60'!B3</f>
        <v>1-3148240351</v>
      </c>
      <c r="E23" s="45"/>
      <c r="F23" s="45">
        <f>'Top60'!C3</f>
        <v>11411627</v>
      </c>
      <c r="G23" s="45"/>
      <c r="H23" s="46" t="str">
        <f>IF(ISBLANK('Top60'!D3),"",'Top60'!D3)</f>
        <v>No Valid WT #</v>
      </c>
      <c r="I23" s="47"/>
      <c r="J23" s="48"/>
      <c r="K23" s="48"/>
      <c r="L23" s="49"/>
      <c r="M23" s="50" t="str">
        <f>IF(ISBLANK('Top60'!E3),"",'Top60'!E3)</f>
        <v/>
      </c>
      <c r="N23" s="51"/>
      <c r="O23" s="51"/>
      <c r="P23" s="51"/>
      <c r="Q23" s="48"/>
      <c r="R23" s="48"/>
      <c r="S23" s="48"/>
      <c r="T23" s="48"/>
      <c r="U23" s="49"/>
      <c r="V23" s="50" t="str">
        <f>IF(ISBLANK('Top60'!F3),"",'Top60'!F3)</f>
        <v>Need number</v>
      </c>
      <c r="W23" s="51"/>
      <c r="X23" s="51"/>
      <c r="Y23" s="52"/>
      <c r="Z23" s="52"/>
      <c r="AA23" s="52"/>
      <c r="AB23" s="52"/>
      <c r="AC23" s="53"/>
      <c r="AD23" s="50" t="str">
        <f>'Top60'!G3</f>
        <v>JSNELL</v>
      </c>
      <c r="AE23" s="52"/>
      <c r="AF23" s="53"/>
      <c r="AG23" s="54">
        <f>'Top60'!H3</f>
        <v>9103.58</v>
      </c>
      <c r="AH23" s="55"/>
    </row>
    <row r="24" spans="1:36" ht="15" customHeight="1" x14ac:dyDescent="0.25">
      <c r="A24" s="17">
        <f>+A23+1</f>
        <v>2</v>
      </c>
      <c r="B24" s="17"/>
      <c r="C24" s="17"/>
      <c r="D24" s="45" t="str">
        <f>'Top60'!B4</f>
        <v>1-3266757131</v>
      </c>
      <c r="E24" s="45"/>
      <c r="F24" s="45">
        <f>'Top60'!C4</f>
        <v>11412091</v>
      </c>
      <c r="G24" s="45"/>
      <c r="H24" s="46" t="str">
        <f>IF(ISBLANK('Top60'!D4),"",'Top60'!D4)</f>
        <v/>
      </c>
      <c r="I24" s="47"/>
      <c r="J24" s="48"/>
      <c r="K24" s="48"/>
      <c r="L24" s="49"/>
      <c r="M24" s="50" t="str">
        <f>IF(ISBLANK('Top60'!E4),"",'Top60'!E4)</f>
        <v/>
      </c>
      <c r="N24" s="51"/>
      <c r="O24" s="51"/>
      <c r="P24" s="51"/>
      <c r="Q24" s="48"/>
      <c r="R24" s="48"/>
      <c r="S24" s="48"/>
      <c r="T24" s="48"/>
      <c r="U24" s="49"/>
      <c r="V24" s="50" t="str">
        <f>IF(ISBLANK('Top60'!F4),"",'Top60'!F4)</f>
        <v>Pending FSM Approval</v>
      </c>
      <c r="W24" s="51"/>
      <c r="X24" s="51"/>
      <c r="Y24" s="52"/>
      <c r="Z24" s="52"/>
      <c r="AA24" s="52"/>
      <c r="AB24" s="52"/>
      <c r="AC24" s="53"/>
      <c r="AD24" s="50" t="str">
        <f>'Top60'!G4</f>
        <v>SWAGGENER</v>
      </c>
      <c r="AE24" s="52"/>
      <c r="AF24" s="53"/>
      <c r="AG24" s="54">
        <f>'Top60'!H4</f>
        <v>4046.03</v>
      </c>
      <c r="AH24" s="55"/>
    </row>
    <row r="25" spans="1:36" ht="15" customHeight="1" x14ac:dyDescent="0.25">
      <c r="A25" s="17">
        <f t="shared" ref="A25:A67" si="0">+A24+1</f>
        <v>3</v>
      </c>
      <c r="B25" s="17"/>
      <c r="C25" s="17"/>
      <c r="D25" s="45" t="str">
        <f>'Top60'!B5</f>
        <v>1-2829758302</v>
      </c>
      <c r="E25" s="45"/>
      <c r="F25" s="45">
        <f>'Top60'!C5</f>
        <v>11437082</v>
      </c>
      <c r="G25" s="45"/>
      <c r="H25" s="46" t="str">
        <f>IF(ISBLANK('Top60'!D5),"",'Top60'!D5)</f>
        <v/>
      </c>
      <c r="I25" s="47"/>
      <c r="J25" s="48"/>
      <c r="K25" s="48"/>
      <c r="L25" s="49"/>
      <c r="M25" s="50" t="str">
        <f>IF(ISBLANK('Top60'!E5),"",'Top60'!E5)</f>
        <v/>
      </c>
      <c r="N25" s="51"/>
      <c r="O25" s="51"/>
      <c r="P25" s="51"/>
      <c r="Q25" s="48"/>
      <c r="R25" s="48"/>
      <c r="S25" s="48"/>
      <c r="T25" s="48"/>
      <c r="U25" s="49"/>
      <c r="V25" s="50" t="str">
        <f>IF(ISBLANK('Top60'!F5),"",'Top60'!F5)</f>
        <v>Receiving needs to be completed</v>
      </c>
      <c r="W25" s="51"/>
      <c r="X25" s="51"/>
      <c r="Y25" s="52"/>
      <c r="Z25" s="52"/>
      <c r="AA25" s="52"/>
      <c r="AB25" s="52"/>
      <c r="AC25" s="53"/>
      <c r="AD25" s="50" t="str">
        <f>'Top60'!G5</f>
        <v>KHALLAN</v>
      </c>
      <c r="AE25" s="52"/>
      <c r="AF25" s="53"/>
      <c r="AG25" s="54">
        <f>'Top60'!H5</f>
        <v>2738.5</v>
      </c>
      <c r="AH25" s="55"/>
    </row>
    <row r="26" spans="1:36" ht="15" customHeight="1" x14ac:dyDescent="0.25">
      <c r="A26" s="17">
        <f t="shared" si="0"/>
        <v>4</v>
      </c>
      <c r="B26" s="17"/>
      <c r="C26" s="17"/>
      <c r="D26" s="45" t="str">
        <f>'Top60'!B6</f>
        <v>1-2395361311</v>
      </c>
      <c r="E26" s="45"/>
      <c r="F26" s="45">
        <f>'Top60'!C6</f>
        <v>8827570</v>
      </c>
      <c r="G26" s="45"/>
      <c r="H26" s="46" t="str">
        <f>IF(ISBLANK('Top60'!D6),"",'Top60'!D6)</f>
        <v>(I) Existing Vendor Invoice #/ Existing Invoice on WT 2/13/18</v>
      </c>
      <c r="I26" s="47"/>
      <c r="J26" s="48"/>
      <c r="K26" s="48"/>
      <c r="L26" s="49"/>
      <c r="M26" s="50" t="str">
        <f>IF(ISBLANK('Top60'!E6),"",'Top60'!E6)</f>
        <v>  (I) Existing Vendor Invoice #/ Existing Invoice On Wt 2/13/18</v>
      </c>
      <c r="N26" s="51"/>
      <c r="O26" s="51"/>
      <c r="P26" s="51"/>
      <c r="Q26" s="48"/>
      <c r="R26" s="48"/>
      <c r="S26" s="48"/>
      <c r="T26" s="48"/>
      <c r="U26" s="49"/>
      <c r="V26" s="50" t="str">
        <f>IF(ISBLANK('Top60'!F6),"",'Top60'!F6)</f>
        <v>Pending FSM Approval</v>
      </c>
      <c r="W26" s="51"/>
      <c r="X26" s="51"/>
      <c r="Y26" s="52"/>
      <c r="Z26" s="52"/>
      <c r="AA26" s="52"/>
      <c r="AB26" s="52"/>
      <c r="AC26" s="53"/>
      <c r="AD26" s="50" t="str">
        <f>'Top60'!G6</f>
        <v>KVICTOR</v>
      </c>
      <c r="AE26" s="52"/>
      <c r="AF26" s="53"/>
      <c r="AG26" s="54">
        <f>'Top60'!H6</f>
        <v>2725.38</v>
      </c>
      <c r="AH26" s="55"/>
    </row>
    <row r="27" spans="1:36" ht="15" customHeight="1" x14ac:dyDescent="0.25">
      <c r="A27" s="17">
        <f t="shared" si="0"/>
        <v>5</v>
      </c>
      <c r="B27" s="17"/>
      <c r="C27" s="17"/>
      <c r="D27" s="45" t="str">
        <f>'Top60'!B7</f>
        <v>1-2415832282</v>
      </c>
      <c r="E27" s="45"/>
      <c r="F27" s="45">
        <f>'Top60'!C7</f>
        <v>11057924</v>
      </c>
      <c r="G27" s="45"/>
      <c r="H27" s="46" t="str">
        <f>IF(ISBLANK('Top60'!D7),"",'Top60'!D7)</f>
        <v/>
      </c>
      <c r="I27" s="47"/>
      <c r="J27" s="48"/>
      <c r="K27" s="48"/>
      <c r="L27" s="49"/>
      <c r="M27" s="50" t="str">
        <f>IF(ISBLANK('Top60'!E7),"",'Top60'!E7)</f>
        <v> Billed 3/20/18</v>
      </c>
      <c r="N27" s="51"/>
      <c r="O27" s="51"/>
      <c r="P27" s="51"/>
      <c r="Q27" s="48"/>
      <c r="R27" s="48"/>
      <c r="S27" s="48"/>
      <c r="T27" s="48"/>
      <c r="U27" s="49"/>
      <c r="V27" s="50" t="str">
        <f>IF(ISBLANK('Top60'!F7),"",'Top60'!F7)</f>
        <v>Receiving needs to be completed</v>
      </c>
      <c r="W27" s="51"/>
      <c r="X27" s="51"/>
      <c r="Y27" s="52"/>
      <c r="Z27" s="52"/>
      <c r="AA27" s="52"/>
      <c r="AB27" s="52"/>
      <c r="AC27" s="53"/>
      <c r="AD27" s="50" t="str">
        <f>'Top60'!G7</f>
        <v>KHALLAN</v>
      </c>
      <c r="AE27" s="52"/>
      <c r="AF27" s="53"/>
      <c r="AG27" s="54">
        <f>'Top60'!H7</f>
        <v>2378.5500000000002</v>
      </c>
      <c r="AH27" s="55"/>
    </row>
    <row r="28" spans="1:36" ht="15" customHeight="1" x14ac:dyDescent="0.25">
      <c r="A28" s="17">
        <f t="shared" si="0"/>
        <v>6</v>
      </c>
      <c r="B28" s="17"/>
      <c r="C28" s="17"/>
      <c r="D28" s="45" t="str">
        <f>'Top60'!B8</f>
        <v>1-2415829762</v>
      </c>
      <c r="E28" s="45"/>
      <c r="F28" s="45">
        <f>'Top60'!C8</f>
        <v>11078699</v>
      </c>
      <c r="G28" s="45"/>
      <c r="H28" s="46" t="str">
        <f>IF(ISBLANK('Top60'!D8),"",'Top60'!D8)</f>
        <v/>
      </c>
      <c r="I28" s="47"/>
      <c r="J28" s="48"/>
      <c r="K28" s="48"/>
      <c r="L28" s="49"/>
      <c r="M28" s="50" t="str">
        <f>IF(ISBLANK('Top60'!E8),"",'Top60'!E8)</f>
        <v> Billed 3/20/18</v>
      </c>
      <c r="N28" s="51"/>
      <c r="O28" s="51"/>
      <c r="P28" s="51"/>
      <c r="Q28" s="48"/>
      <c r="R28" s="48"/>
      <c r="S28" s="48"/>
      <c r="T28" s="48"/>
      <c r="U28" s="49"/>
      <c r="V28" s="50" t="str">
        <f>IF(ISBLANK('Top60'!F8),"",'Top60'!F8)</f>
        <v>Receiving needs to be completed</v>
      </c>
      <c r="W28" s="51"/>
      <c r="X28" s="51"/>
      <c r="Y28" s="52"/>
      <c r="Z28" s="52"/>
      <c r="AA28" s="52"/>
      <c r="AB28" s="52"/>
      <c r="AC28" s="53"/>
      <c r="AD28" s="50" t="str">
        <f>'Top60'!G8</f>
        <v>KHALLAN</v>
      </c>
      <c r="AE28" s="52"/>
      <c r="AF28" s="53"/>
      <c r="AG28" s="54">
        <f>'Top60'!H8</f>
        <v>2378.5500000000002</v>
      </c>
      <c r="AH28" s="55"/>
    </row>
    <row r="29" spans="1:36" ht="15" customHeight="1" x14ac:dyDescent="0.25">
      <c r="A29" s="17">
        <f t="shared" si="0"/>
        <v>7</v>
      </c>
      <c r="B29" s="17"/>
      <c r="C29" s="17"/>
      <c r="D29" s="45" t="str">
        <f>'Top60'!B9</f>
        <v>1-1975506681</v>
      </c>
      <c r="E29" s="45"/>
      <c r="F29" s="45">
        <f>'Top60'!C9</f>
        <v>7067797</v>
      </c>
      <c r="G29" s="45"/>
      <c r="H29" s="46" t="str">
        <f>IF(ISBLANK('Top60'!D9),"",'Top60'!D9)</f>
        <v>PO Received</v>
      </c>
      <c r="I29" s="47"/>
      <c r="J29" s="48"/>
      <c r="K29" s="48"/>
      <c r="L29" s="49"/>
      <c r="M29" s="50" t="str">
        <f>IF(ISBLANK('Top60'!E9),"",'Top60'!E9)</f>
        <v> Billed 3/20/18</v>
      </c>
      <c r="N29" s="51"/>
      <c r="O29" s="51"/>
      <c r="P29" s="51"/>
      <c r="Q29" s="48"/>
      <c r="R29" s="48"/>
      <c r="S29" s="48"/>
      <c r="T29" s="48"/>
      <c r="U29" s="49"/>
      <c r="V29" s="50" t="str">
        <f>IF(ISBLANK('Top60'!F9),"",'Top60'!F9)</f>
        <v>Receiving needs to be completed</v>
      </c>
      <c r="W29" s="51"/>
      <c r="X29" s="51"/>
      <c r="Y29" s="52"/>
      <c r="Z29" s="52"/>
      <c r="AA29" s="52"/>
      <c r="AB29" s="52"/>
      <c r="AC29" s="53"/>
      <c r="AD29" s="50" t="str">
        <f>'Top60'!G9</f>
        <v>KKUJAWA</v>
      </c>
      <c r="AE29" s="52"/>
      <c r="AF29" s="53"/>
      <c r="AG29" s="54">
        <f>'Top60'!H9</f>
        <v>2180.92</v>
      </c>
      <c r="AH29" s="55"/>
    </row>
    <row r="30" spans="1:36" ht="15" customHeight="1" x14ac:dyDescent="0.25">
      <c r="A30" s="17">
        <f t="shared" si="0"/>
        <v>8</v>
      </c>
      <c r="B30" s="17"/>
      <c r="C30" s="17"/>
      <c r="D30" s="45" t="str">
        <f>'Top60'!B10</f>
        <v>1-3202425491</v>
      </c>
      <c r="E30" s="45"/>
      <c r="F30" s="45">
        <f>'Top60'!C10</f>
        <v>11441018</v>
      </c>
      <c r="G30" s="45"/>
      <c r="H30" s="46" t="str">
        <f>IF(ISBLANK('Top60'!D10),"",'Top60'!D10)</f>
        <v/>
      </c>
      <c r="I30" s="47"/>
      <c r="J30" s="48"/>
      <c r="K30" s="48"/>
      <c r="L30" s="49"/>
      <c r="M30" s="50" t="str">
        <f>IF(ISBLANK('Top60'!E10),"",'Top60'!E10)</f>
        <v/>
      </c>
      <c r="N30" s="51"/>
      <c r="O30" s="51"/>
      <c r="P30" s="51"/>
      <c r="Q30" s="48"/>
      <c r="R30" s="48"/>
      <c r="S30" s="48"/>
      <c r="T30" s="48"/>
      <c r="U30" s="49"/>
      <c r="V30" s="50" t="str">
        <f>IF(ISBLANK('Top60'!F10),"",'Top60'!F10)</f>
        <v>Need number</v>
      </c>
      <c r="W30" s="51"/>
      <c r="X30" s="51"/>
      <c r="Y30" s="52"/>
      <c r="Z30" s="52"/>
      <c r="AA30" s="52"/>
      <c r="AB30" s="52"/>
      <c r="AC30" s="53"/>
      <c r="AD30" s="50" t="str">
        <f>'Top60'!G10</f>
        <v>AMIKLAS</v>
      </c>
      <c r="AE30" s="52"/>
      <c r="AF30" s="53"/>
      <c r="AG30" s="54">
        <f>'Top60'!H10</f>
        <v>2129.81</v>
      </c>
      <c r="AH30" s="55"/>
    </row>
    <row r="31" spans="1:36" ht="15" customHeight="1" x14ac:dyDescent="0.25">
      <c r="A31" s="17">
        <f t="shared" si="0"/>
        <v>9</v>
      </c>
      <c r="B31" s="17"/>
      <c r="C31" s="17"/>
      <c r="D31" s="45" t="str">
        <f>'Top60'!B11</f>
        <v>1-2434164591</v>
      </c>
      <c r="E31" s="45"/>
      <c r="F31" s="45">
        <f>'Top60'!C11</f>
        <v>8848842</v>
      </c>
      <c r="G31" s="45"/>
      <c r="H31" s="46" t="str">
        <f>IF(ISBLANK('Top60'!D11),"",'Top60'!D11)</f>
        <v>Capital</v>
      </c>
      <c r="I31" s="47"/>
      <c r="J31" s="48"/>
      <c r="K31" s="48"/>
      <c r="L31" s="49"/>
      <c r="M31" s="50" t="str">
        <f>IF(ISBLANK('Top60'!E11),"",'Top60'!E11)</f>
        <v> (I) Existing Invoice On Wt 3/20/18</v>
      </c>
      <c r="N31" s="51"/>
      <c r="O31" s="51"/>
      <c r="P31" s="51"/>
      <c r="Q31" s="48"/>
      <c r="R31" s="48"/>
      <c r="S31" s="48"/>
      <c r="T31" s="48"/>
      <c r="U31" s="49"/>
      <c r="V31" s="50" t="str">
        <f>IF(ISBLANK('Top60'!F11),"",'Top60'!F11)</f>
        <v>Rejected</v>
      </c>
      <c r="W31" s="51"/>
      <c r="X31" s="51"/>
      <c r="Y31" s="52"/>
      <c r="Z31" s="52"/>
      <c r="AA31" s="52"/>
      <c r="AB31" s="52"/>
      <c r="AC31" s="53"/>
      <c r="AD31" s="50" t="str">
        <f>'Top60'!G11</f>
        <v>SWAGGENER</v>
      </c>
      <c r="AE31" s="52"/>
      <c r="AF31" s="53"/>
      <c r="AG31" s="54">
        <f>'Top60'!H11</f>
        <v>1940.77</v>
      </c>
      <c r="AH31" s="55"/>
    </row>
    <row r="32" spans="1:36" ht="15" customHeight="1" x14ac:dyDescent="0.25">
      <c r="A32" s="17">
        <f t="shared" si="0"/>
        <v>10</v>
      </c>
      <c r="B32" s="17"/>
      <c r="C32" s="17"/>
      <c r="D32" s="45" t="str">
        <f>'Top60'!B12</f>
        <v>1-3099398690</v>
      </c>
      <c r="E32" s="45"/>
      <c r="F32" s="45">
        <f>'Top60'!C12</f>
        <v>11251070</v>
      </c>
      <c r="G32" s="45"/>
      <c r="H32" s="46" t="str">
        <f>IF(ISBLANK('Top60'!D12),"",'Top60'!D12)</f>
        <v/>
      </c>
      <c r="I32" s="47"/>
      <c r="J32" s="48"/>
      <c r="K32" s="48"/>
      <c r="L32" s="49"/>
      <c r="M32" s="50" t="str">
        <f>IF(ISBLANK('Top60'!E12),"",'Top60'!E12)</f>
        <v> Safeway</v>
      </c>
      <c r="N32" s="51"/>
      <c r="O32" s="51"/>
      <c r="P32" s="51"/>
      <c r="Q32" s="48"/>
      <c r="R32" s="48"/>
      <c r="S32" s="48"/>
      <c r="T32" s="48"/>
      <c r="U32" s="49"/>
      <c r="V32" s="50" t="str">
        <f>IF(ISBLANK('Top60'!F12),"",'Top60'!F12)</f>
        <v/>
      </c>
      <c r="W32" s="51"/>
      <c r="X32" s="51"/>
      <c r="Y32" s="52"/>
      <c r="Z32" s="52"/>
      <c r="AA32" s="52"/>
      <c r="AB32" s="52"/>
      <c r="AC32" s="53"/>
      <c r="AD32" s="50" t="str">
        <f>'Top60'!G12</f>
        <v>SWAGGENER</v>
      </c>
      <c r="AE32" s="52"/>
      <c r="AF32" s="53"/>
      <c r="AG32" s="54">
        <f>'Top60'!H12</f>
        <v>1881.93</v>
      </c>
      <c r="AH32" s="55"/>
    </row>
    <row r="33" spans="1:34" ht="15" customHeight="1" x14ac:dyDescent="0.25">
      <c r="A33" s="17">
        <f t="shared" si="0"/>
        <v>11</v>
      </c>
      <c r="B33" s="17"/>
      <c r="C33" s="17"/>
      <c r="D33" s="45" t="str">
        <f>'Top60'!B13</f>
        <v>1-3204574506</v>
      </c>
      <c r="E33" s="45"/>
      <c r="F33" s="45">
        <f>'Top60'!C13</f>
        <v>11240636</v>
      </c>
      <c r="G33" s="45"/>
      <c r="H33" s="46" t="str">
        <f>IF(ISBLANK('Top60'!D13),"",'Top60'!D13)</f>
        <v/>
      </c>
      <c r="I33" s="47"/>
      <c r="J33" s="48"/>
      <c r="K33" s="48"/>
      <c r="L33" s="49"/>
      <c r="M33" s="50" t="str">
        <f>IF(ISBLANK('Top60'!E13),"",'Top60'!E13)</f>
        <v> Safeway</v>
      </c>
      <c r="N33" s="51"/>
      <c r="O33" s="51"/>
      <c r="P33" s="51"/>
      <c r="Q33" s="48"/>
      <c r="R33" s="48"/>
      <c r="S33" s="48"/>
      <c r="T33" s="48"/>
      <c r="U33" s="49"/>
      <c r="V33" s="50" t="str">
        <f>IF(ISBLANK('Top60'!F13),"",'Top60'!F13)</f>
        <v/>
      </c>
      <c r="W33" s="51"/>
      <c r="X33" s="51"/>
      <c r="Y33" s="52"/>
      <c r="Z33" s="52"/>
      <c r="AA33" s="52"/>
      <c r="AB33" s="52"/>
      <c r="AC33" s="53"/>
      <c r="AD33" s="50" t="str">
        <f>'Top60'!G13</f>
        <v>AMIKLAS</v>
      </c>
      <c r="AE33" s="52"/>
      <c r="AF33" s="53"/>
      <c r="AG33" s="54">
        <f>'Top60'!H13</f>
        <v>1745.64</v>
      </c>
      <c r="AH33" s="55"/>
    </row>
    <row r="34" spans="1:34" ht="15" customHeight="1" x14ac:dyDescent="0.25">
      <c r="A34" s="17">
        <f t="shared" si="0"/>
        <v>12</v>
      </c>
      <c r="B34" s="17"/>
      <c r="C34" s="17"/>
      <c r="D34" s="45" t="str">
        <f>'Top60'!B14</f>
        <v>1-3292904071</v>
      </c>
      <c r="E34" s="45"/>
      <c r="F34" s="45">
        <f>'Top60'!C14</f>
        <v>11407255</v>
      </c>
      <c r="G34" s="45"/>
      <c r="H34" s="46" t="str">
        <f>IF(ISBLANK('Top60'!D14),"",'Top60'!D14)</f>
        <v>Contact FSM</v>
      </c>
      <c r="I34" s="47"/>
      <c r="J34" s="48"/>
      <c r="K34" s="48"/>
      <c r="L34" s="49"/>
      <c r="M34" s="50" t="str">
        <f>IF(ISBLANK('Top60'!E14),"",'Top60'!E14)</f>
        <v/>
      </c>
      <c r="N34" s="51"/>
      <c r="O34" s="51"/>
      <c r="P34" s="51"/>
      <c r="Q34" s="48"/>
      <c r="R34" s="48"/>
      <c r="S34" s="48"/>
      <c r="T34" s="48"/>
      <c r="U34" s="49"/>
      <c r="V34" s="50" t="str">
        <f>IF(ISBLANK('Top60'!F14),"",'Top60'!F14)</f>
        <v>Rejected</v>
      </c>
      <c r="W34" s="51"/>
      <c r="X34" s="51"/>
      <c r="Y34" s="52"/>
      <c r="Z34" s="52"/>
      <c r="AA34" s="52"/>
      <c r="AB34" s="52"/>
      <c r="AC34" s="53"/>
      <c r="AD34" s="50" t="str">
        <f>'Top60'!G14</f>
        <v>JSIMPSON</v>
      </c>
      <c r="AE34" s="52"/>
      <c r="AF34" s="53"/>
      <c r="AG34" s="54">
        <f>'Top60'!H14</f>
        <v>1725.07</v>
      </c>
      <c r="AH34" s="55"/>
    </row>
    <row r="35" spans="1:34" x14ac:dyDescent="0.25">
      <c r="A35" s="17">
        <f t="shared" si="0"/>
        <v>13</v>
      </c>
      <c r="B35" s="17"/>
      <c r="C35" s="17"/>
      <c r="D35" s="45" t="str">
        <f>'Top60'!B15</f>
        <v>1-1742536146</v>
      </c>
      <c r="E35" s="45"/>
      <c r="F35" s="45">
        <f>'Top60'!C15</f>
        <v>6407807</v>
      </c>
      <c r="G35" s="45"/>
      <c r="H35" s="46" t="str">
        <f>IF(ISBLANK('Top60'!D15),"",'Top60'!D15)</f>
        <v>Sent flat file</v>
      </c>
      <c r="I35" s="47"/>
      <c r="J35" s="48"/>
      <c r="K35" s="48"/>
      <c r="L35" s="49"/>
      <c r="M35" s="50" t="str">
        <f>IF(ISBLANK('Top60'!E15),"",'Top60'!E15)</f>
        <v> Billed 3/20/18</v>
      </c>
      <c r="N35" s="51"/>
      <c r="O35" s="51"/>
      <c r="P35" s="51"/>
      <c r="Q35" s="48"/>
      <c r="R35" s="48"/>
      <c r="S35" s="48"/>
      <c r="T35" s="48"/>
      <c r="U35" s="49"/>
      <c r="V35" s="50" t="str">
        <f>IF(ISBLANK('Top60'!F15),"",'Top60'!F15)</f>
        <v>Approval is required from the buyer/requestor for processing</v>
      </c>
      <c r="W35" s="51"/>
      <c r="X35" s="51"/>
      <c r="Y35" s="52"/>
      <c r="Z35" s="52"/>
      <c r="AA35" s="52"/>
      <c r="AB35" s="52"/>
      <c r="AC35" s="53"/>
      <c r="AD35" s="50" t="str">
        <f>'Top60'!G15</f>
        <v>JSNELL</v>
      </c>
      <c r="AE35" s="52"/>
      <c r="AF35" s="53"/>
      <c r="AG35" s="54">
        <f>'Top60'!H15</f>
        <v>1703.55</v>
      </c>
      <c r="AH35" s="55"/>
    </row>
    <row r="36" spans="1:34" ht="15" customHeight="1" x14ac:dyDescent="0.25">
      <c r="A36" s="17">
        <f t="shared" si="0"/>
        <v>14</v>
      </c>
      <c r="B36" s="17"/>
      <c r="C36" s="17"/>
      <c r="D36" s="45" t="str">
        <f>'Top60'!B16</f>
        <v>1-2945218920</v>
      </c>
      <c r="E36" s="45"/>
      <c r="F36" s="45">
        <f>'Top60'!C16</f>
        <v>10696363</v>
      </c>
      <c r="G36" s="45"/>
      <c r="H36" s="46" t="str">
        <f>IF(ISBLANK('Top60'!D16),"",'Top60'!D16)</f>
        <v>Need WT #</v>
      </c>
      <c r="I36" s="47"/>
      <c r="J36" s="48"/>
      <c r="K36" s="48"/>
      <c r="L36" s="49"/>
      <c r="M36" s="50" t="str">
        <f>IF(ISBLANK('Top60'!E16),"",'Top60'!E16)</f>
        <v> No Wo #</v>
      </c>
      <c r="N36" s="51"/>
      <c r="O36" s="51"/>
      <c r="P36" s="51"/>
      <c r="Q36" s="48"/>
      <c r="R36" s="48"/>
      <c r="S36" s="48"/>
      <c r="T36" s="48"/>
      <c r="U36" s="49"/>
      <c r="V36" s="50" t="str">
        <f>IF(ISBLANK('Top60'!F16),"",'Top60'!F16)</f>
        <v>Invalid Compass WT</v>
      </c>
      <c r="W36" s="51"/>
      <c r="X36" s="51"/>
      <c r="Y36" s="52"/>
      <c r="Z36" s="52"/>
      <c r="AA36" s="52"/>
      <c r="AB36" s="52"/>
      <c r="AC36" s="53"/>
      <c r="AD36" s="50" t="str">
        <f>'Top60'!G16</f>
        <v>LELIZALDE</v>
      </c>
      <c r="AE36" s="52"/>
      <c r="AF36" s="53"/>
      <c r="AG36" s="54">
        <f>'Top60'!H16</f>
        <v>1660</v>
      </c>
      <c r="AH36" s="55"/>
    </row>
    <row r="37" spans="1:34" ht="15" customHeight="1" x14ac:dyDescent="0.25">
      <c r="A37" s="17">
        <f t="shared" si="0"/>
        <v>15</v>
      </c>
      <c r="B37" s="17"/>
      <c r="C37" s="17"/>
      <c r="D37" s="45" t="str">
        <f>'Top60'!B17</f>
        <v>1-2436470201</v>
      </c>
      <c r="E37" s="45"/>
      <c r="F37" s="45">
        <f>'Top60'!C17</f>
        <v>8840844</v>
      </c>
      <c r="G37" s="45"/>
      <c r="H37" s="46" t="str">
        <f>IF(ISBLANK('Top60'!D17),"",'Top60'!D17)</f>
        <v>Capital</v>
      </c>
      <c r="I37" s="47"/>
      <c r="J37" s="48"/>
      <c r="K37" s="48"/>
      <c r="L37" s="49"/>
      <c r="M37" s="50" t="str">
        <f>IF(ISBLANK('Top60'!E17),"",'Top60'!E17)</f>
        <v> (I) Existing Invoice On Wt 3/20/18</v>
      </c>
      <c r="N37" s="51"/>
      <c r="O37" s="51"/>
      <c r="P37" s="51"/>
      <c r="Q37" s="48"/>
      <c r="R37" s="48"/>
      <c r="S37" s="48"/>
      <c r="T37" s="48"/>
      <c r="U37" s="49"/>
      <c r="V37" s="50" t="str">
        <f>IF(ISBLANK('Top60'!F17),"",'Top60'!F17)</f>
        <v>Rejected</v>
      </c>
      <c r="W37" s="51"/>
      <c r="X37" s="51"/>
      <c r="Y37" s="52"/>
      <c r="Z37" s="52"/>
      <c r="AA37" s="52"/>
      <c r="AB37" s="52"/>
      <c r="AC37" s="53"/>
      <c r="AD37" s="50" t="str">
        <f>'Top60'!G17</f>
        <v>SWAGGENER</v>
      </c>
      <c r="AE37" s="52"/>
      <c r="AF37" s="53"/>
      <c r="AG37" s="54">
        <f>'Top60'!H17</f>
        <v>1648.82</v>
      </c>
      <c r="AH37" s="55"/>
    </row>
    <row r="38" spans="1:34" ht="15" customHeight="1" x14ac:dyDescent="0.25">
      <c r="A38" s="17">
        <f t="shared" si="0"/>
        <v>16</v>
      </c>
      <c r="B38" s="17"/>
      <c r="C38" s="17"/>
      <c r="D38" s="45" t="str">
        <f>'Top60'!B18</f>
        <v>1-3103638882</v>
      </c>
      <c r="E38" s="45"/>
      <c r="F38" s="45">
        <f>'Top60'!C18</f>
        <v>11138384</v>
      </c>
      <c r="G38" s="45"/>
      <c r="H38" s="46" t="str">
        <f>IF(ISBLANK('Top60'!D18),"",'Top60'!D18)</f>
        <v>Credit Memo Needed</v>
      </c>
      <c r="I38" s="47"/>
      <c r="J38" s="48"/>
      <c r="K38" s="48"/>
      <c r="L38" s="49"/>
      <c r="M38" s="50" t="str">
        <f>IF(ISBLANK('Top60'!E18),"",'Top60'!E18)</f>
        <v>  </v>
      </c>
      <c r="N38" s="51"/>
      <c r="O38" s="51"/>
      <c r="P38" s="51"/>
      <c r="Q38" s="48"/>
      <c r="R38" s="48"/>
      <c r="S38" s="48"/>
      <c r="T38" s="48"/>
      <c r="U38" s="49"/>
      <c r="V38" s="50" t="str">
        <f>IF(ISBLANK('Top60'!F18),"",'Top60'!F18)</f>
        <v/>
      </c>
      <c r="W38" s="51"/>
      <c r="X38" s="51"/>
      <c r="Y38" s="52"/>
      <c r="Z38" s="52"/>
      <c r="AA38" s="52"/>
      <c r="AB38" s="52"/>
      <c r="AC38" s="53"/>
      <c r="AD38" s="50" t="str">
        <f>'Top60'!G18</f>
        <v>JSIMPSON</v>
      </c>
      <c r="AE38" s="52"/>
      <c r="AF38" s="53"/>
      <c r="AG38" s="54">
        <f>'Top60'!H18</f>
        <v>1530.7</v>
      </c>
      <c r="AH38" s="55"/>
    </row>
    <row r="39" spans="1:34" ht="15" customHeight="1" x14ac:dyDescent="0.25">
      <c r="A39" s="17">
        <f t="shared" si="0"/>
        <v>17</v>
      </c>
      <c r="B39" s="17"/>
      <c r="C39" s="17"/>
      <c r="D39" s="45" t="str">
        <f>'Top60'!B19</f>
        <v>1-2593972254</v>
      </c>
      <c r="E39" s="45"/>
      <c r="F39" s="45">
        <f>'Top60'!C19</f>
        <v>10066452</v>
      </c>
      <c r="G39" s="45"/>
      <c r="H39" s="46" t="str">
        <f>IF(ISBLANK('Top60'!D19),"",'Top60'!D19)</f>
        <v>Paid</v>
      </c>
      <c r="I39" s="47"/>
      <c r="J39" s="48"/>
      <c r="K39" s="48"/>
      <c r="L39" s="49"/>
      <c r="M39" s="50" t="str">
        <f>IF(ISBLANK('Top60'!E19),"",'Top60'!E19)</f>
        <v> Billed 3/20/18</v>
      </c>
      <c r="N39" s="51"/>
      <c r="O39" s="51"/>
      <c r="P39" s="51"/>
      <c r="Q39" s="48"/>
      <c r="R39" s="48"/>
      <c r="S39" s="48"/>
      <c r="T39" s="48"/>
      <c r="U39" s="49"/>
      <c r="V39" s="50" t="str">
        <f>IF(ISBLANK('Top60'!F19),"",'Top60'!F19)</f>
        <v/>
      </c>
      <c r="W39" s="51"/>
      <c r="X39" s="51"/>
      <c r="Y39" s="52"/>
      <c r="Z39" s="52"/>
      <c r="AA39" s="52"/>
      <c r="AB39" s="52"/>
      <c r="AC39" s="53"/>
      <c r="AD39" s="50" t="str">
        <f>'Top60'!G19</f>
        <v>JSIMPSON</v>
      </c>
      <c r="AE39" s="52"/>
      <c r="AF39" s="53"/>
      <c r="AG39" s="54">
        <f>'Top60'!H19</f>
        <v>1335</v>
      </c>
      <c r="AH39" s="55"/>
    </row>
    <row r="40" spans="1:34" ht="15" customHeight="1" x14ac:dyDescent="0.25">
      <c r="A40" s="17">
        <f t="shared" si="0"/>
        <v>18</v>
      </c>
      <c r="B40" s="17"/>
      <c r="C40" s="17"/>
      <c r="D40" s="45" t="str">
        <f>'Top60'!B20</f>
        <v>1-1760975861</v>
      </c>
      <c r="E40" s="45"/>
      <c r="F40" s="45">
        <f>'Top60'!C20</f>
        <v>6862231</v>
      </c>
      <c r="G40" s="45"/>
      <c r="H40" s="46" t="str">
        <f>IF(ISBLANK('Top60'!D20),"",'Top60'!D20)</f>
        <v>Capital</v>
      </c>
      <c r="I40" s="47"/>
      <c r="J40" s="48"/>
      <c r="K40" s="48"/>
      <c r="L40" s="49"/>
      <c r="M40" s="50" t="str">
        <f>IF(ISBLANK('Top60'!E20),"",'Top60'!E20)</f>
        <v> (I) Existing Invoice On Wt 3/20/18</v>
      </c>
      <c r="N40" s="51"/>
      <c r="O40" s="51"/>
      <c r="P40" s="51"/>
      <c r="Q40" s="48"/>
      <c r="R40" s="48"/>
      <c r="S40" s="48"/>
      <c r="T40" s="48"/>
      <c r="U40" s="49"/>
      <c r="V40" s="50" t="str">
        <f>IF(ISBLANK('Top60'!F20),"",'Top60'!F20)</f>
        <v>Invalid Compass WT</v>
      </c>
      <c r="W40" s="51"/>
      <c r="X40" s="51"/>
      <c r="Y40" s="52"/>
      <c r="Z40" s="52"/>
      <c r="AA40" s="52"/>
      <c r="AB40" s="52"/>
      <c r="AC40" s="53"/>
      <c r="AD40" s="50" t="str">
        <f>'Top60'!G20</f>
        <v>JSNELL</v>
      </c>
      <c r="AE40" s="52"/>
      <c r="AF40" s="53"/>
      <c r="AG40" s="54">
        <f>'Top60'!H20</f>
        <v>1318.65</v>
      </c>
      <c r="AH40" s="55"/>
    </row>
    <row r="41" spans="1:34" ht="15" customHeight="1" x14ac:dyDescent="0.25">
      <c r="A41" s="17">
        <f t="shared" si="0"/>
        <v>19</v>
      </c>
      <c r="B41" s="17"/>
      <c r="C41" s="17"/>
      <c r="D41" s="45" t="str">
        <f>'Top60'!B21</f>
        <v>1-3127952381</v>
      </c>
      <c r="E41" s="45"/>
      <c r="F41" s="45">
        <f>'Top60'!C21</f>
        <v>11413222</v>
      </c>
      <c r="G41" s="45"/>
      <c r="H41" s="46" t="str">
        <f>IF(ISBLANK('Top60'!D21),"",'Top60'!D21)</f>
        <v/>
      </c>
      <c r="I41" s="47"/>
      <c r="J41" s="48"/>
      <c r="K41" s="48"/>
      <c r="L41" s="49"/>
      <c r="M41" s="50" t="str">
        <f>IF(ISBLANK('Top60'!E21),"",'Top60'!E21)</f>
        <v/>
      </c>
      <c r="N41" s="51"/>
      <c r="O41" s="51"/>
      <c r="P41" s="51"/>
      <c r="Q41" s="48"/>
      <c r="R41" s="48"/>
      <c r="S41" s="48"/>
      <c r="T41" s="48"/>
      <c r="U41" s="49"/>
      <c r="V41" s="50" t="str">
        <f>IF(ISBLANK('Top60'!F21),"",'Top60'!F21)</f>
        <v>Pending FSM Approval</v>
      </c>
      <c r="W41" s="51"/>
      <c r="X41" s="51"/>
      <c r="Y41" s="52"/>
      <c r="Z41" s="52"/>
      <c r="AA41" s="52"/>
      <c r="AB41" s="52"/>
      <c r="AC41" s="53"/>
      <c r="AD41" s="50" t="str">
        <f>'Top60'!G21</f>
        <v>SWAGGENER</v>
      </c>
      <c r="AE41" s="52"/>
      <c r="AF41" s="53"/>
      <c r="AG41" s="54">
        <f>'Top60'!H21</f>
        <v>1282.08</v>
      </c>
      <c r="AH41" s="55"/>
    </row>
    <row r="42" spans="1:34" ht="15" customHeight="1" x14ac:dyDescent="0.25">
      <c r="A42" s="17">
        <f t="shared" si="0"/>
        <v>20</v>
      </c>
      <c r="B42" s="17"/>
      <c r="C42" s="17"/>
      <c r="D42" s="45" t="str">
        <f>'Top60'!B22</f>
        <v>1-1926375511</v>
      </c>
      <c r="E42" s="45"/>
      <c r="F42" s="45">
        <f>'Top60'!C22</f>
        <v>6874121</v>
      </c>
      <c r="G42" s="45"/>
      <c r="H42" s="46" t="str">
        <f>IF(ISBLANK('Top60'!D22),"",'Top60'!D22)</f>
        <v>Team Lead Review</v>
      </c>
      <c r="I42" s="47"/>
      <c r="J42" s="48"/>
      <c r="K42" s="48"/>
      <c r="L42" s="49"/>
      <c r="M42" s="50" t="str">
        <f>IF(ISBLANK('Top60'!E22),"",'Top60'!E22)</f>
        <v>  </v>
      </c>
      <c r="N42" s="51"/>
      <c r="O42" s="51"/>
      <c r="P42" s="51"/>
      <c r="Q42" s="48"/>
      <c r="R42" s="48"/>
      <c r="S42" s="48"/>
      <c r="T42" s="48"/>
      <c r="U42" s="49"/>
      <c r="V42" s="50" t="str">
        <f>IF(ISBLANK('Top60'!F22),"",'Top60'!F22)</f>
        <v/>
      </c>
      <c r="W42" s="51"/>
      <c r="X42" s="51"/>
      <c r="Y42" s="52"/>
      <c r="Z42" s="52"/>
      <c r="AA42" s="52"/>
      <c r="AB42" s="52"/>
      <c r="AC42" s="53"/>
      <c r="AD42" s="50" t="str">
        <f>'Top60'!G22</f>
        <v>NMORSE</v>
      </c>
      <c r="AE42" s="52"/>
      <c r="AF42" s="53"/>
      <c r="AG42" s="54">
        <f>'Top60'!H22</f>
        <v>1281.1300000000001</v>
      </c>
      <c r="AH42" s="55"/>
    </row>
    <row r="43" spans="1:34" ht="15" customHeight="1" x14ac:dyDescent="0.25">
      <c r="A43" s="17">
        <f t="shared" si="0"/>
        <v>21</v>
      </c>
      <c r="D43" s="45" t="str">
        <f>'Top60'!B23</f>
        <v>1-2725690150</v>
      </c>
      <c r="E43" s="45"/>
      <c r="F43" s="45">
        <f>'Top60'!C23</f>
        <v>10925150</v>
      </c>
      <c r="G43" s="45"/>
      <c r="H43" s="46" t="str">
        <f>IF(ISBLANK('Top60'!D23),"",'Top60'!D23)</f>
        <v>Contact FSM</v>
      </c>
      <c r="I43" s="47"/>
      <c r="J43" s="48"/>
      <c r="K43" s="48"/>
      <c r="L43" s="49"/>
      <c r="M43" s="50" t="str">
        <f>IF(ISBLANK('Top60'!E23),"",'Top60'!E23)</f>
        <v>  </v>
      </c>
      <c r="N43" s="51"/>
      <c r="O43" s="51"/>
      <c r="P43" s="51"/>
      <c r="Q43" s="48"/>
      <c r="R43" s="48"/>
      <c r="S43" s="48"/>
      <c r="T43" s="48"/>
      <c r="U43" s="49"/>
      <c r="V43" s="50" t="str">
        <f>IF(ISBLANK('Top60'!F23),"",'Top60'!F23)</f>
        <v>Previously invoiced with a different number</v>
      </c>
      <c r="W43" s="51"/>
      <c r="X43" s="51"/>
      <c r="Y43" s="52"/>
      <c r="Z43" s="52"/>
      <c r="AA43" s="52"/>
      <c r="AB43" s="52"/>
      <c r="AC43" s="53"/>
      <c r="AD43" s="50" t="str">
        <f>'Top60'!G23</f>
        <v>AMIKLAS</v>
      </c>
      <c r="AE43" s="52"/>
      <c r="AF43" s="53"/>
      <c r="AG43" s="54">
        <f>'Top60'!H23</f>
        <v>1252.03</v>
      </c>
      <c r="AH43" s="55"/>
    </row>
    <row r="44" spans="1:34" ht="15" customHeight="1" x14ac:dyDescent="0.25">
      <c r="A44" s="17">
        <f t="shared" si="0"/>
        <v>22</v>
      </c>
      <c r="D44" s="45" t="str">
        <f>'Top60'!B24</f>
        <v>1-2854634800</v>
      </c>
      <c r="E44" s="45"/>
      <c r="F44" s="45">
        <f>'Top60'!C24</f>
        <v>10334390</v>
      </c>
      <c r="G44" s="45"/>
      <c r="H44" s="46" t="str">
        <f>IF(ISBLANK('Top60'!D24),"",'Top60'!D24)</f>
        <v>Credit Memo Needed</v>
      </c>
      <c r="I44" s="47"/>
      <c r="J44" s="48"/>
      <c r="K44" s="48"/>
      <c r="L44" s="49"/>
      <c r="M44" s="50" t="str">
        <f>IF(ISBLANK('Top60'!E24),"",'Top60'!E24)</f>
        <v>  </v>
      </c>
      <c r="N44" s="51"/>
      <c r="O44" s="51"/>
      <c r="P44" s="51"/>
      <c r="Q44" s="48"/>
      <c r="R44" s="48"/>
      <c r="S44" s="48"/>
      <c r="T44" s="48"/>
      <c r="U44" s="49"/>
      <c r="V44" s="50" t="str">
        <f>IF(ISBLANK('Top60'!F24),"",'Top60'!F24)</f>
        <v>16055351R No Flex</v>
      </c>
      <c r="W44" s="51"/>
      <c r="X44" s="51"/>
      <c r="Y44" s="52"/>
      <c r="Z44" s="52"/>
      <c r="AA44" s="52"/>
      <c r="AB44" s="52"/>
      <c r="AC44" s="53"/>
      <c r="AD44" s="50" t="str">
        <f>'Top60'!G24</f>
        <v>AMIKLAS</v>
      </c>
      <c r="AE44" s="52"/>
      <c r="AF44" s="53"/>
      <c r="AG44" s="54">
        <f>'Top60'!H24</f>
        <v>1180.81</v>
      </c>
      <c r="AH44" s="55"/>
    </row>
    <row r="45" spans="1:34" x14ac:dyDescent="0.25">
      <c r="A45" s="17">
        <f t="shared" si="0"/>
        <v>23</v>
      </c>
      <c r="D45" s="45" t="str">
        <f>'Top60'!B25</f>
        <v>1-3290292741</v>
      </c>
      <c r="E45" s="45"/>
      <c r="F45" s="45">
        <f>'Top60'!C25</f>
        <v>11419191</v>
      </c>
      <c r="G45" s="45"/>
      <c r="H45" s="46" t="str">
        <f>IF(ISBLANK('Top60'!D25),"",'Top60'!D25)</f>
        <v/>
      </c>
      <c r="I45" s="47"/>
      <c r="J45" s="48"/>
      <c r="K45" s="48"/>
      <c r="L45" s="49"/>
      <c r="M45" s="50" t="str">
        <f>IF(ISBLANK('Top60'!E25),"",'Top60'!E25)</f>
        <v/>
      </c>
      <c r="N45" s="51"/>
      <c r="O45" s="51"/>
      <c r="P45" s="51"/>
      <c r="Q45" s="48"/>
      <c r="R45" s="48"/>
      <c r="S45" s="48"/>
      <c r="T45" s="48"/>
      <c r="U45" s="49"/>
      <c r="V45" s="50" t="str">
        <f>IF(ISBLANK('Top60'!F25),"",'Top60'!F25)</f>
        <v>Complete WT and submit Invoice</v>
      </c>
      <c r="W45" s="51"/>
      <c r="X45" s="51"/>
      <c r="Y45" s="52"/>
      <c r="Z45" s="52"/>
      <c r="AA45" s="52"/>
      <c r="AB45" s="52"/>
      <c r="AC45" s="53"/>
      <c r="AD45" s="50" t="str">
        <f>'Top60'!G25</f>
        <v>JSNELL</v>
      </c>
      <c r="AE45" s="52"/>
      <c r="AF45" s="53"/>
      <c r="AG45" s="54">
        <f>'Top60'!H25</f>
        <v>1156.27</v>
      </c>
      <c r="AH45" s="55"/>
    </row>
    <row r="46" spans="1:34" ht="15" customHeight="1" x14ac:dyDescent="0.25">
      <c r="A46" s="17">
        <f t="shared" si="0"/>
        <v>24</v>
      </c>
      <c r="D46" s="45" t="str">
        <f>'Top60'!B26</f>
        <v>1-3286804033</v>
      </c>
      <c r="E46" s="45"/>
      <c r="F46" s="45">
        <f>'Top60'!C26</f>
        <v>11436245</v>
      </c>
      <c r="G46" s="45"/>
      <c r="H46" s="46" t="str">
        <f>IF(ISBLANK('Top60'!D26),"",'Top60'!D26)</f>
        <v/>
      </c>
      <c r="I46" s="47"/>
      <c r="J46" s="48"/>
      <c r="K46" s="48"/>
      <c r="L46" s="49"/>
      <c r="M46" s="50" t="str">
        <f>IF(ISBLANK('Top60'!E26),"",'Top60'!E26)</f>
        <v/>
      </c>
      <c r="N46" s="51"/>
      <c r="O46" s="51"/>
      <c r="P46" s="51"/>
      <c r="Q46" s="48"/>
      <c r="R46" s="48"/>
      <c r="S46" s="48"/>
      <c r="T46" s="48"/>
      <c r="U46" s="49"/>
      <c r="V46" s="50" t="str">
        <f>IF(ISBLANK('Top60'!F26),"",'Top60'!F26)</f>
        <v/>
      </c>
      <c r="W46" s="51"/>
      <c r="X46" s="51"/>
      <c r="Y46" s="52"/>
      <c r="Z46" s="52"/>
      <c r="AA46" s="52"/>
      <c r="AB46" s="52"/>
      <c r="AC46" s="53"/>
      <c r="AD46" s="50" t="str">
        <f>'Top60'!G26</f>
        <v>SWAGGENER</v>
      </c>
      <c r="AE46" s="52"/>
      <c r="AF46" s="53"/>
      <c r="AG46" s="54">
        <f>'Top60'!H26</f>
        <v>1126.4100000000001</v>
      </c>
      <c r="AH46" s="55"/>
    </row>
    <row r="47" spans="1:34" x14ac:dyDescent="0.25">
      <c r="A47" s="17">
        <f t="shared" si="0"/>
        <v>25</v>
      </c>
      <c r="D47" s="45" t="str">
        <f>'Top60'!B27</f>
        <v>1-3224925100</v>
      </c>
      <c r="E47" s="45"/>
      <c r="F47" s="45">
        <f>'Top60'!C27</f>
        <v>11409069</v>
      </c>
      <c r="G47" s="45"/>
      <c r="H47" s="46" t="str">
        <f>IF(ISBLANK('Top60'!D27),"",'Top60'!D27)</f>
        <v/>
      </c>
      <c r="I47" s="47"/>
      <c r="J47" s="48"/>
      <c r="K47" s="48"/>
      <c r="L47" s="49"/>
      <c r="M47" s="50" t="str">
        <f>IF(ISBLANK('Top60'!E27),"",'Top60'!E27)</f>
        <v/>
      </c>
      <c r="N47" s="51"/>
      <c r="O47" s="51"/>
      <c r="P47" s="51"/>
      <c r="Q47" s="48"/>
      <c r="R47" s="48"/>
      <c r="S47" s="48"/>
      <c r="T47" s="48"/>
      <c r="U47" s="49"/>
      <c r="V47" s="50" t="str">
        <f>IF(ISBLANK('Top60'!F27),"",'Top60'!F27)</f>
        <v>16589376a</v>
      </c>
      <c r="W47" s="51"/>
      <c r="X47" s="51"/>
      <c r="Y47" s="52"/>
      <c r="Z47" s="52"/>
      <c r="AA47" s="52"/>
      <c r="AB47" s="52"/>
      <c r="AC47" s="53"/>
      <c r="AD47" s="50" t="str">
        <f>'Top60'!G27</f>
        <v>JSNELL</v>
      </c>
      <c r="AE47" s="52"/>
      <c r="AF47" s="53"/>
      <c r="AG47" s="54">
        <f>'Top60'!H27</f>
        <v>1091.5</v>
      </c>
      <c r="AH47" s="55"/>
    </row>
    <row r="48" spans="1:34" x14ac:dyDescent="0.25">
      <c r="A48" s="17">
        <f t="shared" si="0"/>
        <v>26</v>
      </c>
      <c r="D48" s="45" t="str">
        <f>'Top60'!B28</f>
        <v>1-3281206284</v>
      </c>
      <c r="E48" s="45"/>
      <c r="F48" s="45">
        <f>'Top60'!C28</f>
        <v>11264973</v>
      </c>
      <c r="G48" s="45"/>
      <c r="H48" s="46" t="str">
        <f>IF(ISBLANK('Top60'!D28),"",'Top60'!D28)</f>
        <v/>
      </c>
      <c r="I48" s="47"/>
      <c r="J48" s="48"/>
      <c r="K48" s="48"/>
      <c r="L48" s="49"/>
      <c r="M48" s="50" t="str">
        <f>IF(ISBLANK('Top60'!E28),"",'Top60'!E28)</f>
        <v>  </v>
      </c>
      <c r="N48" s="51"/>
      <c r="O48" s="51"/>
      <c r="P48" s="51"/>
      <c r="Q48" s="48"/>
      <c r="R48" s="48"/>
      <c r="S48" s="48"/>
      <c r="T48" s="48"/>
      <c r="U48" s="49"/>
      <c r="V48" s="50" t="str">
        <f>IF(ISBLANK('Top60'!F28),"",'Top60'!F28)</f>
        <v/>
      </c>
      <c r="W48" s="51"/>
      <c r="X48" s="51"/>
      <c r="Y48" s="52"/>
      <c r="Z48" s="52"/>
      <c r="AA48" s="52"/>
      <c r="AB48" s="52"/>
      <c r="AC48" s="53"/>
      <c r="AD48" s="50" t="str">
        <f>'Top60'!G28</f>
        <v>SWAGGENER</v>
      </c>
      <c r="AE48" s="52"/>
      <c r="AF48" s="53"/>
      <c r="AG48" s="54">
        <f>'Top60'!H28</f>
        <v>1087.1400000000001</v>
      </c>
      <c r="AH48" s="55"/>
    </row>
    <row r="49" spans="1:34" ht="15" customHeight="1" x14ac:dyDescent="0.25">
      <c r="A49" s="17">
        <f t="shared" si="0"/>
        <v>27</v>
      </c>
      <c r="D49" s="45" t="str">
        <f>'Top60'!B29</f>
        <v>1-2612716402</v>
      </c>
      <c r="E49" s="45"/>
      <c r="F49" s="45">
        <f>'Top60'!C29</f>
        <v>11245277</v>
      </c>
      <c r="G49" s="45"/>
      <c r="H49" s="46" t="str">
        <f>IF(ISBLANK('Top60'!D29),"",'Top60'!D29)</f>
        <v/>
      </c>
      <c r="I49" s="47"/>
      <c r="J49" s="48"/>
      <c r="K49" s="48"/>
      <c r="L49" s="49"/>
      <c r="M49" s="50" t="str">
        <f>IF(ISBLANK('Top60'!E29),"",'Top60'!E29)</f>
        <v>  </v>
      </c>
      <c r="N49" s="51"/>
      <c r="O49" s="51"/>
      <c r="P49" s="51"/>
      <c r="Q49" s="48"/>
      <c r="R49" s="48"/>
      <c r="S49" s="48"/>
      <c r="T49" s="48"/>
      <c r="U49" s="49"/>
      <c r="V49" s="50" t="str">
        <f>IF(ISBLANK('Top60'!F29),"",'Top60'!F29)</f>
        <v>Receiving needs to be completed</v>
      </c>
      <c r="W49" s="51"/>
      <c r="X49" s="51"/>
      <c r="Y49" s="52"/>
      <c r="Z49" s="52"/>
      <c r="AA49" s="52"/>
      <c r="AB49" s="52"/>
      <c r="AC49" s="53"/>
      <c r="AD49" s="50" t="str">
        <f>'Top60'!G29</f>
        <v>KHALLAN</v>
      </c>
      <c r="AE49" s="52"/>
      <c r="AF49" s="53"/>
      <c r="AG49" s="54">
        <f>'Top60'!H29</f>
        <v>1061.5999999999999</v>
      </c>
      <c r="AH49" s="55"/>
    </row>
    <row r="50" spans="1:34" x14ac:dyDescent="0.25">
      <c r="A50" s="17">
        <f t="shared" si="0"/>
        <v>28</v>
      </c>
      <c r="D50" s="45" t="str">
        <f>'Top60'!B30</f>
        <v>1-2945218368</v>
      </c>
      <c r="E50" s="45"/>
      <c r="F50" s="45">
        <f>'Top60'!C30</f>
        <v>10900319</v>
      </c>
      <c r="G50" s="45"/>
      <c r="H50" s="46" t="str">
        <f>IF(ISBLANK('Top60'!D30),"",'Top60'!D30)</f>
        <v>Credit Memo Needed</v>
      </c>
      <c r="I50" s="47"/>
      <c r="J50" s="48"/>
      <c r="K50" s="48"/>
      <c r="L50" s="49"/>
      <c r="M50" s="50" t="str">
        <f>IF(ISBLANK('Top60'!E30),"",'Top60'!E30)</f>
        <v>  </v>
      </c>
      <c r="N50" s="51"/>
      <c r="O50" s="51"/>
      <c r="P50" s="51"/>
      <c r="Q50" s="48"/>
      <c r="R50" s="48"/>
      <c r="S50" s="48"/>
      <c r="T50" s="48"/>
      <c r="U50" s="49"/>
      <c r="V50" s="50" t="str">
        <f>IF(ISBLANK('Top60'!F30),"",'Top60'!F30)</f>
        <v/>
      </c>
      <c r="W50" s="51"/>
      <c r="X50" s="51"/>
      <c r="Y50" s="52"/>
      <c r="Z50" s="52"/>
      <c r="AA50" s="52"/>
      <c r="AB50" s="52"/>
      <c r="AC50" s="53"/>
      <c r="AD50" s="50" t="str">
        <f>'Top60'!G30</f>
        <v>JSIMPSON</v>
      </c>
      <c r="AE50" s="52"/>
      <c r="AF50" s="53"/>
      <c r="AG50" s="54">
        <f>'Top60'!H30</f>
        <v>1048.5999999999999</v>
      </c>
      <c r="AH50" s="55"/>
    </row>
    <row r="51" spans="1:34" x14ac:dyDescent="0.25">
      <c r="A51" s="17">
        <f t="shared" si="0"/>
        <v>29</v>
      </c>
      <c r="D51" s="45" t="str">
        <f>'Top60'!B31</f>
        <v>1-3215553942</v>
      </c>
      <c r="E51" s="45"/>
      <c r="F51" s="45">
        <f>'Top60'!C31</f>
        <v>11332995</v>
      </c>
      <c r="G51" s="45"/>
      <c r="H51" s="46" t="str">
        <f>IF(ISBLANK('Top60'!D31),"",'Top60'!D31)</f>
        <v>Team Lead Review</v>
      </c>
      <c r="I51" s="47"/>
      <c r="J51" s="48"/>
      <c r="K51" s="48"/>
      <c r="L51" s="49"/>
      <c r="M51" s="50" t="str">
        <f>IF(ISBLANK('Top60'!E31),"",'Top60'!E31)</f>
        <v/>
      </c>
      <c r="N51" s="51"/>
      <c r="O51" s="51"/>
      <c r="P51" s="51"/>
      <c r="Q51" s="48"/>
      <c r="R51" s="48"/>
      <c r="S51" s="48"/>
      <c r="T51" s="48"/>
      <c r="U51" s="49"/>
      <c r="V51" s="50" t="str">
        <f>IF(ISBLANK('Top60'!F31),"",'Top60'!F31)</f>
        <v/>
      </c>
      <c r="W51" s="51"/>
      <c r="X51" s="51"/>
      <c r="Y51" s="52"/>
      <c r="Z51" s="52"/>
      <c r="AA51" s="52"/>
      <c r="AB51" s="52"/>
      <c r="AC51" s="53"/>
      <c r="AD51" s="50" t="str">
        <f>'Top60'!G31</f>
        <v>KKUJAWA</v>
      </c>
      <c r="AE51" s="52"/>
      <c r="AF51" s="53"/>
      <c r="AG51" s="54">
        <f>'Top60'!H31</f>
        <v>1043.7</v>
      </c>
      <c r="AH51" s="55"/>
    </row>
    <row r="52" spans="1:34" ht="15" customHeight="1" x14ac:dyDescent="0.25">
      <c r="A52" s="17">
        <f t="shared" si="0"/>
        <v>30</v>
      </c>
      <c r="D52" s="45" t="str">
        <f>'Top60'!B32</f>
        <v>1-2464810881</v>
      </c>
      <c r="E52" s="45"/>
      <c r="F52" s="45">
        <f>'Top60'!C32</f>
        <v>11220669</v>
      </c>
      <c r="G52" s="45"/>
      <c r="H52" s="46" t="str">
        <f>IF(ISBLANK('Top60'!D32),"",'Top60'!D32)</f>
        <v/>
      </c>
      <c r="I52" s="47"/>
      <c r="J52" s="48"/>
      <c r="K52" s="48"/>
      <c r="L52" s="49"/>
      <c r="M52" s="50" t="str">
        <f>IF(ISBLANK('Top60'!E32),"",'Top60'!E32)</f>
        <v>  </v>
      </c>
      <c r="N52" s="51"/>
      <c r="O52" s="51"/>
      <c r="P52" s="51"/>
      <c r="Q52" s="48"/>
      <c r="R52" s="48"/>
      <c r="S52" s="48"/>
      <c r="T52" s="48"/>
      <c r="U52" s="49"/>
      <c r="V52" s="50" t="str">
        <f>IF(ISBLANK('Top60'!F32),"",'Top60'!F32)</f>
        <v>Pending FSM Approval</v>
      </c>
      <c r="W52" s="51"/>
      <c r="X52" s="51"/>
      <c r="Y52" s="52"/>
      <c r="Z52" s="52"/>
      <c r="AA52" s="52"/>
      <c r="AB52" s="52"/>
      <c r="AC52" s="53"/>
      <c r="AD52" s="50" t="str">
        <f>'Top60'!G32</f>
        <v>SYOSHIMOTO - PM</v>
      </c>
      <c r="AE52" s="52"/>
      <c r="AF52" s="53"/>
      <c r="AG52" s="54">
        <f>'Top60'!H32</f>
        <v>1012.53</v>
      </c>
      <c r="AH52" s="55"/>
    </row>
    <row r="53" spans="1:34" ht="15" customHeight="1" x14ac:dyDescent="0.25">
      <c r="A53" s="17">
        <f t="shared" si="0"/>
        <v>31</v>
      </c>
      <c r="D53" s="45" t="str">
        <f>'Top60'!B33</f>
        <v>1-2043949001</v>
      </c>
      <c r="E53" s="45"/>
      <c r="F53" s="45">
        <f>'Top60'!C33</f>
        <v>7400087</v>
      </c>
      <c r="G53" s="45"/>
      <c r="H53" s="46" t="str">
        <f>IF(ISBLANK('Top60'!D33),"",'Top60'!D33)</f>
        <v>Capital</v>
      </c>
      <c r="I53" s="47"/>
      <c r="J53" s="48"/>
      <c r="K53" s="48"/>
      <c r="L53" s="49"/>
      <c r="M53" s="50" t="str">
        <f>IF(ISBLANK('Top60'!E33),"",'Top60'!E33)</f>
        <v>  </v>
      </c>
      <c r="N53" s="51"/>
      <c r="O53" s="51"/>
      <c r="P53" s="51"/>
      <c r="Q53" s="48"/>
      <c r="R53" s="48"/>
      <c r="S53" s="48"/>
      <c r="T53" s="48"/>
      <c r="U53" s="49"/>
      <c r="V53" s="50" t="str">
        <f>IF(ISBLANK('Top60'!F33),"",'Top60'!F33)</f>
        <v>Rejected</v>
      </c>
      <c r="W53" s="51"/>
      <c r="X53" s="51"/>
      <c r="Y53" s="52"/>
      <c r="Z53" s="52"/>
      <c r="AA53" s="52"/>
      <c r="AB53" s="52"/>
      <c r="AC53" s="53"/>
      <c r="AD53" s="50" t="str">
        <f>'Top60'!G33</f>
        <v>JSNELL</v>
      </c>
      <c r="AE53" s="52"/>
      <c r="AF53" s="53"/>
      <c r="AG53" s="54">
        <f>'Top60'!H33</f>
        <v>1010.84</v>
      </c>
      <c r="AH53" s="55"/>
    </row>
    <row r="54" spans="1:34" x14ac:dyDescent="0.25">
      <c r="A54" s="17">
        <f t="shared" si="0"/>
        <v>32</v>
      </c>
      <c r="D54" s="45" t="str">
        <f>'Top60'!B34</f>
        <v>1-3100843362</v>
      </c>
      <c r="E54" s="45"/>
      <c r="F54" s="45">
        <f>'Top60'!C34</f>
        <v>11071613</v>
      </c>
      <c r="G54" s="45"/>
      <c r="H54" s="46" t="str">
        <f>IF(ISBLANK('Top60'!D34),"",'Top60'!D34)</f>
        <v>Team Lead Review</v>
      </c>
      <c r="I54" s="47"/>
      <c r="J54" s="48"/>
      <c r="K54" s="48"/>
      <c r="L54" s="49"/>
      <c r="M54" s="50" t="str">
        <f>IF(ISBLANK('Top60'!E34),"",'Top60'!E34)</f>
        <v>  </v>
      </c>
      <c r="N54" s="51"/>
      <c r="O54" s="51"/>
      <c r="P54" s="51"/>
      <c r="Q54" s="48"/>
      <c r="R54" s="48"/>
      <c r="S54" s="48"/>
      <c r="T54" s="48"/>
      <c r="U54" s="49"/>
      <c r="V54" s="50" t="str">
        <f>IF(ISBLANK('Top60'!F34),"",'Top60'!F34)</f>
        <v/>
      </c>
      <c r="W54" s="51"/>
      <c r="X54" s="51"/>
      <c r="Y54" s="52"/>
      <c r="Z54" s="52"/>
      <c r="AA54" s="52"/>
      <c r="AB54" s="52"/>
      <c r="AC54" s="53"/>
      <c r="AD54" s="50" t="str">
        <f>'Top60'!G34</f>
        <v>JSIMPSON</v>
      </c>
      <c r="AE54" s="52"/>
      <c r="AF54" s="53"/>
      <c r="AG54" s="54">
        <f>'Top60'!H34</f>
        <v>989.73</v>
      </c>
      <c r="AH54" s="55"/>
    </row>
    <row r="55" spans="1:34" ht="15" customHeight="1" x14ac:dyDescent="0.25">
      <c r="A55" s="17">
        <f t="shared" si="0"/>
        <v>33</v>
      </c>
      <c r="D55" s="45" t="str">
        <f>'Top60'!B35</f>
        <v>1-2945218588</v>
      </c>
      <c r="E55" s="45"/>
      <c r="F55" s="45">
        <f>'Top60'!C35</f>
        <v>10751893</v>
      </c>
      <c r="G55" s="45"/>
      <c r="H55" s="46" t="str">
        <f>IF(ISBLANK('Top60'!D35),"",'Top60'!D35)</f>
        <v>Credit Memo Needed</v>
      </c>
      <c r="I55" s="47"/>
      <c r="J55" s="48"/>
      <c r="K55" s="48"/>
      <c r="L55" s="49"/>
      <c r="M55" s="50" t="str">
        <f>IF(ISBLANK('Top60'!E35),"",'Top60'!E35)</f>
        <v>  </v>
      </c>
      <c r="N55" s="51"/>
      <c r="O55" s="51"/>
      <c r="P55" s="51"/>
      <c r="Q55" s="48"/>
      <c r="R55" s="48"/>
      <c r="S55" s="48"/>
      <c r="T55" s="48"/>
      <c r="U55" s="49"/>
      <c r="V55" s="50" t="str">
        <f>IF(ISBLANK('Top60'!F35),"",'Top60'!F35)</f>
        <v/>
      </c>
      <c r="W55" s="51"/>
      <c r="X55" s="51"/>
      <c r="Y55" s="52"/>
      <c r="Z55" s="52"/>
      <c r="AA55" s="52"/>
      <c r="AB55" s="52"/>
      <c r="AC55" s="53"/>
      <c r="AD55" s="50" t="str">
        <f>'Top60'!G35</f>
        <v>SWAGGENER</v>
      </c>
      <c r="AE55" s="52"/>
      <c r="AF55" s="53"/>
      <c r="AG55" s="54">
        <f>'Top60'!H35</f>
        <v>980</v>
      </c>
      <c r="AH55" s="55"/>
    </row>
    <row r="56" spans="1:34" ht="15" customHeight="1" x14ac:dyDescent="0.25">
      <c r="A56" s="17">
        <f t="shared" si="0"/>
        <v>34</v>
      </c>
      <c r="D56" s="45" t="str">
        <f>'Top60'!B36</f>
        <v>1-2945218375</v>
      </c>
      <c r="E56" s="45"/>
      <c r="F56" s="45">
        <f>'Top60'!C36</f>
        <v>10904082</v>
      </c>
      <c r="G56" s="45"/>
      <c r="H56" s="46" t="str">
        <f>IF(ISBLANK('Top60'!D36),"",'Top60'!D36)</f>
        <v>Credit Memo Needed</v>
      </c>
      <c r="I56" s="47"/>
      <c r="J56" s="48"/>
      <c r="K56" s="48"/>
      <c r="L56" s="49"/>
      <c r="M56" s="50" t="str">
        <f>IF(ISBLANK('Top60'!E36),"",'Top60'!E36)</f>
        <v/>
      </c>
      <c r="N56" s="51"/>
      <c r="O56" s="51"/>
      <c r="P56" s="51"/>
      <c r="Q56" s="48"/>
      <c r="R56" s="48"/>
      <c r="S56" s="48"/>
      <c r="T56" s="48"/>
      <c r="U56" s="49"/>
      <c r="V56" s="50" t="str">
        <f>IF(ISBLANK('Top60'!F36),"",'Top60'!F36)</f>
        <v/>
      </c>
      <c r="W56" s="51"/>
      <c r="X56" s="51"/>
      <c r="Y56" s="52"/>
      <c r="Z56" s="52"/>
      <c r="AA56" s="52"/>
      <c r="AB56" s="52"/>
      <c r="AC56" s="53"/>
      <c r="AD56" s="50" t="str">
        <f>'Top60'!G36</f>
        <v>KVICTOR</v>
      </c>
      <c r="AE56" s="52"/>
      <c r="AF56" s="53"/>
      <c r="AG56" s="54">
        <f>'Top60'!H36</f>
        <v>980</v>
      </c>
      <c r="AH56" s="55"/>
    </row>
    <row r="57" spans="1:34" x14ac:dyDescent="0.25">
      <c r="A57" s="17">
        <f t="shared" si="0"/>
        <v>35</v>
      </c>
      <c r="D57" s="45" t="str">
        <f>'Top60'!B37</f>
        <v>1-2945218525</v>
      </c>
      <c r="E57" s="45"/>
      <c r="F57" s="45">
        <f>'Top60'!C37</f>
        <v>11138391</v>
      </c>
      <c r="G57" s="45"/>
      <c r="H57" s="46" t="str">
        <f>IF(ISBLANK('Top60'!D37),"",'Top60'!D37)</f>
        <v>Credit Memo Needed</v>
      </c>
      <c r="I57" s="47"/>
      <c r="J57" s="48"/>
      <c r="K57" s="48"/>
      <c r="L57" s="49"/>
      <c r="M57" s="50" t="str">
        <f>IF(ISBLANK('Top60'!E37),"",'Top60'!E37)</f>
        <v/>
      </c>
      <c r="N57" s="51"/>
      <c r="O57" s="51"/>
      <c r="P57" s="51"/>
      <c r="Q57" s="48"/>
      <c r="R57" s="48"/>
      <c r="S57" s="48"/>
      <c r="T57" s="48"/>
      <c r="U57" s="49"/>
      <c r="V57" s="50" t="str">
        <f>IF(ISBLANK('Top60'!F37),"",'Top60'!F37)</f>
        <v/>
      </c>
      <c r="W57" s="51"/>
      <c r="X57" s="51"/>
      <c r="Y57" s="52"/>
      <c r="Z57" s="52"/>
      <c r="AA57" s="52"/>
      <c r="AB57" s="52"/>
      <c r="AC57" s="53"/>
      <c r="AD57" s="50" t="str">
        <f>'Top60'!G37</f>
        <v>AMIKLAS</v>
      </c>
      <c r="AE57" s="52"/>
      <c r="AF57" s="53"/>
      <c r="AG57" s="54">
        <f>'Top60'!H37</f>
        <v>980</v>
      </c>
      <c r="AH57" s="55"/>
    </row>
    <row r="58" spans="1:34" x14ac:dyDescent="0.25">
      <c r="A58" s="17">
        <f t="shared" si="0"/>
        <v>36</v>
      </c>
      <c r="D58" s="45" t="str">
        <f>'Top60'!B38</f>
        <v>1-3079135481</v>
      </c>
      <c r="E58" s="45"/>
      <c r="F58" s="45">
        <f>'Top60'!C38</f>
        <v>11226106</v>
      </c>
      <c r="G58" s="45"/>
      <c r="H58" s="46" t="str">
        <f>IF(ISBLANK('Top60'!D38),"",'Top60'!D38)</f>
        <v/>
      </c>
      <c r="I58" s="47"/>
      <c r="J58" s="48"/>
      <c r="K58" s="48"/>
      <c r="L58" s="49"/>
      <c r="M58" s="50" t="str">
        <f>IF(ISBLANK('Top60'!E38),"",'Top60'!E38)</f>
        <v/>
      </c>
      <c r="N58" s="51"/>
      <c r="O58" s="51"/>
      <c r="P58" s="51"/>
      <c r="Q58" s="48"/>
      <c r="R58" s="48"/>
      <c r="S58" s="48"/>
      <c r="T58" s="48"/>
      <c r="U58" s="49"/>
      <c r="V58" s="50" t="str">
        <f>IF(ISBLANK('Top60'!F38),"",'Top60'!F38)</f>
        <v>Pending FSM Approval</v>
      </c>
      <c r="W58" s="51"/>
      <c r="X58" s="51"/>
      <c r="Y58" s="52"/>
      <c r="Z58" s="52"/>
      <c r="AA58" s="52"/>
      <c r="AB58" s="52"/>
      <c r="AC58" s="53"/>
      <c r="AD58" s="50" t="str">
        <f>'Top60'!G38</f>
        <v>KVICTOR</v>
      </c>
      <c r="AE58" s="52"/>
      <c r="AF58" s="53"/>
      <c r="AG58" s="54">
        <f>'Top60'!H38</f>
        <v>972.22</v>
      </c>
      <c r="AH58" s="55"/>
    </row>
    <row r="59" spans="1:34" ht="15" customHeight="1" x14ac:dyDescent="0.25">
      <c r="A59" s="17">
        <f t="shared" si="0"/>
        <v>37</v>
      </c>
      <c r="D59" s="45" t="str">
        <f>'Top60'!B39</f>
        <v>1-3115896121</v>
      </c>
      <c r="E59" s="45"/>
      <c r="F59" s="45">
        <f>'Top60'!C39</f>
        <v>11364453</v>
      </c>
      <c r="G59" s="45"/>
      <c r="H59" s="46" t="str">
        <f>IF(ISBLANK('Top60'!D39),"",'Top60'!D39)</f>
        <v>Task Comletion</v>
      </c>
      <c r="I59" s="47"/>
      <c r="J59" s="48"/>
      <c r="K59" s="48"/>
      <c r="L59" s="49"/>
      <c r="M59" s="50" t="str">
        <f>IF(ISBLANK('Top60'!E39),"",'Top60'!E39)</f>
        <v>Task Comletion</v>
      </c>
      <c r="N59" s="51"/>
      <c r="O59" s="51"/>
      <c r="P59" s="51"/>
      <c r="Q59" s="48"/>
      <c r="R59" s="48"/>
      <c r="S59" s="48"/>
      <c r="T59" s="48"/>
      <c r="U59" s="49"/>
      <c r="V59" s="50" t="str">
        <f>IF(ISBLANK('Top60'!F39),"",'Top60'!F39)</f>
        <v>Pending FSM Approval</v>
      </c>
      <c r="W59" s="51"/>
      <c r="X59" s="51"/>
      <c r="Y59" s="52"/>
      <c r="Z59" s="52"/>
      <c r="AA59" s="52"/>
      <c r="AB59" s="52"/>
      <c r="AC59" s="53"/>
      <c r="AD59" s="50" t="str">
        <f>'Top60'!G39</f>
        <v>KVICTOR</v>
      </c>
      <c r="AE59" s="52"/>
      <c r="AF59" s="53"/>
      <c r="AG59" s="54">
        <f>'Top60'!H39</f>
        <v>946.85</v>
      </c>
      <c r="AH59" s="55"/>
    </row>
    <row r="60" spans="1:34" ht="15" customHeight="1" x14ac:dyDescent="0.25">
      <c r="A60" s="17">
        <f t="shared" si="0"/>
        <v>38</v>
      </c>
      <c r="D60" s="45" t="str">
        <f>'Top60'!B40</f>
        <v>1-1803790861</v>
      </c>
      <c r="E60" s="45"/>
      <c r="F60" s="45">
        <f>'Top60'!C40</f>
        <v>6426970</v>
      </c>
      <c r="G60" s="45"/>
      <c r="H60" s="46" t="str">
        <f>IF(ISBLANK('Top60'!D40),"",'Top60'!D40)</f>
        <v/>
      </c>
      <c r="I60" s="47"/>
      <c r="J60" s="48"/>
      <c r="K60" s="48"/>
      <c r="L60" s="49"/>
      <c r="M60" s="50" t="str">
        <f>IF(ISBLANK('Top60'!E40),"",'Top60'!E40)</f>
        <v/>
      </c>
      <c r="N60" s="51"/>
      <c r="O60" s="51"/>
      <c r="P60" s="51"/>
      <c r="Q60" s="48"/>
      <c r="R60" s="48"/>
      <c r="S60" s="48"/>
      <c r="T60" s="48"/>
      <c r="U60" s="49"/>
      <c r="V60" s="50" t="str">
        <f>IF(ISBLANK('Top60'!F40),"",'Top60'!F40)</f>
        <v>Submit invoice</v>
      </c>
      <c r="W60" s="51"/>
      <c r="X60" s="51"/>
      <c r="Y60" s="52"/>
      <c r="Z60" s="52"/>
      <c r="AA60" s="52"/>
      <c r="AB60" s="52"/>
      <c r="AC60" s="53"/>
      <c r="AD60" s="50" t="str">
        <f>'Top60'!G40</f>
        <v>SWAGGENER</v>
      </c>
      <c r="AE60" s="52"/>
      <c r="AF60" s="53"/>
      <c r="AG60" s="54">
        <f>'Top60'!H40</f>
        <v>939.8</v>
      </c>
      <c r="AH60" s="55"/>
    </row>
    <row r="61" spans="1:34" ht="15" customHeight="1" x14ac:dyDescent="0.25">
      <c r="A61" s="17">
        <f t="shared" si="0"/>
        <v>39</v>
      </c>
      <c r="D61" s="45" t="str">
        <f>'Top60'!B41</f>
        <v>1-2786803903</v>
      </c>
      <c r="E61" s="45"/>
      <c r="F61" s="45">
        <f>'Top60'!C41</f>
        <v>11246372</v>
      </c>
      <c r="G61" s="45"/>
      <c r="H61" s="46" t="str">
        <f>IF(ISBLANK('Top60'!D41),"",'Top60'!D41)</f>
        <v/>
      </c>
      <c r="I61" s="47"/>
      <c r="J61" s="48"/>
      <c r="K61" s="48"/>
      <c r="L61" s="49"/>
      <c r="M61" s="50" t="str">
        <f>IF(ISBLANK('Top60'!E41),"",'Top60'!E41)</f>
        <v/>
      </c>
      <c r="N61" s="51"/>
      <c r="O61" s="51"/>
      <c r="P61" s="51"/>
      <c r="Q61" s="48"/>
      <c r="R61" s="48"/>
      <c r="S61" s="48"/>
      <c r="T61" s="48"/>
      <c r="U61" s="49"/>
      <c r="V61" s="50" t="str">
        <f>IF(ISBLANK('Top60'!F41),"",'Top60'!F41)</f>
        <v>Invalid Compass WT</v>
      </c>
      <c r="W61" s="51"/>
      <c r="X61" s="51"/>
      <c r="Y61" s="52"/>
      <c r="Z61" s="52"/>
      <c r="AA61" s="52"/>
      <c r="AB61" s="52"/>
      <c r="AC61" s="53"/>
      <c r="AD61" s="50" t="str">
        <f>'Top60'!G41</f>
        <v>LELIZALDE</v>
      </c>
      <c r="AE61" s="52"/>
      <c r="AF61" s="53"/>
      <c r="AG61" s="54">
        <f>'Top60'!H41</f>
        <v>844.9</v>
      </c>
      <c r="AH61" s="55"/>
    </row>
    <row r="62" spans="1:34" ht="15" customHeight="1" x14ac:dyDescent="0.25">
      <c r="A62" s="17">
        <f t="shared" si="0"/>
        <v>40</v>
      </c>
      <c r="D62" s="45" t="str">
        <f>'Top60'!B42</f>
        <v>1-3058978193</v>
      </c>
      <c r="E62" s="45"/>
      <c r="F62" s="45">
        <f>'Top60'!C42</f>
        <v>11409178</v>
      </c>
      <c r="G62" s="45"/>
      <c r="H62" s="46" t="str">
        <f>IF(ISBLANK('Top60'!D42),"",'Top60'!D42)</f>
        <v/>
      </c>
      <c r="I62" s="47"/>
      <c r="J62" s="48"/>
      <c r="K62" s="48"/>
      <c r="L62" s="49"/>
      <c r="M62" s="50" t="str">
        <f>IF(ISBLANK('Top60'!E42),"",'Top60'!E42)</f>
        <v/>
      </c>
      <c r="N62" s="51"/>
      <c r="O62" s="51"/>
      <c r="P62" s="51"/>
      <c r="Q62" s="48"/>
      <c r="R62" s="48"/>
      <c r="S62" s="48"/>
      <c r="T62" s="48"/>
      <c r="U62" s="49"/>
      <c r="V62" s="50" t="str">
        <f>IF(ISBLANK('Top60'!F42),"",'Top60'!F42)</f>
        <v/>
      </c>
      <c r="W62" s="51"/>
      <c r="X62" s="51"/>
      <c r="Y62" s="52"/>
      <c r="Z62" s="52"/>
      <c r="AA62" s="52"/>
      <c r="AB62" s="52"/>
      <c r="AC62" s="53"/>
      <c r="AD62" s="50" t="str">
        <f>'Top60'!G42</f>
        <v>WSNYDER</v>
      </c>
      <c r="AE62" s="52"/>
      <c r="AF62" s="53"/>
      <c r="AG62" s="54">
        <f>'Top60'!H42</f>
        <v>834.05</v>
      </c>
      <c r="AH62" s="55"/>
    </row>
    <row r="63" spans="1:34" x14ac:dyDescent="0.25">
      <c r="A63" s="17">
        <f t="shared" si="0"/>
        <v>41</v>
      </c>
      <c r="D63" s="45" t="str">
        <f>'Top60'!B43</f>
        <v>1-2173437809</v>
      </c>
      <c r="E63" s="45"/>
      <c r="F63" s="45">
        <f>'Top60'!C43</f>
        <v>7843919</v>
      </c>
      <c r="G63" s="45"/>
      <c r="H63" s="46" t="str">
        <f>IF(ISBLANK('Top60'!D43),"",'Top60'!D43)</f>
        <v>Credit Memo Needed</v>
      </c>
      <c r="I63" s="47"/>
      <c r="J63" s="48"/>
      <c r="K63" s="48"/>
      <c r="L63" s="49"/>
      <c r="M63" s="50" t="str">
        <f>IF(ISBLANK('Top60'!E43),"",'Top60'!E43)</f>
        <v/>
      </c>
      <c r="N63" s="51"/>
      <c r="O63" s="51"/>
      <c r="P63" s="51"/>
      <c r="Q63" s="48"/>
      <c r="R63" s="48"/>
      <c r="S63" s="48"/>
      <c r="T63" s="48"/>
      <c r="U63" s="49"/>
      <c r="V63" s="50" t="str">
        <f>IF(ISBLANK('Top60'!F43),"",'Top60'!F43)</f>
        <v>14866293R</v>
      </c>
      <c r="W63" s="51"/>
      <c r="X63" s="51"/>
      <c r="Y63" s="52"/>
      <c r="Z63" s="52"/>
      <c r="AA63" s="52"/>
      <c r="AB63" s="52"/>
      <c r="AC63" s="53"/>
      <c r="AD63" s="50" t="str">
        <f>'Top60'!G43</f>
        <v>KKUJAWA</v>
      </c>
      <c r="AE63" s="52"/>
      <c r="AF63" s="53"/>
      <c r="AG63" s="54">
        <f>'Top60'!H43</f>
        <v>816.25</v>
      </c>
      <c r="AH63" s="55"/>
    </row>
    <row r="64" spans="1:34" x14ac:dyDescent="0.25">
      <c r="A64" s="17">
        <f t="shared" si="0"/>
        <v>42</v>
      </c>
      <c r="D64" s="45" t="str">
        <f>'Top60'!B44</f>
        <v>1-3070181832</v>
      </c>
      <c r="E64" s="45"/>
      <c r="F64" s="45">
        <f>'Top60'!C44</f>
        <v>11087533</v>
      </c>
      <c r="G64" s="45"/>
      <c r="H64" s="46" t="str">
        <f>IF(ISBLANK('Top60'!D44),"",'Top60'!D44)</f>
        <v>Team Lead Review</v>
      </c>
      <c r="I64" s="47"/>
      <c r="J64" s="48"/>
      <c r="K64" s="48"/>
      <c r="L64" s="49"/>
      <c r="M64" s="50" t="str">
        <f>IF(ISBLANK('Top60'!E44),"",'Top60'!E44)</f>
        <v/>
      </c>
      <c r="N64" s="51"/>
      <c r="O64" s="51"/>
      <c r="P64" s="51"/>
      <c r="Q64" s="48"/>
      <c r="R64" s="48"/>
      <c r="S64" s="48"/>
      <c r="T64" s="48"/>
      <c r="U64" s="49"/>
      <c r="V64" s="50" t="str">
        <f>IF(ISBLANK('Top60'!F44),"",'Top60'!F44)</f>
        <v/>
      </c>
      <c r="W64" s="51"/>
      <c r="X64" s="51"/>
      <c r="Y64" s="52"/>
      <c r="Z64" s="52"/>
      <c r="AA64" s="52"/>
      <c r="AB64" s="52"/>
      <c r="AC64" s="53"/>
      <c r="AD64" s="50" t="str">
        <f>'Top60'!G44</f>
        <v>KKUJAWA</v>
      </c>
      <c r="AE64" s="52"/>
      <c r="AF64" s="53"/>
      <c r="AG64" s="54">
        <f>'Top60'!H44</f>
        <v>812.9</v>
      </c>
      <c r="AH64" s="55"/>
    </row>
    <row r="65" spans="1:34" x14ac:dyDescent="0.25">
      <c r="A65" s="17">
        <f t="shared" si="0"/>
        <v>43</v>
      </c>
      <c r="D65" s="45" t="str">
        <f>'Top60'!B45</f>
        <v>1-1465340636</v>
      </c>
      <c r="E65" s="45"/>
      <c r="F65" s="45">
        <f>'Top60'!C45</f>
        <v>6629843</v>
      </c>
      <c r="G65" s="45"/>
      <c r="H65" s="46" t="str">
        <f>IF(ISBLANK('Top60'!D45),"",'Top60'!D45)</f>
        <v>Paid</v>
      </c>
      <c r="I65" s="47"/>
      <c r="J65" s="48"/>
      <c r="K65" s="48"/>
      <c r="L65" s="49"/>
      <c r="M65" s="50" t="str">
        <f>IF(ISBLANK('Top60'!E45),"",'Top60'!E45)</f>
        <v/>
      </c>
      <c r="N65" s="51"/>
      <c r="O65" s="51"/>
      <c r="P65" s="51"/>
      <c r="Q65" s="48"/>
      <c r="R65" s="48"/>
      <c r="S65" s="48"/>
      <c r="T65" s="48"/>
      <c r="U65" s="49"/>
      <c r="V65" s="50" t="str">
        <f>IF(ISBLANK('Top60'!F45),"",'Top60'!F45)</f>
        <v/>
      </c>
      <c r="W65" s="51"/>
      <c r="X65" s="51"/>
      <c r="Y65" s="52"/>
      <c r="Z65" s="52"/>
      <c r="AA65" s="52"/>
      <c r="AB65" s="52"/>
      <c r="AC65" s="53"/>
      <c r="AD65" s="50" t="str">
        <f>'Top60'!G45</f>
        <v>KKUJAWA</v>
      </c>
      <c r="AE65" s="52"/>
      <c r="AF65" s="53"/>
      <c r="AG65" s="54">
        <f>'Top60'!H45</f>
        <v>800</v>
      </c>
      <c r="AH65" s="55"/>
    </row>
    <row r="66" spans="1:34" ht="15" customHeight="1" x14ac:dyDescent="0.25">
      <c r="A66" s="17">
        <f t="shared" si="0"/>
        <v>44</v>
      </c>
      <c r="D66" s="45" t="str">
        <f>'Top60'!B46</f>
        <v>1-2795329655</v>
      </c>
      <c r="E66" s="45"/>
      <c r="F66" s="45">
        <f>'Top60'!C46</f>
        <v>11408816</v>
      </c>
      <c r="G66" s="45"/>
      <c r="H66" s="46" t="str">
        <f>IF(ISBLANK('Top60'!D46),"",'Top60'!D46)</f>
        <v/>
      </c>
      <c r="I66" s="47"/>
      <c r="J66" s="48"/>
      <c r="K66" s="48"/>
      <c r="L66" s="49"/>
      <c r="M66" s="50" t="str">
        <f>IF(ISBLANK('Top60'!E46),"",'Top60'!E46)</f>
        <v/>
      </c>
      <c r="N66" s="51"/>
      <c r="O66" s="51"/>
      <c r="P66" s="51"/>
      <c r="Q66" s="48"/>
      <c r="R66" s="48"/>
      <c r="S66" s="48"/>
      <c r="T66" s="48"/>
      <c r="U66" s="49"/>
      <c r="V66" s="50" t="str">
        <f>IF(ISBLANK('Top60'!F46),"",'Top60'!F46)</f>
        <v>Invalid Compass WT</v>
      </c>
      <c r="W66" s="51"/>
      <c r="X66" s="51"/>
      <c r="Y66" s="52"/>
      <c r="Z66" s="52"/>
      <c r="AA66" s="52"/>
      <c r="AB66" s="52"/>
      <c r="AC66" s="53"/>
      <c r="AD66" s="50" t="str">
        <f>'Top60'!G46</f>
        <v>LELIZALDE</v>
      </c>
      <c r="AE66" s="52"/>
      <c r="AF66" s="53"/>
      <c r="AG66" s="54">
        <f>'Top60'!H46</f>
        <v>778</v>
      </c>
      <c r="AH66" s="55"/>
    </row>
    <row r="67" spans="1:34" ht="15" customHeight="1" x14ac:dyDescent="0.25">
      <c r="A67" s="17">
        <f t="shared" si="0"/>
        <v>45</v>
      </c>
      <c r="D67" s="45" t="str">
        <f>'Top60'!B47</f>
        <v>1-2725864125</v>
      </c>
      <c r="E67" s="45"/>
      <c r="F67" s="45">
        <f>'Top60'!C47</f>
        <v>10705377</v>
      </c>
      <c r="G67" s="45"/>
      <c r="H67" s="46" t="str">
        <f>IF(ISBLANK('Top60'!D47),"",'Top60'!D47)</f>
        <v>Need WT #</v>
      </c>
      <c r="I67" s="47"/>
      <c r="J67" s="48"/>
      <c r="K67" s="48"/>
      <c r="L67" s="49"/>
      <c r="M67" s="50" t="str">
        <f>IF(ISBLANK('Top60'!E47),"",'Top60'!E47)</f>
        <v>Need WT #</v>
      </c>
      <c r="N67" s="51"/>
      <c r="O67" s="51"/>
      <c r="P67" s="51"/>
      <c r="Q67" s="48"/>
      <c r="R67" s="48"/>
      <c r="S67" s="48"/>
      <c r="T67" s="48"/>
      <c r="U67" s="49"/>
      <c r="V67" s="50" t="str">
        <f>IF(ISBLANK('Top60'!F47),"",'Top60'!F47)</f>
        <v>Invalid Compass WT</v>
      </c>
      <c r="W67" s="51"/>
      <c r="X67" s="51"/>
      <c r="Y67" s="52"/>
      <c r="Z67" s="52"/>
      <c r="AA67" s="52"/>
      <c r="AB67" s="52"/>
      <c r="AC67" s="53"/>
      <c r="AD67" s="50" t="str">
        <f>'Top60'!G47</f>
        <v>LELIZALDE</v>
      </c>
      <c r="AE67" s="52"/>
      <c r="AF67" s="53"/>
      <c r="AG67" s="54">
        <f>'Top60'!H47</f>
        <v>778</v>
      </c>
      <c r="AH67" s="55"/>
    </row>
    <row r="68" spans="1:34" x14ac:dyDescent="0.25">
      <c r="A68" s="17">
        <f t="shared" ref="A68:A82" si="1">+A67+1</f>
        <v>46</v>
      </c>
      <c r="D68" s="45" t="str">
        <f>'Top60'!B48</f>
        <v>1-2988047659</v>
      </c>
      <c r="E68" s="45"/>
      <c r="F68" s="45">
        <f>'Top60'!C48</f>
        <v>11373389</v>
      </c>
      <c r="G68" s="45"/>
      <c r="H68" s="46" t="str">
        <f>IF(ISBLANK('Top60'!D48),"",'Top60'!D48)</f>
        <v/>
      </c>
      <c r="I68" s="47"/>
      <c r="J68" s="48"/>
      <c r="K68" s="48"/>
      <c r="L68" s="49"/>
      <c r="M68" s="50" t="str">
        <f>IF(ISBLANK('Top60'!E48),"",'Top60'!E48)</f>
        <v/>
      </c>
      <c r="N68" s="51"/>
      <c r="O68" s="51"/>
      <c r="P68" s="51"/>
      <c r="Q68" s="48"/>
      <c r="R68" s="48"/>
      <c r="S68" s="48"/>
      <c r="T68" s="48"/>
      <c r="U68" s="49"/>
      <c r="V68" s="50" t="str">
        <f>IF(ISBLANK('Top60'!F48),"",'Top60'!F48)</f>
        <v>Receiving needs to be completed</v>
      </c>
      <c r="W68" s="51"/>
      <c r="X68" s="51"/>
      <c r="Y68" s="52"/>
      <c r="Z68" s="52"/>
      <c r="AA68" s="52"/>
      <c r="AB68" s="52"/>
      <c r="AC68" s="53"/>
      <c r="AD68" s="50" t="str">
        <f>'Top60'!G48</f>
        <v>SWAGGENER</v>
      </c>
      <c r="AE68" s="52"/>
      <c r="AF68" s="53"/>
      <c r="AG68" s="54">
        <f>'Top60'!H48</f>
        <v>750.17</v>
      </c>
      <c r="AH68" s="55"/>
    </row>
    <row r="69" spans="1:34" x14ac:dyDescent="0.25">
      <c r="A69" s="17">
        <f t="shared" si="1"/>
        <v>47</v>
      </c>
      <c r="D69" s="45" t="str">
        <f>'Top60'!B49</f>
        <v>1-2416002352</v>
      </c>
      <c r="E69" s="45"/>
      <c r="F69" s="45">
        <f>'Top60'!C49</f>
        <v>11227014</v>
      </c>
      <c r="G69" s="45"/>
      <c r="H69" s="46" t="str">
        <f>IF(ISBLANK('Top60'!D49),"",'Top60'!D49)</f>
        <v/>
      </c>
      <c r="I69" s="47"/>
      <c r="J69" s="48"/>
      <c r="K69" s="48"/>
      <c r="L69" s="49"/>
      <c r="M69" s="50" t="str">
        <f>IF(ISBLANK('Top60'!E49),"",'Top60'!E49)</f>
        <v/>
      </c>
      <c r="N69" s="51"/>
      <c r="O69" s="51"/>
      <c r="P69" s="51"/>
      <c r="Q69" s="48"/>
      <c r="R69" s="48"/>
      <c r="S69" s="48"/>
      <c r="T69" s="48"/>
      <c r="U69" s="49"/>
      <c r="V69" s="50" t="str">
        <f>IF(ISBLANK('Top60'!F49),"",'Top60'!F49)</f>
        <v/>
      </c>
      <c r="W69" s="51"/>
      <c r="X69" s="51"/>
      <c r="Y69" s="52"/>
      <c r="Z69" s="52"/>
      <c r="AA69" s="52"/>
      <c r="AB69" s="52"/>
      <c r="AC69" s="53"/>
      <c r="AD69" s="50" t="str">
        <f>'Top60'!G49</f>
        <v>KHALLAN</v>
      </c>
      <c r="AE69" s="52"/>
      <c r="AF69" s="53"/>
      <c r="AG69" s="54">
        <f>'Top60'!H49</f>
        <v>750</v>
      </c>
      <c r="AH69" s="55"/>
    </row>
    <row r="70" spans="1:34" x14ac:dyDescent="0.25">
      <c r="A70" s="17">
        <f t="shared" si="1"/>
        <v>48</v>
      </c>
      <c r="D70" s="45" t="str">
        <f>'Top60'!B50</f>
        <v>1-2669832151</v>
      </c>
      <c r="E70" s="45"/>
      <c r="F70" s="45">
        <f>'Top60'!C50</f>
        <v>9798451</v>
      </c>
      <c r="G70" s="45"/>
      <c r="H70" s="46" t="str">
        <f>IF(ISBLANK('Top60'!D50),"",'Top60'!D50)</f>
        <v/>
      </c>
      <c r="I70" s="47"/>
      <c r="J70" s="48"/>
      <c r="K70" s="48"/>
      <c r="L70" s="49"/>
      <c r="M70" s="50" t="str">
        <f>IF(ISBLANK('Top60'!E50),"",'Top60'!E50)</f>
        <v/>
      </c>
      <c r="N70" s="51"/>
      <c r="O70" s="51"/>
      <c r="P70" s="51"/>
      <c r="Q70" s="48"/>
      <c r="R70" s="48"/>
      <c r="S70" s="48"/>
      <c r="T70" s="48"/>
      <c r="U70" s="49"/>
      <c r="V70" s="50" t="str">
        <f>IF(ISBLANK('Top60'!F50),"",'Top60'!F50)</f>
        <v>Pending FSM Approval</v>
      </c>
      <c r="W70" s="51"/>
      <c r="X70" s="51"/>
      <c r="Y70" s="52"/>
      <c r="Z70" s="52"/>
      <c r="AA70" s="52"/>
      <c r="AB70" s="52"/>
      <c r="AC70" s="53"/>
      <c r="AD70" s="50" t="str">
        <f>'Top60'!G50</f>
        <v>SWAGGENER</v>
      </c>
      <c r="AE70" s="52"/>
      <c r="AF70" s="53"/>
      <c r="AG70" s="54">
        <f>'Top60'!H50</f>
        <v>740.97</v>
      </c>
      <c r="AH70" s="55"/>
    </row>
    <row r="71" spans="1:34" x14ac:dyDescent="0.25">
      <c r="A71" s="17">
        <f t="shared" si="1"/>
        <v>49</v>
      </c>
      <c r="D71" s="45" t="str">
        <f>'Top60'!B51</f>
        <v>1-2945218239</v>
      </c>
      <c r="E71" s="45"/>
      <c r="F71" s="45">
        <f>'Top60'!C51</f>
        <v>10906605</v>
      </c>
      <c r="G71" s="45"/>
      <c r="H71" s="46" t="str">
        <f>IF(ISBLANK('Top60'!D51),"",'Top60'!D51)</f>
        <v>Credit Memo Needed</v>
      </c>
      <c r="I71" s="47"/>
      <c r="J71" s="48"/>
      <c r="K71" s="48"/>
      <c r="L71" s="49"/>
      <c r="M71" s="50" t="str">
        <f>IF(ISBLANK('Top60'!E51),"",'Top60'!E51)</f>
        <v/>
      </c>
      <c r="N71" s="51"/>
      <c r="O71" s="51"/>
      <c r="P71" s="51"/>
      <c r="Q71" s="48"/>
      <c r="R71" s="48"/>
      <c r="S71" s="48"/>
      <c r="T71" s="48"/>
      <c r="U71" s="49"/>
      <c r="V71" s="50" t="str">
        <f>IF(ISBLANK('Top60'!F51),"",'Top60'!F51)</f>
        <v/>
      </c>
      <c r="W71" s="51"/>
      <c r="X71" s="51"/>
      <c r="Y71" s="52"/>
      <c r="Z71" s="52"/>
      <c r="AA71" s="52"/>
      <c r="AB71" s="52"/>
      <c r="AC71" s="53"/>
      <c r="AD71" s="50" t="str">
        <f>'Top60'!G51</f>
        <v>KVICTOR</v>
      </c>
      <c r="AE71" s="52"/>
      <c r="AF71" s="53"/>
      <c r="AG71" s="54">
        <f>'Top60'!H51</f>
        <v>739.84</v>
      </c>
      <c r="AH71" s="55"/>
    </row>
    <row r="72" spans="1:34" x14ac:dyDescent="0.25">
      <c r="A72" s="17">
        <f t="shared" si="1"/>
        <v>50</v>
      </c>
      <c r="D72" s="45" t="str">
        <f>'Top60'!B52</f>
        <v>1-3056662621</v>
      </c>
      <c r="E72" s="45"/>
      <c r="F72" s="45">
        <f>'Top60'!C52</f>
        <v>11087543</v>
      </c>
      <c r="G72" s="45"/>
      <c r="H72" s="46" t="str">
        <f>IF(ISBLANK('Top60'!D52),"",'Top60'!D52)</f>
        <v>Credit Memo Needed</v>
      </c>
      <c r="I72" s="47"/>
      <c r="J72" s="48"/>
      <c r="K72" s="48"/>
      <c r="L72" s="49"/>
      <c r="M72" s="50" t="str">
        <f>IF(ISBLANK('Top60'!E52),"",'Top60'!E52)</f>
        <v/>
      </c>
      <c r="N72" s="51"/>
      <c r="O72" s="51"/>
      <c r="P72" s="51"/>
      <c r="Q72" s="48"/>
      <c r="R72" s="48"/>
      <c r="S72" s="48"/>
      <c r="T72" s="48"/>
      <c r="U72" s="49"/>
      <c r="V72" s="50" t="str">
        <f>IF(ISBLANK('Top60'!F52),"",'Top60'!F52)</f>
        <v/>
      </c>
      <c r="W72" s="51"/>
      <c r="X72" s="51"/>
      <c r="Y72" s="52"/>
      <c r="Z72" s="52"/>
      <c r="AA72" s="52"/>
      <c r="AB72" s="52"/>
      <c r="AC72" s="53"/>
      <c r="AD72" s="50" t="str">
        <f>'Top60'!G52</f>
        <v>KVICTOR</v>
      </c>
      <c r="AE72" s="52"/>
      <c r="AF72" s="53"/>
      <c r="AG72" s="54">
        <f>'Top60'!H52</f>
        <v>738.48</v>
      </c>
      <c r="AH72" s="55"/>
    </row>
    <row r="73" spans="1:34" x14ac:dyDescent="0.25">
      <c r="A73" s="17">
        <f t="shared" si="1"/>
        <v>51</v>
      </c>
      <c r="D73" s="45" t="str">
        <f>'Top60'!B53</f>
        <v>1-3056662333</v>
      </c>
      <c r="E73" s="45"/>
      <c r="F73" s="45">
        <f>'Top60'!C53</f>
        <v>11087546</v>
      </c>
      <c r="G73" s="45"/>
      <c r="H73" s="46" t="str">
        <f>IF(ISBLANK('Top60'!D53),"",'Top60'!D53)</f>
        <v>Credit Memo Needed</v>
      </c>
      <c r="I73" s="47"/>
      <c r="J73" s="48"/>
      <c r="K73" s="48"/>
      <c r="L73" s="49"/>
      <c r="M73" s="50" t="str">
        <f>IF(ISBLANK('Top60'!E53),"",'Top60'!E53)</f>
        <v/>
      </c>
      <c r="N73" s="51"/>
      <c r="O73" s="51"/>
      <c r="P73" s="51"/>
      <c r="Q73" s="48"/>
      <c r="R73" s="48"/>
      <c r="S73" s="48"/>
      <c r="T73" s="48"/>
      <c r="U73" s="49"/>
      <c r="V73" s="50" t="str">
        <f>IF(ISBLANK('Top60'!F53),"",'Top60'!F53)</f>
        <v/>
      </c>
      <c r="W73" s="51"/>
      <c r="X73" s="51"/>
      <c r="Y73" s="52"/>
      <c r="Z73" s="52"/>
      <c r="AA73" s="52"/>
      <c r="AB73" s="52"/>
      <c r="AC73" s="53"/>
      <c r="AD73" s="50" t="str">
        <f>'Top60'!G53</f>
        <v>KVICTOR</v>
      </c>
      <c r="AE73" s="52"/>
      <c r="AF73" s="53"/>
      <c r="AG73" s="54">
        <f>'Top60'!H53</f>
        <v>738.48</v>
      </c>
      <c r="AH73" s="55"/>
    </row>
    <row r="74" spans="1:34" x14ac:dyDescent="0.25">
      <c r="A74" s="17">
        <f t="shared" si="1"/>
        <v>52</v>
      </c>
      <c r="D74" s="45" t="str">
        <f>'Top60'!B54</f>
        <v>1-3061458125</v>
      </c>
      <c r="E74" s="45"/>
      <c r="F74" s="45">
        <f>'Top60'!C54</f>
        <v>11267463</v>
      </c>
      <c r="G74" s="45"/>
      <c r="H74" s="46" t="str">
        <f>IF(ISBLANK('Top60'!D54),"",'Top60'!D54)</f>
        <v/>
      </c>
      <c r="I74" s="47"/>
      <c r="J74" s="48"/>
      <c r="K74" s="48"/>
      <c r="L74" s="49"/>
      <c r="M74" s="50" t="str">
        <f>IF(ISBLANK('Top60'!E54),"",'Top60'!E54)</f>
        <v/>
      </c>
      <c r="N74" s="51"/>
      <c r="O74" s="51"/>
      <c r="P74" s="51"/>
      <c r="Q74" s="48"/>
      <c r="R74" s="48"/>
      <c r="S74" s="48"/>
      <c r="T74" s="48"/>
      <c r="U74" s="49"/>
      <c r="V74" s="50" t="str">
        <f>IF(ISBLANK('Top60'!F54),"",'Top60'!F54)</f>
        <v/>
      </c>
      <c r="W74" s="51"/>
      <c r="X74" s="51"/>
      <c r="Y74" s="52"/>
      <c r="Z74" s="52"/>
      <c r="AA74" s="52"/>
      <c r="AB74" s="52"/>
      <c r="AC74" s="53"/>
      <c r="AD74" s="50" t="str">
        <f>'Top60'!G54</f>
        <v>JSIMPSON</v>
      </c>
      <c r="AE74" s="52"/>
      <c r="AF74" s="53"/>
      <c r="AG74" s="54">
        <f>'Top60'!H54</f>
        <v>731.98</v>
      </c>
      <c r="AH74" s="55"/>
    </row>
    <row r="75" spans="1:34" x14ac:dyDescent="0.25">
      <c r="A75" s="17">
        <f t="shared" si="1"/>
        <v>53</v>
      </c>
      <c r="D75" s="45" t="str">
        <f>'Top60'!B55</f>
        <v>1-1996427098</v>
      </c>
      <c r="E75" s="45"/>
      <c r="F75" s="45">
        <f>'Top60'!C55</f>
        <v>7833431</v>
      </c>
      <c r="G75" s="45"/>
      <c r="H75" s="46" t="str">
        <f>IF(ISBLANK('Top60'!D55),"",'Top60'!D55)</f>
        <v/>
      </c>
      <c r="I75" s="47"/>
      <c r="J75" s="48"/>
      <c r="K75" s="48"/>
      <c r="L75" s="49"/>
      <c r="M75" s="50" t="str">
        <f>IF(ISBLANK('Top60'!E55),"",'Top60'!E55)</f>
        <v/>
      </c>
      <c r="N75" s="51"/>
      <c r="O75" s="51"/>
      <c r="P75" s="51"/>
      <c r="Q75" s="48"/>
      <c r="R75" s="48"/>
      <c r="S75" s="48"/>
      <c r="T75" s="48"/>
      <c r="U75" s="49"/>
      <c r="V75" s="50" t="str">
        <f>IF(ISBLANK('Top60'!F55),"",'Top60'!F55)</f>
        <v/>
      </c>
      <c r="W75" s="51"/>
      <c r="X75" s="51"/>
      <c r="Y75" s="52"/>
      <c r="Z75" s="52"/>
      <c r="AA75" s="52"/>
      <c r="AB75" s="52"/>
      <c r="AC75" s="53"/>
      <c r="AD75" s="50" t="str">
        <f>'Top60'!G55</f>
        <v>KKUJAWA</v>
      </c>
      <c r="AE75" s="52"/>
      <c r="AF75" s="53"/>
      <c r="AG75" s="54">
        <f>'Top60'!H55</f>
        <v>700.85</v>
      </c>
      <c r="AH75" s="55"/>
    </row>
    <row r="76" spans="1:34" x14ac:dyDescent="0.25">
      <c r="A76" s="17">
        <f t="shared" si="1"/>
        <v>54</v>
      </c>
      <c r="D76" s="45" t="str">
        <f>'Top60'!B56</f>
        <v>1-3124215605</v>
      </c>
      <c r="E76" s="45"/>
      <c r="F76" s="45">
        <f>'Top60'!C56</f>
        <v>11109632</v>
      </c>
      <c r="G76" s="45"/>
      <c r="H76" s="46" t="str">
        <f>IF(ISBLANK('Top60'!D56),"",'Top60'!D56)</f>
        <v>No Valid WT #</v>
      </c>
      <c r="I76" s="47"/>
      <c r="J76" s="48"/>
      <c r="K76" s="48"/>
      <c r="L76" s="49"/>
      <c r="M76" s="50" t="str">
        <f>IF(ISBLANK('Top60'!E56),"",'Top60'!E56)</f>
        <v/>
      </c>
      <c r="N76" s="51"/>
      <c r="O76" s="51"/>
      <c r="P76" s="51"/>
      <c r="Q76" s="48"/>
      <c r="R76" s="48"/>
      <c r="S76" s="48"/>
      <c r="T76" s="48"/>
      <c r="U76" s="49"/>
      <c r="V76" s="50" t="str">
        <f>IF(ISBLANK('Top60'!F56),"",'Top60'!F56)</f>
        <v>Invalid Compass WT</v>
      </c>
      <c r="W76" s="51"/>
      <c r="X76" s="51"/>
      <c r="Y76" s="52"/>
      <c r="Z76" s="52"/>
      <c r="AA76" s="52"/>
      <c r="AB76" s="52"/>
      <c r="AC76" s="53"/>
      <c r="AD76" s="50" t="str">
        <f>'Top60'!G56</f>
        <v>JSIMPSON</v>
      </c>
      <c r="AE76" s="52"/>
      <c r="AF76" s="53"/>
      <c r="AG76" s="54">
        <f>'Top60'!H56</f>
        <v>695.61</v>
      </c>
      <c r="AH76" s="55"/>
    </row>
    <row r="77" spans="1:34" x14ac:dyDescent="0.25">
      <c r="A77" s="17">
        <f t="shared" si="1"/>
        <v>55</v>
      </c>
      <c r="D77" s="45" t="str">
        <f>'Top60'!B57</f>
        <v>1-2945077551</v>
      </c>
      <c r="E77" s="45"/>
      <c r="F77" s="45">
        <f>'Top60'!C57</f>
        <v>11260663</v>
      </c>
      <c r="G77" s="45"/>
      <c r="H77" s="46" t="str">
        <f>IF(ISBLANK('Top60'!D57),"",'Top60'!D57)</f>
        <v/>
      </c>
      <c r="I77" s="47"/>
      <c r="J77" s="48"/>
      <c r="K77" s="48"/>
      <c r="L77" s="49"/>
      <c r="M77" s="50" t="str">
        <f>IF(ISBLANK('Top60'!E57),"",'Top60'!E57)</f>
        <v/>
      </c>
      <c r="N77" s="51"/>
      <c r="O77" s="51"/>
      <c r="P77" s="51"/>
      <c r="Q77" s="48"/>
      <c r="R77" s="48"/>
      <c r="S77" s="48"/>
      <c r="T77" s="48"/>
      <c r="U77" s="49"/>
      <c r="V77" s="50" t="str">
        <f>IF(ISBLANK('Top60'!F57),"",'Top60'!F57)</f>
        <v/>
      </c>
      <c r="W77" s="51"/>
      <c r="X77" s="51"/>
      <c r="Y77" s="52"/>
      <c r="Z77" s="52"/>
      <c r="AA77" s="52"/>
      <c r="AB77" s="52"/>
      <c r="AC77" s="53"/>
      <c r="AD77" s="50" t="str">
        <f>'Top60'!G57</f>
        <v>SWAGGENER</v>
      </c>
      <c r="AE77" s="52"/>
      <c r="AF77" s="53"/>
      <c r="AG77" s="54">
        <f>'Top60'!H57</f>
        <v>685.3</v>
      </c>
      <c r="AH77" s="55"/>
    </row>
    <row r="78" spans="1:34" x14ac:dyDescent="0.25">
      <c r="A78" s="17">
        <f t="shared" si="1"/>
        <v>56</v>
      </c>
      <c r="D78" s="45" t="str">
        <f>'Top60'!B58</f>
        <v>1-2290495032</v>
      </c>
      <c r="E78" s="45"/>
      <c r="F78" s="45">
        <f>'Top60'!C58</f>
        <v>8402063</v>
      </c>
      <c r="G78" s="45"/>
      <c r="H78" s="46" t="str">
        <f>IF(ISBLANK('Top60'!D58),"",'Top60'!D58)</f>
        <v>Valid WT # Exists</v>
      </c>
      <c r="I78" s="47"/>
      <c r="J78" s="48"/>
      <c r="K78" s="48"/>
      <c r="L78" s="49"/>
      <c r="M78" s="50" t="str">
        <f>IF(ISBLANK('Top60'!E58),"",'Top60'!E58)</f>
        <v>Submit Task Completion</v>
      </c>
      <c r="N78" s="51"/>
      <c r="O78" s="51"/>
      <c r="P78" s="51"/>
      <c r="Q78" s="48"/>
      <c r="R78" s="48"/>
      <c r="S78" s="48"/>
      <c r="T78" s="48"/>
      <c r="U78" s="49"/>
      <c r="V78" s="50" t="str">
        <f>IF(ISBLANK('Top60'!F58),"",'Top60'!F58)</f>
        <v>Submit invoice</v>
      </c>
      <c r="W78" s="51"/>
      <c r="X78" s="51"/>
      <c r="Y78" s="52"/>
      <c r="Z78" s="52"/>
      <c r="AA78" s="52"/>
      <c r="AB78" s="52"/>
      <c r="AC78" s="53"/>
      <c r="AD78" s="50" t="str">
        <f>'Top60'!G58</f>
        <v>JSIMPSON</v>
      </c>
      <c r="AE78" s="52"/>
      <c r="AF78" s="53"/>
      <c r="AG78" s="54">
        <f>'Top60'!H58</f>
        <v>685.28</v>
      </c>
      <c r="AH78" s="55"/>
    </row>
    <row r="79" spans="1:34" x14ac:dyDescent="0.25">
      <c r="A79" s="17">
        <f t="shared" si="1"/>
        <v>57</v>
      </c>
      <c r="D79" s="45" t="str">
        <f>'Top60'!B59</f>
        <v>1-2945077847</v>
      </c>
      <c r="E79" s="45"/>
      <c r="F79" s="45">
        <f>'Top60'!C59</f>
        <v>10726779</v>
      </c>
      <c r="G79" s="45"/>
      <c r="H79" s="46" t="str">
        <f>IF(ISBLANK('Top60'!D59),"",'Top60'!D59)</f>
        <v/>
      </c>
      <c r="I79" s="47"/>
      <c r="J79" s="48"/>
      <c r="K79" s="48"/>
      <c r="L79" s="49"/>
      <c r="M79" s="50" t="str">
        <f>IF(ISBLANK('Top60'!E59),"",'Top60'!E59)</f>
        <v/>
      </c>
      <c r="N79" s="51"/>
      <c r="O79" s="51"/>
      <c r="P79" s="51"/>
      <c r="Q79" s="48"/>
      <c r="R79" s="48"/>
      <c r="S79" s="48"/>
      <c r="T79" s="48"/>
      <c r="U79" s="49"/>
      <c r="V79" s="50" t="str">
        <f>IF(ISBLANK('Top60'!F59),"",'Top60'!F59)</f>
        <v/>
      </c>
      <c r="W79" s="51"/>
      <c r="X79" s="51"/>
      <c r="Y79" s="52"/>
      <c r="Z79" s="52"/>
      <c r="AA79" s="52"/>
      <c r="AB79" s="52"/>
      <c r="AC79" s="53"/>
      <c r="AD79" s="50" t="str">
        <f>'Top60'!G59</f>
        <v>SWAGGENER</v>
      </c>
      <c r="AE79" s="52"/>
      <c r="AF79" s="53"/>
      <c r="AG79" s="54">
        <f>'Top60'!H59</f>
        <v>680.94</v>
      </c>
      <c r="AH79" s="55"/>
    </row>
    <row r="80" spans="1:34" x14ac:dyDescent="0.25">
      <c r="A80" s="17">
        <f t="shared" si="1"/>
        <v>58</v>
      </c>
      <c r="D80" s="45" t="str">
        <f>'Top60'!B60</f>
        <v>1-2945077943</v>
      </c>
      <c r="E80" s="45"/>
      <c r="F80" s="45">
        <f>'Top60'!C60</f>
        <v>10900323</v>
      </c>
      <c r="G80" s="45"/>
      <c r="H80" s="46" t="str">
        <f>IF(ISBLANK('Top60'!D60),"",'Top60'!D60)</f>
        <v/>
      </c>
      <c r="I80" s="47"/>
      <c r="J80" s="48"/>
      <c r="K80" s="48"/>
      <c r="L80" s="49"/>
      <c r="M80" s="50" t="str">
        <f>IF(ISBLANK('Top60'!E60),"",'Top60'!E60)</f>
        <v/>
      </c>
      <c r="N80" s="51"/>
      <c r="O80" s="51"/>
      <c r="P80" s="51"/>
      <c r="Q80" s="48"/>
      <c r="R80" s="48"/>
      <c r="S80" s="48"/>
      <c r="T80" s="48"/>
      <c r="U80" s="49"/>
      <c r="V80" s="50" t="str">
        <f>IF(ISBLANK('Top60'!F60),"",'Top60'!F60)</f>
        <v/>
      </c>
      <c r="W80" s="51"/>
      <c r="X80" s="51"/>
      <c r="Y80" s="52"/>
      <c r="Z80" s="52"/>
      <c r="AA80" s="52"/>
      <c r="AB80" s="52"/>
      <c r="AC80" s="53"/>
      <c r="AD80" s="50" t="str">
        <f>'Top60'!G60</f>
        <v>KVICTOR</v>
      </c>
      <c r="AE80" s="52"/>
      <c r="AF80" s="53"/>
      <c r="AG80" s="54">
        <f>'Top60'!H60</f>
        <v>680</v>
      </c>
      <c r="AH80" s="55"/>
    </row>
    <row r="81" spans="1:34" x14ac:dyDescent="0.25">
      <c r="A81" s="17">
        <f t="shared" si="1"/>
        <v>59</v>
      </c>
      <c r="D81" s="45" t="str">
        <f>'Top60'!B61</f>
        <v>1-2945077271</v>
      </c>
      <c r="E81" s="45"/>
      <c r="F81" s="45">
        <f>'Top60'!C61</f>
        <v>10901685</v>
      </c>
      <c r="G81" s="45"/>
      <c r="H81" s="46" t="str">
        <f>IF(ISBLANK('Top60'!D61),"",'Top60'!D61)</f>
        <v/>
      </c>
      <c r="I81" s="47"/>
      <c r="J81" s="48"/>
      <c r="K81" s="48"/>
      <c r="L81" s="49"/>
      <c r="M81" s="50" t="str">
        <f>IF(ISBLANK('Top60'!E61),"",'Top60'!E61)</f>
        <v/>
      </c>
      <c r="N81" s="51"/>
      <c r="O81" s="51"/>
      <c r="P81" s="51"/>
      <c r="Q81" s="48"/>
      <c r="R81" s="48"/>
      <c r="S81" s="48"/>
      <c r="T81" s="48"/>
      <c r="U81" s="49"/>
      <c r="V81" s="50" t="str">
        <f>IF(ISBLANK('Top60'!F61),"",'Top60'!F61)</f>
        <v/>
      </c>
      <c r="W81" s="51"/>
      <c r="X81" s="51"/>
      <c r="Y81" s="52"/>
      <c r="Z81" s="52"/>
      <c r="AA81" s="52"/>
      <c r="AB81" s="52"/>
      <c r="AC81" s="53"/>
      <c r="AD81" s="50" t="str">
        <f>'Top60'!G61</f>
        <v>KVICTOR</v>
      </c>
      <c r="AE81" s="52"/>
      <c r="AF81" s="53"/>
      <c r="AG81" s="54">
        <f>'Top60'!H61</f>
        <v>680</v>
      </c>
      <c r="AH81" s="55"/>
    </row>
    <row r="82" spans="1:34" x14ac:dyDescent="0.25">
      <c r="A82" s="17">
        <f t="shared" si="1"/>
        <v>60</v>
      </c>
      <c r="D82" s="45" t="str">
        <f>'Top60'!B62</f>
        <v>1-2945077927</v>
      </c>
      <c r="E82" s="45"/>
      <c r="F82" s="45">
        <f>'Top60'!C62</f>
        <v>10906587</v>
      </c>
      <c r="G82" s="45"/>
      <c r="H82" s="46" t="str">
        <f>IF(ISBLANK('Top60'!D62),"",'Top60'!D62)</f>
        <v/>
      </c>
      <c r="I82" s="47"/>
      <c r="J82" s="48"/>
      <c r="K82" s="48"/>
      <c r="L82" s="49"/>
      <c r="M82" s="50" t="str">
        <f>IF(ISBLANK('Top60'!E62),"",'Top60'!E62)</f>
        <v/>
      </c>
      <c r="N82" s="51"/>
      <c r="O82" s="51"/>
      <c r="P82" s="51"/>
      <c r="Q82" s="48"/>
      <c r="R82" s="48"/>
      <c r="S82" s="48"/>
      <c r="T82" s="48"/>
      <c r="U82" s="49"/>
      <c r="V82" s="50" t="str">
        <f>IF(ISBLANK('Top60'!F62),"",'Top60'!F62)</f>
        <v/>
      </c>
      <c r="W82" s="51"/>
      <c r="X82" s="51"/>
      <c r="Y82" s="52"/>
      <c r="Z82" s="52"/>
      <c r="AA82" s="52"/>
      <c r="AB82" s="52"/>
      <c r="AC82" s="53"/>
      <c r="AD82" s="50" t="str">
        <f>'Top60'!G62</f>
        <v>KVICTOR</v>
      </c>
      <c r="AE82" s="52"/>
      <c r="AF82" s="53"/>
      <c r="AG82" s="54">
        <f>'Top60'!H62</f>
        <v>680</v>
      </c>
      <c r="AH82" s="55"/>
    </row>
  </sheetData>
  <mergeCells count="461">
    <mergeCell ref="D66:E66"/>
    <mergeCell ref="F66:G66"/>
    <mergeCell ref="D65:E65"/>
    <mergeCell ref="F65:G65"/>
    <mergeCell ref="H65:L65"/>
    <mergeCell ref="H66:L66"/>
    <mergeCell ref="M65:U65"/>
    <mergeCell ref="M66:U66"/>
    <mergeCell ref="D67:E67"/>
    <mergeCell ref="F67:G67"/>
    <mergeCell ref="H67:L67"/>
    <mergeCell ref="M67:U67"/>
    <mergeCell ref="D62:E62"/>
    <mergeCell ref="F62:G62"/>
    <mergeCell ref="D61:E61"/>
    <mergeCell ref="F61:G61"/>
    <mergeCell ref="H61:L61"/>
    <mergeCell ref="H62:L62"/>
    <mergeCell ref="M61:U61"/>
    <mergeCell ref="M62:U62"/>
    <mergeCell ref="D64:E64"/>
    <mergeCell ref="F64:G64"/>
    <mergeCell ref="D63:E63"/>
    <mergeCell ref="F63:G63"/>
    <mergeCell ref="H63:L63"/>
    <mergeCell ref="H64:L64"/>
    <mergeCell ref="M63:U63"/>
    <mergeCell ref="M64:U64"/>
    <mergeCell ref="D58:E58"/>
    <mergeCell ref="F58:G58"/>
    <mergeCell ref="D57:E57"/>
    <mergeCell ref="F57:G57"/>
    <mergeCell ref="H57:L57"/>
    <mergeCell ref="H58:L58"/>
    <mergeCell ref="M57:U57"/>
    <mergeCell ref="M58:U58"/>
    <mergeCell ref="D60:E60"/>
    <mergeCell ref="F60:G60"/>
    <mergeCell ref="D59:E59"/>
    <mergeCell ref="F59:G59"/>
    <mergeCell ref="H59:L59"/>
    <mergeCell ref="H60:L60"/>
    <mergeCell ref="M59:U59"/>
    <mergeCell ref="M60:U60"/>
    <mergeCell ref="H53:L53"/>
    <mergeCell ref="H54:L54"/>
    <mergeCell ref="M53:U53"/>
    <mergeCell ref="M54:U54"/>
    <mergeCell ref="D56:E56"/>
    <mergeCell ref="F56:G56"/>
    <mergeCell ref="D55:E55"/>
    <mergeCell ref="F55:G55"/>
    <mergeCell ref="H55:L55"/>
    <mergeCell ref="H56:L56"/>
    <mergeCell ref="M55:U55"/>
    <mergeCell ref="M56:U56"/>
    <mergeCell ref="D30:E30"/>
    <mergeCell ref="F30:G30"/>
    <mergeCell ref="D29:E29"/>
    <mergeCell ref="F29:G29"/>
    <mergeCell ref="D32:E32"/>
    <mergeCell ref="F32:G32"/>
    <mergeCell ref="D31:E31"/>
    <mergeCell ref="F31:G31"/>
    <mergeCell ref="D54:E54"/>
    <mergeCell ref="F54:G54"/>
    <mergeCell ref="D53:E53"/>
    <mergeCell ref="F53:G53"/>
    <mergeCell ref="D33:E33"/>
    <mergeCell ref="F33:G33"/>
    <mergeCell ref="D36:E36"/>
    <mergeCell ref="F36:G36"/>
    <mergeCell ref="D46:E46"/>
    <mergeCell ref="F46:G46"/>
    <mergeCell ref="D45:E45"/>
    <mergeCell ref="F45:G45"/>
    <mergeCell ref="D44:E44"/>
    <mergeCell ref="F44:G44"/>
    <mergeCell ref="D43:E43"/>
    <mergeCell ref="F43:G43"/>
    <mergeCell ref="AG20:AH20"/>
    <mergeCell ref="B2:B7"/>
    <mergeCell ref="F23:G23"/>
    <mergeCell ref="D22:E22"/>
    <mergeCell ref="F22:G22"/>
    <mergeCell ref="H22:L22"/>
    <mergeCell ref="H23:L23"/>
    <mergeCell ref="M22:U22"/>
    <mergeCell ref="M23:U23"/>
    <mergeCell ref="D23:E23"/>
    <mergeCell ref="AG23:AH23"/>
    <mergeCell ref="AG22:AH22"/>
    <mergeCell ref="B10:M19"/>
    <mergeCell ref="U10:AF19"/>
    <mergeCell ref="D4:E5"/>
    <mergeCell ref="H4:I5"/>
    <mergeCell ref="H33:L33"/>
    <mergeCell ref="M33:U33"/>
    <mergeCell ref="AA20:AC20"/>
    <mergeCell ref="AD32:AF32"/>
    <mergeCell ref="H24:L24"/>
    <mergeCell ref="H25:L25"/>
    <mergeCell ref="H26:L26"/>
    <mergeCell ref="H27:L27"/>
    <mergeCell ref="H28:L28"/>
    <mergeCell ref="H29:L29"/>
    <mergeCell ref="H30:L30"/>
    <mergeCell ref="H31:L31"/>
    <mergeCell ref="H32:L32"/>
    <mergeCell ref="AD22:AF22"/>
    <mergeCell ref="AD23:AF23"/>
    <mergeCell ref="D24:E24"/>
    <mergeCell ref="F24:G24"/>
    <mergeCell ref="D26:E26"/>
    <mergeCell ref="F26:G26"/>
    <mergeCell ref="D25:E25"/>
    <mergeCell ref="F25:G25"/>
    <mergeCell ref="D28:E28"/>
    <mergeCell ref="F28:G28"/>
    <mergeCell ref="D27:E27"/>
    <mergeCell ref="F27:G27"/>
    <mergeCell ref="H36:L36"/>
    <mergeCell ref="M36:U36"/>
    <mergeCell ref="D35:E35"/>
    <mergeCell ref="F35:G35"/>
    <mergeCell ref="H35:L35"/>
    <mergeCell ref="M35:U35"/>
    <mergeCell ref="D34:E34"/>
    <mergeCell ref="F34:G34"/>
    <mergeCell ref="H34:L34"/>
    <mergeCell ref="M34:U34"/>
    <mergeCell ref="V40:AC40"/>
    <mergeCell ref="D38:E38"/>
    <mergeCell ref="F38:G38"/>
    <mergeCell ref="H38:L38"/>
    <mergeCell ref="M38:U38"/>
    <mergeCell ref="D37:E37"/>
    <mergeCell ref="F37:G37"/>
    <mergeCell ref="H37:L37"/>
    <mergeCell ref="M37:U37"/>
    <mergeCell ref="D40:E40"/>
    <mergeCell ref="F40:G40"/>
    <mergeCell ref="D42:E42"/>
    <mergeCell ref="F42:G42"/>
    <mergeCell ref="D41:E41"/>
    <mergeCell ref="F41:G41"/>
    <mergeCell ref="D39:E39"/>
    <mergeCell ref="F39:G39"/>
    <mergeCell ref="H39:L39"/>
    <mergeCell ref="H40:L40"/>
    <mergeCell ref="M39:U39"/>
    <mergeCell ref="M40:U40"/>
    <mergeCell ref="H41:L41"/>
    <mergeCell ref="M45:U45"/>
    <mergeCell ref="M46:U46"/>
    <mergeCell ref="M47:U47"/>
    <mergeCell ref="D52:E52"/>
    <mergeCell ref="F52:G52"/>
    <mergeCell ref="H52:L52"/>
    <mergeCell ref="M52:U52"/>
    <mergeCell ref="D51:E51"/>
    <mergeCell ref="F51:G51"/>
    <mergeCell ref="D50:E50"/>
    <mergeCell ref="F50:G50"/>
    <mergeCell ref="H50:L50"/>
    <mergeCell ref="H51:L51"/>
    <mergeCell ref="M50:U50"/>
    <mergeCell ref="M51:U51"/>
    <mergeCell ref="D49:E49"/>
    <mergeCell ref="F49:G49"/>
    <mergeCell ref="D48:E48"/>
    <mergeCell ref="F48:G48"/>
    <mergeCell ref="D47:E47"/>
    <mergeCell ref="F47:G47"/>
    <mergeCell ref="M48:U48"/>
    <mergeCell ref="M49:U49"/>
    <mergeCell ref="M28:U28"/>
    <mergeCell ref="M29:U29"/>
    <mergeCell ref="M30:U30"/>
    <mergeCell ref="M31:U31"/>
    <mergeCell ref="M32:U32"/>
    <mergeCell ref="M41:U41"/>
    <mergeCell ref="M42:U42"/>
    <mergeCell ref="M43:U43"/>
    <mergeCell ref="M44:U44"/>
    <mergeCell ref="AD24:AF24"/>
    <mergeCell ref="AG24:AH24"/>
    <mergeCell ref="AD25:AF25"/>
    <mergeCell ref="AG25:AH25"/>
    <mergeCell ref="AD26:AF26"/>
    <mergeCell ref="AG26:AH26"/>
    <mergeCell ref="AG27:AH27"/>
    <mergeCell ref="AD28:AF28"/>
    <mergeCell ref="AG28:AH28"/>
    <mergeCell ref="AD29:AF29"/>
    <mergeCell ref="AG29:AH29"/>
    <mergeCell ref="AD30:AF30"/>
    <mergeCell ref="AG30:AH30"/>
    <mergeCell ref="AD31:AF31"/>
    <mergeCell ref="AG31:AH31"/>
    <mergeCell ref="AG38:AH38"/>
    <mergeCell ref="AD39:AF39"/>
    <mergeCell ref="AG39:AH39"/>
    <mergeCell ref="AG32:AH32"/>
    <mergeCell ref="AD33:AF33"/>
    <mergeCell ref="AG33:AH33"/>
    <mergeCell ref="AD34:AF34"/>
    <mergeCell ref="AG34:AH34"/>
    <mergeCell ref="AD35:AF35"/>
    <mergeCell ref="AG35:AH35"/>
    <mergeCell ref="AD36:AF36"/>
    <mergeCell ref="AG36:AH36"/>
    <mergeCell ref="AD37:AF37"/>
    <mergeCell ref="AG37:AH37"/>
    <mergeCell ref="AD40:AF40"/>
    <mergeCell ref="AG40:AH40"/>
    <mergeCell ref="AD41:AF41"/>
    <mergeCell ref="AG41:AH41"/>
    <mergeCell ref="AD42:AF42"/>
    <mergeCell ref="AG42:AH42"/>
    <mergeCell ref="AG43:AH43"/>
    <mergeCell ref="AD44:AF44"/>
    <mergeCell ref="AG44:AH44"/>
    <mergeCell ref="AG52:AH52"/>
    <mergeCell ref="AD53:AF53"/>
    <mergeCell ref="AG53:AH53"/>
    <mergeCell ref="AD54:AF54"/>
    <mergeCell ref="AG54:AH54"/>
    <mergeCell ref="AG55:AH55"/>
    <mergeCell ref="AD56:AF56"/>
    <mergeCell ref="AG56:AH56"/>
    <mergeCell ref="AD45:AF45"/>
    <mergeCell ref="AG45:AH45"/>
    <mergeCell ref="AD46:AF46"/>
    <mergeCell ref="AG46:AH46"/>
    <mergeCell ref="AD47:AF47"/>
    <mergeCell ref="AG47:AH47"/>
    <mergeCell ref="AG50:AH50"/>
    <mergeCell ref="AD51:AF51"/>
    <mergeCell ref="AG51:AH51"/>
    <mergeCell ref="AD48:AF48"/>
    <mergeCell ref="AG48:AH48"/>
    <mergeCell ref="AD49:AF49"/>
    <mergeCell ref="AG49:AH49"/>
    <mergeCell ref="AD60:AF60"/>
    <mergeCell ref="V67:AC67"/>
    <mergeCell ref="V50:AC50"/>
    <mergeCell ref="V51:AC51"/>
    <mergeCell ref="AD62:AF62"/>
    <mergeCell ref="AG62:AH62"/>
    <mergeCell ref="AD63:AF63"/>
    <mergeCell ref="AG63:AH63"/>
    <mergeCell ref="AD64:AF64"/>
    <mergeCell ref="AG64:AH64"/>
    <mergeCell ref="AG65:AH65"/>
    <mergeCell ref="AD66:AF66"/>
    <mergeCell ref="AG66:AH66"/>
    <mergeCell ref="AD65:AF65"/>
    <mergeCell ref="AD57:AF57"/>
    <mergeCell ref="AG57:AH57"/>
    <mergeCell ref="AD58:AF58"/>
    <mergeCell ref="AG58:AH58"/>
    <mergeCell ref="AD59:AF59"/>
    <mergeCell ref="AG59:AH59"/>
    <mergeCell ref="AG60:AH60"/>
    <mergeCell ref="AD61:AF61"/>
    <mergeCell ref="AG61:AH61"/>
    <mergeCell ref="AD52:AF52"/>
    <mergeCell ref="AD20:AF20"/>
    <mergeCell ref="V59:AC59"/>
    <mergeCell ref="AD55:AF55"/>
    <mergeCell ref="AD50:AF50"/>
    <mergeCell ref="AD43:AF43"/>
    <mergeCell ref="AD38:AF38"/>
    <mergeCell ref="AD27:AF27"/>
    <mergeCell ref="AD67:AF67"/>
    <mergeCell ref="AG67:AH67"/>
    <mergeCell ref="V22:AC22"/>
    <mergeCell ref="V23:AC23"/>
    <mergeCell ref="V24:AC24"/>
    <mergeCell ref="V25:AC25"/>
    <mergeCell ref="V26:AC26"/>
    <mergeCell ref="V27:AC27"/>
    <mergeCell ref="V28:AC28"/>
    <mergeCell ref="V29:AC29"/>
    <mergeCell ref="V30:AC30"/>
    <mergeCell ref="V31:AC31"/>
    <mergeCell ref="V32:AC32"/>
    <mergeCell ref="V33:AC33"/>
    <mergeCell ref="V34:AC34"/>
    <mergeCell ref="V35:AC35"/>
    <mergeCell ref="V36:AC36"/>
    <mergeCell ref="V61:AC61"/>
    <mergeCell ref="V62:AC62"/>
    <mergeCell ref="V63:AC63"/>
    <mergeCell ref="V64:AC64"/>
    <mergeCell ref="V65:AC65"/>
    <mergeCell ref="V66:AC66"/>
    <mergeCell ref="V41:AC41"/>
    <mergeCell ref="V42:AC42"/>
    <mergeCell ref="V43:AC43"/>
    <mergeCell ref="V44:AC44"/>
    <mergeCell ref="V45:AC45"/>
    <mergeCell ref="V46:AC46"/>
    <mergeCell ref="V47:AC47"/>
    <mergeCell ref="V48:AC48"/>
    <mergeCell ref="V49:AC49"/>
    <mergeCell ref="V52:AC52"/>
    <mergeCell ref="V53:AC53"/>
    <mergeCell ref="V54:AC54"/>
    <mergeCell ref="V55:AC55"/>
    <mergeCell ref="V56:AC56"/>
    <mergeCell ref="V57:AC57"/>
    <mergeCell ref="V58:AC58"/>
    <mergeCell ref="U6:V7"/>
    <mergeCell ref="Z4:Z5"/>
    <mergeCell ref="W6:X7"/>
    <mergeCell ref="Y6:Z7"/>
    <mergeCell ref="L4:M5"/>
    <mergeCell ref="P4:Q5"/>
    <mergeCell ref="T4:U5"/>
    <mergeCell ref="X4:Y5"/>
    <mergeCell ref="V60:AC60"/>
    <mergeCell ref="V37:AC37"/>
    <mergeCell ref="V38:AC38"/>
    <mergeCell ref="V39:AC39"/>
    <mergeCell ref="H42:L42"/>
    <mergeCell ref="H43:L43"/>
    <mergeCell ref="H44:L44"/>
    <mergeCell ref="H45:L45"/>
    <mergeCell ref="H46:L46"/>
    <mergeCell ref="H47:L47"/>
    <mergeCell ref="H48:L48"/>
    <mergeCell ref="H49:L49"/>
    <mergeCell ref="M24:U24"/>
    <mergeCell ref="M25:U25"/>
    <mergeCell ref="M26:U26"/>
    <mergeCell ref="M27:U27"/>
    <mergeCell ref="AD4:AD5"/>
    <mergeCell ref="AA6:AB7"/>
    <mergeCell ref="AC6:AD7"/>
    <mergeCell ref="D68:E68"/>
    <mergeCell ref="F68:G68"/>
    <mergeCell ref="H68:L68"/>
    <mergeCell ref="M68:U68"/>
    <mergeCell ref="V68:AC68"/>
    <mergeCell ref="AD68:AF68"/>
    <mergeCell ref="AB4:AC5"/>
    <mergeCell ref="C6:D7"/>
    <mergeCell ref="F4:F5"/>
    <mergeCell ref="E6:F7"/>
    <mergeCell ref="J4:J5"/>
    <mergeCell ref="G6:H7"/>
    <mergeCell ref="I6:J7"/>
    <mergeCell ref="N4:N5"/>
    <mergeCell ref="K6:L7"/>
    <mergeCell ref="M6:N7"/>
    <mergeCell ref="R4:R5"/>
    <mergeCell ref="O6:P7"/>
    <mergeCell ref="Q6:R7"/>
    <mergeCell ref="V4:V5"/>
    <mergeCell ref="S6:T7"/>
    <mergeCell ref="AG68:AH68"/>
    <mergeCell ref="D69:E69"/>
    <mergeCell ref="F69:G69"/>
    <mergeCell ref="H69:L69"/>
    <mergeCell ref="M69:U69"/>
    <mergeCell ref="V69:AC69"/>
    <mergeCell ref="AD69:AF69"/>
    <mergeCell ref="AG69:AH69"/>
    <mergeCell ref="D70:E70"/>
    <mergeCell ref="F70:G70"/>
    <mergeCell ref="H70:L70"/>
    <mergeCell ref="M70:U70"/>
    <mergeCell ref="V70:AC70"/>
    <mergeCell ref="AD70:AF70"/>
    <mergeCell ref="AG70:AH70"/>
    <mergeCell ref="D71:E71"/>
    <mergeCell ref="F71:G71"/>
    <mergeCell ref="H71:L71"/>
    <mergeCell ref="M71:U71"/>
    <mergeCell ref="V71:AC71"/>
    <mergeCell ref="AD71:AF71"/>
    <mergeCell ref="AG71:AH71"/>
    <mergeCell ref="D72:E72"/>
    <mergeCell ref="F72:G72"/>
    <mergeCell ref="H72:L72"/>
    <mergeCell ref="M72:U72"/>
    <mergeCell ref="V72:AC72"/>
    <mergeCell ref="AD72:AF72"/>
    <mergeCell ref="AG72:AH72"/>
    <mergeCell ref="D73:E73"/>
    <mergeCell ref="F73:G73"/>
    <mergeCell ref="H73:L73"/>
    <mergeCell ref="M73:U73"/>
    <mergeCell ref="V73:AC73"/>
    <mergeCell ref="AD73:AF73"/>
    <mergeCell ref="AG73:AH73"/>
    <mergeCell ref="D74:E74"/>
    <mergeCell ref="F74:G74"/>
    <mergeCell ref="H74:L74"/>
    <mergeCell ref="M74:U74"/>
    <mergeCell ref="V74:AC74"/>
    <mergeCell ref="AD74:AF74"/>
    <mergeCell ref="AG74:AH74"/>
    <mergeCell ref="D75:E75"/>
    <mergeCell ref="F75:G75"/>
    <mergeCell ref="H75:L75"/>
    <mergeCell ref="M75:U75"/>
    <mergeCell ref="V75:AC75"/>
    <mergeCell ref="AD75:AF75"/>
    <mergeCell ref="AG75:AH75"/>
    <mergeCell ref="D76:E76"/>
    <mergeCell ref="F76:G76"/>
    <mergeCell ref="H76:L76"/>
    <mergeCell ref="M76:U76"/>
    <mergeCell ref="V76:AC76"/>
    <mergeCell ref="AD76:AF76"/>
    <mergeCell ref="AG76:AH76"/>
    <mergeCell ref="D77:E77"/>
    <mergeCell ref="F77:G77"/>
    <mergeCell ref="H77:L77"/>
    <mergeCell ref="M77:U77"/>
    <mergeCell ref="V77:AC77"/>
    <mergeCell ref="AD77:AF77"/>
    <mergeCell ref="AG77:AH77"/>
    <mergeCell ref="D78:E78"/>
    <mergeCell ref="F78:G78"/>
    <mergeCell ref="H78:L78"/>
    <mergeCell ref="M78:U78"/>
    <mergeCell ref="V78:AC78"/>
    <mergeCell ref="AD78:AF78"/>
    <mergeCell ref="AG78:AH78"/>
    <mergeCell ref="D79:E79"/>
    <mergeCell ref="F79:G79"/>
    <mergeCell ref="H79:L79"/>
    <mergeCell ref="M79:U79"/>
    <mergeCell ref="V79:AC79"/>
    <mergeCell ref="AD79:AF79"/>
    <mergeCell ref="AG79:AH79"/>
    <mergeCell ref="D80:E80"/>
    <mergeCell ref="F80:G80"/>
    <mergeCell ref="H80:L80"/>
    <mergeCell ref="M80:U80"/>
    <mergeCell ref="V80:AC80"/>
    <mergeCell ref="AD80:AF80"/>
    <mergeCell ref="AG80:AH80"/>
    <mergeCell ref="D81:E81"/>
    <mergeCell ref="F81:G81"/>
    <mergeCell ref="H81:L81"/>
    <mergeCell ref="M81:U81"/>
    <mergeCell ref="V81:AC81"/>
    <mergeCell ref="AD81:AF81"/>
    <mergeCell ref="AG81:AH81"/>
    <mergeCell ref="D82:E82"/>
    <mergeCell ref="F82:G82"/>
    <mergeCell ref="H82:L82"/>
    <mergeCell ref="M82:U82"/>
    <mergeCell ref="V82:AC82"/>
    <mergeCell ref="AD82:AF82"/>
    <mergeCell ref="AG82:AH8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8F1CE123-9C8B-4137-BB50-AEAEE54B850E}">
            <xm:f>Calculations!$D$3&gt;Calculations!$E$3</xm:f>
            <x14:dxf>
              <font>
                <color rgb="FFFF0000"/>
              </font>
            </x14:dxf>
          </x14:cfRule>
          <xm:sqref>F4</xm:sqref>
        </x14:conditionalFormatting>
        <x14:conditionalFormatting xmlns:xm="http://schemas.microsoft.com/office/excel/2006/main">
          <x14:cfRule type="expression" priority="6" id="{DDA5BA0D-D177-42B3-830E-E5924E6D1D66}">
            <xm:f>Calculations!$D$5&gt;Calculations!$E$5</xm:f>
            <x14:dxf>
              <font>
                <color rgb="FFFF0000"/>
              </font>
            </x14:dxf>
          </x14:cfRule>
          <xm:sqref>J4</xm:sqref>
        </x14:conditionalFormatting>
        <x14:conditionalFormatting xmlns:xm="http://schemas.microsoft.com/office/excel/2006/main">
          <x14:cfRule type="expression" priority="5" id="{A633AB59-0922-4D8C-96BC-8EDC8E16E220}">
            <xm:f>Calculations!$D$6&gt;Calculations!$E$6</xm:f>
            <x14:dxf>
              <font>
                <color rgb="FFFF0000"/>
              </font>
            </x14:dxf>
          </x14:cfRule>
          <xm:sqref>N4</xm:sqref>
        </x14:conditionalFormatting>
        <x14:conditionalFormatting xmlns:xm="http://schemas.microsoft.com/office/excel/2006/main">
          <x14:cfRule type="expression" priority="4" id="{B4DADB48-2AD0-4AC2-98B7-A75874B8E0DC}">
            <xm:f>Calculations!$D$7&gt;Calculations!$E$7</xm:f>
            <x14:dxf>
              <font>
                <color rgb="FFFF0000"/>
              </font>
            </x14:dxf>
          </x14:cfRule>
          <xm:sqref>R4</xm:sqref>
        </x14:conditionalFormatting>
        <x14:conditionalFormatting xmlns:xm="http://schemas.microsoft.com/office/excel/2006/main">
          <x14:cfRule type="expression" priority="3" id="{73301356-2963-48FA-9985-3079C020BFFB}">
            <xm:f>Calculations!$D$8&gt;Calculations!$E$8</xm:f>
            <x14:dxf>
              <font>
                <color rgb="FFFF0000"/>
              </font>
            </x14:dxf>
          </x14:cfRule>
          <xm:sqref>V4</xm:sqref>
        </x14:conditionalFormatting>
        <x14:conditionalFormatting xmlns:xm="http://schemas.microsoft.com/office/excel/2006/main">
          <x14:cfRule type="expression" priority="2" id="{8FEC9BBE-E6C0-4BE1-8733-8AB3F4FCF08C}">
            <xm:f>Calculations!$D$9&gt;Calculations!$E$9</xm:f>
            <x14:dxf>
              <font>
                <color rgb="FFFF0000"/>
              </font>
            </x14:dxf>
          </x14:cfRule>
          <xm:sqref>Z4</xm:sqref>
        </x14:conditionalFormatting>
        <x14:conditionalFormatting xmlns:xm="http://schemas.microsoft.com/office/excel/2006/main">
          <x14:cfRule type="expression" priority="1" id="{1464D33D-9F95-4A88-8A02-3D2BA59AFEF2}">
            <xm:f>Calculations!$D$10&gt;Calculations!$E$10</xm:f>
            <x14:dxf>
              <font>
                <color rgb="FFFF0000"/>
              </font>
            </x14:dxf>
          </x14:cfRule>
          <xm:sqref>AD4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Calculations!I16:S16</xm:f>
              <xm:sqref>J8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Calculations!I14:S14</xm:f>
              <xm:sqref>F8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Calculations!I17:S17</xm:f>
              <xm:sqref>N8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Calculations!I18:S18</xm:f>
              <xm:sqref>R8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Calculations!I19:S19</xm:f>
              <xm:sqref>V8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Calculations!I20:S20</xm:f>
              <xm:sqref>Z8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Calculations!I21:S21</xm:f>
              <xm:sqref>AD8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2:T100"/>
  <sheetViews>
    <sheetView tabSelected="1" topLeftCell="A12" workbookViewId="0">
      <selection activeCell="J29" sqref="J29"/>
    </sheetView>
  </sheetViews>
  <sheetFormatPr defaultRowHeight="15" x14ac:dyDescent="0.25"/>
  <cols>
    <col min="3" max="3" width="23.140625" bestFit="1" customWidth="1"/>
    <col min="4" max="7" width="12.7109375" customWidth="1"/>
    <col min="8" max="8" width="23.140625" customWidth="1"/>
    <col min="9" max="9" width="16.28515625" customWidth="1"/>
    <col min="10" max="19" width="10" customWidth="1"/>
    <col min="20" max="20" width="11.28515625" bestFit="1" customWidth="1"/>
  </cols>
  <sheetData>
    <row r="2" spans="3:20" x14ac:dyDescent="0.25">
      <c r="C2" s="21" t="s">
        <v>126</v>
      </c>
      <c r="D2" s="22">
        <v>43215</v>
      </c>
      <c r="E2" s="22">
        <v>43215</v>
      </c>
      <c r="F2" s="23" t="s">
        <v>125</v>
      </c>
      <c r="G2" s="21" t="s">
        <v>123</v>
      </c>
      <c r="H2" s="21" t="s">
        <v>124</v>
      </c>
    </row>
    <row r="3" spans="3:20" ht="15" customHeight="1" x14ac:dyDescent="0.25">
      <c r="C3" s="21" t="s">
        <v>84</v>
      </c>
      <c r="D3" s="24">
        <f>SUM(D5:D10)</f>
        <v>223655.89</v>
      </c>
      <c r="E3" s="24">
        <v>223655.89</v>
      </c>
      <c r="F3" s="25" t="str">
        <f t="shared" ref="F3:F10" si="0">IF(D3=E3,"▬",IF(D3&gt;E3,"▲","▼"))</f>
        <v>▬</v>
      </c>
      <c r="G3" s="26">
        <f>D3-E3</f>
        <v>0</v>
      </c>
      <c r="H3" s="27">
        <f>G3/E3</f>
        <v>0</v>
      </c>
      <c r="I3" t="str">
        <f t="shared" ref="I3:I10" si="1">C3&amp;CHAR(10)&amp;D3&amp;CHAR(10)&amp;F3</f>
        <v>West Total
223655.89
▬</v>
      </c>
      <c r="J3" s="15" t="s">
        <v>86</v>
      </c>
      <c r="K3" s="16" t="str">
        <f>C3</f>
        <v>West Total</v>
      </c>
      <c r="L3" s="16">
        <f>$D3-$E3</f>
        <v>0</v>
      </c>
    </row>
    <row r="4" spans="3:20" ht="15" customHeight="1" x14ac:dyDescent="0.25">
      <c r="C4" s="21" t="s">
        <v>92</v>
      </c>
      <c r="D4" s="24">
        <f>SUM(D5:D6)</f>
        <v>134562.78000000003</v>
      </c>
      <c r="E4" s="24">
        <v>134562.78000000003</v>
      </c>
      <c r="F4" s="25" t="str">
        <f t="shared" si="0"/>
        <v>▬</v>
      </c>
      <c r="G4" s="26">
        <f t="shared" ref="G4:G10" si="2">D4-E4</f>
        <v>0</v>
      </c>
      <c r="H4" s="27">
        <f t="shared" ref="H4:H10" si="3">G4/E4</f>
        <v>0</v>
      </c>
      <c r="I4" t="str">
        <f t="shared" si="1"/>
        <v>Starbucks Total
134562.78
▬</v>
      </c>
      <c r="J4" s="15" t="s">
        <v>86</v>
      </c>
      <c r="K4" s="16" t="str">
        <f t="shared" ref="K4:K10" si="4">C4</f>
        <v>Starbucks Total</v>
      </c>
      <c r="L4" s="16">
        <f t="shared" ref="L4:L10" si="5">$D4-$E4</f>
        <v>0</v>
      </c>
    </row>
    <row r="5" spans="3:20" ht="15" customHeight="1" x14ac:dyDescent="0.25">
      <c r="C5" s="21" t="s">
        <v>91</v>
      </c>
      <c r="D5" s="28">
        <v>92374.750000000015</v>
      </c>
      <c r="E5" s="24">
        <v>92374.750000000015</v>
      </c>
      <c r="F5" s="25" t="str">
        <f t="shared" si="0"/>
        <v>▬</v>
      </c>
      <c r="G5" s="26">
        <f t="shared" si="2"/>
        <v>0</v>
      </c>
      <c r="H5" s="27">
        <f t="shared" si="3"/>
        <v>0</v>
      </c>
      <c r="I5" t="str">
        <f t="shared" si="1"/>
        <v>Starbucks Service Center
92374.75
▬</v>
      </c>
      <c r="J5" s="15" t="s">
        <v>86</v>
      </c>
      <c r="K5" s="16" t="str">
        <f t="shared" si="4"/>
        <v>Starbucks Service Center</v>
      </c>
      <c r="L5" s="16">
        <f t="shared" si="5"/>
        <v>0</v>
      </c>
    </row>
    <row r="6" spans="3:20" ht="15" customHeight="1" x14ac:dyDescent="0.25">
      <c r="C6" s="21" t="s">
        <v>90</v>
      </c>
      <c r="D6" s="28">
        <v>42188.03</v>
      </c>
      <c r="E6" s="24">
        <v>42188.03</v>
      </c>
      <c r="F6" s="25" t="str">
        <f t="shared" si="0"/>
        <v>▬</v>
      </c>
      <c r="G6" s="26">
        <f t="shared" si="2"/>
        <v>0</v>
      </c>
      <c r="H6" s="27">
        <f t="shared" si="3"/>
        <v>0</v>
      </c>
      <c r="I6" t="str">
        <f t="shared" si="1"/>
        <v>Starbucks Projects
42188.03
▬</v>
      </c>
      <c r="J6" s="15" t="s">
        <v>86</v>
      </c>
      <c r="K6" s="16" t="str">
        <f t="shared" si="4"/>
        <v>Starbucks Projects</v>
      </c>
      <c r="L6" s="16">
        <f t="shared" si="5"/>
        <v>0</v>
      </c>
    </row>
    <row r="7" spans="3:20" ht="15" customHeight="1" x14ac:dyDescent="0.25">
      <c r="C7" s="21" t="s">
        <v>87</v>
      </c>
      <c r="D7" s="28">
        <v>31839.9</v>
      </c>
      <c r="E7" s="24">
        <v>31839.9</v>
      </c>
      <c r="F7" s="25" t="str">
        <f t="shared" si="0"/>
        <v>▬</v>
      </c>
      <c r="G7" s="26">
        <f t="shared" si="2"/>
        <v>0</v>
      </c>
      <c r="H7" s="27">
        <f t="shared" si="3"/>
        <v>0</v>
      </c>
      <c r="I7" t="str">
        <f t="shared" si="1"/>
        <v>Target Coffee
31839.9
▬</v>
      </c>
      <c r="J7" s="15" t="s">
        <v>86</v>
      </c>
      <c r="K7" s="16" t="str">
        <f t="shared" si="4"/>
        <v>Target Coffee</v>
      </c>
      <c r="L7" s="16">
        <f t="shared" si="5"/>
        <v>0</v>
      </c>
    </row>
    <row r="8" spans="3:20" ht="15" customHeight="1" x14ac:dyDescent="0.25">
      <c r="C8" s="21" t="s">
        <v>88</v>
      </c>
      <c r="D8" s="28">
        <v>43648.56</v>
      </c>
      <c r="E8" s="24">
        <v>43648.56</v>
      </c>
      <c r="F8" s="25" t="str">
        <f t="shared" si="0"/>
        <v>▬</v>
      </c>
      <c r="G8" s="26">
        <f t="shared" si="2"/>
        <v>0</v>
      </c>
      <c r="H8" s="27">
        <f t="shared" si="3"/>
        <v>0</v>
      </c>
      <c r="I8" t="str">
        <f t="shared" si="1"/>
        <v>Target Food Production
43648.56
▬</v>
      </c>
      <c r="J8" s="15" t="s">
        <v>86</v>
      </c>
      <c r="K8" s="16" t="str">
        <f t="shared" si="4"/>
        <v>Target Food Production</v>
      </c>
      <c r="L8" s="16">
        <f t="shared" si="5"/>
        <v>0</v>
      </c>
    </row>
    <row r="9" spans="3:20" ht="15" customHeight="1" x14ac:dyDescent="0.25">
      <c r="C9" s="21" t="s">
        <v>69</v>
      </c>
      <c r="D9" s="28">
        <v>11012.780000000002</v>
      </c>
      <c r="E9" s="24">
        <v>11012.780000000002</v>
      </c>
      <c r="F9" s="25" t="str">
        <f t="shared" si="0"/>
        <v>▬</v>
      </c>
      <c r="G9" s="26">
        <f t="shared" si="2"/>
        <v>0</v>
      </c>
      <c r="H9" s="27">
        <f t="shared" si="3"/>
        <v>0</v>
      </c>
      <c r="I9" t="str">
        <f t="shared" si="1"/>
        <v>Safeway
11012.78
▬</v>
      </c>
      <c r="J9" s="15" t="s">
        <v>86</v>
      </c>
      <c r="K9" s="16" t="str">
        <f t="shared" si="4"/>
        <v>Safeway</v>
      </c>
      <c r="L9" s="16">
        <f t="shared" si="5"/>
        <v>0</v>
      </c>
    </row>
    <row r="10" spans="3:20" ht="15" customHeight="1" x14ac:dyDescent="0.25">
      <c r="C10" s="21" t="s">
        <v>41</v>
      </c>
      <c r="D10" s="28">
        <v>2591.87</v>
      </c>
      <c r="E10" s="24">
        <v>2591.87</v>
      </c>
      <c r="F10" s="25" t="str">
        <f t="shared" si="0"/>
        <v>▬</v>
      </c>
      <c r="G10" s="26">
        <f t="shared" si="2"/>
        <v>0</v>
      </c>
      <c r="H10" s="27">
        <f t="shared" si="3"/>
        <v>0</v>
      </c>
      <c r="I10" t="str">
        <f t="shared" si="1"/>
        <v>Other
2591.87
▬</v>
      </c>
      <c r="J10" s="15" t="s">
        <v>86</v>
      </c>
      <c r="K10" s="16" t="str">
        <f t="shared" si="4"/>
        <v>Other</v>
      </c>
      <c r="L10" s="16">
        <f t="shared" si="5"/>
        <v>0</v>
      </c>
    </row>
    <row r="12" spans="3:20" x14ac:dyDescent="0.25">
      <c r="C12" t="s">
        <v>105</v>
      </c>
      <c r="D12" t="s">
        <v>106</v>
      </c>
      <c r="E12" t="s">
        <v>37</v>
      </c>
      <c r="H12" s="36" t="s">
        <v>212</v>
      </c>
      <c r="I12" s="36" t="s">
        <v>200</v>
      </c>
    </row>
    <row r="13" spans="3:20" x14ac:dyDescent="0.25">
      <c r="C13" t="s">
        <v>84</v>
      </c>
      <c r="D13" s="1">
        <v>43110</v>
      </c>
      <c r="E13" s="4">
        <v>189335.09999999992</v>
      </c>
      <c r="H13" s="36" t="s">
        <v>198</v>
      </c>
      <c r="I13" s="1" t="s">
        <v>201</v>
      </c>
      <c r="J13" s="1" t="s">
        <v>202</v>
      </c>
      <c r="K13" s="1" t="s">
        <v>203</v>
      </c>
      <c r="L13" s="1" t="s">
        <v>204</v>
      </c>
      <c r="M13" s="1" t="s">
        <v>205</v>
      </c>
      <c r="N13" s="1" t="s">
        <v>206</v>
      </c>
      <c r="O13" s="1" t="s">
        <v>207</v>
      </c>
      <c r="P13" s="1" t="s">
        <v>208</v>
      </c>
      <c r="Q13" s="1" t="s">
        <v>209</v>
      </c>
      <c r="R13" s="1" t="s">
        <v>210</v>
      </c>
      <c r="S13" s="1" t="s">
        <v>211</v>
      </c>
      <c r="T13" s="1" t="s">
        <v>199</v>
      </c>
    </row>
    <row r="14" spans="3:20" x14ac:dyDescent="0.25">
      <c r="C14" t="s">
        <v>92</v>
      </c>
      <c r="D14" s="1">
        <v>43110</v>
      </c>
      <c r="E14" s="4">
        <v>162556.75999999992</v>
      </c>
      <c r="H14" s="37" t="s">
        <v>84</v>
      </c>
      <c r="I14" s="12">
        <v>189335.09999999992</v>
      </c>
      <c r="J14" s="12">
        <v>195338.77000000008</v>
      </c>
      <c r="K14" s="12">
        <v>203315.8600000001</v>
      </c>
      <c r="L14" s="12">
        <v>218338.31</v>
      </c>
      <c r="M14" s="12">
        <v>217177.92000000004</v>
      </c>
      <c r="N14" s="12">
        <v>212736.8</v>
      </c>
      <c r="O14" s="12">
        <v>209029.06999999995</v>
      </c>
      <c r="P14" s="12">
        <v>229380.70999999993</v>
      </c>
      <c r="Q14" s="12">
        <v>210160.01</v>
      </c>
      <c r="R14" s="12">
        <v>216556.59000000005</v>
      </c>
      <c r="S14" s="12">
        <v>223655.89</v>
      </c>
      <c r="T14" s="12">
        <v>2325025.0300000003</v>
      </c>
    </row>
    <row r="15" spans="3:20" x14ac:dyDescent="0.25">
      <c r="C15" t="s">
        <v>91</v>
      </c>
      <c r="D15" s="1">
        <v>43110</v>
      </c>
      <c r="E15" s="4">
        <v>97069.5</v>
      </c>
      <c r="H15" s="37" t="s">
        <v>92</v>
      </c>
      <c r="I15" s="12">
        <v>162556.75999999992</v>
      </c>
      <c r="J15" s="12">
        <v>163829.07000000007</v>
      </c>
      <c r="K15" s="12">
        <v>166848.44000000009</v>
      </c>
      <c r="L15" s="12">
        <v>189600.74</v>
      </c>
      <c r="M15" s="12">
        <v>186285.45</v>
      </c>
      <c r="N15" s="12">
        <v>169599.62</v>
      </c>
      <c r="O15" s="12">
        <v>168003.15999999995</v>
      </c>
      <c r="P15" s="12">
        <v>171680.29999999993</v>
      </c>
      <c r="Q15" s="12">
        <v>147648.07999999999</v>
      </c>
      <c r="R15" s="12">
        <v>126661.21000000008</v>
      </c>
      <c r="S15" s="12">
        <v>134562.78000000003</v>
      </c>
      <c r="T15" s="12">
        <v>1787275.61</v>
      </c>
    </row>
    <row r="16" spans="3:20" x14ac:dyDescent="0.25">
      <c r="C16" t="s">
        <v>90</v>
      </c>
      <c r="D16" s="1">
        <v>43110</v>
      </c>
      <c r="E16" s="4">
        <v>65487.259999999922</v>
      </c>
      <c r="H16" s="37" t="s">
        <v>91</v>
      </c>
      <c r="I16" s="12">
        <v>97069.5</v>
      </c>
      <c r="J16" s="12">
        <v>116729.07000000007</v>
      </c>
      <c r="K16" s="12">
        <v>105885.92</v>
      </c>
      <c r="L16" s="12">
        <v>111621.02</v>
      </c>
      <c r="M16" s="12">
        <v>106722.43000000002</v>
      </c>
      <c r="N16" s="12">
        <v>94941.35</v>
      </c>
      <c r="O16" s="12">
        <v>91458.799999999974</v>
      </c>
      <c r="P16" s="12">
        <v>91600.869999999981</v>
      </c>
      <c r="Q16" s="12">
        <v>91068.22</v>
      </c>
      <c r="R16" s="12">
        <v>84795.22</v>
      </c>
      <c r="S16" s="12">
        <v>92374.750000000015</v>
      </c>
      <c r="T16" s="12">
        <v>1084267.1499999999</v>
      </c>
    </row>
    <row r="17" spans="3:20" x14ac:dyDescent="0.25">
      <c r="C17" t="s">
        <v>87</v>
      </c>
      <c r="D17" s="1">
        <v>43110</v>
      </c>
      <c r="E17" s="4">
        <v>22810.79</v>
      </c>
      <c r="H17" s="37" t="s">
        <v>90</v>
      </c>
      <c r="I17" s="12">
        <v>65487.259999999922</v>
      </c>
      <c r="J17" s="12">
        <v>47100</v>
      </c>
      <c r="K17" s="12">
        <v>60962.520000000084</v>
      </c>
      <c r="L17" s="12">
        <v>77979.72</v>
      </c>
      <c r="M17" s="12">
        <v>79563.019999999975</v>
      </c>
      <c r="N17" s="12">
        <v>74658.27</v>
      </c>
      <c r="O17" s="12">
        <v>76544.359999999971</v>
      </c>
      <c r="P17" s="12">
        <v>80079.429999999964</v>
      </c>
      <c r="Q17" s="12">
        <v>56579.859999999993</v>
      </c>
      <c r="R17" s="12">
        <v>41865.990000000085</v>
      </c>
      <c r="S17" s="12">
        <v>42188.03</v>
      </c>
      <c r="T17" s="12">
        <v>703008.46000000008</v>
      </c>
    </row>
    <row r="18" spans="3:20" x14ac:dyDescent="0.25">
      <c r="C18" t="s">
        <v>88</v>
      </c>
      <c r="D18" s="1">
        <v>43110</v>
      </c>
      <c r="E18" s="4">
        <v>3937.28</v>
      </c>
      <c r="H18" s="37" t="s">
        <v>87</v>
      </c>
      <c r="I18" s="12">
        <v>22810.79</v>
      </c>
      <c r="J18" s="12">
        <v>23975.590000000004</v>
      </c>
      <c r="K18" s="12">
        <v>28640.429999999997</v>
      </c>
      <c r="L18" s="12">
        <v>18822.62</v>
      </c>
      <c r="M18" s="12">
        <v>18080.770000000004</v>
      </c>
      <c r="N18" s="12">
        <v>22150.16</v>
      </c>
      <c r="O18" s="12">
        <v>18702.219999999998</v>
      </c>
      <c r="P18" s="12">
        <v>23014.720000000001</v>
      </c>
      <c r="Q18" s="12">
        <v>25687.42</v>
      </c>
      <c r="R18" s="12">
        <v>31614.899999999998</v>
      </c>
      <c r="S18" s="12">
        <v>31839.9</v>
      </c>
      <c r="T18" s="12">
        <v>265339.51999999996</v>
      </c>
    </row>
    <row r="19" spans="3:20" x14ac:dyDescent="0.25">
      <c r="C19" t="s">
        <v>69</v>
      </c>
      <c r="D19" s="1">
        <v>43110</v>
      </c>
      <c r="E19" s="4">
        <v>1137.75</v>
      </c>
      <c r="H19" s="37" t="s">
        <v>88</v>
      </c>
      <c r="I19" s="12">
        <v>3937.28</v>
      </c>
      <c r="J19" s="12">
        <v>4817.130000000001</v>
      </c>
      <c r="K19" s="12">
        <v>4817.1299999999992</v>
      </c>
      <c r="L19" s="12">
        <v>6367.26</v>
      </c>
      <c r="M19" s="12">
        <v>6564.06</v>
      </c>
      <c r="N19" s="12">
        <v>14351.68</v>
      </c>
      <c r="O19" s="12">
        <v>14235.169999999998</v>
      </c>
      <c r="P19" s="12">
        <v>22722.52</v>
      </c>
      <c r="Q19" s="12">
        <v>25285.710000000003</v>
      </c>
      <c r="R19" s="12">
        <v>44250.909999999989</v>
      </c>
      <c r="S19" s="12">
        <v>43648.56</v>
      </c>
      <c r="T19" s="12">
        <v>190997.41</v>
      </c>
    </row>
    <row r="20" spans="3:20" x14ac:dyDescent="0.25">
      <c r="C20" t="s">
        <v>41</v>
      </c>
      <c r="D20" s="1">
        <v>43110</v>
      </c>
      <c r="E20" s="4">
        <v>1903.66</v>
      </c>
      <c r="H20" s="37" t="s">
        <v>69</v>
      </c>
      <c r="I20" s="12">
        <v>1137.75</v>
      </c>
      <c r="J20" s="12">
        <v>1284.53</v>
      </c>
      <c r="K20" s="12">
        <v>1318.57</v>
      </c>
      <c r="L20" s="12">
        <v>2546.0300000000002</v>
      </c>
      <c r="M20" s="12">
        <v>4591.26</v>
      </c>
      <c r="N20" s="12">
        <v>4926.46</v>
      </c>
      <c r="O20" s="12">
        <v>6672.0999999999995</v>
      </c>
      <c r="P20" s="12">
        <v>9641.17</v>
      </c>
      <c r="Q20" s="12">
        <v>9306.76</v>
      </c>
      <c r="R20" s="12">
        <v>10823.77</v>
      </c>
      <c r="S20" s="12">
        <v>11012.780000000002</v>
      </c>
      <c r="T20" s="12">
        <v>63261.179999999993</v>
      </c>
    </row>
    <row r="21" spans="3:20" x14ac:dyDescent="0.25">
      <c r="C21" t="s">
        <v>84</v>
      </c>
      <c r="D21" s="1">
        <v>43131</v>
      </c>
      <c r="E21" s="4">
        <v>195338.77000000008</v>
      </c>
      <c r="H21" s="37" t="s">
        <v>41</v>
      </c>
      <c r="I21" s="12">
        <v>1903.66</v>
      </c>
      <c r="J21" s="12">
        <v>1432.45</v>
      </c>
      <c r="K21" s="12">
        <v>1691.2900000000043</v>
      </c>
      <c r="L21" s="12">
        <v>1001.66</v>
      </c>
      <c r="M21" s="12">
        <v>1656.3799999999999</v>
      </c>
      <c r="N21" s="12">
        <v>1708.88</v>
      </c>
      <c r="O21" s="12">
        <v>1416.42</v>
      </c>
      <c r="P21" s="12">
        <v>2322</v>
      </c>
      <c r="Q21" s="12">
        <v>2232.04</v>
      </c>
      <c r="R21" s="12">
        <v>3205.8</v>
      </c>
      <c r="S21" s="12">
        <v>2591.87</v>
      </c>
      <c r="T21" s="12">
        <v>21162.45</v>
      </c>
    </row>
    <row r="22" spans="3:20" x14ac:dyDescent="0.25">
      <c r="C22" t="s">
        <v>92</v>
      </c>
      <c r="D22" s="1">
        <v>43131</v>
      </c>
      <c r="E22" s="4">
        <v>163829.07000000007</v>
      </c>
      <c r="H22" s="37" t="s">
        <v>199</v>
      </c>
      <c r="I22" s="12">
        <v>544238.09999999974</v>
      </c>
      <c r="J22" s="12">
        <v>554506.61000000022</v>
      </c>
      <c r="K22" s="12">
        <v>573480.16000000038</v>
      </c>
      <c r="L22" s="12">
        <v>626277.36</v>
      </c>
      <c r="M22" s="12">
        <v>620641.29</v>
      </c>
      <c r="N22" s="12">
        <v>595073.22</v>
      </c>
      <c r="O22" s="12">
        <v>586061.29999999981</v>
      </c>
      <c r="P22" s="12">
        <v>630441.71999999986</v>
      </c>
      <c r="Q22" s="12">
        <v>567968.1</v>
      </c>
      <c r="R22" s="12">
        <v>559774.39000000025</v>
      </c>
      <c r="S22" s="12">
        <v>581874.56000000006</v>
      </c>
      <c r="T22" s="12">
        <v>6440336.8100000005</v>
      </c>
    </row>
    <row r="23" spans="3:20" x14ac:dyDescent="0.25">
      <c r="C23" t="s">
        <v>91</v>
      </c>
      <c r="D23" s="1">
        <v>43131</v>
      </c>
      <c r="E23" s="4">
        <v>116729.07000000007</v>
      </c>
    </row>
    <row r="24" spans="3:20" x14ac:dyDescent="0.25">
      <c r="C24" t="s">
        <v>90</v>
      </c>
      <c r="D24" s="1">
        <v>43131</v>
      </c>
      <c r="E24" s="4">
        <v>47100</v>
      </c>
    </row>
    <row r="25" spans="3:20" x14ac:dyDescent="0.25">
      <c r="C25" t="s">
        <v>87</v>
      </c>
      <c r="D25" s="1">
        <v>43131</v>
      </c>
      <c r="E25" s="4">
        <v>23975.590000000004</v>
      </c>
    </row>
    <row r="26" spans="3:20" x14ac:dyDescent="0.25">
      <c r="C26" t="s">
        <v>88</v>
      </c>
      <c r="D26" s="1">
        <v>43131</v>
      </c>
      <c r="E26" s="4">
        <v>4817.130000000001</v>
      </c>
    </row>
    <row r="27" spans="3:20" x14ac:dyDescent="0.25">
      <c r="C27" t="s">
        <v>69</v>
      </c>
      <c r="D27" s="1">
        <v>43131</v>
      </c>
      <c r="E27" s="4">
        <v>1284.53</v>
      </c>
    </row>
    <row r="28" spans="3:20" x14ac:dyDescent="0.25">
      <c r="C28" t="s">
        <v>41</v>
      </c>
      <c r="D28" s="1">
        <v>43131</v>
      </c>
      <c r="E28" s="4">
        <v>1432.45</v>
      </c>
    </row>
    <row r="29" spans="3:20" x14ac:dyDescent="0.25">
      <c r="C29" t="s">
        <v>84</v>
      </c>
      <c r="D29" s="1">
        <v>43138</v>
      </c>
      <c r="E29" s="4">
        <v>203315.8600000001</v>
      </c>
    </row>
    <row r="30" spans="3:20" x14ac:dyDescent="0.25">
      <c r="C30" t="s">
        <v>92</v>
      </c>
      <c r="D30" s="1">
        <v>43138</v>
      </c>
      <c r="E30" s="4">
        <v>166848.44000000009</v>
      </c>
    </row>
    <row r="31" spans="3:20" x14ac:dyDescent="0.25">
      <c r="C31" t="s">
        <v>91</v>
      </c>
      <c r="D31" s="1">
        <v>43138</v>
      </c>
      <c r="E31" s="4">
        <v>105885.92</v>
      </c>
    </row>
    <row r="32" spans="3:20" x14ac:dyDescent="0.25">
      <c r="C32" t="s">
        <v>90</v>
      </c>
      <c r="D32" s="1">
        <v>43138</v>
      </c>
      <c r="E32" s="4">
        <v>60962.520000000084</v>
      </c>
    </row>
    <row r="33" spans="3:5" x14ac:dyDescent="0.25">
      <c r="C33" t="s">
        <v>87</v>
      </c>
      <c r="D33" s="1">
        <v>43138</v>
      </c>
      <c r="E33" s="4">
        <v>28640.429999999997</v>
      </c>
    </row>
    <row r="34" spans="3:5" x14ac:dyDescent="0.25">
      <c r="C34" t="s">
        <v>88</v>
      </c>
      <c r="D34" s="1">
        <v>43138</v>
      </c>
      <c r="E34" s="4">
        <v>4817.1299999999992</v>
      </c>
    </row>
    <row r="35" spans="3:5" x14ac:dyDescent="0.25">
      <c r="C35" t="s">
        <v>69</v>
      </c>
      <c r="D35" s="1">
        <v>43138</v>
      </c>
      <c r="E35" s="4">
        <v>1318.57</v>
      </c>
    </row>
    <row r="36" spans="3:5" x14ac:dyDescent="0.25">
      <c r="C36" t="s">
        <v>41</v>
      </c>
      <c r="D36" s="1">
        <v>43138</v>
      </c>
      <c r="E36" s="4">
        <v>1691.2900000000043</v>
      </c>
    </row>
    <row r="37" spans="3:5" x14ac:dyDescent="0.25">
      <c r="C37" t="s">
        <v>84</v>
      </c>
      <c r="D37" s="1">
        <v>43145</v>
      </c>
      <c r="E37" s="4">
        <v>218338.31</v>
      </c>
    </row>
    <row r="38" spans="3:5" x14ac:dyDescent="0.25">
      <c r="C38" t="s">
        <v>92</v>
      </c>
      <c r="D38" s="1">
        <v>43145</v>
      </c>
      <c r="E38" s="4">
        <v>189600.74</v>
      </c>
    </row>
    <row r="39" spans="3:5" x14ac:dyDescent="0.25">
      <c r="C39" t="s">
        <v>91</v>
      </c>
      <c r="D39" s="1">
        <v>43145</v>
      </c>
      <c r="E39" s="4">
        <v>111621.02</v>
      </c>
    </row>
    <row r="40" spans="3:5" x14ac:dyDescent="0.25">
      <c r="C40" t="s">
        <v>90</v>
      </c>
      <c r="D40" s="1">
        <v>43145</v>
      </c>
      <c r="E40" s="4">
        <v>77979.72</v>
      </c>
    </row>
    <row r="41" spans="3:5" x14ac:dyDescent="0.25">
      <c r="C41" t="s">
        <v>87</v>
      </c>
      <c r="D41" s="1">
        <v>43145</v>
      </c>
      <c r="E41" s="4">
        <v>18822.62</v>
      </c>
    </row>
    <row r="42" spans="3:5" x14ac:dyDescent="0.25">
      <c r="C42" t="s">
        <v>88</v>
      </c>
      <c r="D42" s="1">
        <v>43145</v>
      </c>
      <c r="E42" s="4">
        <v>6367.26</v>
      </c>
    </row>
    <row r="43" spans="3:5" x14ac:dyDescent="0.25">
      <c r="C43" t="s">
        <v>69</v>
      </c>
      <c r="D43" s="1">
        <v>43145</v>
      </c>
      <c r="E43" s="4">
        <v>2546.0300000000002</v>
      </c>
    </row>
    <row r="44" spans="3:5" x14ac:dyDescent="0.25">
      <c r="C44" t="s">
        <v>41</v>
      </c>
      <c r="D44" s="1">
        <v>43145</v>
      </c>
      <c r="E44" s="4">
        <v>1001.66</v>
      </c>
    </row>
    <row r="45" spans="3:5" x14ac:dyDescent="0.25">
      <c r="C45" t="s">
        <v>84</v>
      </c>
      <c r="D45" s="1">
        <v>43152</v>
      </c>
      <c r="E45">
        <v>217177.92000000004</v>
      </c>
    </row>
    <row r="46" spans="3:5" x14ac:dyDescent="0.25">
      <c r="C46" t="s">
        <v>92</v>
      </c>
      <c r="D46" s="1">
        <v>43152</v>
      </c>
      <c r="E46">
        <v>186285.45</v>
      </c>
    </row>
    <row r="47" spans="3:5" x14ac:dyDescent="0.25">
      <c r="C47" t="s">
        <v>91</v>
      </c>
      <c r="D47" s="1">
        <v>43152</v>
      </c>
      <c r="E47">
        <v>106722.43000000002</v>
      </c>
    </row>
    <row r="48" spans="3:5" x14ac:dyDescent="0.25">
      <c r="C48" t="s">
        <v>90</v>
      </c>
      <c r="D48" s="1">
        <v>43152</v>
      </c>
      <c r="E48">
        <v>79563.019999999975</v>
      </c>
    </row>
    <row r="49" spans="3:5" x14ac:dyDescent="0.25">
      <c r="C49" t="s">
        <v>87</v>
      </c>
      <c r="D49" s="1">
        <v>43152</v>
      </c>
      <c r="E49">
        <v>18080.770000000004</v>
      </c>
    </row>
    <row r="50" spans="3:5" x14ac:dyDescent="0.25">
      <c r="C50" t="s">
        <v>88</v>
      </c>
      <c r="D50" s="1">
        <v>43152</v>
      </c>
      <c r="E50">
        <v>6564.06</v>
      </c>
    </row>
    <row r="51" spans="3:5" x14ac:dyDescent="0.25">
      <c r="C51" t="s">
        <v>69</v>
      </c>
      <c r="D51" s="1">
        <v>43152</v>
      </c>
      <c r="E51">
        <v>4591.26</v>
      </c>
    </row>
    <row r="52" spans="3:5" x14ac:dyDescent="0.25">
      <c r="C52" t="s">
        <v>41</v>
      </c>
      <c r="D52" s="1">
        <v>43152</v>
      </c>
      <c r="E52">
        <v>1656.3799999999999</v>
      </c>
    </row>
    <row r="53" spans="3:5" x14ac:dyDescent="0.25">
      <c r="C53" t="s">
        <v>84</v>
      </c>
      <c r="D53" s="1">
        <v>43159</v>
      </c>
      <c r="E53">
        <v>212736.8</v>
      </c>
    </row>
    <row r="54" spans="3:5" x14ac:dyDescent="0.25">
      <c r="C54" t="s">
        <v>92</v>
      </c>
      <c r="D54" s="1">
        <v>43159</v>
      </c>
      <c r="E54">
        <v>169599.62</v>
      </c>
    </row>
    <row r="55" spans="3:5" x14ac:dyDescent="0.25">
      <c r="C55" t="s">
        <v>91</v>
      </c>
      <c r="D55" s="1">
        <v>43159</v>
      </c>
      <c r="E55">
        <v>94941.35</v>
      </c>
    </row>
    <row r="56" spans="3:5" x14ac:dyDescent="0.25">
      <c r="C56" t="s">
        <v>90</v>
      </c>
      <c r="D56" s="1">
        <v>43159</v>
      </c>
      <c r="E56">
        <v>74658.27</v>
      </c>
    </row>
    <row r="57" spans="3:5" x14ac:dyDescent="0.25">
      <c r="C57" t="s">
        <v>87</v>
      </c>
      <c r="D57" s="1">
        <v>43159</v>
      </c>
      <c r="E57">
        <v>22150.16</v>
      </c>
    </row>
    <row r="58" spans="3:5" x14ac:dyDescent="0.25">
      <c r="C58" t="s">
        <v>88</v>
      </c>
      <c r="D58" s="1">
        <v>43159</v>
      </c>
      <c r="E58">
        <v>14351.68</v>
      </c>
    </row>
    <row r="59" spans="3:5" x14ac:dyDescent="0.25">
      <c r="C59" t="s">
        <v>69</v>
      </c>
      <c r="D59" s="1">
        <v>43159</v>
      </c>
      <c r="E59">
        <v>4926.46</v>
      </c>
    </row>
    <row r="60" spans="3:5" x14ac:dyDescent="0.25">
      <c r="C60" t="s">
        <v>41</v>
      </c>
      <c r="D60" s="1">
        <v>43159</v>
      </c>
      <c r="E60">
        <v>1708.88</v>
      </c>
    </row>
    <row r="61" spans="3:5" x14ac:dyDescent="0.25">
      <c r="C61" t="s">
        <v>84</v>
      </c>
      <c r="D61" s="1">
        <v>43166</v>
      </c>
      <c r="E61">
        <v>209029.06999999995</v>
      </c>
    </row>
    <row r="62" spans="3:5" x14ac:dyDescent="0.25">
      <c r="C62" t="s">
        <v>92</v>
      </c>
      <c r="D62" s="1">
        <v>43166</v>
      </c>
      <c r="E62">
        <v>168003.15999999995</v>
      </c>
    </row>
    <row r="63" spans="3:5" x14ac:dyDescent="0.25">
      <c r="C63" t="s">
        <v>91</v>
      </c>
      <c r="D63" s="1">
        <v>43166</v>
      </c>
      <c r="E63">
        <v>91458.799999999974</v>
      </c>
    </row>
    <row r="64" spans="3:5" x14ac:dyDescent="0.25">
      <c r="C64" t="s">
        <v>90</v>
      </c>
      <c r="D64" s="1">
        <v>43166</v>
      </c>
      <c r="E64">
        <v>76544.359999999971</v>
      </c>
    </row>
    <row r="65" spans="3:5" x14ac:dyDescent="0.25">
      <c r="C65" t="s">
        <v>87</v>
      </c>
      <c r="D65" s="1">
        <v>43166</v>
      </c>
      <c r="E65">
        <v>18702.219999999998</v>
      </c>
    </row>
    <row r="66" spans="3:5" x14ac:dyDescent="0.25">
      <c r="C66" t="s">
        <v>88</v>
      </c>
      <c r="D66" s="1">
        <v>43166</v>
      </c>
      <c r="E66">
        <v>14235.169999999998</v>
      </c>
    </row>
    <row r="67" spans="3:5" x14ac:dyDescent="0.25">
      <c r="C67" t="s">
        <v>69</v>
      </c>
      <c r="D67" s="1">
        <v>43166</v>
      </c>
      <c r="E67">
        <v>6672.0999999999995</v>
      </c>
    </row>
    <row r="68" spans="3:5" x14ac:dyDescent="0.25">
      <c r="C68" t="s">
        <v>41</v>
      </c>
      <c r="D68" s="1">
        <v>43166</v>
      </c>
      <c r="E68">
        <v>1416.42</v>
      </c>
    </row>
    <row r="69" spans="3:5" x14ac:dyDescent="0.25">
      <c r="C69" t="s">
        <v>84</v>
      </c>
      <c r="D69" s="1">
        <v>43173</v>
      </c>
      <c r="E69">
        <v>229380.70999999993</v>
      </c>
    </row>
    <row r="70" spans="3:5" x14ac:dyDescent="0.25">
      <c r="C70" t="s">
        <v>92</v>
      </c>
      <c r="D70" s="1">
        <v>43173</v>
      </c>
      <c r="E70">
        <v>171680.29999999993</v>
      </c>
    </row>
    <row r="71" spans="3:5" x14ac:dyDescent="0.25">
      <c r="C71" t="s">
        <v>91</v>
      </c>
      <c r="D71" s="1">
        <v>43173</v>
      </c>
      <c r="E71">
        <v>91600.869999999981</v>
      </c>
    </row>
    <row r="72" spans="3:5" x14ac:dyDescent="0.25">
      <c r="C72" t="s">
        <v>90</v>
      </c>
      <c r="D72" s="1">
        <v>43173</v>
      </c>
      <c r="E72">
        <v>80079.429999999964</v>
      </c>
    </row>
    <row r="73" spans="3:5" x14ac:dyDescent="0.25">
      <c r="C73" t="s">
        <v>87</v>
      </c>
      <c r="D73" s="1">
        <v>43173</v>
      </c>
      <c r="E73">
        <v>23014.720000000001</v>
      </c>
    </row>
    <row r="74" spans="3:5" x14ac:dyDescent="0.25">
      <c r="C74" t="s">
        <v>88</v>
      </c>
      <c r="D74" s="1">
        <v>43173</v>
      </c>
      <c r="E74">
        <v>22722.52</v>
      </c>
    </row>
    <row r="75" spans="3:5" x14ac:dyDescent="0.25">
      <c r="C75" t="s">
        <v>69</v>
      </c>
      <c r="D75" s="1">
        <v>43173</v>
      </c>
      <c r="E75">
        <v>9641.17</v>
      </c>
    </row>
    <row r="76" spans="3:5" x14ac:dyDescent="0.25">
      <c r="C76" t="s">
        <v>41</v>
      </c>
      <c r="D76" s="1">
        <v>43173</v>
      </c>
      <c r="E76">
        <v>2322</v>
      </c>
    </row>
    <row r="77" spans="3:5" x14ac:dyDescent="0.25">
      <c r="C77" t="s">
        <v>84</v>
      </c>
      <c r="D77" s="1">
        <v>43180</v>
      </c>
      <c r="E77">
        <v>210160.01</v>
      </c>
    </row>
    <row r="78" spans="3:5" x14ac:dyDescent="0.25">
      <c r="C78" t="s">
        <v>92</v>
      </c>
      <c r="D78" s="1">
        <v>43180</v>
      </c>
      <c r="E78">
        <v>147648.07999999999</v>
      </c>
    </row>
    <row r="79" spans="3:5" x14ac:dyDescent="0.25">
      <c r="C79" t="s">
        <v>91</v>
      </c>
      <c r="D79" s="1">
        <v>43180</v>
      </c>
      <c r="E79">
        <v>91068.22</v>
      </c>
    </row>
    <row r="80" spans="3:5" x14ac:dyDescent="0.25">
      <c r="C80" t="s">
        <v>90</v>
      </c>
      <c r="D80" s="1">
        <v>43180</v>
      </c>
      <c r="E80">
        <v>56579.859999999993</v>
      </c>
    </row>
    <row r="81" spans="3:5" x14ac:dyDescent="0.25">
      <c r="C81" t="s">
        <v>87</v>
      </c>
      <c r="D81" s="1">
        <v>43180</v>
      </c>
      <c r="E81">
        <v>25687.42</v>
      </c>
    </row>
    <row r="82" spans="3:5" x14ac:dyDescent="0.25">
      <c r="C82" t="s">
        <v>88</v>
      </c>
      <c r="D82" s="1">
        <v>43180</v>
      </c>
      <c r="E82">
        <v>25285.710000000003</v>
      </c>
    </row>
    <row r="83" spans="3:5" x14ac:dyDescent="0.25">
      <c r="C83" t="s">
        <v>69</v>
      </c>
      <c r="D83" s="1">
        <v>43180</v>
      </c>
      <c r="E83">
        <v>9306.76</v>
      </c>
    </row>
    <row r="84" spans="3:5" x14ac:dyDescent="0.25">
      <c r="C84" t="s">
        <v>41</v>
      </c>
      <c r="D84" s="1">
        <v>43180</v>
      </c>
      <c r="E84">
        <v>2232.04</v>
      </c>
    </row>
    <row r="85" spans="3:5" x14ac:dyDescent="0.25">
      <c r="C85" t="s">
        <v>84</v>
      </c>
      <c r="D85" s="1">
        <v>43211</v>
      </c>
      <c r="E85">
        <v>216556.59000000005</v>
      </c>
    </row>
    <row r="86" spans="3:5" x14ac:dyDescent="0.25">
      <c r="C86" t="s">
        <v>92</v>
      </c>
      <c r="D86" s="1">
        <v>43211</v>
      </c>
      <c r="E86">
        <v>126661.21000000008</v>
      </c>
    </row>
    <row r="87" spans="3:5" x14ac:dyDescent="0.25">
      <c r="C87" t="s">
        <v>91</v>
      </c>
      <c r="D87" s="1">
        <v>43211</v>
      </c>
      <c r="E87">
        <v>84795.22</v>
      </c>
    </row>
    <row r="88" spans="3:5" x14ac:dyDescent="0.25">
      <c r="C88" t="s">
        <v>90</v>
      </c>
      <c r="D88" s="1">
        <v>43211</v>
      </c>
      <c r="E88">
        <v>41865.990000000085</v>
      </c>
    </row>
    <row r="89" spans="3:5" x14ac:dyDescent="0.25">
      <c r="C89" t="s">
        <v>87</v>
      </c>
      <c r="D89" s="1">
        <v>43211</v>
      </c>
      <c r="E89">
        <v>31614.899999999998</v>
      </c>
    </row>
    <row r="90" spans="3:5" x14ac:dyDescent="0.25">
      <c r="C90" t="s">
        <v>88</v>
      </c>
      <c r="D90" s="1">
        <v>43211</v>
      </c>
      <c r="E90">
        <v>44250.909999999989</v>
      </c>
    </row>
    <row r="91" spans="3:5" x14ac:dyDescent="0.25">
      <c r="C91" t="s">
        <v>69</v>
      </c>
      <c r="D91" s="1">
        <v>43211</v>
      </c>
      <c r="E91">
        <v>10823.77</v>
      </c>
    </row>
    <row r="92" spans="3:5" x14ac:dyDescent="0.25">
      <c r="C92" t="s">
        <v>41</v>
      </c>
      <c r="D92" s="1">
        <v>43211</v>
      </c>
      <c r="E92">
        <v>3205.8</v>
      </c>
    </row>
    <row r="93" spans="3:5" x14ac:dyDescent="0.25">
      <c r="C93" t="s">
        <v>84</v>
      </c>
      <c r="D93" s="1">
        <v>43215</v>
      </c>
      <c r="E93">
        <v>223655.89</v>
      </c>
    </row>
    <row r="94" spans="3:5" x14ac:dyDescent="0.25">
      <c r="C94" t="s">
        <v>92</v>
      </c>
      <c r="D94" s="1">
        <v>43215</v>
      </c>
      <c r="E94">
        <v>134562.78000000003</v>
      </c>
    </row>
    <row r="95" spans="3:5" x14ac:dyDescent="0.25">
      <c r="C95" t="s">
        <v>91</v>
      </c>
      <c r="D95" s="1">
        <v>43215</v>
      </c>
      <c r="E95">
        <v>92374.750000000015</v>
      </c>
    </row>
    <row r="96" spans="3:5" x14ac:dyDescent="0.25">
      <c r="C96" t="s">
        <v>90</v>
      </c>
      <c r="D96" s="1">
        <v>43215</v>
      </c>
      <c r="E96">
        <v>42188.03</v>
      </c>
    </row>
    <row r="97" spans="3:5" x14ac:dyDescent="0.25">
      <c r="C97" t="s">
        <v>87</v>
      </c>
      <c r="D97" s="1">
        <v>43215</v>
      </c>
      <c r="E97">
        <v>31839.9</v>
      </c>
    </row>
    <row r="98" spans="3:5" x14ac:dyDescent="0.25">
      <c r="C98" t="s">
        <v>88</v>
      </c>
      <c r="D98" s="1">
        <v>43215</v>
      </c>
      <c r="E98">
        <v>43648.56</v>
      </c>
    </row>
    <row r="99" spans="3:5" x14ac:dyDescent="0.25">
      <c r="C99" t="s">
        <v>69</v>
      </c>
      <c r="D99" s="1">
        <v>43215</v>
      </c>
      <c r="E99">
        <v>11012.780000000002</v>
      </c>
    </row>
    <row r="100" spans="3:5" x14ac:dyDescent="0.25">
      <c r="C100" t="s">
        <v>41</v>
      </c>
      <c r="D100" s="1">
        <v>43215</v>
      </c>
      <c r="E100">
        <v>2591.87</v>
      </c>
    </row>
  </sheetData>
  <conditionalFormatting sqref="F3">
    <cfRule type="expression" dxfId="20" priority="19">
      <formula>$D3&gt;$E3</formula>
    </cfRule>
  </conditionalFormatting>
  <conditionalFormatting sqref="F4">
    <cfRule type="expression" dxfId="19" priority="8">
      <formula>$D4&gt;$E4</formula>
    </cfRule>
  </conditionalFormatting>
  <conditionalFormatting sqref="F5">
    <cfRule type="expression" dxfId="18" priority="7">
      <formula>$D5&gt;$E5</formula>
    </cfRule>
  </conditionalFormatting>
  <conditionalFormatting sqref="F6">
    <cfRule type="expression" dxfId="17" priority="6">
      <formula>$D6&gt;$E6</formula>
    </cfRule>
  </conditionalFormatting>
  <conditionalFormatting sqref="F7">
    <cfRule type="expression" dxfId="16" priority="5">
      <formula>$D7&gt;$E7</formula>
    </cfRule>
  </conditionalFormatting>
  <conditionalFormatting sqref="F8">
    <cfRule type="expression" dxfId="15" priority="4">
      <formula>$D8&gt;$E8</formula>
    </cfRule>
  </conditionalFormatting>
  <conditionalFormatting sqref="F9">
    <cfRule type="expression" dxfId="14" priority="3">
      <formula>$D9&gt;$E9</formula>
    </cfRule>
  </conditionalFormatting>
  <conditionalFormatting sqref="F10">
    <cfRule type="expression" dxfId="13" priority="2">
      <formula>$D10&gt;$E10</formula>
    </cfRule>
  </conditionalFormatting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H62"/>
  <sheetViews>
    <sheetView showGridLines="0" workbookViewId="0">
      <selection activeCell="H2" sqref="H2"/>
    </sheetView>
  </sheetViews>
  <sheetFormatPr defaultRowHeight="15" customHeight="1" x14ac:dyDescent="0.25"/>
  <cols>
    <col min="2" max="2" width="12.7109375" bestFit="1" customWidth="1"/>
    <col min="4" max="8" width="14.5703125" bestFit="1" customWidth="1"/>
  </cols>
  <sheetData>
    <row r="2" spans="2:8" ht="15" customHeight="1" x14ac:dyDescent="0.25">
      <c r="B2" s="29" t="s">
        <v>185</v>
      </c>
      <c r="C2" s="29" t="s">
        <v>100</v>
      </c>
      <c r="D2" s="29" t="s">
        <v>183</v>
      </c>
      <c r="E2" s="29" t="s">
        <v>120</v>
      </c>
      <c r="F2" s="29" t="s">
        <v>184</v>
      </c>
      <c r="G2" s="29" t="s">
        <v>101</v>
      </c>
      <c r="H2" s="29" t="s">
        <v>102</v>
      </c>
    </row>
    <row r="3" spans="2:8" ht="15" customHeight="1" x14ac:dyDescent="0.25">
      <c r="B3" s="29" t="s">
        <v>145</v>
      </c>
      <c r="C3" s="29">
        <v>11411627</v>
      </c>
      <c r="D3" s="29" t="s">
        <v>186</v>
      </c>
      <c r="E3" s="29"/>
      <c r="F3" s="29" t="s">
        <v>169</v>
      </c>
      <c r="G3" s="29" t="s">
        <v>111</v>
      </c>
      <c r="H3" s="30">
        <v>9103.58</v>
      </c>
    </row>
    <row r="4" spans="2:8" ht="15" customHeight="1" x14ac:dyDescent="0.25">
      <c r="B4" s="29" t="s">
        <v>215</v>
      </c>
      <c r="C4" s="29">
        <v>11412091</v>
      </c>
      <c r="D4" s="29"/>
      <c r="E4" s="29"/>
      <c r="F4" s="29" t="s">
        <v>191</v>
      </c>
      <c r="G4" s="29" t="s">
        <v>96</v>
      </c>
      <c r="H4" s="30">
        <v>4046.03</v>
      </c>
    </row>
    <row r="5" spans="2:8" ht="15" customHeight="1" x14ac:dyDescent="0.25">
      <c r="B5" s="29" t="s">
        <v>216</v>
      </c>
      <c r="C5" s="29">
        <v>11437082</v>
      </c>
      <c r="D5" s="29"/>
      <c r="E5" s="29"/>
      <c r="F5" s="29" t="s">
        <v>219</v>
      </c>
      <c r="G5" s="29" t="s">
        <v>181</v>
      </c>
      <c r="H5" s="30">
        <v>2738.5</v>
      </c>
    </row>
    <row r="6" spans="2:8" ht="15" customHeight="1" x14ac:dyDescent="0.25">
      <c r="B6" s="29" t="s">
        <v>94</v>
      </c>
      <c r="C6" s="29">
        <v>8827570</v>
      </c>
      <c r="D6" s="29" t="s">
        <v>187</v>
      </c>
      <c r="E6" s="29" t="s">
        <v>172</v>
      </c>
      <c r="F6" s="29" t="s">
        <v>191</v>
      </c>
      <c r="G6" s="29" t="s">
        <v>98</v>
      </c>
      <c r="H6" s="30">
        <v>2725.38</v>
      </c>
    </row>
    <row r="7" spans="2:8" ht="15" customHeight="1" x14ac:dyDescent="0.25">
      <c r="B7" s="29" t="s">
        <v>109</v>
      </c>
      <c r="C7" s="29">
        <v>11057924</v>
      </c>
      <c r="D7" s="29"/>
      <c r="E7" s="29" t="s">
        <v>173</v>
      </c>
      <c r="F7" s="29" t="s">
        <v>219</v>
      </c>
      <c r="G7" s="29" t="s">
        <v>181</v>
      </c>
      <c r="H7" s="30">
        <v>2378.5500000000002</v>
      </c>
    </row>
    <row r="8" spans="2:8" ht="15" customHeight="1" x14ac:dyDescent="0.25">
      <c r="B8" s="29" t="s">
        <v>114</v>
      </c>
      <c r="C8" s="29">
        <v>11078699</v>
      </c>
      <c r="D8" s="29"/>
      <c r="E8" s="29" t="s">
        <v>173</v>
      </c>
      <c r="F8" s="29" t="s">
        <v>219</v>
      </c>
      <c r="G8" s="29" t="s">
        <v>181</v>
      </c>
      <c r="H8" s="30">
        <v>2378.5500000000002</v>
      </c>
    </row>
    <row r="9" spans="2:8" ht="15" customHeight="1" x14ac:dyDescent="0.25">
      <c r="B9" s="29" t="s">
        <v>95</v>
      </c>
      <c r="C9" s="29">
        <v>7067797</v>
      </c>
      <c r="D9" s="29" t="s">
        <v>232</v>
      </c>
      <c r="E9" s="29" t="s">
        <v>173</v>
      </c>
      <c r="F9" s="29" t="s">
        <v>219</v>
      </c>
      <c r="G9" s="29" t="s">
        <v>97</v>
      </c>
      <c r="H9" s="30">
        <v>2180.92</v>
      </c>
    </row>
    <row r="10" spans="2:8" ht="15" customHeight="1" x14ac:dyDescent="0.25">
      <c r="B10" s="29" t="s">
        <v>217</v>
      </c>
      <c r="C10" s="29">
        <v>11441018</v>
      </c>
      <c r="D10" s="29"/>
      <c r="E10" s="29"/>
      <c r="F10" s="29" t="s">
        <v>169</v>
      </c>
      <c r="G10" s="29" t="s">
        <v>141</v>
      </c>
      <c r="H10" s="30">
        <v>2129.81</v>
      </c>
    </row>
    <row r="11" spans="2:8" ht="15" customHeight="1" x14ac:dyDescent="0.25">
      <c r="B11" s="29" t="s">
        <v>115</v>
      </c>
      <c r="C11" s="29">
        <v>8848842</v>
      </c>
      <c r="D11" s="29" t="s">
        <v>188</v>
      </c>
      <c r="E11" s="29" t="s">
        <v>174</v>
      </c>
      <c r="F11" s="29" t="s">
        <v>193</v>
      </c>
      <c r="G11" s="29" t="s">
        <v>96</v>
      </c>
      <c r="H11" s="30">
        <v>1940.77</v>
      </c>
    </row>
    <row r="12" spans="2:8" ht="15" customHeight="1" x14ac:dyDescent="0.25">
      <c r="B12" s="29" t="s">
        <v>127</v>
      </c>
      <c r="C12" s="29">
        <v>11251070</v>
      </c>
      <c r="D12" s="29"/>
      <c r="E12" s="29" t="s">
        <v>175</v>
      </c>
      <c r="F12" s="29"/>
      <c r="G12" s="29" t="s">
        <v>96</v>
      </c>
      <c r="H12" s="30">
        <v>1881.93</v>
      </c>
    </row>
    <row r="13" spans="2:8" ht="15" customHeight="1" x14ac:dyDescent="0.25">
      <c r="B13" s="29" t="s">
        <v>128</v>
      </c>
      <c r="C13" s="29">
        <v>11240636</v>
      </c>
      <c r="D13" s="29"/>
      <c r="E13" s="29" t="s">
        <v>175</v>
      </c>
      <c r="F13" s="29"/>
      <c r="G13" s="29" t="s">
        <v>141</v>
      </c>
      <c r="H13" s="30">
        <v>1745.64</v>
      </c>
    </row>
    <row r="14" spans="2:8" ht="15" customHeight="1" x14ac:dyDescent="0.25">
      <c r="B14" s="29" t="s">
        <v>146</v>
      </c>
      <c r="C14" s="29">
        <v>11407255</v>
      </c>
      <c r="D14" s="29" t="s">
        <v>233</v>
      </c>
      <c r="E14" s="29"/>
      <c r="F14" s="29" t="s">
        <v>193</v>
      </c>
      <c r="G14" s="29" t="s">
        <v>108</v>
      </c>
      <c r="H14" s="30">
        <v>1725.07</v>
      </c>
    </row>
    <row r="15" spans="2:8" ht="15" customHeight="1" x14ac:dyDescent="0.25">
      <c r="B15" s="29" t="s">
        <v>116</v>
      </c>
      <c r="C15" s="29">
        <v>6407807</v>
      </c>
      <c r="D15" s="29" t="s">
        <v>189</v>
      </c>
      <c r="E15" s="29" t="s">
        <v>173</v>
      </c>
      <c r="F15" s="29" t="s">
        <v>220</v>
      </c>
      <c r="G15" s="29" t="s">
        <v>111</v>
      </c>
      <c r="H15" s="30">
        <v>1703.55</v>
      </c>
    </row>
    <row r="16" spans="2:8" ht="15" customHeight="1" x14ac:dyDescent="0.25">
      <c r="B16" s="29" t="s">
        <v>117</v>
      </c>
      <c r="C16" s="29">
        <v>10696363</v>
      </c>
      <c r="D16" s="29" t="s">
        <v>179</v>
      </c>
      <c r="E16" s="29" t="s">
        <v>176</v>
      </c>
      <c r="F16" s="29" t="s">
        <v>192</v>
      </c>
      <c r="G16" s="29" t="s">
        <v>221</v>
      </c>
      <c r="H16" s="30">
        <v>1660</v>
      </c>
    </row>
    <row r="17" spans="2:8" ht="15" customHeight="1" x14ac:dyDescent="0.25">
      <c r="B17" s="29" t="s">
        <v>118</v>
      </c>
      <c r="C17" s="29">
        <v>8840844</v>
      </c>
      <c r="D17" s="29" t="s">
        <v>188</v>
      </c>
      <c r="E17" s="29" t="s">
        <v>174</v>
      </c>
      <c r="F17" s="29" t="s">
        <v>193</v>
      </c>
      <c r="G17" s="29" t="s">
        <v>96</v>
      </c>
      <c r="H17" s="30">
        <v>1648.82</v>
      </c>
    </row>
    <row r="18" spans="2:8" ht="15" customHeight="1" x14ac:dyDescent="0.25">
      <c r="B18" s="29" t="s">
        <v>129</v>
      </c>
      <c r="C18" s="29">
        <v>11138384</v>
      </c>
      <c r="D18" s="29" t="s">
        <v>234</v>
      </c>
      <c r="E18" s="29" t="s">
        <v>177</v>
      </c>
      <c r="F18" s="29"/>
      <c r="G18" s="29" t="s">
        <v>108</v>
      </c>
      <c r="H18" s="30">
        <v>1530.7</v>
      </c>
    </row>
    <row r="19" spans="2:8" ht="15" customHeight="1" x14ac:dyDescent="0.25">
      <c r="B19" s="29" t="s">
        <v>119</v>
      </c>
      <c r="C19" s="29">
        <v>10066452</v>
      </c>
      <c r="D19" s="29" t="s">
        <v>190</v>
      </c>
      <c r="E19" s="29" t="s">
        <v>173</v>
      </c>
      <c r="F19" s="29"/>
      <c r="G19" s="29" t="s">
        <v>108</v>
      </c>
      <c r="H19" s="30">
        <v>1335</v>
      </c>
    </row>
    <row r="20" spans="2:8" ht="15" customHeight="1" x14ac:dyDescent="0.25">
      <c r="B20" s="29" t="s">
        <v>122</v>
      </c>
      <c r="C20" s="29">
        <v>6862231</v>
      </c>
      <c r="D20" s="29" t="s">
        <v>188</v>
      </c>
      <c r="E20" s="29" t="s">
        <v>174</v>
      </c>
      <c r="F20" s="29" t="s">
        <v>192</v>
      </c>
      <c r="G20" s="29" t="s">
        <v>111</v>
      </c>
      <c r="H20" s="30">
        <v>1318.65</v>
      </c>
    </row>
    <row r="21" spans="2:8" ht="15" customHeight="1" x14ac:dyDescent="0.25">
      <c r="B21" s="29" t="s">
        <v>218</v>
      </c>
      <c r="C21" s="29">
        <v>11413222</v>
      </c>
      <c r="D21" s="29"/>
      <c r="E21" s="29"/>
      <c r="F21" s="29" t="s">
        <v>191</v>
      </c>
      <c r="G21" s="29" t="s">
        <v>96</v>
      </c>
      <c r="H21" s="30">
        <v>1282.08</v>
      </c>
    </row>
    <row r="22" spans="2:8" ht="15" customHeight="1" x14ac:dyDescent="0.25">
      <c r="B22" s="29" t="s">
        <v>130</v>
      </c>
      <c r="C22" s="29">
        <v>6874121</v>
      </c>
      <c r="D22" s="29" t="s">
        <v>235</v>
      </c>
      <c r="E22" s="29" t="s">
        <v>177</v>
      </c>
      <c r="F22" s="29"/>
      <c r="G22" s="29" t="s">
        <v>110</v>
      </c>
      <c r="H22" s="30">
        <v>1281.1300000000001</v>
      </c>
    </row>
    <row r="23" spans="2:8" ht="15" customHeight="1" x14ac:dyDescent="0.25">
      <c r="B23" s="29" t="s">
        <v>131</v>
      </c>
      <c r="C23" s="29">
        <v>10925150</v>
      </c>
      <c r="D23" s="29" t="s">
        <v>233</v>
      </c>
      <c r="E23" s="29" t="s">
        <v>177</v>
      </c>
      <c r="F23" s="29" t="s">
        <v>194</v>
      </c>
      <c r="G23" s="29" t="s">
        <v>141</v>
      </c>
      <c r="H23" s="30">
        <v>1252.03</v>
      </c>
    </row>
    <row r="24" spans="2:8" ht="15" customHeight="1" x14ac:dyDescent="0.25">
      <c r="B24" s="29" t="s">
        <v>132</v>
      </c>
      <c r="C24" s="29">
        <v>10334390</v>
      </c>
      <c r="D24" s="29" t="s">
        <v>234</v>
      </c>
      <c r="E24" s="29" t="s">
        <v>177</v>
      </c>
      <c r="F24" s="29" t="s">
        <v>140</v>
      </c>
      <c r="G24" s="29" t="s">
        <v>141</v>
      </c>
      <c r="H24" s="30">
        <v>1180.81</v>
      </c>
    </row>
    <row r="25" spans="2:8" ht="15" customHeight="1" x14ac:dyDescent="0.25">
      <c r="B25" s="29" t="s">
        <v>147</v>
      </c>
      <c r="C25" s="29">
        <v>11419191</v>
      </c>
      <c r="D25" s="29"/>
      <c r="E25" s="29"/>
      <c r="F25" s="29" t="s">
        <v>195</v>
      </c>
      <c r="G25" s="29" t="s">
        <v>111</v>
      </c>
      <c r="H25" s="30">
        <v>1156.27</v>
      </c>
    </row>
    <row r="26" spans="2:8" ht="15" customHeight="1" x14ac:dyDescent="0.25">
      <c r="B26" s="29" t="s">
        <v>148</v>
      </c>
      <c r="C26" s="29">
        <v>11436245</v>
      </c>
      <c r="D26" s="29"/>
      <c r="E26" s="29"/>
      <c r="F26" s="29"/>
      <c r="G26" s="29" t="s">
        <v>96</v>
      </c>
      <c r="H26" s="30">
        <v>1126.4100000000001</v>
      </c>
    </row>
    <row r="27" spans="2:8" ht="15" customHeight="1" x14ac:dyDescent="0.25">
      <c r="B27" s="29" t="s">
        <v>149</v>
      </c>
      <c r="C27" s="29">
        <v>11409069</v>
      </c>
      <c r="D27" s="29"/>
      <c r="E27" s="29"/>
      <c r="F27" s="29" t="s">
        <v>170</v>
      </c>
      <c r="G27" s="29" t="s">
        <v>111</v>
      </c>
      <c r="H27" s="30">
        <v>1091.5</v>
      </c>
    </row>
    <row r="28" spans="2:8" ht="15" customHeight="1" x14ac:dyDescent="0.25">
      <c r="B28" s="29" t="s">
        <v>133</v>
      </c>
      <c r="C28" s="29">
        <v>11264973</v>
      </c>
      <c r="D28" s="29"/>
      <c r="E28" s="29" t="s">
        <v>177</v>
      </c>
      <c r="F28" s="29"/>
      <c r="G28" s="29" t="s">
        <v>96</v>
      </c>
      <c r="H28" s="30">
        <v>1087.1400000000001</v>
      </c>
    </row>
    <row r="29" spans="2:8" ht="15" customHeight="1" x14ac:dyDescent="0.25">
      <c r="B29" s="29" t="s">
        <v>134</v>
      </c>
      <c r="C29" s="29">
        <v>11245277</v>
      </c>
      <c r="D29" s="29"/>
      <c r="E29" s="29" t="s">
        <v>177</v>
      </c>
      <c r="F29" s="29" t="s">
        <v>219</v>
      </c>
      <c r="G29" s="29" t="s">
        <v>181</v>
      </c>
      <c r="H29" s="30">
        <v>1061.5999999999999</v>
      </c>
    </row>
    <row r="30" spans="2:8" ht="15" customHeight="1" x14ac:dyDescent="0.25">
      <c r="B30" s="29" t="s">
        <v>135</v>
      </c>
      <c r="C30" s="29">
        <v>10900319</v>
      </c>
      <c r="D30" s="29" t="s">
        <v>234</v>
      </c>
      <c r="E30" s="29" t="s">
        <v>177</v>
      </c>
      <c r="F30" s="29"/>
      <c r="G30" s="29" t="s">
        <v>108</v>
      </c>
      <c r="H30" s="30">
        <v>1048.5999999999999</v>
      </c>
    </row>
    <row r="31" spans="2:8" ht="15" customHeight="1" x14ac:dyDescent="0.25">
      <c r="B31" s="29" t="s">
        <v>150</v>
      </c>
      <c r="C31" s="29">
        <v>11332995</v>
      </c>
      <c r="D31" s="29" t="s">
        <v>235</v>
      </c>
      <c r="E31" s="29"/>
      <c r="F31" s="29"/>
      <c r="G31" s="29" t="s">
        <v>97</v>
      </c>
      <c r="H31" s="30">
        <v>1043.7</v>
      </c>
    </row>
    <row r="32" spans="2:8" ht="15" customHeight="1" x14ac:dyDescent="0.25">
      <c r="B32" s="29" t="s">
        <v>136</v>
      </c>
      <c r="C32" s="29">
        <v>11220669</v>
      </c>
      <c r="D32" s="29"/>
      <c r="E32" s="29" t="s">
        <v>177</v>
      </c>
      <c r="F32" s="29" t="s">
        <v>191</v>
      </c>
      <c r="G32" s="29" t="s">
        <v>222</v>
      </c>
      <c r="H32" s="30">
        <v>1012.53</v>
      </c>
    </row>
    <row r="33" spans="2:8" ht="15" customHeight="1" x14ac:dyDescent="0.25">
      <c r="B33" s="29" t="s">
        <v>137</v>
      </c>
      <c r="C33" s="29">
        <v>7400087</v>
      </c>
      <c r="D33" s="29" t="s">
        <v>188</v>
      </c>
      <c r="E33" s="29" t="s">
        <v>177</v>
      </c>
      <c r="F33" s="29" t="s">
        <v>193</v>
      </c>
      <c r="G33" s="29" t="s">
        <v>111</v>
      </c>
      <c r="H33" s="30">
        <v>1010.84</v>
      </c>
    </row>
    <row r="34" spans="2:8" ht="15" customHeight="1" x14ac:dyDescent="0.25">
      <c r="B34" s="29" t="s">
        <v>138</v>
      </c>
      <c r="C34" s="29">
        <v>11071613</v>
      </c>
      <c r="D34" s="29" t="s">
        <v>235</v>
      </c>
      <c r="E34" s="29" t="s">
        <v>177</v>
      </c>
      <c r="F34" s="29"/>
      <c r="G34" s="29" t="s">
        <v>108</v>
      </c>
      <c r="H34" s="30">
        <v>989.73</v>
      </c>
    </row>
    <row r="35" spans="2:8" ht="15" customHeight="1" x14ac:dyDescent="0.25">
      <c r="B35" s="29" t="s">
        <v>139</v>
      </c>
      <c r="C35" s="29">
        <v>10751893</v>
      </c>
      <c r="D35" s="29" t="s">
        <v>234</v>
      </c>
      <c r="E35" s="29" t="s">
        <v>177</v>
      </c>
      <c r="F35" s="29"/>
      <c r="G35" s="29" t="s">
        <v>96</v>
      </c>
      <c r="H35" s="30">
        <v>980</v>
      </c>
    </row>
    <row r="36" spans="2:8" ht="15" customHeight="1" x14ac:dyDescent="0.25">
      <c r="B36" s="29" t="s">
        <v>151</v>
      </c>
      <c r="C36" s="29">
        <v>10904082</v>
      </c>
      <c r="D36" s="29" t="s">
        <v>234</v>
      </c>
      <c r="E36" s="29"/>
      <c r="F36" s="29"/>
      <c r="G36" s="29" t="s">
        <v>98</v>
      </c>
      <c r="H36" s="30">
        <v>980</v>
      </c>
    </row>
    <row r="37" spans="2:8" ht="15" customHeight="1" x14ac:dyDescent="0.25">
      <c r="B37" s="29" t="s">
        <v>152</v>
      </c>
      <c r="C37" s="29">
        <v>11138391</v>
      </c>
      <c r="D37" s="29" t="s">
        <v>234</v>
      </c>
      <c r="E37" s="29"/>
      <c r="F37" s="29"/>
      <c r="G37" s="29" t="s">
        <v>141</v>
      </c>
      <c r="H37" s="30">
        <v>980</v>
      </c>
    </row>
    <row r="38" spans="2:8" ht="15" customHeight="1" x14ac:dyDescent="0.25">
      <c r="B38" s="29" t="s">
        <v>153</v>
      </c>
      <c r="C38" s="29">
        <v>11226106</v>
      </c>
      <c r="D38" s="29"/>
      <c r="E38" s="29"/>
      <c r="F38" s="29" t="s">
        <v>191</v>
      </c>
      <c r="G38" s="29" t="s">
        <v>98</v>
      </c>
      <c r="H38" s="30">
        <v>972.22</v>
      </c>
    </row>
    <row r="39" spans="2:8" ht="15" customHeight="1" x14ac:dyDescent="0.25">
      <c r="B39" s="29" t="s">
        <v>154</v>
      </c>
      <c r="C39" s="29">
        <v>11364453</v>
      </c>
      <c r="D39" s="29" t="s">
        <v>178</v>
      </c>
      <c r="E39" s="29" t="s">
        <v>178</v>
      </c>
      <c r="F39" s="29" t="s">
        <v>191</v>
      </c>
      <c r="G39" s="29" t="s">
        <v>98</v>
      </c>
      <c r="H39" s="30">
        <v>946.85</v>
      </c>
    </row>
    <row r="40" spans="2:8" ht="15" customHeight="1" x14ac:dyDescent="0.25">
      <c r="B40" s="29" t="s">
        <v>155</v>
      </c>
      <c r="C40" s="29">
        <v>6426970</v>
      </c>
      <c r="D40" s="29"/>
      <c r="E40" s="29"/>
      <c r="F40" s="29" t="s">
        <v>196</v>
      </c>
      <c r="G40" s="29" t="s">
        <v>96</v>
      </c>
      <c r="H40" s="30">
        <v>939.8</v>
      </c>
    </row>
    <row r="41" spans="2:8" ht="15" customHeight="1" x14ac:dyDescent="0.25">
      <c r="B41" s="29" t="s">
        <v>156</v>
      </c>
      <c r="C41" s="29">
        <v>11246372</v>
      </c>
      <c r="D41" s="29"/>
      <c r="E41" s="29"/>
      <c r="F41" s="29" t="s">
        <v>192</v>
      </c>
      <c r="G41" s="29" t="s">
        <v>221</v>
      </c>
      <c r="H41" s="30">
        <v>844.9</v>
      </c>
    </row>
    <row r="42" spans="2:8" ht="15" customHeight="1" x14ac:dyDescent="0.25">
      <c r="B42" s="29" t="s">
        <v>157</v>
      </c>
      <c r="C42" s="29">
        <v>11409178</v>
      </c>
      <c r="D42" s="29"/>
      <c r="E42" s="29"/>
      <c r="F42" s="29"/>
      <c r="G42" s="29" t="s">
        <v>182</v>
      </c>
      <c r="H42" s="30">
        <v>834.05</v>
      </c>
    </row>
    <row r="43" spans="2:8" ht="15" customHeight="1" x14ac:dyDescent="0.25">
      <c r="B43" s="29" t="s">
        <v>158</v>
      </c>
      <c r="C43" s="29">
        <v>7843919</v>
      </c>
      <c r="D43" s="29" t="s">
        <v>234</v>
      </c>
      <c r="E43" s="29"/>
      <c r="F43" s="29" t="s">
        <v>171</v>
      </c>
      <c r="G43" s="29" t="s">
        <v>97</v>
      </c>
      <c r="H43" s="30">
        <v>816.25</v>
      </c>
    </row>
    <row r="44" spans="2:8" ht="15" customHeight="1" x14ac:dyDescent="0.25">
      <c r="B44" s="29" t="s">
        <v>159</v>
      </c>
      <c r="C44" s="29">
        <v>11087533</v>
      </c>
      <c r="D44" s="29" t="s">
        <v>235</v>
      </c>
      <c r="E44" s="29"/>
      <c r="F44" s="29"/>
      <c r="G44" s="29" t="s">
        <v>97</v>
      </c>
      <c r="H44" s="30">
        <v>812.9</v>
      </c>
    </row>
    <row r="45" spans="2:8" ht="15" customHeight="1" x14ac:dyDescent="0.25">
      <c r="B45" s="29" t="s">
        <v>160</v>
      </c>
      <c r="C45" s="29">
        <v>6629843</v>
      </c>
      <c r="D45" s="29" t="s">
        <v>190</v>
      </c>
      <c r="E45" s="29"/>
      <c r="F45" s="29"/>
      <c r="G45" s="29" t="s">
        <v>97</v>
      </c>
      <c r="H45" s="30">
        <v>800</v>
      </c>
    </row>
    <row r="46" spans="2:8" ht="15" customHeight="1" x14ac:dyDescent="0.25">
      <c r="B46" s="29" t="s">
        <v>161</v>
      </c>
      <c r="C46" s="29">
        <v>11408816</v>
      </c>
      <c r="D46" s="29"/>
      <c r="E46" s="29"/>
      <c r="F46" s="29" t="s">
        <v>192</v>
      </c>
      <c r="G46" s="29" t="s">
        <v>221</v>
      </c>
      <c r="H46" s="30">
        <v>778</v>
      </c>
    </row>
    <row r="47" spans="2:8" ht="15" customHeight="1" x14ac:dyDescent="0.25">
      <c r="B47" s="29" t="s">
        <v>162</v>
      </c>
      <c r="C47" s="29">
        <v>10705377</v>
      </c>
      <c r="D47" s="29" t="s">
        <v>179</v>
      </c>
      <c r="E47" s="29" t="s">
        <v>179</v>
      </c>
      <c r="F47" s="29" t="s">
        <v>192</v>
      </c>
      <c r="G47" s="29" t="s">
        <v>221</v>
      </c>
      <c r="H47" s="30">
        <v>778</v>
      </c>
    </row>
    <row r="48" spans="2:8" ht="15" customHeight="1" x14ac:dyDescent="0.25">
      <c r="B48" s="29" t="s">
        <v>163</v>
      </c>
      <c r="C48" s="29">
        <v>11373389</v>
      </c>
      <c r="D48" s="29"/>
      <c r="E48" s="29"/>
      <c r="F48" s="29" t="s">
        <v>219</v>
      </c>
      <c r="G48" s="29" t="s">
        <v>96</v>
      </c>
      <c r="H48" s="30">
        <v>750.17</v>
      </c>
    </row>
    <row r="49" spans="2:8" ht="15" customHeight="1" x14ac:dyDescent="0.25">
      <c r="B49" s="29" t="s">
        <v>164</v>
      </c>
      <c r="C49" s="29">
        <v>11227014</v>
      </c>
      <c r="D49" s="29"/>
      <c r="E49" s="29"/>
      <c r="F49" s="29"/>
      <c r="G49" s="29" t="s">
        <v>181</v>
      </c>
      <c r="H49" s="30">
        <v>750</v>
      </c>
    </row>
    <row r="50" spans="2:8" ht="15" customHeight="1" x14ac:dyDescent="0.25">
      <c r="B50" s="29" t="s">
        <v>165</v>
      </c>
      <c r="C50" s="29">
        <v>9798451</v>
      </c>
      <c r="D50" s="29"/>
      <c r="E50" s="29"/>
      <c r="F50" s="29" t="s">
        <v>191</v>
      </c>
      <c r="G50" s="29" t="s">
        <v>96</v>
      </c>
      <c r="H50" s="30">
        <v>740.97</v>
      </c>
    </row>
    <row r="51" spans="2:8" ht="15" customHeight="1" x14ac:dyDescent="0.25">
      <c r="B51" s="29" t="s">
        <v>166</v>
      </c>
      <c r="C51" s="29">
        <v>10906605</v>
      </c>
      <c r="D51" s="29" t="s">
        <v>234</v>
      </c>
      <c r="E51" s="29"/>
      <c r="F51" s="29"/>
      <c r="G51" s="29" t="s">
        <v>98</v>
      </c>
      <c r="H51" s="30">
        <v>739.84</v>
      </c>
    </row>
    <row r="52" spans="2:8" ht="15" customHeight="1" x14ac:dyDescent="0.25">
      <c r="B52" s="29" t="s">
        <v>167</v>
      </c>
      <c r="C52" s="29">
        <v>11087543</v>
      </c>
      <c r="D52" s="29" t="s">
        <v>234</v>
      </c>
      <c r="E52" s="29"/>
      <c r="F52" s="29"/>
      <c r="G52" s="29" t="s">
        <v>98</v>
      </c>
      <c r="H52" s="30">
        <v>738.48</v>
      </c>
    </row>
    <row r="53" spans="2:8" ht="15" customHeight="1" x14ac:dyDescent="0.25">
      <c r="B53" s="29" t="s">
        <v>168</v>
      </c>
      <c r="C53" s="29">
        <v>11087546</v>
      </c>
      <c r="D53" s="29" t="s">
        <v>234</v>
      </c>
      <c r="E53" s="29"/>
      <c r="F53" s="29"/>
      <c r="G53" s="29" t="s">
        <v>98</v>
      </c>
      <c r="H53" s="30">
        <v>738.48</v>
      </c>
    </row>
    <row r="54" spans="2:8" ht="15" customHeight="1" x14ac:dyDescent="0.25">
      <c r="B54" s="29" t="s">
        <v>223</v>
      </c>
      <c r="C54" s="29">
        <v>11267463</v>
      </c>
      <c r="D54" s="29"/>
      <c r="E54" s="29"/>
      <c r="F54" s="29"/>
      <c r="G54" s="29" t="s">
        <v>108</v>
      </c>
      <c r="H54" s="30">
        <v>731.98</v>
      </c>
    </row>
    <row r="55" spans="2:8" ht="15" customHeight="1" x14ac:dyDescent="0.25">
      <c r="B55" s="29" t="s">
        <v>224</v>
      </c>
      <c r="C55" s="29">
        <v>7833431</v>
      </c>
      <c r="D55" s="29"/>
      <c r="E55" s="29"/>
      <c r="F55" s="29"/>
      <c r="G55" s="29" t="s">
        <v>97</v>
      </c>
      <c r="H55" s="30">
        <v>700.85</v>
      </c>
    </row>
    <row r="56" spans="2:8" ht="15" customHeight="1" x14ac:dyDescent="0.25">
      <c r="B56" s="29" t="s">
        <v>225</v>
      </c>
      <c r="C56" s="29">
        <v>11109632</v>
      </c>
      <c r="D56" s="29" t="s">
        <v>186</v>
      </c>
      <c r="E56" s="29"/>
      <c r="F56" s="29" t="s">
        <v>192</v>
      </c>
      <c r="G56" s="29" t="s">
        <v>108</v>
      </c>
      <c r="H56" s="30">
        <v>695.61</v>
      </c>
    </row>
    <row r="57" spans="2:8" ht="15" customHeight="1" x14ac:dyDescent="0.25">
      <c r="B57" s="29" t="s">
        <v>226</v>
      </c>
      <c r="C57" s="29">
        <v>11260663</v>
      </c>
      <c r="D57" s="29"/>
      <c r="E57" s="29"/>
      <c r="F57" s="29"/>
      <c r="G57" s="29" t="s">
        <v>96</v>
      </c>
      <c r="H57" s="30">
        <v>685.3</v>
      </c>
    </row>
    <row r="58" spans="2:8" ht="15" customHeight="1" x14ac:dyDescent="0.25">
      <c r="B58" s="29" t="s">
        <v>227</v>
      </c>
      <c r="C58" s="29">
        <v>8402063</v>
      </c>
      <c r="D58" s="29" t="s">
        <v>236</v>
      </c>
      <c r="E58" s="29" t="s">
        <v>237</v>
      </c>
      <c r="F58" s="29" t="s">
        <v>196</v>
      </c>
      <c r="G58" s="29" t="s">
        <v>108</v>
      </c>
      <c r="H58" s="30">
        <v>685.28</v>
      </c>
    </row>
    <row r="59" spans="2:8" ht="15" customHeight="1" x14ac:dyDescent="0.25">
      <c r="B59" s="29" t="s">
        <v>228</v>
      </c>
      <c r="C59" s="29">
        <v>10726779</v>
      </c>
      <c r="D59" s="29"/>
      <c r="E59" s="29"/>
      <c r="F59" s="29"/>
      <c r="G59" s="29" t="s">
        <v>96</v>
      </c>
      <c r="H59" s="30">
        <v>680.94</v>
      </c>
    </row>
    <row r="60" spans="2:8" ht="15" customHeight="1" x14ac:dyDescent="0.25">
      <c r="B60" s="29" t="s">
        <v>229</v>
      </c>
      <c r="C60" s="29">
        <v>10900323</v>
      </c>
      <c r="D60" s="29"/>
      <c r="E60" s="29"/>
      <c r="F60" s="29"/>
      <c r="G60" s="29" t="s">
        <v>98</v>
      </c>
      <c r="H60" s="30">
        <v>680</v>
      </c>
    </row>
    <row r="61" spans="2:8" ht="15" customHeight="1" x14ac:dyDescent="0.25">
      <c r="B61" s="29" t="s">
        <v>230</v>
      </c>
      <c r="C61" s="29">
        <v>10901685</v>
      </c>
      <c r="D61" s="29"/>
      <c r="E61" s="29"/>
      <c r="F61" s="29"/>
      <c r="G61" s="29" t="s">
        <v>98</v>
      </c>
      <c r="H61" s="30">
        <v>680</v>
      </c>
    </row>
    <row r="62" spans="2:8" ht="15" customHeight="1" x14ac:dyDescent="0.25">
      <c r="B62" s="29" t="s">
        <v>231</v>
      </c>
      <c r="C62" s="29">
        <v>10906587</v>
      </c>
      <c r="D62" s="29"/>
      <c r="E62" s="29"/>
      <c r="F62" s="29"/>
      <c r="G62" s="29" t="s">
        <v>98</v>
      </c>
      <c r="H62" s="30">
        <v>680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E60"/>
  <sheetViews>
    <sheetView topLeftCell="A23" workbookViewId="0">
      <selection activeCell="D59" sqref="D59"/>
    </sheetView>
  </sheetViews>
  <sheetFormatPr defaultRowHeight="15" x14ac:dyDescent="0.25"/>
  <cols>
    <col min="3" max="7" width="12.7109375" customWidth="1"/>
    <col min="8" max="8" width="0.85546875" customWidth="1"/>
    <col min="9" max="13" width="12.7109375" customWidth="1"/>
    <col min="14" max="14" width="0.85546875" customWidth="1"/>
    <col min="15" max="15" width="14.85546875" customWidth="1"/>
    <col min="16" max="16" width="16.85546875" customWidth="1"/>
    <col min="17" max="19" width="12.7109375" customWidth="1"/>
    <col min="20" max="20" width="0.85546875" customWidth="1"/>
    <col min="21" max="21" width="14.85546875" customWidth="1"/>
    <col min="22" max="22" width="16.85546875" customWidth="1"/>
    <col min="23" max="25" width="12.7109375" customWidth="1"/>
    <col min="26" max="26" width="0.85546875" customWidth="1"/>
    <col min="27" max="27" width="14.85546875" customWidth="1"/>
    <col min="28" max="28" width="16.85546875" customWidth="1"/>
    <col min="29" max="30" width="12.7109375" customWidth="1"/>
    <col min="31" max="31" width="11.5703125" bestFit="1" customWidth="1"/>
  </cols>
  <sheetData>
    <row r="2" spans="1:31" x14ac:dyDescent="0.25">
      <c r="C2" s="7" t="s">
        <v>76</v>
      </c>
      <c r="D2" s="10" t="s">
        <v>36</v>
      </c>
    </row>
    <row r="4" spans="1:31" x14ac:dyDescent="0.25">
      <c r="C4" s="11" t="s">
        <v>71</v>
      </c>
      <c r="D4" s="3"/>
      <c r="E4" s="3"/>
      <c r="F4" s="3"/>
      <c r="G4" s="3"/>
      <c r="I4" s="11" t="s">
        <v>72</v>
      </c>
      <c r="J4" s="3"/>
      <c r="K4" s="3"/>
      <c r="L4" s="3"/>
      <c r="M4" s="3"/>
      <c r="O4" s="11" t="s">
        <v>43</v>
      </c>
      <c r="P4" s="3"/>
      <c r="Q4" s="3"/>
      <c r="R4" s="3"/>
      <c r="S4" s="3"/>
      <c r="U4" s="11" t="s">
        <v>69</v>
      </c>
      <c r="V4" s="3"/>
      <c r="W4" s="3"/>
      <c r="X4" s="3"/>
      <c r="Y4" s="3"/>
      <c r="AA4" s="11" t="s">
        <v>41</v>
      </c>
      <c r="AB4" s="3"/>
      <c r="AC4" s="3"/>
      <c r="AD4" s="3"/>
      <c r="AE4" s="3"/>
    </row>
    <row r="5" spans="1:31" ht="3.95" customHeight="1" x14ac:dyDescent="0.25"/>
    <row r="6" spans="1:31" x14ac:dyDescent="0.25">
      <c r="C6" s="10" t="s">
        <v>66</v>
      </c>
      <c r="D6" s="10" t="s">
        <v>36</v>
      </c>
      <c r="E6" s="10" t="s">
        <v>68</v>
      </c>
      <c r="F6" s="10" t="s">
        <v>37</v>
      </c>
      <c r="G6" s="10" t="s">
        <v>70</v>
      </c>
      <c r="I6" s="10" t="s">
        <v>66</v>
      </c>
      <c r="J6" s="10" t="s">
        <v>36</v>
      </c>
      <c r="K6" s="10" t="s">
        <v>68</v>
      </c>
      <c r="L6" s="10" t="s">
        <v>37</v>
      </c>
      <c r="M6" s="10" t="s">
        <v>70</v>
      </c>
      <c r="O6" s="10" t="s">
        <v>66</v>
      </c>
      <c r="P6" s="10" t="s">
        <v>36</v>
      </c>
      <c r="Q6" s="10" t="s">
        <v>68</v>
      </c>
      <c r="R6" s="10" t="s">
        <v>37</v>
      </c>
      <c r="S6" s="10" t="s">
        <v>70</v>
      </c>
      <c r="U6" s="10" t="s">
        <v>66</v>
      </c>
      <c r="V6" s="10" t="s">
        <v>36</v>
      </c>
      <c r="W6" s="10" t="s">
        <v>68</v>
      </c>
      <c r="X6" s="10" t="s">
        <v>37</v>
      </c>
      <c r="Y6" s="10" t="s">
        <v>70</v>
      </c>
      <c r="AA6" s="10" t="s">
        <v>66</v>
      </c>
      <c r="AB6" s="10" t="s">
        <v>36</v>
      </c>
      <c r="AC6" s="10" t="s">
        <v>68</v>
      </c>
      <c r="AD6" s="10" t="s">
        <v>37</v>
      </c>
      <c r="AE6" s="10" t="s">
        <v>70</v>
      </c>
    </row>
    <row r="7" spans="1:31" x14ac:dyDescent="0.25">
      <c r="A7" t="str">
        <f>TEXT(E7,"MMM")&amp;CHAR(10)&amp;TEXT(E7,"DD")&amp;CHAR(10)&amp;TEXT(E7,"YYYY")</f>
        <v>Jul
19
2017</v>
      </c>
      <c r="B7">
        <f t="shared" ref="B7:B56" si="0">+B8-1</f>
        <v>1</v>
      </c>
      <c r="C7" s="7" t="s">
        <v>67</v>
      </c>
      <c r="D7" s="7" t="str">
        <f>$C$2</f>
        <v>Over 90</v>
      </c>
      <c r="E7" s="8">
        <f t="shared" ref="E7:E56" si="1">E8-7</f>
        <v>42935</v>
      </c>
      <c r="F7" s="9">
        <f>SUMIFS(tblData[Amount],
                   tblData[Rpt Date],"="&amp;$E7,
                   tblData[ScenarioGroup],"="&amp;$D7)</f>
        <v>114001.39000000001</v>
      </c>
      <c r="G7" s="9">
        <f t="shared" ref="G7:G33" si="2">F7</f>
        <v>114001.39000000001</v>
      </c>
      <c r="I7" s="7" t="s">
        <v>42</v>
      </c>
      <c r="J7" s="7" t="str">
        <f>$C$2</f>
        <v>Over 90</v>
      </c>
      <c r="K7" s="8">
        <f t="shared" ref="K7:K56" si="3">K8-7</f>
        <v>42935</v>
      </c>
      <c r="L7" s="9">
        <f>SUMIFS(tblData[Amount],
                   tblData[Rpt Date],"="&amp;K7,
                   tblData[ScenarioGroup],"="&amp;J7,
                   tblData[PrentGroup],"="&amp;I7)</f>
        <v>88325.390000000014</v>
      </c>
      <c r="M7" s="9">
        <f>SUMIFS(tblData[Amount],
                   tblData[Rpt Date],"="&amp;K7,
                   tblData[ScenarioGroup],"="&amp;J7,
                   tblData[PrentGroup],"="&amp;I7)</f>
        <v>88325.390000000014</v>
      </c>
      <c r="O7" s="7" t="s">
        <v>43</v>
      </c>
      <c r="P7" s="7" t="str">
        <f>$C$2</f>
        <v>Over 90</v>
      </c>
      <c r="Q7" s="8">
        <f t="shared" ref="Q7:Q56" si="4">Q8-7</f>
        <v>42935</v>
      </c>
      <c r="R7" s="9">
        <f>SUMIFS(tblData[Amount],
                   tblData[Rpt Date],"="&amp;Q7,
                   tblData[ScenarioGroup],"="&amp;P7,
                   tblData[PrentGroup],"="&amp;O7)</f>
        <v>20451.32</v>
      </c>
      <c r="S7" s="9">
        <f>SUMIFS(tblData[Amount],
                   tblData[Rpt Date],"="&amp;Q7,
                   tblData[ScenarioGroup],"="&amp;P7,
                   tblData[PrentGroup],"="&amp;O7)</f>
        <v>20451.32</v>
      </c>
      <c r="U7" s="7" t="s">
        <v>69</v>
      </c>
      <c r="V7" s="7" t="str">
        <f>$C$2</f>
        <v>Over 90</v>
      </c>
      <c r="W7" s="8">
        <f t="shared" ref="W7:W56" si="5">W8-7</f>
        <v>42935</v>
      </c>
      <c r="X7" s="9">
        <f>SUMIFS(tblData[Amount],
                   tblData[Rpt Date],"="&amp;W7,
                   tblData[ScenarioGroup],"="&amp;V7,
                   tblData[PrentGroup],"="&amp;U7)</f>
        <v>0</v>
      </c>
      <c r="Y7" s="9">
        <f>SUMIFS(tblData[Amount],
                   tblData[Rpt Date],"="&amp;W7,
                   tblData[ScenarioGroup],"="&amp;V7,
                   tblData[PrentGroup],"="&amp;U7)</f>
        <v>0</v>
      </c>
      <c r="AA7" s="7" t="s">
        <v>41</v>
      </c>
      <c r="AB7" s="7" t="str">
        <f>$C$2</f>
        <v>Over 90</v>
      </c>
      <c r="AC7" s="8">
        <f t="shared" ref="AC7:AC56" si="6">AC8-7</f>
        <v>42935</v>
      </c>
      <c r="AD7" s="9">
        <f>SUMIFS(tblData[Amount],
                   tblData[Rpt Date],"="&amp;AC7,
                   tblData[ScenarioGroup],"="&amp;AB7,
                   tblData[PrentGroup],"="&amp;AA7)</f>
        <v>5224.6800000000012</v>
      </c>
      <c r="AE7" s="9">
        <f>SUMIFS(tblData[Amount],
                   tblData[Rpt Date],"="&amp;AC7,
                   tblData[ScenarioGroup],"="&amp;AB7,
                   tblData[PrentGroup],"="&amp;AA7)</f>
        <v>5224.6800000000012</v>
      </c>
    </row>
    <row r="8" spans="1:31" x14ac:dyDescent="0.25">
      <c r="B8">
        <f t="shared" si="0"/>
        <v>2</v>
      </c>
      <c r="C8" s="7" t="s">
        <v>67</v>
      </c>
      <c r="D8" s="7" t="str">
        <f t="shared" ref="D8:D58" si="7">$C$2</f>
        <v>Over 90</v>
      </c>
      <c r="E8" s="8">
        <f t="shared" si="1"/>
        <v>42942</v>
      </c>
      <c r="F8" s="9">
        <f>SUMIFS(tblData[Amount],
                   tblData[Rpt Date],"="&amp;$E8,
                   tblData[ScenarioGroup],"="&amp;$D8)</f>
        <v>115521.32000000002</v>
      </c>
      <c r="G8" s="9">
        <f t="shared" si="2"/>
        <v>115521.32000000002</v>
      </c>
      <c r="I8" s="7" t="s">
        <v>42</v>
      </c>
      <c r="J8" s="7" t="str">
        <f t="shared" ref="J8:J58" si="8">$C$2</f>
        <v>Over 90</v>
      </c>
      <c r="K8" s="8">
        <f t="shared" si="3"/>
        <v>42942</v>
      </c>
      <c r="L8" s="9">
        <f>SUMIFS(tblData[Amount],
                   tblData[Rpt Date],"="&amp;K8,
                   tblData[ScenarioGroup],"="&amp;J8,
                   tblData[PrentGroup],"="&amp;I8)</f>
        <v>89046.05</v>
      </c>
      <c r="M8" s="9">
        <f>SUMIFS(tblData[Amount],
                   tblData[Rpt Date],"="&amp;K8,
                   tblData[ScenarioGroup],"="&amp;J8,
                   tblData[PrentGroup],"="&amp;I8)</f>
        <v>89046.05</v>
      </c>
      <c r="O8" s="7" t="s">
        <v>43</v>
      </c>
      <c r="P8" s="7" t="str">
        <f t="shared" ref="P8:P58" si="9">$C$2</f>
        <v>Over 90</v>
      </c>
      <c r="Q8" s="8">
        <f t="shared" si="4"/>
        <v>42942</v>
      </c>
      <c r="R8" s="9">
        <f>SUMIFS(tblData[Amount],
                   tblData[Rpt Date],"="&amp;Q8,
                   tblData[ScenarioGroup],"="&amp;P8,
                   tblData[PrentGroup],"="&amp;O8)</f>
        <v>20685.229999999996</v>
      </c>
      <c r="S8" s="9">
        <f>SUMIFS(tblData[Amount],
                   tblData[Rpt Date],"="&amp;Q8,
                   tblData[ScenarioGroup],"="&amp;P8,
                   tblData[PrentGroup],"="&amp;O8)</f>
        <v>20685.229999999996</v>
      </c>
      <c r="U8" s="7" t="s">
        <v>69</v>
      </c>
      <c r="V8" s="7" t="str">
        <f t="shared" ref="V8:V58" si="10">$C$2</f>
        <v>Over 90</v>
      </c>
      <c r="W8" s="8">
        <f t="shared" si="5"/>
        <v>42942</v>
      </c>
      <c r="X8" s="9">
        <f>SUMIFS(tblData[Amount],
                   tblData[Rpt Date],"="&amp;W8,
                   tblData[ScenarioGroup],"="&amp;V8,
                   tblData[PrentGroup],"="&amp;U8)</f>
        <v>0</v>
      </c>
      <c r="Y8" s="9">
        <f>SUMIFS(tblData[Amount],
                   tblData[Rpt Date],"="&amp;W8,
                   tblData[ScenarioGroup],"="&amp;V8,
                   tblData[PrentGroup],"="&amp;U8)</f>
        <v>0</v>
      </c>
      <c r="AA8" s="7" t="s">
        <v>41</v>
      </c>
      <c r="AB8" s="7" t="str">
        <f t="shared" ref="AB8:AB58" si="11">$C$2</f>
        <v>Over 90</v>
      </c>
      <c r="AC8" s="8">
        <f t="shared" si="6"/>
        <v>42942</v>
      </c>
      <c r="AD8" s="9">
        <f>SUMIFS(tblData[Amount],
                   tblData[Rpt Date],"="&amp;AC8,
                   tblData[ScenarioGroup],"="&amp;AB8,
                   tblData[PrentGroup],"="&amp;AA8)</f>
        <v>5790.0400000000009</v>
      </c>
      <c r="AE8" s="9">
        <f>SUMIFS(tblData[Amount],
                   tblData[Rpt Date],"="&amp;AC8,
                   tblData[ScenarioGroup],"="&amp;AB8,
                   tblData[PrentGroup],"="&amp;AA8)</f>
        <v>5790.0400000000009</v>
      </c>
    </row>
    <row r="9" spans="1:31" x14ac:dyDescent="0.25">
      <c r="B9">
        <f t="shared" si="0"/>
        <v>3</v>
      </c>
      <c r="C9" s="7" t="s">
        <v>67</v>
      </c>
      <c r="D9" s="7" t="str">
        <f t="shared" si="7"/>
        <v>Over 90</v>
      </c>
      <c r="E9" s="8">
        <f t="shared" si="1"/>
        <v>42949</v>
      </c>
      <c r="F9" s="9">
        <f>SUMIFS(tblData[Amount],
                   tblData[Rpt Date],"="&amp;$E9,
                   tblData[ScenarioGroup],"="&amp;$D9)</f>
        <v>117333.10000000002</v>
      </c>
      <c r="G9" s="9">
        <f t="shared" si="2"/>
        <v>117333.10000000002</v>
      </c>
      <c r="I9" s="7" t="s">
        <v>42</v>
      </c>
      <c r="J9" s="7" t="str">
        <f t="shared" si="8"/>
        <v>Over 90</v>
      </c>
      <c r="K9" s="8">
        <f t="shared" si="3"/>
        <v>42949</v>
      </c>
      <c r="L9" s="9">
        <f>SUMIFS(tblData[Amount],
                   tblData[Rpt Date],"="&amp;K9,
                   tblData[ScenarioGroup],"="&amp;J9,
                   tblData[PrentGroup],"="&amp;I9)</f>
        <v>90602.090000000011</v>
      </c>
      <c r="M9" s="9">
        <f>SUMIFS(tblData[Amount],
                   tblData[Rpt Date],"="&amp;K9,
                   tblData[ScenarioGroup],"="&amp;J9,
                   tblData[PrentGroup],"="&amp;I9)</f>
        <v>90602.090000000011</v>
      </c>
      <c r="O9" s="7" t="s">
        <v>43</v>
      </c>
      <c r="P9" s="7" t="str">
        <f t="shared" si="9"/>
        <v>Over 90</v>
      </c>
      <c r="Q9" s="8">
        <f t="shared" si="4"/>
        <v>42949</v>
      </c>
      <c r="R9" s="9">
        <f>SUMIFS(tblData[Amount],
                   tblData[Rpt Date],"="&amp;Q9,
                   tblData[ScenarioGroup],"="&amp;P9,
                   tblData[PrentGroup],"="&amp;O9)</f>
        <v>20705.769999999997</v>
      </c>
      <c r="S9" s="9">
        <f>SUMIFS(tblData[Amount],
                   tblData[Rpt Date],"="&amp;Q9,
                   tblData[ScenarioGroup],"="&amp;P9,
                   tblData[PrentGroup],"="&amp;O9)</f>
        <v>20705.769999999997</v>
      </c>
      <c r="U9" s="7" t="s">
        <v>69</v>
      </c>
      <c r="V9" s="7" t="str">
        <f t="shared" si="10"/>
        <v>Over 90</v>
      </c>
      <c r="W9" s="8">
        <f t="shared" si="5"/>
        <v>42949</v>
      </c>
      <c r="X9" s="9">
        <f>SUMIFS(tblData[Amount],
                   tblData[Rpt Date],"="&amp;W9,
                   tblData[ScenarioGroup],"="&amp;V9,
                   tblData[PrentGroup],"="&amp;U9)</f>
        <v>0</v>
      </c>
      <c r="Y9" s="9">
        <f>SUMIFS(tblData[Amount],
                   tblData[Rpt Date],"="&amp;W9,
                   tblData[ScenarioGroup],"="&amp;V9,
                   tblData[PrentGroup],"="&amp;U9)</f>
        <v>0</v>
      </c>
      <c r="AA9" s="7" t="s">
        <v>41</v>
      </c>
      <c r="AB9" s="7" t="str">
        <f t="shared" si="11"/>
        <v>Over 90</v>
      </c>
      <c r="AC9" s="8">
        <f t="shared" si="6"/>
        <v>42949</v>
      </c>
      <c r="AD9" s="9">
        <f>SUMIFS(tblData[Amount],
                   tblData[Rpt Date],"="&amp;AC9,
                   tblData[ScenarioGroup],"="&amp;AB9,
                   tblData[PrentGroup],"="&amp;AA9)</f>
        <v>6025.2400000000007</v>
      </c>
      <c r="AE9" s="9">
        <f>SUMIFS(tblData[Amount],
                   tblData[Rpt Date],"="&amp;AC9,
                   tblData[ScenarioGroup],"="&amp;AB9,
                   tblData[PrentGroup],"="&amp;AA9)</f>
        <v>6025.2400000000007</v>
      </c>
    </row>
    <row r="10" spans="1:31" x14ac:dyDescent="0.25">
      <c r="B10">
        <f t="shared" si="0"/>
        <v>4</v>
      </c>
      <c r="C10" s="7" t="s">
        <v>67</v>
      </c>
      <c r="D10" s="7" t="str">
        <f t="shared" si="7"/>
        <v>Over 90</v>
      </c>
      <c r="E10" s="8">
        <f t="shared" si="1"/>
        <v>42956</v>
      </c>
      <c r="F10" s="9">
        <f>SUMIFS(tblData[Amount],
                   tblData[Rpt Date],"="&amp;$E10,
                   tblData[ScenarioGroup],"="&amp;$D10)</f>
        <v>116108.81000000001</v>
      </c>
      <c r="G10" s="9">
        <f t="shared" si="2"/>
        <v>116108.81000000001</v>
      </c>
      <c r="I10" s="7" t="s">
        <v>42</v>
      </c>
      <c r="J10" s="7" t="str">
        <f t="shared" si="8"/>
        <v>Over 90</v>
      </c>
      <c r="K10" s="8">
        <f t="shared" si="3"/>
        <v>42956</v>
      </c>
      <c r="L10" s="9">
        <f>SUMIFS(tblData[Amount],
                   tblData[Rpt Date],"="&amp;K10,
                   tblData[ScenarioGroup],"="&amp;J10,
                   tblData[PrentGroup],"="&amp;I10)</f>
        <v>89272.85</v>
      </c>
      <c r="M10" s="9">
        <f>SUMIFS(tblData[Amount],
                   tblData[Rpt Date],"="&amp;K10,
                   tblData[ScenarioGroup],"="&amp;J10,
                   tblData[PrentGroup],"="&amp;I10)</f>
        <v>89272.85</v>
      </c>
      <c r="O10" s="7" t="s">
        <v>43</v>
      </c>
      <c r="P10" s="7" t="str">
        <f t="shared" si="9"/>
        <v>Over 90</v>
      </c>
      <c r="Q10" s="8">
        <f t="shared" si="4"/>
        <v>42956</v>
      </c>
      <c r="R10" s="9">
        <f>SUMIFS(tblData[Amount],
                   tblData[Rpt Date],"="&amp;Q10,
                   tblData[ScenarioGroup],"="&amp;P10,
                   tblData[PrentGroup],"="&amp;O10)</f>
        <v>20705.769999999997</v>
      </c>
      <c r="S10" s="9">
        <f>SUMIFS(tblData[Amount],
                   tblData[Rpt Date],"="&amp;Q10,
                   tblData[ScenarioGroup],"="&amp;P10,
                   tblData[PrentGroup],"="&amp;O10)</f>
        <v>20705.769999999997</v>
      </c>
      <c r="U10" s="7" t="s">
        <v>69</v>
      </c>
      <c r="V10" s="7" t="str">
        <f t="shared" si="10"/>
        <v>Over 90</v>
      </c>
      <c r="W10" s="8">
        <f t="shared" si="5"/>
        <v>42956</v>
      </c>
      <c r="X10" s="9">
        <f>SUMIFS(tblData[Amount],
                   tblData[Rpt Date],"="&amp;W10,
                   tblData[ScenarioGroup],"="&amp;V10,
                   tblData[PrentGroup],"="&amp;U10)</f>
        <v>344.56</v>
      </c>
      <c r="Y10" s="9">
        <f>SUMIFS(tblData[Amount],
                   tblData[Rpt Date],"="&amp;W10,
                   tblData[ScenarioGroup],"="&amp;V10,
                   tblData[PrentGroup],"="&amp;U10)</f>
        <v>344.56</v>
      </c>
      <c r="AA10" s="7" t="s">
        <v>41</v>
      </c>
      <c r="AB10" s="7" t="str">
        <f t="shared" si="11"/>
        <v>Over 90</v>
      </c>
      <c r="AC10" s="8">
        <f t="shared" si="6"/>
        <v>42956</v>
      </c>
      <c r="AD10" s="9">
        <f>SUMIFS(tblData[Amount],
                   tblData[Rpt Date],"="&amp;AC10,
                   tblData[ScenarioGroup],"="&amp;AB10,
                   tblData[PrentGroup],"="&amp;AA10)</f>
        <v>5785.630000000001</v>
      </c>
      <c r="AE10" s="9">
        <f>SUMIFS(tblData[Amount],
                   tblData[Rpt Date],"="&amp;AC10,
                   tblData[ScenarioGroup],"="&amp;AB10,
                   tblData[PrentGroup],"="&amp;AA10)</f>
        <v>5785.630000000001</v>
      </c>
    </row>
    <row r="11" spans="1:31" x14ac:dyDescent="0.25">
      <c r="B11">
        <f t="shared" si="0"/>
        <v>5</v>
      </c>
      <c r="C11" s="7" t="s">
        <v>67</v>
      </c>
      <c r="D11" s="7" t="str">
        <f t="shared" si="7"/>
        <v>Over 90</v>
      </c>
      <c r="E11" s="8">
        <f t="shared" si="1"/>
        <v>42963</v>
      </c>
      <c r="F11" s="9">
        <f>SUMIFS(tblData[Amount],
                   tblData[Rpt Date],"="&amp;$E11,
                   tblData[ScenarioGroup],"="&amp;$D11)</f>
        <v>113206.80999999997</v>
      </c>
      <c r="G11" s="9">
        <f t="shared" si="2"/>
        <v>113206.80999999997</v>
      </c>
      <c r="I11" s="7" t="s">
        <v>42</v>
      </c>
      <c r="J11" s="7" t="str">
        <f t="shared" si="8"/>
        <v>Over 90</v>
      </c>
      <c r="K11" s="8">
        <f t="shared" si="3"/>
        <v>42963</v>
      </c>
      <c r="L11" s="9">
        <f>SUMIFS(tblData[Amount],
                   tblData[Rpt Date],"="&amp;K11,
                   tblData[ScenarioGroup],"="&amp;J11,
                   tblData[PrentGroup],"="&amp;I11)</f>
        <v>86029.729999999981</v>
      </c>
      <c r="M11" s="9">
        <f>SUMIFS(tblData[Amount],
                   tblData[Rpt Date],"="&amp;K11,
                   tblData[ScenarioGroup],"="&amp;J11,
                   tblData[PrentGroup],"="&amp;I11)</f>
        <v>86029.729999999981</v>
      </c>
      <c r="O11" s="7" t="s">
        <v>43</v>
      </c>
      <c r="P11" s="7" t="str">
        <f t="shared" si="9"/>
        <v>Over 90</v>
      </c>
      <c r="Q11" s="8">
        <f t="shared" si="4"/>
        <v>42963</v>
      </c>
      <c r="R11" s="9">
        <f>SUMIFS(tblData[Amount],
                   tblData[Rpt Date],"="&amp;Q11,
                   tblData[ScenarioGroup],"="&amp;P11,
                   tblData[PrentGroup],"="&amp;O11)</f>
        <v>20705.769999999997</v>
      </c>
      <c r="S11" s="9">
        <f>SUMIFS(tblData[Amount],
                   tblData[Rpt Date],"="&amp;Q11,
                   tblData[ScenarioGroup],"="&amp;P11,
                   tblData[PrentGroup],"="&amp;O11)</f>
        <v>20705.769999999997</v>
      </c>
      <c r="U11" s="7" t="s">
        <v>69</v>
      </c>
      <c r="V11" s="7" t="str">
        <f t="shared" si="10"/>
        <v>Over 90</v>
      </c>
      <c r="W11" s="8">
        <f t="shared" si="5"/>
        <v>42963</v>
      </c>
      <c r="X11" s="9">
        <f>SUMIFS(tblData[Amount],
                   tblData[Rpt Date],"="&amp;W11,
                   tblData[ScenarioGroup],"="&amp;V11,
                   tblData[PrentGroup],"="&amp;U11)</f>
        <v>344.56</v>
      </c>
      <c r="Y11" s="9">
        <f>SUMIFS(tblData[Amount],
                   tblData[Rpt Date],"="&amp;W11,
                   tblData[ScenarioGroup],"="&amp;V11,
                   tblData[PrentGroup],"="&amp;U11)</f>
        <v>344.56</v>
      </c>
      <c r="AA11" s="7" t="s">
        <v>41</v>
      </c>
      <c r="AB11" s="7" t="str">
        <f t="shared" si="11"/>
        <v>Over 90</v>
      </c>
      <c r="AC11" s="8">
        <f t="shared" si="6"/>
        <v>42963</v>
      </c>
      <c r="AD11" s="9">
        <f>SUMIFS(tblData[Amount],
                   tblData[Rpt Date],"="&amp;AC11,
                   tblData[ScenarioGroup],"="&amp;AB11,
                   tblData[PrentGroup],"="&amp;AA11)</f>
        <v>6126.7500000000009</v>
      </c>
      <c r="AE11" s="9">
        <f>SUMIFS(tblData[Amount],
                   tblData[Rpt Date],"="&amp;AC11,
                   tblData[ScenarioGroup],"="&amp;AB11,
                   tblData[PrentGroup],"="&amp;AA11)</f>
        <v>6126.7500000000009</v>
      </c>
    </row>
    <row r="12" spans="1:31" x14ac:dyDescent="0.25">
      <c r="B12">
        <f t="shared" si="0"/>
        <v>6</v>
      </c>
      <c r="C12" s="7" t="s">
        <v>67</v>
      </c>
      <c r="D12" s="7" t="str">
        <f t="shared" si="7"/>
        <v>Over 90</v>
      </c>
      <c r="E12" s="8">
        <f t="shared" si="1"/>
        <v>42970</v>
      </c>
      <c r="F12" s="9">
        <f>SUMIFS(tblData[Amount],
                   tblData[Rpt Date],"="&amp;$E12,
                   tblData[ScenarioGroup],"="&amp;$D12)</f>
        <v>112423.48</v>
      </c>
      <c r="G12" s="9">
        <f t="shared" si="2"/>
        <v>112423.48</v>
      </c>
      <c r="I12" s="7" t="s">
        <v>42</v>
      </c>
      <c r="J12" s="7" t="str">
        <f t="shared" si="8"/>
        <v>Over 90</v>
      </c>
      <c r="K12" s="8">
        <f t="shared" si="3"/>
        <v>42970</v>
      </c>
      <c r="L12" s="9">
        <f>SUMIFS(tblData[Amount],
                   tblData[Rpt Date],"="&amp;K12,
                   tblData[ScenarioGroup],"="&amp;J12,
                   tblData[PrentGroup],"="&amp;I12)</f>
        <v>85928.81</v>
      </c>
      <c r="M12" s="9">
        <f>SUMIFS(tblData[Amount],
                   tblData[Rpt Date],"="&amp;K12,
                   tblData[ScenarioGroup],"="&amp;J12,
                   tblData[PrentGroup],"="&amp;I12)</f>
        <v>85928.81</v>
      </c>
      <c r="O12" s="7" t="s">
        <v>43</v>
      </c>
      <c r="P12" s="7" t="str">
        <f t="shared" si="9"/>
        <v>Over 90</v>
      </c>
      <c r="Q12" s="8">
        <f t="shared" si="4"/>
        <v>42970</v>
      </c>
      <c r="R12" s="9">
        <f>SUMIFS(tblData[Amount],
                   tblData[Rpt Date],"="&amp;Q12,
                   tblData[ScenarioGroup],"="&amp;P12,
                   tblData[PrentGroup],"="&amp;O12)</f>
        <v>20925.429999999997</v>
      </c>
      <c r="S12" s="9">
        <f>SUMIFS(tblData[Amount],
                   tblData[Rpt Date],"="&amp;Q12,
                   tblData[ScenarioGroup],"="&amp;P12,
                   tblData[PrentGroup],"="&amp;O12)</f>
        <v>20925.429999999997</v>
      </c>
      <c r="U12" s="7" t="s">
        <v>69</v>
      </c>
      <c r="V12" s="7" t="str">
        <f t="shared" si="10"/>
        <v>Over 90</v>
      </c>
      <c r="W12" s="8">
        <f t="shared" si="5"/>
        <v>42970</v>
      </c>
      <c r="X12" s="9">
        <f>SUMIFS(tblData[Amount],
                   tblData[Rpt Date],"="&amp;W12,
                   tblData[ScenarioGroup],"="&amp;V12,
                   tblData[PrentGroup],"="&amp;U12)</f>
        <v>344.56</v>
      </c>
      <c r="Y12" s="9">
        <f>SUMIFS(tblData[Amount],
                   tblData[Rpt Date],"="&amp;W12,
                   tblData[ScenarioGroup],"="&amp;V12,
                   tblData[PrentGroup],"="&amp;U12)</f>
        <v>344.56</v>
      </c>
      <c r="AA12" s="7" t="s">
        <v>41</v>
      </c>
      <c r="AB12" s="7" t="str">
        <f t="shared" si="11"/>
        <v>Over 90</v>
      </c>
      <c r="AC12" s="8">
        <f t="shared" si="6"/>
        <v>42970</v>
      </c>
      <c r="AD12" s="9">
        <f>SUMIFS(tblData[Amount],
                   tblData[Rpt Date],"="&amp;AC12,
                   tblData[ScenarioGroup],"="&amp;AB12,
                   tblData[PrentGroup],"="&amp;AA12)</f>
        <v>5224.6800000000012</v>
      </c>
      <c r="AE12" s="9">
        <f>SUMIFS(tblData[Amount],
                   tblData[Rpt Date],"="&amp;AC12,
                   tblData[ScenarioGroup],"="&amp;AB12,
                   tblData[PrentGroup],"="&amp;AA12)</f>
        <v>5224.6800000000012</v>
      </c>
    </row>
    <row r="13" spans="1:31" x14ac:dyDescent="0.25">
      <c r="B13">
        <f t="shared" si="0"/>
        <v>7</v>
      </c>
      <c r="C13" s="7" t="s">
        <v>67</v>
      </c>
      <c r="D13" s="7" t="str">
        <f t="shared" si="7"/>
        <v>Over 90</v>
      </c>
      <c r="E13" s="8">
        <f t="shared" si="1"/>
        <v>42977</v>
      </c>
      <c r="F13" s="9">
        <f>SUMIFS(tblData[Amount],
                   tblData[Rpt Date],"="&amp;$E13,
                   tblData[ScenarioGroup],"="&amp;$D13)</f>
        <v>124360.87000000001</v>
      </c>
      <c r="G13" s="9">
        <f t="shared" si="2"/>
        <v>124360.87000000001</v>
      </c>
      <c r="I13" s="7" t="s">
        <v>42</v>
      </c>
      <c r="J13" s="7" t="str">
        <f t="shared" si="8"/>
        <v>Over 90</v>
      </c>
      <c r="K13" s="8">
        <f t="shared" si="3"/>
        <v>42977</v>
      </c>
      <c r="L13" s="9">
        <f>SUMIFS(tblData[Amount],
                   tblData[Rpt Date],"="&amp;K13,
                   tblData[ScenarioGroup],"="&amp;J13,
                   tblData[PrentGroup],"="&amp;I13)</f>
        <v>97647.31</v>
      </c>
      <c r="M13" s="9">
        <f>SUMIFS(tblData[Amount],
                   tblData[Rpt Date],"="&amp;K13,
                   tblData[ScenarioGroup],"="&amp;J13,
                   tblData[PrentGroup],"="&amp;I13)</f>
        <v>97647.31</v>
      </c>
      <c r="O13" s="7" t="s">
        <v>43</v>
      </c>
      <c r="P13" s="7" t="str">
        <f t="shared" si="9"/>
        <v>Over 90</v>
      </c>
      <c r="Q13" s="8">
        <f t="shared" si="4"/>
        <v>42977</v>
      </c>
      <c r="R13" s="9">
        <f>SUMIFS(tblData[Amount],
                   tblData[Rpt Date],"="&amp;Q13,
                   tblData[ScenarioGroup],"="&amp;P13,
                   tblData[PrentGroup],"="&amp;O13)</f>
        <v>20925.429999999997</v>
      </c>
      <c r="S13" s="9">
        <f>SUMIFS(tblData[Amount],
                   tblData[Rpt Date],"="&amp;Q13,
                   tblData[ScenarioGroup],"="&amp;P13,
                   tblData[PrentGroup],"="&amp;O13)</f>
        <v>20925.429999999997</v>
      </c>
      <c r="U13" s="7" t="s">
        <v>69</v>
      </c>
      <c r="V13" s="7" t="str">
        <f t="shared" si="10"/>
        <v>Over 90</v>
      </c>
      <c r="W13" s="8">
        <f t="shared" si="5"/>
        <v>42977</v>
      </c>
      <c r="X13" s="9">
        <f>SUMIFS(tblData[Amount],
                   tblData[Rpt Date],"="&amp;W13,
                   tblData[ScenarioGroup],"="&amp;V13,
                   tblData[PrentGroup],"="&amp;U13)</f>
        <v>563.45000000000005</v>
      </c>
      <c r="Y13" s="9">
        <f>SUMIFS(tblData[Amount],
                   tblData[Rpt Date],"="&amp;W13,
                   tblData[ScenarioGroup],"="&amp;V13,
                   tblData[PrentGroup],"="&amp;U13)</f>
        <v>563.45000000000005</v>
      </c>
      <c r="AA13" s="7" t="s">
        <v>41</v>
      </c>
      <c r="AB13" s="7" t="str">
        <f t="shared" si="11"/>
        <v>Over 90</v>
      </c>
      <c r="AC13" s="8">
        <f t="shared" si="6"/>
        <v>42977</v>
      </c>
      <c r="AD13" s="9">
        <f>SUMIFS(tblData[Amount],
                   tblData[Rpt Date],"="&amp;AC13,
                   tblData[ScenarioGroup],"="&amp;AB13,
                   tblData[PrentGroup],"="&amp;AA13)</f>
        <v>5224.6800000000012</v>
      </c>
      <c r="AE13" s="9">
        <f>SUMIFS(tblData[Amount],
                   tblData[Rpt Date],"="&amp;AC13,
                   tblData[ScenarioGroup],"="&amp;AB13,
                   tblData[PrentGroup],"="&amp;AA13)</f>
        <v>5224.6800000000012</v>
      </c>
    </row>
    <row r="14" spans="1:31" x14ac:dyDescent="0.25">
      <c r="B14">
        <f t="shared" si="0"/>
        <v>8</v>
      </c>
      <c r="C14" s="7" t="s">
        <v>67</v>
      </c>
      <c r="D14" s="7" t="str">
        <f t="shared" si="7"/>
        <v>Over 90</v>
      </c>
      <c r="E14" s="8">
        <f t="shared" si="1"/>
        <v>42984</v>
      </c>
      <c r="F14" s="9">
        <f>SUMIFS(tblData[Amount],
                   tblData[Rpt Date],"="&amp;$E14,
                   tblData[ScenarioGroup],"="&amp;$D14)</f>
        <v>125997.40999999999</v>
      </c>
      <c r="G14" s="9">
        <f t="shared" si="2"/>
        <v>125997.40999999999</v>
      </c>
      <c r="I14" s="7" t="s">
        <v>42</v>
      </c>
      <c r="J14" s="7" t="str">
        <f t="shared" si="8"/>
        <v>Over 90</v>
      </c>
      <c r="K14" s="8">
        <f t="shared" si="3"/>
        <v>42984</v>
      </c>
      <c r="L14" s="9">
        <f>SUMIFS(tblData[Amount],
                   tblData[Rpt Date],"="&amp;K14,
                   tblData[ScenarioGroup],"="&amp;J14,
                   tblData[PrentGroup],"="&amp;I14)</f>
        <v>99203.85</v>
      </c>
      <c r="M14" s="9">
        <f>SUMIFS(tblData[Amount],
                   tblData[Rpt Date],"="&amp;K14,
                   tblData[ScenarioGroup],"="&amp;J14,
                   tblData[PrentGroup],"="&amp;I14)</f>
        <v>99203.85</v>
      </c>
      <c r="O14" s="7" t="s">
        <v>43</v>
      </c>
      <c r="P14" s="7" t="str">
        <f t="shared" si="9"/>
        <v>Over 90</v>
      </c>
      <c r="Q14" s="8">
        <f t="shared" si="4"/>
        <v>42984</v>
      </c>
      <c r="R14" s="9">
        <f>SUMIFS(tblData[Amount],
                   tblData[Rpt Date],"="&amp;Q14,
                   tblData[ScenarioGroup],"="&amp;P14,
                   tblData[PrentGroup],"="&amp;O14)</f>
        <v>21005.429999999997</v>
      </c>
      <c r="S14" s="9">
        <f>SUMIFS(tblData[Amount],
                   tblData[Rpt Date],"="&amp;Q14,
                   tblData[ScenarioGroup],"="&amp;P14,
                   tblData[PrentGroup],"="&amp;O14)</f>
        <v>21005.429999999997</v>
      </c>
      <c r="U14" s="7" t="s">
        <v>69</v>
      </c>
      <c r="V14" s="7" t="str">
        <f t="shared" si="10"/>
        <v>Over 90</v>
      </c>
      <c r="W14" s="8">
        <f t="shared" si="5"/>
        <v>42984</v>
      </c>
      <c r="X14" s="9">
        <f>SUMIFS(tblData[Amount],
                   tblData[Rpt Date],"="&amp;W14,
                   tblData[ScenarioGroup],"="&amp;V14,
                   tblData[PrentGroup],"="&amp;U14)</f>
        <v>563.45000000000005</v>
      </c>
      <c r="Y14" s="9">
        <f>SUMIFS(tblData[Amount],
                   tblData[Rpt Date],"="&amp;W14,
                   tblData[ScenarioGroup],"="&amp;V14,
                   tblData[PrentGroup],"="&amp;U14)</f>
        <v>563.45000000000005</v>
      </c>
      <c r="AA14" s="7" t="s">
        <v>41</v>
      </c>
      <c r="AB14" s="7" t="str">
        <f t="shared" si="11"/>
        <v>Over 90</v>
      </c>
      <c r="AC14" s="8">
        <f t="shared" si="6"/>
        <v>42984</v>
      </c>
      <c r="AD14" s="9">
        <f>SUMIFS(tblData[Amount],
                   tblData[Rpt Date],"="&amp;AC14,
                   tblData[ScenarioGroup],"="&amp;AB14,
                   tblData[PrentGroup],"="&amp;AA14)</f>
        <v>5224.6800000000012</v>
      </c>
      <c r="AE14" s="9">
        <f>SUMIFS(tblData[Amount],
                   tblData[Rpt Date],"="&amp;AC14,
                   tblData[ScenarioGroup],"="&amp;AB14,
                   tblData[PrentGroup],"="&amp;AA14)</f>
        <v>5224.6800000000012</v>
      </c>
    </row>
    <row r="15" spans="1:31" x14ac:dyDescent="0.25">
      <c r="B15">
        <f t="shared" si="0"/>
        <v>9</v>
      </c>
      <c r="C15" s="7" t="s">
        <v>67</v>
      </c>
      <c r="D15" s="7" t="str">
        <f t="shared" si="7"/>
        <v>Over 90</v>
      </c>
      <c r="E15" s="8">
        <f t="shared" si="1"/>
        <v>42991</v>
      </c>
      <c r="F15" s="9">
        <f>SUMIFS(tblData[Amount],
                   tblData[Rpt Date],"="&amp;$E15,
                   tblData[ScenarioGroup],"="&amp;$D15)</f>
        <v>276005.66000000003</v>
      </c>
      <c r="G15" s="9">
        <f t="shared" si="2"/>
        <v>276005.66000000003</v>
      </c>
      <c r="I15" s="7" t="s">
        <v>42</v>
      </c>
      <c r="J15" s="7" t="str">
        <f t="shared" si="8"/>
        <v>Over 90</v>
      </c>
      <c r="K15" s="8">
        <f t="shared" si="3"/>
        <v>42991</v>
      </c>
      <c r="L15" s="9">
        <f>SUMIFS(tblData[Amount],
                   tblData[Rpt Date],"="&amp;K15,
                   tblData[ScenarioGroup],"="&amp;J15,
                   tblData[PrentGroup],"="&amp;I15)</f>
        <v>206646.65000000008</v>
      </c>
      <c r="M15" s="9">
        <f>SUMIFS(tblData[Amount],
                   tblData[Rpt Date],"="&amp;K15,
                   tblData[ScenarioGroup],"="&amp;J15,
                   tblData[PrentGroup],"="&amp;I15)</f>
        <v>206646.65000000008</v>
      </c>
      <c r="O15" s="7" t="s">
        <v>43</v>
      </c>
      <c r="P15" s="7" t="str">
        <f t="shared" si="9"/>
        <v>Over 90</v>
      </c>
      <c r="Q15" s="8">
        <f t="shared" si="4"/>
        <v>42991</v>
      </c>
      <c r="R15" s="9">
        <f>SUMIFS(tblData[Amount],
                   tblData[Rpt Date],"="&amp;Q15,
                   tblData[ScenarioGroup],"="&amp;P15,
                   tblData[PrentGroup],"="&amp;O15)</f>
        <v>60726.089999999975</v>
      </c>
      <c r="S15" s="9">
        <f>SUMIFS(tblData[Amount],
                   tblData[Rpt Date],"="&amp;Q15,
                   tblData[ScenarioGroup],"="&amp;P15,
                   tblData[PrentGroup],"="&amp;O15)</f>
        <v>60726.089999999975</v>
      </c>
      <c r="U15" s="7" t="s">
        <v>69</v>
      </c>
      <c r="V15" s="7" t="str">
        <f t="shared" si="10"/>
        <v>Over 90</v>
      </c>
      <c r="W15" s="8">
        <f t="shared" si="5"/>
        <v>42991</v>
      </c>
      <c r="X15" s="9">
        <f>SUMIFS(tblData[Amount],
                   tblData[Rpt Date],"="&amp;W15,
                   tblData[ScenarioGroup],"="&amp;V15,
                   tblData[PrentGroup],"="&amp;U15)</f>
        <v>897.8599999999999</v>
      </c>
      <c r="Y15" s="9">
        <f>SUMIFS(tblData[Amount],
                   tblData[Rpt Date],"="&amp;W15,
                   tblData[ScenarioGroup],"="&amp;V15,
                   tblData[PrentGroup],"="&amp;U15)</f>
        <v>897.8599999999999</v>
      </c>
      <c r="AA15" s="7" t="s">
        <v>41</v>
      </c>
      <c r="AB15" s="7" t="str">
        <f t="shared" si="11"/>
        <v>Over 90</v>
      </c>
      <c r="AC15" s="8">
        <f t="shared" si="6"/>
        <v>42991</v>
      </c>
      <c r="AD15" s="9">
        <f>SUMIFS(tblData[Amount],
                   tblData[Rpt Date],"="&amp;AC15,
                   tblData[ScenarioGroup],"="&amp;AB15,
                   tblData[PrentGroup],"="&amp;AA15)</f>
        <v>7735.0599999999968</v>
      </c>
      <c r="AE15" s="9">
        <f>SUMIFS(tblData[Amount],
                   tblData[Rpt Date],"="&amp;AC15,
                   tblData[ScenarioGroup],"="&amp;AB15,
                   tblData[PrentGroup],"="&amp;AA15)</f>
        <v>7735.0599999999968</v>
      </c>
    </row>
    <row r="16" spans="1:31" x14ac:dyDescent="0.25">
      <c r="B16">
        <f t="shared" si="0"/>
        <v>10</v>
      </c>
      <c r="C16" s="7" t="s">
        <v>67</v>
      </c>
      <c r="D16" s="7" t="str">
        <f t="shared" si="7"/>
        <v>Over 90</v>
      </c>
      <c r="E16" s="8">
        <f t="shared" si="1"/>
        <v>42998</v>
      </c>
      <c r="F16" s="9">
        <f>SUMIFS(tblData[Amount],
                   tblData[Rpt Date],"="&amp;$E16,
                   tblData[ScenarioGroup],"="&amp;$D16)</f>
        <v>271433.26</v>
      </c>
      <c r="G16" s="9">
        <f t="shared" si="2"/>
        <v>271433.26</v>
      </c>
      <c r="I16" s="7" t="s">
        <v>42</v>
      </c>
      <c r="J16" s="7" t="str">
        <f t="shared" si="8"/>
        <v>Over 90</v>
      </c>
      <c r="K16" s="8">
        <f t="shared" si="3"/>
        <v>42998</v>
      </c>
      <c r="L16" s="9">
        <f>SUMIFS(tblData[Amount],
                   tblData[Rpt Date],"="&amp;K16,
                   tblData[ScenarioGroup],"="&amp;J16,
                   tblData[PrentGroup],"="&amp;I16)</f>
        <v>201462.35000000003</v>
      </c>
      <c r="M16" s="9">
        <f>SUMIFS(tblData[Amount],
                   tblData[Rpt Date],"="&amp;K16,
                   tblData[ScenarioGroup],"="&amp;J16,
                   tblData[PrentGroup],"="&amp;I16)</f>
        <v>201462.35000000003</v>
      </c>
      <c r="O16" s="7" t="s">
        <v>43</v>
      </c>
      <c r="P16" s="7" t="str">
        <f t="shared" si="9"/>
        <v>Over 90</v>
      </c>
      <c r="Q16" s="8">
        <f t="shared" si="4"/>
        <v>42998</v>
      </c>
      <c r="R16" s="9">
        <f>SUMIFS(tblData[Amount],
                   tblData[Rpt Date],"="&amp;Q16,
                   tblData[ScenarioGroup],"="&amp;P16,
                   tblData[PrentGroup],"="&amp;O16)</f>
        <v>61517.549999999974</v>
      </c>
      <c r="S16" s="9">
        <f>SUMIFS(tblData[Amount],
                   tblData[Rpt Date],"="&amp;Q16,
                   tblData[ScenarioGroup],"="&amp;P16,
                   tblData[PrentGroup],"="&amp;O16)</f>
        <v>61517.549999999974</v>
      </c>
      <c r="U16" s="7" t="s">
        <v>69</v>
      </c>
      <c r="V16" s="7" t="str">
        <f t="shared" si="10"/>
        <v>Over 90</v>
      </c>
      <c r="W16" s="8">
        <f t="shared" si="5"/>
        <v>42998</v>
      </c>
      <c r="X16" s="9">
        <f>SUMIFS(tblData[Amount],
                   tblData[Rpt Date],"="&amp;W16,
                   tblData[ScenarioGroup],"="&amp;V16,
                   tblData[PrentGroup],"="&amp;U16)</f>
        <v>553.29999999999995</v>
      </c>
      <c r="Y16" s="9">
        <f>SUMIFS(tblData[Amount],
                   tblData[Rpt Date],"="&amp;W16,
                   tblData[ScenarioGroup],"="&amp;V16,
                   tblData[PrentGroup],"="&amp;U16)</f>
        <v>553.29999999999995</v>
      </c>
      <c r="AA16" s="7" t="s">
        <v>41</v>
      </c>
      <c r="AB16" s="7" t="str">
        <f t="shared" si="11"/>
        <v>Over 90</v>
      </c>
      <c r="AC16" s="8">
        <f t="shared" si="6"/>
        <v>42998</v>
      </c>
      <c r="AD16" s="9">
        <f>SUMIFS(tblData[Amount],
                   tblData[Rpt Date],"="&amp;AC16,
                   tblData[ScenarioGroup],"="&amp;AB16,
                   tblData[PrentGroup],"="&amp;AA16)</f>
        <v>7900.0599999999968</v>
      </c>
      <c r="AE16" s="9">
        <f>SUMIFS(tblData[Amount],
                   tblData[Rpt Date],"="&amp;AC16,
                   tblData[ScenarioGroup],"="&amp;AB16,
                   tblData[PrentGroup],"="&amp;AA16)</f>
        <v>7900.0599999999968</v>
      </c>
    </row>
    <row r="17" spans="1:31" x14ac:dyDescent="0.25">
      <c r="B17">
        <f t="shared" si="0"/>
        <v>11</v>
      </c>
      <c r="C17" s="7" t="s">
        <v>67</v>
      </c>
      <c r="D17" s="7" t="str">
        <f t="shared" si="7"/>
        <v>Over 90</v>
      </c>
      <c r="E17" s="8">
        <f t="shared" si="1"/>
        <v>43005</v>
      </c>
      <c r="F17" s="9">
        <f>SUMIFS(tblData[Amount],
                   tblData[Rpt Date],"="&amp;$E17,
                   tblData[ScenarioGroup],"="&amp;$D17)</f>
        <v>268054.09999999992</v>
      </c>
      <c r="G17" s="9">
        <f t="shared" si="2"/>
        <v>268054.09999999992</v>
      </c>
      <c r="I17" s="7" t="s">
        <v>42</v>
      </c>
      <c r="J17" s="7" t="str">
        <f t="shared" si="8"/>
        <v>Over 90</v>
      </c>
      <c r="K17" s="8">
        <f t="shared" si="3"/>
        <v>43005</v>
      </c>
      <c r="L17" s="9">
        <f>SUMIFS(tblData[Amount],
                   tblData[Rpt Date],"="&amp;K17,
                   tblData[ScenarioGroup],"="&amp;J17,
                   tblData[PrentGroup],"="&amp;I17)</f>
        <v>196039.24000000002</v>
      </c>
      <c r="M17" s="9">
        <f>SUMIFS(tblData[Amount],
                   tblData[Rpt Date],"="&amp;K17,
                   tblData[ScenarioGroup],"="&amp;J17,
                   tblData[PrentGroup],"="&amp;I17)</f>
        <v>196039.24000000002</v>
      </c>
      <c r="O17" s="7" t="s">
        <v>43</v>
      </c>
      <c r="P17" s="7" t="str">
        <f t="shared" si="9"/>
        <v>Over 90</v>
      </c>
      <c r="Q17" s="8">
        <f t="shared" si="4"/>
        <v>43005</v>
      </c>
      <c r="R17" s="9">
        <f>SUMIFS(tblData[Amount],
                   tblData[Rpt Date],"="&amp;Q17,
                   tblData[ScenarioGroup],"="&amp;P17,
                   tblData[PrentGroup],"="&amp;O17)</f>
        <v>62393.39999999998</v>
      </c>
      <c r="S17" s="9">
        <f>SUMIFS(tblData[Amount],
                   tblData[Rpt Date],"="&amp;Q17,
                   tblData[ScenarioGroup],"="&amp;P17,
                   tblData[PrentGroup],"="&amp;O17)</f>
        <v>62393.39999999998</v>
      </c>
      <c r="U17" s="7" t="s">
        <v>69</v>
      </c>
      <c r="V17" s="7" t="str">
        <f t="shared" si="10"/>
        <v>Over 90</v>
      </c>
      <c r="W17" s="8">
        <f t="shared" si="5"/>
        <v>43005</v>
      </c>
      <c r="X17" s="9">
        <f>SUMIFS(tblData[Amount],
                   tblData[Rpt Date],"="&amp;W17,
                   tblData[ScenarioGroup],"="&amp;V17,
                   tblData[PrentGroup],"="&amp;U17)</f>
        <v>1606.5500000000002</v>
      </c>
      <c r="Y17" s="9">
        <f>SUMIFS(tblData[Amount],
                   tblData[Rpt Date],"="&amp;W17,
                   tblData[ScenarioGroup],"="&amp;V17,
                   tblData[PrentGroup],"="&amp;U17)</f>
        <v>1606.5500000000002</v>
      </c>
      <c r="AA17" s="7" t="s">
        <v>41</v>
      </c>
      <c r="AB17" s="7" t="str">
        <f t="shared" si="11"/>
        <v>Over 90</v>
      </c>
      <c r="AC17" s="8">
        <f t="shared" si="6"/>
        <v>43005</v>
      </c>
      <c r="AD17" s="9">
        <f>SUMIFS(tblData[Amount],
                   tblData[Rpt Date],"="&amp;AC17,
                   tblData[ScenarioGroup],"="&amp;AB17,
                   tblData[PrentGroup],"="&amp;AA17)</f>
        <v>8014.9099999999971</v>
      </c>
      <c r="AE17" s="9">
        <f>SUMIFS(tblData[Amount],
                   tblData[Rpt Date],"="&amp;AC17,
                   tblData[ScenarioGroup],"="&amp;AB17,
                   tblData[PrentGroup],"="&amp;AA17)</f>
        <v>8014.9099999999971</v>
      </c>
    </row>
    <row r="18" spans="1:31" x14ac:dyDescent="0.25">
      <c r="B18">
        <f t="shared" si="0"/>
        <v>12</v>
      </c>
      <c r="C18" s="7" t="s">
        <v>67</v>
      </c>
      <c r="D18" s="7" t="str">
        <f t="shared" si="7"/>
        <v>Over 90</v>
      </c>
      <c r="E18" s="8">
        <f t="shared" si="1"/>
        <v>43012</v>
      </c>
      <c r="F18" s="9">
        <f>SUMIFS(tblData[Amount],
                   tblData[Rpt Date],"="&amp;$E18,
                   tblData[ScenarioGroup],"="&amp;$D18)</f>
        <v>236149.33000000013</v>
      </c>
      <c r="G18" s="9">
        <f t="shared" si="2"/>
        <v>236149.33000000013</v>
      </c>
      <c r="I18" s="7" t="s">
        <v>42</v>
      </c>
      <c r="J18" s="7" t="str">
        <f t="shared" si="8"/>
        <v>Over 90</v>
      </c>
      <c r="K18" s="8">
        <f t="shared" si="3"/>
        <v>43012</v>
      </c>
      <c r="L18" s="9">
        <f>SUMIFS(tblData[Amount],
                   tblData[Rpt Date],"="&amp;K18,
                   tblData[ScenarioGroup],"="&amp;J18,
                   tblData[PrentGroup],"="&amp;I18)</f>
        <v>187402.01000000013</v>
      </c>
      <c r="M18" s="9">
        <f>SUMIFS(tblData[Amount],
                   tblData[Rpt Date],"="&amp;K18,
                   tblData[ScenarioGroup],"="&amp;J18,
                   tblData[PrentGroup],"="&amp;I18)</f>
        <v>187402.01000000013</v>
      </c>
      <c r="O18" s="7" t="s">
        <v>43</v>
      </c>
      <c r="P18" s="7" t="str">
        <f t="shared" si="9"/>
        <v>Over 90</v>
      </c>
      <c r="Q18" s="8">
        <f t="shared" si="4"/>
        <v>43012</v>
      </c>
      <c r="R18" s="9">
        <f>SUMIFS(tblData[Amount],
                   tblData[Rpt Date],"="&amp;Q18,
                   tblData[ScenarioGroup],"="&amp;P18,
                   tblData[PrentGroup],"="&amp;O18)</f>
        <v>38867.450000000004</v>
      </c>
      <c r="S18" s="9">
        <f>SUMIFS(tblData[Amount],
                   tblData[Rpt Date],"="&amp;Q18,
                   tblData[ScenarioGroup],"="&amp;P18,
                   tblData[PrentGroup],"="&amp;O18)</f>
        <v>38867.450000000004</v>
      </c>
      <c r="U18" s="7" t="s">
        <v>69</v>
      </c>
      <c r="V18" s="7" t="str">
        <f t="shared" si="10"/>
        <v>Over 90</v>
      </c>
      <c r="W18" s="8">
        <f t="shared" si="5"/>
        <v>43012</v>
      </c>
      <c r="X18" s="9">
        <f>SUMIFS(tblData[Amount],
                   tblData[Rpt Date],"="&amp;W18,
                   tblData[ScenarioGroup],"="&amp;V18,
                   tblData[PrentGroup],"="&amp;U18)</f>
        <v>1606.5500000000002</v>
      </c>
      <c r="Y18" s="9">
        <f>SUMIFS(tblData[Amount],
                   tblData[Rpt Date],"="&amp;W18,
                   tblData[ScenarioGroup],"="&amp;V18,
                   tblData[PrentGroup],"="&amp;U18)</f>
        <v>1606.5500000000002</v>
      </c>
      <c r="AA18" s="7" t="s">
        <v>41</v>
      </c>
      <c r="AB18" s="7" t="str">
        <f t="shared" si="11"/>
        <v>Over 90</v>
      </c>
      <c r="AC18" s="8">
        <f t="shared" si="6"/>
        <v>43012</v>
      </c>
      <c r="AD18" s="9">
        <f>SUMIFS(tblData[Amount],
                   tblData[Rpt Date],"="&amp;AC18,
                   tblData[ScenarioGroup],"="&amp;AB18,
                   tblData[PrentGroup],"="&amp;AA18)</f>
        <v>8273.3199999999961</v>
      </c>
      <c r="AE18" s="9">
        <f>SUMIFS(tblData[Amount],
                   tblData[Rpt Date],"="&amp;AC18,
                   tblData[ScenarioGroup],"="&amp;AB18,
                   tblData[PrentGroup],"="&amp;AA18)</f>
        <v>8273.3199999999961</v>
      </c>
    </row>
    <row r="19" spans="1:31" x14ac:dyDescent="0.25">
      <c r="B19">
        <f t="shared" si="0"/>
        <v>13</v>
      </c>
      <c r="C19" s="7" t="s">
        <v>67</v>
      </c>
      <c r="D19" s="7" t="str">
        <f t="shared" si="7"/>
        <v>Over 90</v>
      </c>
      <c r="E19" s="8">
        <f t="shared" si="1"/>
        <v>43019</v>
      </c>
      <c r="F19" s="9">
        <f>SUMIFS(tblData[Amount],
                   tblData[Rpt Date],"="&amp;$E19,
                   tblData[ScenarioGroup],"="&amp;$D19)</f>
        <v>231850.1400000001</v>
      </c>
      <c r="G19" s="9">
        <f t="shared" si="2"/>
        <v>231850.1400000001</v>
      </c>
      <c r="I19" s="7" t="s">
        <v>42</v>
      </c>
      <c r="J19" s="7" t="str">
        <f t="shared" si="8"/>
        <v>Over 90</v>
      </c>
      <c r="K19" s="8">
        <f t="shared" si="3"/>
        <v>43019</v>
      </c>
      <c r="L19" s="9">
        <f>SUMIFS(tblData[Amount],
                   tblData[Rpt Date],"="&amp;K19,
                   tblData[ScenarioGroup],"="&amp;J19,
                   tblData[PrentGroup],"="&amp;I19)</f>
        <v>184726.38000000012</v>
      </c>
      <c r="M19" s="9">
        <f>SUMIFS(tblData[Amount],
                   tblData[Rpt Date],"="&amp;K19,
                   tblData[ScenarioGroup],"="&amp;J19,
                   tblData[PrentGroup],"="&amp;I19)</f>
        <v>184726.38000000012</v>
      </c>
      <c r="O19" s="7" t="s">
        <v>43</v>
      </c>
      <c r="P19" s="7" t="str">
        <f t="shared" si="9"/>
        <v>Over 90</v>
      </c>
      <c r="Q19" s="8">
        <f t="shared" si="4"/>
        <v>43019</v>
      </c>
      <c r="R19" s="9">
        <f>SUMIFS(tblData[Amount],
                   tblData[Rpt Date],"="&amp;Q19,
                   tblData[ScenarioGroup],"="&amp;P19,
                   tblData[PrentGroup],"="&amp;O19)</f>
        <v>37617.149999999994</v>
      </c>
      <c r="S19" s="9">
        <f>SUMIFS(tblData[Amount],
                   tblData[Rpt Date],"="&amp;Q19,
                   tblData[ScenarioGroup],"="&amp;P19,
                   tblData[PrentGroup],"="&amp;O19)</f>
        <v>37617.149999999994</v>
      </c>
      <c r="U19" s="7" t="s">
        <v>69</v>
      </c>
      <c r="V19" s="7" t="str">
        <f t="shared" si="10"/>
        <v>Over 90</v>
      </c>
      <c r="W19" s="8">
        <f t="shared" si="5"/>
        <v>43019</v>
      </c>
      <c r="X19" s="9">
        <f>SUMIFS(tblData[Amount],
                   tblData[Rpt Date],"="&amp;W19,
                   tblData[ScenarioGroup],"="&amp;V19,
                   tblData[PrentGroup],"="&amp;U19)</f>
        <v>1606.5500000000002</v>
      </c>
      <c r="Y19" s="9">
        <f>SUMIFS(tblData[Amount],
                   tblData[Rpt Date],"="&amp;W19,
                   tblData[ScenarioGroup],"="&amp;V19,
                   tblData[PrentGroup],"="&amp;U19)</f>
        <v>1606.5500000000002</v>
      </c>
      <c r="AA19" s="7" t="s">
        <v>41</v>
      </c>
      <c r="AB19" s="7" t="str">
        <f t="shared" si="11"/>
        <v>Over 90</v>
      </c>
      <c r="AC19" s="8">
        <f t="shared" si="6"/>
        <v>43019</v>
      </c>
      <c r="AD19" s="9">
        <f>SUMIFS(tblData[Amount],
                   tblData[Rpt Date],"="&amp;AC19,
                   tblData[ScenarioGroup],"="&amp;AB19,
                   tblData[PrentGroup],"="&amp;AA19)</f>
        <v>7900.0599999999968</v>
      </c>
      <c r="AE19" s="9">
        <f>SUMIFS(tblData[Amount],
                   tblData[Rpt Date],"="&amp;AC19,
                   tblData[ScenarioGroup],"="&amp;AB19,
                   tblData[PrentGroup],"="&amp;AA19)</f>
        <v>7900.0599999999968</v>
      </c>
    </row>
    <row r="20" spans="1:31" x14ac:dyDescent="0.25">
      <c r="A20" t="str">
        <f>TEXT(E20,"MMM")&amp;CHAR(10)&amp;TEXT(E20,"YY")</f>
        <v>Oct
17</v>
      </c>
      <c r="B20">
        <f t="shared" si="0"/>
        <v>14</v>
      </c>
      <c r="C20" s="7" t="s">
        <v>67</v>
      </c>
      <c r="D20" s="7" t="str">
        <f t="shared" si="7"/>
        <v>Over 90</v>
      </c>
      <c r="E20" s="8">
        <f t="shared" si="1"/>
        <v>43026</v>
      </c>
      <c r="F20" s="9">
        <f>SUMIFS(tblData[Amount],
                   tblData[Rpt Date],"="&amp;$E20,
                   tblData[ScenarioGroup],"="&amp;$D20)</f>
        <v>230295.10000000009</v>
      </c>
      <c r="G20" s="9">
        <f t="shared" si="2"/>
        <v>230295.10000000009</v>
      </c>
      <c r="I20" s="7" t="s">
        <v>42</v>
      </c>
      <c r="J20" s="7" t="str">
        <f t="shared" si="8"/>
        <v>Over 90</v>
      </c>
      <c r="K20" s="8">
        <f t="shared" si="3"/>
        <v>43026</v>
      </c>
      <c r="L20" s="9">
        <f>SUMIFS(tblData[Amount],
                   tblData[Rpt Date],"="&amp;K20,
                   tblData[ScenarioGroup],"="&amp;J20,
                   tblData[PrentGroup],"="&amp;I20)</f>
        <v>177264.90000000011</v>
      </c>
      <c r="M20" s="9">
        <f>SUMIFS(tblData[Amount],
                   tblData[Rpt Date],"="&amp;K20,
                   tblData[ScenarioGroup],"="&amp;J20,
                   tblData[PrentGroup],"="&amp;I20)</f>
        <v>177264.90000000011</v>
      </c>
      <c r="O20" s="7" t="s">
        <v>43</v>
      </c>
      <c r="P20" s="7" t="str">
        <f t="shared" si="9"/>
        <v>Over 90</v>
      </c>
      <c r="Q20" s="8">
        <f t="shared" si="4"/>
        <v>43026</v>
      </c>
      <c r="R20" s="9">
        <f>SUMIFS(tblData[Amount],
                   tblData[Rpt Date],"="&amp;Q20,
                   tblData[ScenarioGroup],"="&amp;P20,
                   tblData[PrentGroup],"="&amp;O20)</f>
        <v>43649.639999999992</v>
      </c>
      <c r="S20" s="9">
        <f>SUMIFS(tblData[Amount],
                   tblData[Rpt Date],"="&amp;Q20,
                   tblData[ScenarioGroup],"="&amp;P20,
                   tblData[PrentGroup],"="&amp;O20)</f>
        <v>43649.639999999992</v>
      </c>
      <c r="U20" s="7" t="s">
        <v>69</v>
      </c>
      <c r="V20" s="7" t="str">
        <f t="shared" si="10"/>
        <v>Over 90</v>
      </c>
      <c r="W20" s="8">
        <f t="shared" si="5"/>
        <v>43026</v>
      </c>
      <c r="X20" s="9">
        <f>SUMIFS(tblData[Amount],
                   tblData[Rpt Date],"="&amp;W20,
                   tblData[ScenarioGroup],"="&amp;V20,
                   tblData[PrentGroup],"="&amp;U20)</f>
        <v>1606.5500000000002</v>
      </c>
      <c r="Y20" s="9">
        <f>SUMIFS(tblData[Amount],
                   tblData[Rpt Date],"="&amp;W20,
                   tblData[ScenarioGroup],"="&amp;V20,
                   tblData[PrentGroup],"="&amp;U20)</f>
        <v>1606.5500000000002</v>
      </c>
      <c r="AA20" s="7" t="s">
        <v>41</v>
      </c>
      <c r="AB20" s="7" t="str">
        <f t="shared" si="11"/>
        <v>Over 90</v>
      </c>
      <c r="AC20" s="8">
        <f t="shared" si="6"/>
        <v>43026</v>
      </c>
      <c r="AD20" s="9">
        <f>SUMIFS(tblData[Amount],
                   tblData[Rpt Date],"="&amp;AC20,
                   tblData[ScenarioGroup],"="&amp;AB20,
                   tblData[PrentGroup],"="&amp;AA20)</f>
        <v>7774.0099999999966</v>
      </c>
      <c r="AE20" s="9">
        <f>SUMIFS(tblData[Amount],
                   tblData[Rpt Date],"="&amp;AC20,
                   tblData[ScenarioGroup],"="&amp;AB20,
                   tblData[PrentGroup],"="&amp;AA20)</f>
        <v>7774.0099999999966</v>
      </c>
    </row>
    <row r="21" spans="1:31" x14ac:dyDescent="0.25">
      <c r="B21">
        <f t="shared" si="0"/>
        <v>15</v>
      </c>
      <c r="C21" s="7" t="s">
        <v>67</v>
      </c>
      <c r="D21" s="7" t="str">
        <f t="shared" si="7"/>
        <v>Over 90</v>
      </c>
      <c r="E21" s="8">
        <f t="shared" si="1"/>
        <v>43033</v>
      </c>
      <c r="F21" s="9">
        <f>SUMIFS(tblData[Amount],
                   tblData[Rpt Date],"="&amp;$E21,
                   tblData[ScenarioGroup],"="&amp;$D21)</f>
        <v>277383.38999999984</v>
      </c>
      <c r="G21" s="9">
        <f t="shared" si="2"/>
        <v>277383.38999999984</v>
      </c>
      <c r="I21" s="7" t="s">
        <v>42</v>
      </c>
      <c r="J21" s="7" t="str">
        <f t="shared" si="8"/>
        <v>Over 90</v>
      </c>
      <c r="K21" s="8">
        <f t="shared" si="3"/>
        <v>43033</v>
      </c>
      <c r="L21" s="9">
        <f>SUMIFS(tblData[Amount],
                   tblData[Rpt Date],"="&amp;K21,
                   tblData[ScenarioGroup],"="&amp;J21,
                   tblData[PrentGroup],"="&amp;I21)</f>
        <v>219562.67999999988</v>
      </c>
      <c r="M21" s="9">
        <f>SUMIFS(tblData[Amount],
                   tblData[Rpt Date],"="&amp;K21,
                   tblData[ScenarioGroup],"="&amp;J21,
                   tblData[PrentGroup],"="&amp;I21)</f>
        <v>219562.67999999988</v>
      </c>
      <c r="O21" s="7" t="s">
        <v>43</v>
      </c>
      <c r="P21" s="7" t="str">
        <f t="shared" si="9"/>
        <v>Over 90</v>
      </c>
      <c r="Q21" s="8">
        <f t="shared" si="4"/>
        <v>43033</v>
      </c>
      <c r="R21" s="9">
        <f>SUMIFS(tblData[Amount],
                   tblData[Rpt Date],"="&amp;Q21,
                   tblData[ScenarioGroup],"="&amp;P21,
                   tblData[PrentGroup],"="&amp;O21)</f>
        <v>49102.289999999979</v>
      </c>
      <c r="S21" s="9">
        <f>SUMIFS(tblData[Amount],
                   tblData[Rpt Date],"="&amp;Q21,
                   tblData[ScenarioGroup],"="&amp;P21,
                   tblData[PrentGroup],"="&amp;O21)</f>
        <v>49102.289999999979</v>
      </c>
      <c r="U21" s="7" t="s">
        <v>69</v>
      </c>
      <c r="V21" s="7" t="str">
        <f t="shared" si="10"/>
        <v>Over 90</v>
      </c>
      <c r="W21" s="8">
        <f t="shared" si="5"/>
        <v>43033</v>
      </c>
      <c r="X21" s="9">
        <f>SUMIFS(tblData[Amount],
                   tblData[Rpt Date],"="&amp;W21,
                   tblData[ScenarioGroup],"="&amp;V21,
                   tblData[PrentGroup],"="&amp;U21)</f>
        <v>564.11</v>
      </c>
      <c r="Y21" s="9">
        <f>SUMIFS(tblData[Amount],
                   tblData[Rpt Date],"="&amp;W21,
                   tblData[ScenarioGroup],"="&amp;V21,
                   tblData[PrentGroup],"="&amp;U21)</f>
        <v>564.11</v>
      </c>
      <c r="AA21" s="7" t="s">
        <v>41</v>
      </c>
      <c r="AB21" s="7" t="str">
        <f t="shared" si="11"/>
        <v>Over 90</v>
      </c>
      <c r="AC21" s="8">
        <f t="shared" si="6"/>
        <v>43033</v>
      </c>
      <c r="AD21" s="9">
        <f>SUMIFS(tblData[Amount],
                   tblData[Rpt Date],"="&amp;AC21,
                   tblData[ScenarioGroup],"="&amp;AB21,
                   tblData[PrentGroup],"="&amp;AA21)</f>
        <v>8154.3099999999977</v>
      </c>
      <c r="AE21" s="9">
        <f>SUMIFS(tblData[Amount],
                   tblData[Rpt Date],"="&amp;AC21,
                   tblData[ScenarioGroup],"="&amp;AB21,
                   tblData[PrentGroup],"="&amp;AA21)</f>
        <v>8154.3099999999977</v>
      </c>
    </row>
    <row r="22" spans="1:31" x14ac:dyDescent="0.25">
      <c r="B22">
        <f t="shared" si="0"/>
        <v>16</v>
      </c>
      <c r="C22" s="7" t="s">
        <v>67</v>
      </c>
      <c r="D22" s="7" t="str">
        <f t="shared" si="7"/>
        <v>Over 90</v>
      </c>
      <c r="E22" s="8">
        <f t="shared" si="1"/>
        <v>43040</v>
      </c>
      <c r="F22" s="9">
        <f>SUMIFS(tblData[Amount],
                   tblData[Rpt Date],"="&amp;$E22,
                   tblData[ScenarioGroup],"="&amp;$D22)</f>
        <v>241320.06999999995</v>
      </c>
      <c r="G22" s="9">
        <f t="shared" si="2"/>
        <v>241320.06999999995</v>
      </c>
      <c r="I22" s="7" t="s">
        <v>42</v>
      </c>
      <c r="J22" s="7" t="str">
        <f t="shared" si="8"/>
        <v>Over 90</v>
      </c>
      <c r="K22" s="8">
        <f t="shared" si="3"/>
        <v>43040</v>
      </c>
      <c r="L22" s="9">
        <f>SUMIFS(tblData[Amount],
                   tblData[Rpt Date],"="&amp;K22,
                   tblData[ScenarioGroup],"="&amp;J22,
                   tblData[PrentGroup],"="&amp;I22)</f>
        <v>185271.18999999997</v>
      </c>
      <c r="M22" s="9">
        <f>SUMIFS(tblData[Amount],
                   tblData[Rpt Date],"="&amp;K22,
                   tblData[ScenarioGroup],"="&amp;J22,
                   tblData[PrentGroup],"="&amp;I22)</f>
        <v>185271.18999999997</v>
      </c>
      <c r="O22" s="7" t="s">
        <v>43</v>
      </c>
      <c r="P22" s="7" t="str">
        <f t="shared" si="9"/>
        <v>Over 90</v>
      </c>
      <c r="Q22" s="8">
        <f t="shared" si="4"/>
        <v>43040</v>
      </c>
      <c r="R22" s="9">
        <f>SUMIFS(tblData[Amount],
                   tblData[Rpt Date],"="&amp;Q22,
                   tblData[ScenarioGroup],"="&amp;P22,
                   tblData[PrentGroup],"="&amp;O22)</f>
        <v>47898.26999999999</v>
      </c>
      <c r="S22" s="9">
        <f>SUMIFS(tblData[Amount],
                   tblData[Rpt Date],"="&amp;Q22,
                   tblData[ScenarioGroup],"="&amp;P22,
                   tblData[PrentGroup],"="&amp;O22)</f>
        <v>47898.26999999999</v>
      </c>
      <c r="U22" s="7" t="s">
        <v>69</v>
      </c>
      <c r="V22" s="7" t="str">
        <f t="shared" si="10"/>
        <v>Over 90</v>
      </c>
      <c r="W22" s="8">
        <f t="shared" si="5"/>
        <v>43040</v>
      </c>
      <c r="X22" s="9">
        <f>SUMIFS(tblData[Amount],
                   tblData[Rpt Date],"="&amp;W22,
                   tblData[ScenarioGroup],"="&amp;V22,
                   tblData[PrentGroup],"="&amp;U22)</f>
        <v>334.41</v>
      </c>
      <c r="Y22" s="9">
        <f>SUMIFS(tblData[Amount],
                   tblData[Rpt Date],"="&amp;W22,
                   tblData[ScenarioGroup],"="&amp;V22,
                   tblData[PrentGroup],"="&amp;U22)</f>
        <v>334.41</v>
      </c>
      <c r="AA22" s="7" t="s">
        <v>41</v>
      </c>
      <c r="AB22" s="7" t="str">
        <f t="shared" si="11"/>
        <v>Over 90</v>
      </c>
      <c r="AC22" s="8">
        <f t="shared" si="6"/>
        <v>43040</v>
      </c>
      <c r="AD22" s="9">
        <f>SUMIFS(tblData[Amount],
                   tblData[Rpt Date],"="&amp;AC22,
                   tblData[ScenarioGroup],"="&amp;AB22,
                   tblData[PrentGroup],"="&amp;AA22)</f>
        <v>7816.1999999999962</v>
      </c>
      <c r="AE22" s="9">
        <f>SUMIFS(tblData[Amount],
                   tblData[Rpt Date],"="&amp;AC22,
                   tblData[ScenarioGroup],"="&amp;AB22,
                   tblData[PrentGroup],"="&amp;AA22)</f>
        <v>7816.1999999999962</v>
      </c>
    </row>
    <row r="23" spans="1:31" x14ac:dyDescent="0.25">
      <c r="B23">
        <f t="shared" si="0"/>
        <v>17</v>
      </c>
      <c r="C23" s="7" t="s">
        <v>67</v>
      </c>
      <c r="D23" s="7" t="str">
        <f t="shared" si="7"/>
        <v>Over 90</v>
      </c>
      <c r="E23" s="8">
        <f t="shared" si="1"/>
        <v>43047</v>
      </c>
      <c r="F23" s="9">
        <f>SUMIFS(tblData[Amount],
                   tblData[Rpt Date],"="&amp;$E23,
                   tblData[ScenarioGroup],"="&amp;$D23)</f>
        <v>215729.04000000018</v>
      </c>
      <c r="G23" s="9">
        <f t="shared" si="2"/>
        <v>215729.04000000018</v>
      </c>
      <c r="I23" s="7" t="s">
        <v>42</v>
      </c>
      <c r="J23" s="7" t="str">
        <f t="shared" si="8"/>
        <v>Over 90</v>
      </c>
      <c r="K23" s="8">
        <f t="shared" si="3"/>
        <v>43047</v>
      </c>
      <c r="L23" s="9">
        <f>SUMIFS(tblData[Amount],
                   tblData[Rpt Date],"="&amp;K23,
                   tblData[ScenarioGroup],"="&amp;J23,
                   tblData[PrentGroup],"="&amp;I23)</f>
        <v>158594.6200000002</v>
      </c>
      <c r="M23" s="9">
        <f>SUMIFS(tblData[Amount],
                   tblData[Rpt Date],"="&amp;K23,
                   tblData[ScenarioGroup],"="&amp;J23,
                   tblData[PrentGroup],"="&amp;I23)</f>
        <v>158594.6200000002</v>
      </c>
      <c r="O23" s="7" t="s">
        <v>43</v>
      </c>
      <c r="P23" s="7" t="str">
        <f t="shared" si="9"/>
        <v>Over 90</v>
      </c>
      <c r="Q23" s="8">
        <f t="shared" si="4"/>
        <v>43047</v>
      </c>
      <c r="R23" s="9">
        <f>SUMIFS(tblData[Amount],
                   tblData[Rpt Date],"="&amp;Q23,
                   tblData[ScenarioGroup],"="&amp;P23,
                   tblData[PrentGroup],"="&amp;O23)</f>
        <v>48983.80999999999</v>
      </c>
      <c r="S23" s="9">
        <f>SUMIFS(tblData[Amount],
                   tblData[Rpt Date],"="&amp;Q23,
                   tblData[ScenarioGroup],"="&amp;P23,
                   tblData[PrentGroup],"="&amp;O23)</f>
        <v>48983.80999999999</v>
      </c>
      <c r="U23" s="7" t="s">
        <v>69</v>
      </c>
      <c r="V23" s="7" t="str">
        <f t="shared" si="10"/>
        <v>Over 90</v>
      </c>
      <c r="W23" s="8">
        <f t="shared" si="5"/>
        <v>43047</v>
      </c>
      <c r="X23" s="9">
        <f>SUMIFS(tblData[Amount],
                   tblData[Rpt Date],"="&amp;W23,
                   tblData[ScenarioGroup],"="&amp;V23,
                   tblData[PrentGroup],"="&amp;U23)</f>
        <v>334.41</v>
      </c>
      <c r="Y23" s="9">
        <f>SUMIFS(tblData[Amount],
                   tblData[Rpt Date],"="&amp;W23,
                   tblData[ScenarioGroup],"="&amp;V23,
                   tblData[PrentGroup],"="&amp;U23)</f>
        <v>334.41</v>
      </c>
      <c r="AA23" s="7" t="s">
        <v>41</v>
      </c>
      <c r="AB23" s="7" t="str">
        <f t="shared" si="11"/>
        <v>Over 90</v>
      </c>
      <c r="AC23" s="8">
        <f t="shared" si="6"/>
        <v>43047</v>
      </c>
      <c r="AD23" s="9">
        <f>SUMIFS(tblData[Amount],
                   tblData[Rpt Date],"="&amp;AC23,
                   tblData[ScenarioGroup],"="&amp;AB23,
                   tblData[PrentGroup],"="&amp;AA23)</f>
        <v>7816.1999999999962</v>
      </c>
      <c r="AE23" s="9">
        <f>SUMIFS(tblData[Amount],
                   tblData[Rpt Date],"="&amp;AC23,
                   tblData[ScenarioGroup],"="&amp;AB23,
                   tblData[PrentGroup],"="&amp;AA23)</f>
        <v>7816.1999999999962</v>
      </c>
    </row>
    <row r="24" spans="1:31" x14ac:dyDescent="0.25">
      <c r="B24">
        <f t="shared" si="0"/>
        <v>18</v>
      </c>
      <c r="C24" s="7" t="s">
        <v>67</v>
      </c>
      <c r="D24" s="7" t="str">
        <f t="shared" si="7"/>
        <v>Over 90</v>
      </c>
      <c r="E24" s="8">
        <f t="shared" si="1"/>
        <v>43054</v>
      </c>
      <c r="F24" s="9">
        <f>SUMIFS(tblData[Amount],
                   tblData[Rpt Date],"="&amp;$E24,
                   tblData[ScenarioGroup],"="&amp;$D24)</f>
        <v>197493.18000000011</v>
      </c>
      <c r="G24" s="9">
        <f t="shared" si="2"/>
        <v>197493.18000000011</v>
      </c>
      <c r="I24" s="7" t="s">
        <v>42</v>
      </c>
      <c r="J24" s="7" t="str">
        <f t="shared" si="8"/>
        <v>Over 90</v>
      </c>
      <c r="K24" s="8">
        <f t="shared" si="3"/>
        <v>43054</v>
      </c>
      <c r="L24" s="9">
        <f>SUMIFS(tblData[Amount],
                   tblData[Rpt Date],"="&amp;K24,
                   tblData[ScenarioGroup],"="&amp;J24,
                   tblData[PrentGroup],"="&amp;I24)</f>
        <v>146629.28000000009</v>
      </c>
      <c r="M24" s="9">
        <f>SUMIFS(tblData[Amount],
                   tblData[Rpt Date],"="&amp;K24,
                   tblData[ScenarioGroup],"="&amp;J24,
                   tblData[PrentGroup],"="&amp;I24)</f>
        <v>146629.28000000009</v>
      </c>
      <c r="O24" s="7" t="s">
        <v>43</v>
      </c>
      <c r="P24" s="7" t="str">
        <f t="shared" si="9"/>
        <v>Over 90</v>
      </c>
      <c r="Q24" s="8">
        <f t="shared" si="4"/>
        <v>43054</v>
      </c>
      <c r="R24" s="9">
        <f>SUMIFS(tblData[Amount],
                   tblData[Rpt Date],"="&amp;Q24,
                   tblData[ScenarioGroup],"="&amp;P24,
                   tblData[PrentGroup],"="&amp;O24)</f>
        <v>49842.95</v>
      </c>
      <c r="S24" s="9">
        <f>SUMIFS(tblData[Amount],
                   tblData[Rpt Date],"="&amp;Q24,
                   tblData[ScenarioGroup],"="&amp;P24,
                   tblData[PrentGroup],"="&amp;O24)</f>
        <v>49842.95</v>
      </c>
      <c r="U24" s="7" t="s">
        <v>69</v>
      </c>
      <c r="V24" s="7" t="str">
        <f t="shared" si="10"/>
        <v>Over 90</v>
      </c>
      <c r="W24" s="8">
        <f t="shared" si="5"/>
        <v>43054</v>
      </c>
      <c r="X24" s="9">
        <f>SUMIFS(tblData[Amount],
                   tblData[Rpt Date],"="&amp;W24,
                   tblData[ScenarioGroup],"="&amp;V24,
                   tblData[PrentGroup],"="&amp;U24)</f>
        <v>334.41</v>
      </c>
      <c r="Y24" s="9">
        <f>SUMIFS(tblData[Amount],
                   tblData[Rpt Date],"="&amp;W24,
                   tblData[ScenarioGroup],"="&amp;V24,
                   tblData[PrentGroup],"="&amp;U24)</f>
        <v>334.41</v>
      </c>
      <c r="AA24" s="7" t="s">
        <v>41</v>
      </c>
      <c r="AB24" s="7" t="str">
        <f t="shared" si="11"/>
        <v>Over 90</v>
      </c>
      <c r="AC24" s="8">
        <f t="shared" si="6"/>
        <v>43054</v>
      </c>
      <c r="AD24" s="9">
        <f>SUMIFS(tblData[Amount],
                   tblData[Rpt Date],"="&amp;AC24,
                   tblData[ScenarioGroup],"="&amp;AB24,
                   tblData[PrentGroup],"="&amp;AA24)</f>
        <v>686.54</v>
      </c>
      <c r="AE24" s="9">
        <f>SUMIFS(tblData[Amount],
                   tblData[Rpt Date],"="&amp;AC24,
                   tblData[ScenarioGroup],"="&amp;AB24,
                   tblData[PrentGroup],"="&amp;AA24)</f>
        <v>686.54</v>
      </c>
    </row>
    <row r="25" spans="1:31" x14ac:dyDescent="0.25">
      <c r="B25">
        <f t="shared" si="0"/>
        <v>19</v>
      </c>
      <c r="C25" s="7" t="s">
        <v>67</v>
      </c>
      <c r="D25" s="7" t="str">
        <f t="shared" si="7"/>
        <v>Over 90</v>
      </c>
      <c r="E25" s="8">
        <f t="shared" si="1"/>
        <v>43061</v>
      </c>
      <c r="F25" s="9">
        <f>SUMIFS(tblData[Amount],
                   tblData[Rpt Date],"="&amp;$E25,
                   tblData[ScenarioGroup],"="&amp;$D25)</f>
        <v>197493.18000000011</v>
      </c>
      <c r="G25" s="9">
        <f t="shared" si="2"/>
        <v>197493.18000000011</v>
      </c>
      <c r="I25" s="7" t="s">
        <v>42</v>
      </c>
      <c r="J25" s="7" t="str">
        <f t="shared" si="8"/>
        <v>Over 90</v>
      </c>
      <c r="K25" s="8">
        <f t="shared" si="3"/>
        <v>43061</v>
      </c>
      <c r="L25" s="9">
        <f>SUMIFS(tblData[Amount],
                   tblData[Rpt Date],"="&amp;K25,
                   tblData[ScenarioGroup],"="&amp;J25,
                   tblData[PrentGroup],"="&amp;I25)</f>
        <v>146629.28000000009</v>
      </c>
      <c r="M25" s="9">
        <f>SUMIFS(tblData[Amount],
                   tblData[Rpt Date],"="&amp;K25,
                   tblData[ScenarioGroup],"="&amp;J25,
                   tblData[PrentGroup],"="&amp;I25)</f>
        <v>146629.28000000009</v>
      </c>
      <c r="O25" s="7" t="s">
        <v>43</v>
      </c>
      <c r="P25" s="7" t="str">
        <f t="shared" si="9"/>
        <v>Over 90</v>
      </c>
      <c r="Q25" s="8">
        <f t="shared" si="4"/>
        <v>43061</v>
      </c>
      <c r="R25" s="9">
        <f>SUMIFS(tblData[Amount],
                   tblData[Rpt Date],"="&amp;Q25,
                   tblData[ScenarioGroup],"="&amp;P25,
                   tblData[PrentGroup],"="&amp;O25)</f>
        <v>49842.95</v>
      </c>
      <c r="S25" s="9">
        <f>SUMIFS(tblData[Amount],
                   tblData[Rpt Date],"="&amp;Q25,
                   tblData[ScenarioGroup],"="&amp;P25,
                   tblData[PrentGroup],"="&amp;O25)</f>
        <v>49842.95</v>
      </c>
      <c r="U25" s="7" t="s">
        <v>69</v>
      </c>
      <c r="V25" s="7" t="str">
        <f t="shared" si="10"/>
        <v>Over 90</v>
      </c>
      <c r="W25" s="8">
        <f t="shared" si="5"/>
        <v>43061</v>
      </c>
      <c r="X25" s="9">
        <f>SUMIFS(tblData[Amount],
                   tblData[Rpt Date],"="&amp;W25,
                   tblData[ScenarioGroup],"="&amp;V25,
                   tblData[PrentGroup],"="&amp;U25)</f>
        <v>334.41</v>
      </c>
      <c r="Y25" s="9">
        <f>SUMIFS(tblData[Amount],
                   tblData[Rpt Date],"="&amp;W25,
                   tblData[ScenarioGroup],"="&amp;V25,
                   tblData[PrentGroup],"="&amp;U25)</f>
        <v>334.41</v>
      </c>
      <c r="AA25" s="7" t="s">
        <v>41</v>
      </c>
      <c r="AB25" s="7" t="str">
        <f t="shared" si="11"/>
        <v>Over 90</v>
      </c>
      <c r="AC25" s="8">
        <f t="shared" si="6"/>
        <v>43061</v>
      </c>
      <c r="AD25" s="9">
        <f>SUMIFS(tblData[Amount],
                   tblData[Rpt Date],"="&amp;AC25,
                   tblData[ScenarioGroup],"="&amp;AB25,
                   tblData[PrentGroup],"="&amp;AA25)</f>
        <v>686.54</v>
      </c>
      <c r="AE25" s="9">
        <f>SUMIFS(tblData[Amount],
                   tblData[Rpt Date],"="&amp;AC25,
                   tblData[ScenarioGroup],"="&amp;AB25,
                   tblData[PrentGroup],"="&amp;AA25)</f>
        <v>686.54</v>
      </c>
    </row>
    <row r="26" spans="1:31" x14ac:dyDescent="0.25">
      <c r="B26">
        <f t="shared" si="0"/>
        <v>20</v>
      </c>
      <c r="C26" s="7" t="s">
        <v>67</v>
      </c>
      <c r="D26" s="7" t="str">
        <f t="shared" si="7"/>
        <v>Over 90</v>
      </c>
      <c r="E26" s="8">
        <f t="shared" si="1"/>
        <v>43068</v>
      </c>
      <c r="F26" s="9">
        <f>SUMIFS(tblData[Amount],
                   tblData[Rpt Date],"="&amp;$E26,
                   tblData[ScenarioGroup],"="&amp;$D26)</f>
        <v>247276.74000000002</v>
      </c>
      <c r="G26" s="9">
        <f t="shared" si="2"/>
        <v>247276.74000000002</v>
      </c>
      <c r="I26" s="7" t="s">
        <v>42</v>
      </c>
      <c r="J26" s="7" t="str">
        <f t="shared" si="8"/>
        <v>Over 90</v>
      </c>
      <c r="K26" s="8">
        <f t="shared" si="3"/>
        <v>43068</v>
      </c>
      <c r="L26" s="9">
        <f>SUMIFS(tblData[Amount],
                   tblData[Rpt Date],"="&amp;K26,
                   tblData[ScenarioGroup],"="&amp;J26,
                   tblData[PrentGroup],"="&amp;I26)</f>
        <v>186531.47</v>
      </c>
      <c r="M26" s="9">
        <f>SUMIFS(tblData[Amount],
                   tblData[Rpt Date],"="&amp;K26,
                   tblData[ScenarioGroup],"="&amp;J26,
                   tblData[PrentGroup],"="&amp;I26)</f>
        <v>186531.47</v>
      </c>
      <c r="O26" s="7" t="s">
        <v>43</v>
      </c>
      <c r="P26" s="7" t="str">
        <f t="shared" si="9"/>
        <v>Over 90</v>
      </c>
      <c r="Q26" s="8">
        <f t="shared" si="4"/>
        <v>43068</v>
      </c>
      <c r="R26" s="9">
        <f>SUMIFS(tblData[Amount],
                   tblData[Rpt Date],"="&amp;Q26,
                   tblData[ScenarioGroup],"="&amp;P26,
                   tblData[PrentGroup],"="&amp;O26)</f>
        <v>58968.549999999996</v>
      </c>
      <c r="S26" s="9">
        <f>SUMIFS(tblData[Amount],
                   tblData[Rpt Date],"="&amp;Q26,
                   tblData[ScenarioGroup],"="&amp;P26,
                   tblData[PrentGroup],"="&amp;O26)</f>
        <v>58968.549999999996</v>
      </c>
      <c r="U26" s="7" t="s">
        <v>69</v>
      </c>
      <c r="V26" s="7" t="str">
        <f t="shared" si="10"/>
        <v>Over 90</v>
      </c>
      <c r="W26" s="8">
        <f t="shared" si="5"/>
        <v>43068</v>
      </c>
      <c r="X26" s="9">
        <f>SUMIFS(tblData[Amount],
                   tblData[Rpt Date],"="&amp;W26,
                   tblData[ScenarioGroup],"="&amp;V26,
                   tblData[PrentGroup],"="&amp;U26)</f>
        <v>1188.4100000000001</v>
      </c>
      <c r="Y26" s="9">
        <f>SUMIFS(tblData[Amount],
                   tblData[Rpt Date],"="&amp;W26,
                   tblData[ScenarioGroup],"="&amp;V26,
                   tblData[PrentGroup],"="&amp;U26)</f>
        <v>1188.4100000000001</v>
      </c>
      <c r="AA26" s="7" t="s">
        <v>41</v>
      </c>
      <c r="AB26" s="7" t="str">
        <f t="shared" si="11"/>
        <v>Over 90</v>
      </c>
      <c r="AC26" s="8">
        <f t="shared" si="6"/>
        <v>43068</v>
      </c>
      <c r="AD26" s="9">
        <f>SUMIFS(tblData[Amount],
                   tblData[Rpt Date],"="&amp;AC26,
                   tblData[ScenarioGroup],"="&amp;AB26,
                   tblData[PrentGroup],"="&amp;AA26)</f>
        <v>588.31000000000006</v>
      </c>
      <c r="AE26" s="9">
        <f>SUMIFS(tblData[Amount],
                   tblData[Rpt Date],"="&amp;AC26,
                   tblData[ScenarioGroup],"="&amp;AB26,
                   tblData[PrentGroup],"="&amp;AA26)</f>
        <v>588.31000000000006</v>
      </c>
    </row>
    <row r="27" spans="1:31" x14ac:dyDescent="0.25">
      <c r="B27">
        <f t="shared" si="0"/>
        <v>21</v>
      </c>
      <c r="C27" s="7" t="s">
        <v>67</v>
      </c>
      <c r="D27" s="7" t="str">
        <f t="shared" si="7"/>
        <v>Over 90</v>
      </c>
      <c r="E27" s="8">
        <f t="shared" si="1"/>
        <v>43075</v>
      </c>
      <c r="F27" s="9">
        <f>SUMIFS(tblData[Amount],
                   tblData[Rpt Date],"="&amp;$E27,
                   tblData[ScenarioGroup],"="&amp;$D27)</f>
        <v>219537.57000000004</v>
      </c>
      <c r="G27" s="9">
        <f t="shared" si="2"/>
        <v>219537.57000000004</v>
      </c>
      <c r="I27" s="7" t="s">
        <v>42</v>
      </c>
      <c r="J27" s="7" t="str">
        <f t="shared" si="8"/>
        <v>Over 90</v>
      </c>
      <c r="K27" s="8">
        <f t="shared" si="3"/>
        <v>43075</v>
      </c>
      <c r="L27" s="9">
        <f>SUMIFS(tblData[Amount],
                   tblData[Rpt Date],"="&amp;K27,
                   tblData[ScenarioGroup],"="&amp;J27,
                   tblData[PrentGroup],"="&amp;I27)</f>
        <v>188696.26</v>
      </c>
      <c r="M27" s="9">
        <f>SUMIFS(tblData[Amount],
                   tblData[Rpt Date],"="&amp;K27,
                   tblData[ScenarioGroup],"="&amp;J27,
                   tblData[PrentGroup],"="&amp;I27)</f>
        <v>188696.26</v>
      </c>
      <c r="O27" s="7" t="s">
        <v>43</v>
      </c>
      <c r="P27" s="7" t="str">
        <f t="shared" si="9"/>
        <v>Over 90</v>
      </c>
      <c r="Q27" s="8">
        <f t="shared" si="4"/>
        <v>43075</v>
      </c>
      <c r="R27" s="9">
        <f>SUMIFS(tblData[Amount],
                   tblData[Rpt Date],"="&amp;Q27,
                   tblData[ScenarioGroup],"="&amp;P27,
                   tblData[PrentGroup],"="&amp;O27)</f>
        <v>28941.870000000003</v>
      </c>
      <c r="S27" s="9">
        <f>SUMIFS(tblData[Amount],
                   tblData[Rpt Date],"="&amp;Q27,
                   tblData[ScenarioGroup],"="&amp;P27,
                   tblData[PrentGroup],"="&amp;O27)</f>
        <v>28941.870000000003</v>
      </c>
      <c r="U27" s="7" t="s">
        <v>69</v>
      </c>
      <c r="V27" s="7" t="str">
        <f t="shared" si="10"/>
        <v>Over 90</v>
      </c>
      <c r="W27" s="8">
        <f t="shared" si="5"/>
        <v>43075</v>
      </c>
      <c r="X27" s="9">
        <f>SUMIFS(tblData[Amount],
                   tblData[Rpt Date],"="&amp;W27,
                   tblData[ScenarioGroup],"="&amp;V27,
                   tblData[PrentGroup],"="&amp;U27)</f>
        <v>1188.4100000000001</v>
      </c>
      <c r="Y27" s="9">
        <f>SUMIFS(tblData[Amount],
                   tblData[Rpt Date],"="&amp;W27,
                   tblData[ScenarioGroup],"="&amp;V27,
                   tblData[PrentGroup],"="&amp;U27)</f>
        <v>1188.4100000000001</v>
      </c>
      <c r="AA27" s="7" t="s">
        <v>41</v>
      </c>
      <c r="AB27" s="7" t="str">
        <f t="shared" si="11"/>
        <v>Over 90</v>
      </c>
      <c r="AC27" s="8">
        <f t="shared" si="6"/>
        <v>43075</v>
      </c>
      <c r="AD27" s="9">
        <f>SUMIFS(tblData[Amount],
                   tblData[Rpt Date],"="&amp;AC27,
                   tblData[ScenarioGroup],"="&amp;AB27,
                   tblData[PrentGroup],"="&amp;AA27)</f>
        <v>711.03000000000009</v>
      </c>
      <c r="AE27" s="9">
        <f>SUMIFS(tblData[Amount],
                   tblData[Rpt Date],"="&amp;AC27,
                   tblData[ScenarioGroup],"="&amp;AB27,
                   tblData[PrentGroup],"="&amp;AA27)</f>
        <v>711.03000000000009</v>
      </c>
    </row>
    <row r="28" spans="1:31" x14ac:dyDescent="0.25">
      <c r="B28">
        <f t="shared" si="0"/>
        <v>22</v>
      </c>
      <c r="C28" s="7" t="s">
        <v>67</v>
      </c>
      <c r="D28" s="7" t="str">
        <f t="shared" si="7"/>
        <v>Over 90</v>
      </c>
      <c r="E28" s="8">
        <f t="shared" si="1"/>
        <v>43082</v>
      </c>
      <c r="F28" s="9">
        <f>SUMIFS(tblData[Amount],
                   tblData[Rpt Date],"="&amp;$E28,
                   tblData[ScenarioGroup],"="&amp;$D28)</f>
        <v>180480.05000000002</v>
      </c>
      <c r="G28" s="9">
        <f t="shared" si="2"/>
        <v>180480.05000000002</v>
      </c>
      <c r="I28" s="7" t="s">
        <v>42</v>
      </c>
      <c r="J28" s="7" t="str">
        <f t="shared" si="8"/>
        <v>Over 90</v>
      </c>
      <c r="K28" s="8">
        <f t="shared" si="3"/>
        <v>43082</v>
      </c>
      <c r="L28" s="9">
        <f>SUMIFS(tblData[Amount],
                   tblData[Rpt Date],"="&amp;K28,
                   tblData[ScenarioGroup],"="&amp;J28,
                   tblData[PrentGroup],"="&amp;I28)</f>
        <v>155852.05000000002</v>
      </c>
      <c r="M28" s="9">
        <f>SUMIFS(tblData[Amount],
                   tblData[Rpt Date],"="&amp;K28,
                   tblData[ScenarioGroup],"="&amp;J28,
                   tblData[PrentGroup],"="&amp;I28)</f>
        <v>155852.05000000002</v>
      </c>
      <c r="O28" s="7" t="s">
        <v>43</v>
      </c>
      <c r="P28" s="7" t="str">
        <f t="shared" si="9"/>
        <v>Over 90</v>
      </c>
      <c r="Q28" s="8">
        <f t="shared" si="4"/>
        <v>43082</v>
      </c>
      <c r="R28" s="9">
        <f>SUMIFS(tblData[Amount],
                   tblData[Rpt Date],"="&amp;Q28,
                   tblData[ScenarioGroup],"="&amp;P28,
                   tblData[PrentGroup],"="&amp;O28)</f>
        <v>23170.560000000005</v>
      </c>
      <c r="S28" s="9">
        <f>SUMIFS(tblData[Amount],
                   tblData[Rpt Date],"="&amp;Q28,
                   tblData[ScenarioGroup],"="&amp;P28,
                   tblData[PrentGroup],"="&amp;O28)</f>
        <v>23170.560000000005</v>
      </c>
      <c r="U28" s="7" t="s">
        <v>69</v>
      </c>
      <c r="V28" s="7" t="str">
        <f t="shared" si="10"/>
        <v>Over 90</v>
      </c>
      <c r="W28" s="8">
        <f t="shared" si="5"/>
        <v>43082</v>
      </c>
      <c r="X28" s="9">
        <f>SUMIFS(tblData[Amount],
                   tblData[Rpt Date],"="&amp;W28,
                   tblData[ScenarioGroup],"="&amp;V28,
                   tblData[PrentGroup],"="&amp;U28)</f>
        <v>334.41</v>
      </c>
      <c r="Y28" s="9">
        <f>SUMIFS(tblData[Amount],
                   tblData[Rpt Date],"="&amp;W28,
                   tblData[ScenarioGroup],"="&amp;V28,
                   tblData[PrentGroup],"="&amp;U28)</f>
        <v>334.41</v>
      </c>
      <c r="AA28" s="7" t="s">
        <v>41</v>
      </c>
      <c r="AB28" s="7" t="str">
        <f t="shared" si="11"/>
        <v>Over 90</v>
      </c>
      <c r="AC28" s="8">
        <f t="shared" si="6"/>
        <v>43082</v>
      </c>
      <c r="AD28" s="9">
        <f>SUMIFS(tblData[Amount],
                   tblData[Rpt Date],"="&amp;AC28,
                   tblData[ScenarioGroup],"="&amp;AB28,
                   tblData[PrentGroup],"="&amp;AA28)</f>
        <v>1123.0300000000002</v>
      </c>
      <c r="AE28" s="9">
        <f>SUMIFS(tblData[Amount],
                   tblData[Rpt Date],"="&amp;AC28,
                   tblData[ScenarioGroup],"="&amp;AB28,
                   tblData[PrentGroup],"="&amp;AA28)</f>
        <v>1123.0300000000002</v>
      </c>
    </row>
    <row r="29" spans="1:31" x14ac:dyDescent="0.25">
      <c r="B29">
        <f t="shared" si="0"/>
        <v>23</v>
      </c>
      <c r="C29" s="7" t="s">
        <v>67</v>
      </c>
      <c r="D29" s="7" t="str">
        <f t="shared" si="7"/>
        <v>Over 90</v>
      </c>
      <c r="E29" s="8">
        <f t="shared" si="1"/>
        <v>43089</v>
      </c>
      <c r="F29" s="9">
        <f>SUMIFS(tblData[Amount],
                   tblData[Rpt Date],"="&amp;$E29,
                   tblData[ScenarioGroup],"="&amp;$D29)</f>
        <v>186360.81000000006</v>
      </c>
      <c r="G29" s="9">
        <f t="shared" si="2"/>
        <v>186360.81000000006</v>
      </c>
      <c r="I29" s="7" t="s">
        <v>42</v>
      </c>
      <c r="J29" s="7" t="str">
        <f t="shared" si="8"/>
        <v>Over 90</v>
      </c>
      <c r="K29" s="8">
        <f t="shared" si="3"/>
        <v>43089</v>
      </c>
      <c r="L29" s="9">
        <f>SUMIFS(tblData[Amount],
                   tblData[Rpt Date],"="&amp;K29,
                   tblData[ScenarioGroup],"="&amp;J29,
                   tblData[PrentGroup],"="&amp;I29)</f>
        <v>161375.38000000003</v>
      </c>
      <c r="M29" s="9">
        <f>SUMIFS(tblData[Amount],
                   tblData[Rpt Date],"="&amp;K29,
                   tblData[ScenarioGroup],"="&amp;J29,
                   tblData[PrentGroup],"="&amp;I29)</f>
        <v>161375.38000000003</v>
      </c>
      <c r="O29" s="7" t="s">
        <v>43</v>
      </c>
      <c r="P29" s="7" t="str">
        <f t="shared" si="9"/>
        <v>Over 90</v>
      </c>
      <c r="Q29" s="8">
        <f t="shared" si="4"/>
        <v>43089</v>
      </c>
      <c r="R29" s="9">
        <f>SUMIFS(tblData[Amount],
                   tblData[Rpt Date],"="&amp;Q29,
                   tblData[ScenarioGroup],"="&amp;P29,
                   tblData[PrentGroup],"="&amp;O29)</f>
        <v>23424.200000000004</v>
      </c>
      <c r="S29" s="9">
        <f>SUMIFS(tblData[Amount],
                   tblData[Rpt Date],"="&amp;Q29,
                   tblData[ScenarioGroup],"="&amp;P29,
                   tblData[PrentGroup],"="&amp;O29)</f>
        <v>23424.200000000004</v>
      </c>
      <c r="U29" s="7" t="s">
        <v>69</v>
      </c>
      <c r="V29" s="7" t="str">
        <f t="shared" si="10"/>
        <v>Over 90</v>
      </c>
      <c r="W29" s="8">
        <f t="shared" si="5"/>
        <v>43089</v>
      </c>
      <c r="X29" s="9">
        <f>SUMIFS(tblData[Amount],
                   tblData[Rpt Date],"="&amp;W29,
                   tblData[ScenarioGroup],"="&amp;V29,
                   tblData[PrentGroup],"="&amp;U29)</f>
        <v>608.69000000000005</v>
      </c>
      <c r="Y29" s="9">
        <f>SUMIFS(tblData[Amount],
                   tblData[Rpt Date],"="&amp;W29,
                   tblData[ScenarioGroup],"="&amp;V29,
                   tblData[PrentGroup],"="&amp;U29)</f>
        <v>608.69000000000005</v>
      </c>
      <c r="AA29" s="7" t="s">
        <v>41</v>
      </c>
      <c r="AB29" s="7" t="str">
        <f t="shared" si="11"/>
        <v>Over 90</v>
      </c>
      <c r="AC29" s="8">
        <f t="shared" si="6"/>
        <v>43089</v>
      </c>
      <c r="AD29" s="9">
        <f>SUMIFS(tblData[Amount],
                   tblData[Rpt Date],"="&amp;AC29,
                   tblData[ScenarioGroup],"="&amp;AB29,
                   tblData[PrentGroup],"="&amp;AA29)</f>
        <v>952.54000000000008</v>
      </c>
      <c r="AE29" s="9">
        <f>SUMIFS(tblData[Amount],
                   tblData[Rpt Date],"="&amp;AC29,
                   tblData[ScenarioGroup],"="&amp;AB29,
                   tblData[PrentGroup],"="&amp;AA29)</f>
        <v>952.54000000000008</v>
      </c>
    </row>
    <row r="30" spans="1:31" x14ac:dyDescent="0.25">
      <c r="B30">
        <f t="shared" si="0"/>
        <v>24</v>
      </c>
      <c r="C30" s="7" t="s">
        <v>67</v>
      </c>
      <c r="D30" s="7" t="str">
        <f t="shared" si="7"/>
        <v>Over 90</v>
      </c>
      <c r="E30" s="8">
        <f t="shared" si="1"/>
        <v>43096</v>
      </c>
      <c r="F30" s="9">
        <f>SUMIFS(tblData[Amount],
                   tblData[Rpt Date],"="&amp;$E30,
                   tblData[ScenarioGroup],"="&amp;$D30)</f>
        <v>186360.81000000006</v>
      </c>
      <c r="G30" s="9">
        <f t="shared" si="2"/>
        <v>186360.81000000006</v>
      </c>
      <c r="I30" s="7" t="s">
        <v>42</v>
      </c>
      <c r="J30" s="7" t="str">
        <f t="shared" si="8"/>
        <v>Over 90</v>
      </c>
      <c r="K30" s="8">
        <f t="shared" si="3"/>
        <v>43096</v>
      </c>
      <c r="L30" s="9">
        <f>SUMIFS(tblData[Amount],
                   tblData[Rpt Date],"="&amp;K30,
                   tblData[ScenarioGroup],"="&amp;J30,
                   tblData[PrentGroup],"="&amp;I30)</f>
        <v>161375.38000000003</v>
      </c>
      <c r="M30" s="9">
        <f>SUMIFS(tblData[Amount],
                   tblData[Rpt Date],"="&amp;K30,
                   tblData[ScenarioGroup],"="&amp;J30,
                   tblData[PrentGroup],"="&amp;I30)</f>
        <v>161375.38000000003</v>
      </c>
      <c r="O30" s="7" t="s">
        <v>43</v>
      </c>
      <c r="P30" s="7" t="str">
        <f t="shared" si="9"/>
        <v>Over 90</v>
      </c>
      <c r="Q30" s="8">
        <f t="shared" si="4"/>
        <v>43096</v>
      </c>
      <c r="R30" s="9">
        <f>SUMIFS(tblData[Amount],
                   tblData[Rpt Date],"="&amp;Q30,
                   tblData[ScenarioGroup],"="&amp;P30,
                   tblData[PrentGroup],"="&amp;O30)</f>
        <v>23424.200000000004</v>
      </c>
      <c r="S30" s="9">
        <f>SUMIFS(tblData[Amount],
                   tblData[Rpt Date],"="&amp;Q30,
                   tblData[ScenarioGroup],"="&amp;P30,
                   tblData[PrentGroup],"="&amp;O30)</f>
        <v>23424.200000000004</v>
      </c>
      <c r="U30" s="7" t="s">
        <v>69</v>
      </c>
      <c r="V30" s="7" t="str">
        <f t="shared" si="10"/>
        <v>Over 90</v>
      </c>
      <c r="W30" s="8">
        <f t="shared" si="5"/>
        <v>43096</v>
      </c>
      <c r="X30" s="9">
        <f>SUMIFS(tblData[Amount],
                   tblData[Rpt Date],"="&amp;W30,
                   tblData[ScenarioGroup],"="&amp;V30,
                   tblData[PrentGroup],"="&amp;U30)</f>
        <v>608.69000000000005</v>
      </c>
      <c r="Y30" s="9">
        <f>SUMIFS(tblData[Amount],
                   tblData[Rpt Date],"="&amp;W30,
                   tblData[ScenarioGroup],"="&amp;V30,
                   tblData[PrentGroup],"="&amp;U30)</f>
        <v>608.69000000000005</v>
      </c>
      <c r="AA30" s="7" t="s">
        <v>41</v>
      </c>
      <c r="AB30" s="7" t="str">
        <f t="shared" si="11"/>
        <v>Over 90</v>
      </c>
      <c r="AC30" s="8">
        <f t="shared" si="6"/>
        <v>43096</v>
      </c>
      <c r="AD30" s="9">
        <f>SUMIFS(tblData[Amount],
                   tblData[Rpt Date],"="&amp;AC30,
                   tblData[ScenarioGroup],"="&amp;AB30,
                   tblData[PrentGroup],"="&amp;AA30)</f>
        <v>952.54000000000008</v>
      </c>
      <c r="AE30" s="9">
        <f>SUMIFS(tblData[Amount],
                   tblData[Rpt Date],"="&amp;AC30,
                   tblData[ScenarioGroup],"="&amp;AB30,
                   tblData[PrentGroup],"="&amp;AA30)</f>
        <v>952.54000000000008</v>
      </c>
    </row>
    <row r="31" spans="1:31" x14ac:dyDescent="0.25">
      <c r="B31">
        <f t="shared" si="0"/>
        <v>25</v>
      </c>
      <c r="C31" s="7" t="s">
        <v>67</v>
      </c>
      <c r="D31" s="7" t="str">
        <f t="shared" si="7"/>
        <v>Over 90</v>
      </c>
      <c r="E31" s="8">
        <f t="shared" si="1"/>
        <v>43103</v>
      </c>
      <c r="F31" s="9">
        <f>SUMIFS(tblData[Amount],
                   tblData[Rpt Date],"="&amp;$E31,
                   tblData[ScenarioGroup],"="&amp;$D31)</f>
        <v>187694.7000000001</v>
      </c>
      <c r="G31" s="9">
        <f t="shared" si="2"/>
        <v>187694.7000000001</v>
      </c>
      <c r="I31" s="7" t="s">
        <v>42</v>
      </c>
      <c r="J31" s="7" t="str">
        <f t="shared" si="8"/>
        <v>Over 90</v>
      </c>
      <c r="K31" s="8">
        <f t="shared" si="3"/>
        <v>43103</v>
      </c>
      <c r="L31" s="9">
        <f>SUMIFS(tblData[Amount],
                   tblData[Rpt Date],"="&amp;K31,
                   tblData[ScenarioGroup],"="&amp;J31,
                   tblData[PrentGroup],"="&amp;I31)</f>
        <v>156706.31000000008</v>
      </c>
      <c r="M31" s="9">
        <f>SUMIFS(tblData[Amount],
                   tblData[Rpt Date],"="&amp;K31,
                   tblData[ScenarioGroup],"="&amp;J31,
                   tblData[PrentGroup],"="&amp;I31)</f>
        <v>156706.31000000008</v>
      </c>
      <c r="O31" s="7" t="s">
        <v>43</v>
      </c>
      <c r="P31" s="7" t="str">
        <f t="shared" si="9"/>
        <v>Over 90</v>
      </c>
      <c r="Q31" s="8">
        <f t="shared" si="4"/>
        <v>43103</v>
      </c>
      <c r="R31" s="9">
        <f>SUMIFS(tblData[Amount],
                   tblData[Rpt Date],"="&amp;Q31,
                   tblData[ScenarioGroup],"="&amp;P31,
                   tblData[PrentGroup],"="&amp;O31)</f>
        <v>28176.68</v>
      </c>
      <c r="S31" s="9">
        <f>SUMIFS(tblData[Amount],
                   tblData[Rpt Date],"="&amp;Q31,
                   tblData[ScenarioGroup],"="&amp;P31,
                   tblData[PrentGroup],"="&amp;O31)</f>
        <v>28176.68</v>
      </c>
      <c r="U31" s="7" t="s">
        <v>69</v>
      </c>
      <c r="V31" s="7" t="str">
        <f t="shared" si="10"/>
        <v>Over 90</v>
      </c>
      <c r="W31" s="8">
        <f t="shared" si="5"/>
        <v>43103</v>
      </c>
      <c r="X31" s="9">
        <f>SUMIFS(tblData[Amount],
                   tblData[Rpt Date],"="&amp;W31,
                   tblData[ScenarioGroup],"="&amp;V31,
                   tblData[PrentGroup],"="&amp;U31)</f>
        <v>1137.75</v>
      </c>
      <c r="Y31" s="9">
        <f>SUMIFS(tblData[Amount],
                   tblData[Rpt Date],"="&amp;W31,
                   tblData[ScenarioGroup],"="&amp;V31,
                   tblData[PrentGroup],"="&amp;U31)</f>
        <v>1137.75</v>
      </c>
      <c r="AA31" s="7" t="s">
        <v>41</v>
      </c>
      <c r="AB31" s="7" t="str">
        <f t="shared" si="11"/>
        <v>Over 90</v>
      </c>
      <c r="AC31" s="8">
        <f t="shared" si="6"/>
        <v>43103</v>
      </c>
      <c r="AD31" s="9">
        <f>SUMIFS(tblData[Amount],
                   tblData[Rpt Date],"="&amp;AC31,
                   tblData[ScenarioGroup],"="&amp;AB31,
                   tblData[PrentGroup],"="&amp;AA31)</f>
        <v>1673.96</v>
      </c>
      <c r="AE31" s="9">
        <f>SUMIFS(tblData[Amount],
                   tblData[Rpt Date],"="&amp;AC31,
                   tblData[ScenarioGroup],"="&amp;AB31,
                   tblData[PrentGroup],"="&amp;AA31)</f>
        <v>1673.96</v>
      </c>
    </row>
    <row r="32" spans="1:31" x14ac:dyDescent="0.25">
      <c r="B32">
        <f t="shared" si="0"/>
        <v>26</v>
      </c>
      <c r="C32" s="7" t="s">
        <v>67</v>
      </c>
      <c r="D32" s="7" t="str">
        <f t="shared" si="7"/>
        <v>Over 90</v>
      </c>
      <c r="E32" s="8">
        <f t="shared" si="1"/>
        <v>43110</v>
      </c>
      <c r="F32" s="9">
        <f>SUMIFS(tblData[Amount],
                   tblData[Rpt Date],"="&amp;$E32,
                   tblData[ScenarioGroup],"="&amp;$D32)</f>
        <v>198327.02000000008</v>
      </c>
      <c r="G32" s="9">
        <f t="shared" si="2"/>
        <v>198327.02000000008</v>
      </c>
      <c r="I32" s="7" t="s">
        <v>42</v>
      </c>
      <c r="J32" s="7" t="str">
        <f t="shared" si="8"/>
        <v>Over 90</v>
      </c>
      <c r="K32" s="8">
        <f t="shared" si="3"/>
        <v>43110</v>
      </c>
      <c r="L32" s="9">
        <f>SUMIFS(tblData[Amount],
                   tblData[Rpt Date],"="&amp;K32,
                   tblData[ScenarioGroup],"="&amp;J32,
                   tblData[PrentGroup],"="&amp;I32)</f>
        <v>168537.5400000001</v>
      </c>
      <c r="M32" s="9">
        <f>SUMIFS(tblData[Amount],
                   tblData[Rpt Date],"="&amp;K32,
                   tblData[ScenarioGroup],"="&amp;J32,
                   tblData[PrentGroup],"="&amp;I32)</f>
        <v>168537.5400000001</v>
      </c>
      <c r="O32" s="7" t="s">
        <v>43</v>
      </c>
      <c r="P32" s="7" t="str">
        <f t="shared" si="9"/>
        <v>Over 90</v>
      </c>
      <c r="Q32" s="8">
        <f t="shared" si="4"/>
        <v>43110</v>
      </c>
      <c r="R32" s="9">
        <f>SUMIFS(tblData[Amount],
                   tblData[Rpt Date],"="&amp;Q32,
                   tblData[ScenarioGroup],"="&amp;P32,
                   tblData[PrentGroup],"="&amp;O32)</f>
        <v>26748.07</v>
      </c>
      <c r="S32" s="9">
        <f>SUMIFS(tblData[Amount],
                   tblData[Rpt Date],"="&amp;Q32,
                   tblData[ScenarioGroup],"="&amp;P32,
                   tblData[PrentGroup],"="&amp;O32)</f>
        <v>26748.07</v>
      </c>
      <c r="U32" s="7" t="s">
        <v>69</v>
      </c>
      <c r="V32" s="7" t="str">
        <f t="shared" si="10"/>
        <v>Over 90</v>
      </c>
      <c r="W32" s="8">
        <f t="shared" si="5"/>
        <v>43110</v>
      </c>
      <c r="X32" s="9">
        <f>SUMIFS(tblData[Amount],
                   tblData[Rpt Date],"="&amp;W32,
                   tblData[ScenarioGroup],"="&amp;V32,
                   tblData[PrentGroup],"="&amp;U32)</f>
        <v>1137.75</v>
      </c>
      <c r="Y32" s="9">
        <f>SUMIFS(tblData[Amount],
                   tblData[Rpt Date],"="&amp;W32,
                   tblData[ScenarioGroup],"="&amp;V32,
                   tblData[PrentGroup],"="&amp;U32)</f>
        <v>1137.75</v>
      </c>
      <c r="AA32" s="7" t="s">
        <v>41</v>
      </c>
      <c r="AB32" s="7" t="str">
        <f t="shared" si="11"/>
        <v>Over 90</v>
      </c>
      <c r="AC32" s="8">
        <f t="shared" si="6"/>
        <v>43110</v>
      </c>
      <c r="AD32" s="9">
        <f>SUMIFS(tblData[Amount],
                   tblData[Rpt Date],"="&amp;AC32,
                   tblData[ScenarioGroup],"="&amp;AB32,
                   tblData[PrentGroup],"="&amp;AA32)</f>
        <v>1903.6599999999999</v>
      </c>
      <c r="AE32" s="9">
        <f>SUMIFS(tblData[Amount],
                   tblData[Rpt Date],"="&amp;AC32,
                   tblData[ScenarioGroup],"="&amp;AB32,
                   tblData[PrentGroup],"="&amp;AA32)</f>
        <v>1903.6599999999999</v>
      </c>
    </row>
    <row r="33" spans="1:31" x14ac:dyDescent="0.25">
      <c r="A33" t="str">
        <f>TEXT(E33,"MMM")&amp;CHAR(10)&amp;TEXT(E33,"YY")</f>
        <v>Jan
18</v>
      </c>
      <c r="B33">
        <f t="shared" si="0"/>
        <v>27</v>
      </c>
      <c r="C33" s="7" t="s">
        <v>67</v>
      </c>
      <c r="D33" s="7" t="str">
        <f t="shared" si="7"/>
        <v>Over 90</v>
      </c>
      <c r="E33" s="8">
        <f t="shared" si="1"/>
        <v>43117</v>
      </c>
      <c r="F33" s="9">
        <f>SUMIFS(tblData[Amount],
                   tblData[Rpt Date],"="&amp;$E33,
                   tblData[ScenarioGroup],"="&amp;$D33)</f>
        <v>200348.40000000008</v>
      </c>
      <c r="G33" s="9">
        <f t="shared" si="2"/>
        <v>200348.40000000008</v>
      </c>
      <c r="I33" s="7" t="s">
        <v>42</v>
      </c>
      <c r="J33" s="7" t="str">
        <f t="shared" si="8"/>
        <v>Over 90</v>
      </c>
      <c r="K33" s="8">
        <f t="shared" si="3"/>
        <v>43117</v>
      </c>
      <c r="L33" s="9">
        <f>SUMIFS(tblData[Amount],
                   tblData[Rpt Date],"="&amp;K33,
                   tblData[ScenarioGroup],"="&amp;J33,
                   tblData[PrentGroup],"="&amp;I33)</f>
        <v>168398.80000000008</v>
      </c>
      <c r="M33" s="9">
        <f>SUMIFS(tblData[Amount],
                   tblData[Rpt Date],"="&amp;K33,
                   tblData[ScenarioGroup],"="&amp;J33,
                   tblData[PrentGroup],"="&amp;I33)</f>
        <v>168398.80000000008</v>
      </c>
      <c r="O33" s="7" t="s">
        <v>43</v>
      </c>
      <c r="P33" s="7" t="str">
        <f t="shared" si="9"/>
        <v>Over 90</v>
      </c>
      <c r="Q33" s="8">
        <f t="shared" si="4"/>
        <v>43117</v>
      </c>
      <c r="R33" s="9">
        <f>SUMIFS(tblData[Amount],
                   tblData[Rpt Date],"="&amp;Q33,
                   tblData[ScenarioGroup],"="&amp;P33,
                   tblData[PrentGroup],"="&amp;O33)</f>
        <v>28908.19</v>
      </c>
      <c r="S33" s="9">
        <f>SUMIFS(tblData[Amount],
                   tblData[Rpt Date],"="&amp;Q33,
                   tblData[ScenarioGroup],"="&amp;P33,
                   tblData[PrentGroup],"="&amp;O33)</f>
        <v>28908.19</v>
      </c>
      <c r="U33" s="7" t="s">
        <v>69</v>
      </c>
      <c r="V33" s="7" t="str">
        <f t="shared" si="10"/>
        <v>Over 90</v>
      </c>
      <c r="W33" s="8">
        <f t="shared" si="5"/>
        <v>43117</v>
      </c>
      <c r="X33" s="9">
        <f>SUMIFS(tblData[Amount],
                   tblData[Rpt Date],"="&amp;W33,
                   tblData[ScenarioGroup],"="&amp;V33,
                   tblData[PrentGroup],"="&amp;U33)</f>
        <v>1137.75</v>
      </c>
      <c r="Y33" s="9">
        <f>SUMIFS(tblData[Amount],
                   tblData[Rpt Date],"="&amp;W33,
                   tblData[ScenarioGroup],"="&amp;V33,
                   tblData[PrentGroup],"="&amp;U33)</f>
        <v>1137.75</v>
      </c>
      <c r="AA33" s="7" t="s">
        <v>41</v>
      </c>
      <c r="AB33" s="7" t="str">
        <f t="shared" si="11"/>
        <v>Over 90</v>
      </c>
      <c r="AC33" s="8">
        <f t="shared" si="6"/>
        <v>43117</v>
      </c>
      <c r="AD33" s="9">
        <f>SUMIFS(tblData[Amount],
                   tblData[Rpt Date],"="&amp;AC33,
                   tblData[ScenarioGroup],"="&amp;AB33,
                   tblData[PrentGroup],"="&amp;AA33)</f>
        <v>1903.6599999999999</v>
      </c>
      <c r="AE33" s="9">
        <f>SUMIFS(tblData[Amount],
                   tblData[Rpt Date],"="&amp;AC33,
                   tblData[ScenarioGroup],"="&amp;AB33,
                   tblData[PrentGroup],"="&amp;AA33)</f>
        <v>1903.6599999999999</v>
      </c>
    </row>
    <row r="34" spans="1:31" x14ac:dyDescent="0.25">
      <c r="B34">
        <f t="shared" si="0"/>
        <v>28</v>
      </c>
      <c r="C34" s="7" t="s">
        <v>67</v>
      </c>
      <c r="D34" s="7" t="str">
        <f t="shared" si="7"/>
        <v>Over 90</v>
      </c>
      <c r="E34" s="8">
        <f t="shared" si="1"/>
        <v>43124</v>
      </c>
      <c r="F34" s="9">
        <f>SUMIFS(tblData[Amount],
                   tblData[Rpt Date],"="&amp;$E34,
                   tblData[ScenarioGroup],"="&amp;$D34)</f>
        <v>189335.09999999992</v>
      </c>
      <c r="G34" s="9">
        <f t="shared" ref="G34" si="12">F34</f>
        <v>189335.09999999992</v>
      </c>
      <c r="I34" s="7" t="s">
        <v>42</v>
      </c>
      <c r="J34" s="7" t="str">
        <f t="shared" si="8"/>
        <v>Over 90</v>
      </c>
      <c r="K34" s="8">
        <f t="shared" si="3"/>
        <v>43124</v>
      </c>
      <c r="L34" s="9">
        <f>SUMIFS(tblData[Amount],
                   tblData[Rpt Date],"="&amp;K34,
                   tblData[ScenarioGroup],"="&amp;J34,
                   tblData[PrentGroup],"="&amp;I34)</f>
        <v>162556.75999999992</v>
      </c>
      <c r="M34" s="9">
        <f>SUMIFS(tblData[Amount],
                   tblData[Rpt Date],"="&amp;K34,
                   tblData[ScenarioGroup],"="&amp;J34,
                   tblData[PrentGroup],"="&amp;I34)</f>
        <v>162556.75999999992</v>
      </c>
      <c r="O34" s="7" t="s">
        <v>43</v>
      </c>
      <c r="P34" s="7" t="str">
        <f t="shared" si="9"/>
        <v>Over 90</v>
      </c>
      <c r="Q34" s="8">
        <f t="shared" si="4"/>
        <v>43124</v>
      </c>
      <c r="R34" s="9">
        <f>SUMIFS(tblData[Amount],
                   tblData[Rpt Date],"="&amp;Q34,
                   tblData[ScenarioGroup],"="&amp;P34,
                   tblData[PrentGroup],"="&amp;O34)</f>
        <v>24208.14</v>
      </c>
      <c r="S34" s="9">
        <f>SUMIFS(tblData[Amount],
                   tblData[Rpt Date],"="&amp;Q34,
                   tblData[ScenarioGroup],"="&amp;P34,
                   tblData[PrentGroup],"="&amp;O34)</f>
        <v>24208.14</v>
      </c>
      <c r="U34" s="7" t="s">
        <v>69</v>
      </c>
      <c r="V34" s="7" t="str">
        <f t="shared" si="10"/>
        <v>Over 90</v>
      </c>
      <c r="W34" s="8">
        <f t="shared" si="5"/>
        <v>43124</v>
      </c>
      <c r="X34" s="9">
        <f>SUMIFS(tblData[Amount],
                   tblData[Rpt Date],"="&amp;W34,
                   tblData[ScenarioGroup],"="&amp;V34,
                   tblData[PrentGroup],"="&amp;U34)</f>
        <v>1137.75</v>
      </c>
      <c r="Y34" s="9">
        <f>SUMIFS(tblData[Amount],
                   tblData[Rpt Date],"="&amp;W34,
                   tblData[ScenarioGroup],"="&amp;V34,
                   tblData[PrentGroup],"="&amp;U34)</f>
        <v>1137.75</v>
      </c>
      <c r="AA34" s="7" t="s">
        <v>41</v>
      </c>
      <c r="AB34" s="7" t="str">
        <f t="shared" si="11"/>
        <v>Over 90</v>
      </c>
      <c r="AC34" s="8">
        <f t="shared" si="6"/>
        <v>43124</v>
      </c>
      <c r="AD34" s="9">
        <f>SUMIFS(tblData[Amount],
                   tblData[Rpt Date],"="&amp;AC34,
                   tblData[ScenarioGroup],"="&amp;AB34,
                   tblData[PrentGroup],"="&amp;AA34)</f>
        <v>1432.4499999999998</v>
      </c>
      <c r="AE34" s="9">
        <f>SUMIFS(tblData[Amount],
                   tblData[Rpt Date],"="&amp;AC34,
                   tblData[ScenarioGroup],"="&amp;AB34,
                   tblData[PrentGroup],"="&amp;AA34)</f>
        <v>1432.4499999999998</v>
      </c>
    </row>
    <row r="35" spans="1:31" x14ac:dyDescent="0.25">
      <c r="B35">
        <f t="shared" si="0"/>
        <v>29</v>
      </c>
      <c r="C35" s="7" t="s">
        <v>67</v>
      </c>
      <c r="D35" s="7" t="str">
        <f t="shared" si="7"/>
        <v>Over 90</v>
      </c>
      <c r="E35" s="8">
        <f t="shared" si="1"/>
        <v>43131</v>
      </c>
      <c r="F35" s="9">
        <f>SUMIFS(tblData[Amount],
                   tblData[Rpt Date],"="&amp;$E35,
                   tblData[ScenarioGroup],"="&amp;$D35)</f>
        <v>195338.76999999996</v>
      </c>
      <c r="G35" s="9">
        <f t="shared" ref="G35" si="13">F35</f>
        <v>195338.76999999996</v>
      </c>
      <c r="I35" s="7" t="s">
        <v>42</v>
      </c>
      <c r="J35" s="7" t="str">
        <f t="shared" si="8"/>
        <v>Over 90</v>
      </c>
      <c r="K35" s="8">
        <f t="shared" si="3"/>
        <v>43131</v>
      </c>
      <c r="L35" s="9">
        <f>SUMIFS(tblData[Amount],
                   tblData[Rpt Date],"="&amp;K35,
                   tblData[ScenarioGroup],"="&amp;J35,
                   tblData[PrentGroup],"="&amp;I35)</f>
        <v>163829.06999999995</v>
      </c>
      <c r="M35" s="9">
        <f>SUMIFS(tblData[Amount],
                   tblData[Rpt Date],"="&amp;K35,
                   tblData[ScenarioGroup],"="&amp;J35,
                   tblData[PrentGroup],"="&amp;I35)</f>
        <v>163829.06999999995</v>
      </c>
      <c r="O35" s="7" t="s">
        <v>43</v>
      </c>
      <c r="P35" s="7" t="str">
        <f t="shared" si="9"/>
        <v>Over 90</v>
      </c>
      <c r="Q35" s="8">
        <f t="shared" si="4"/>
        <v>43131</v>
      </c>
      <c r="R35" s="9">
        <f>SUMIFS(tblData[Amount],
                   tblData[Rpt Date],"="&amp;Q35,
                   tblData[ScenarioGroup],"="&amp;P35,
                   tblData[PrentGroup],"="&amp;O35)</f>
        <v>28792.720000000001</v>
      </c>
      <c r="S35" s="9">
        <f>SUMIFS(tblData[Amount],
                   tblData[Rpt Date],"="&amp;Q35,
                   tblData[ScenarioGroup],"="&amp;P35,
                   tblData[PrentGroup],"="&amp;O35)</f>
        <v>28792.720000000001</v>
      </c>
      <c r="U35" s="7" t="s">
        <v>69</v>
      </c>
      <c r="V35" s="7" t="str">
        <f t="shared" si="10"/>
        <v>Over 90</v>
      </c>
      <c r="W35" s="8">
        <f t="shared" si="5"/>
        <v>43131</v>
      </c>
      <c r="X35" s="9">
        <f>SUMIFS(tblData[Amount],
                   tblData[Rpt Date],"="&amp;W35,
                   tblData[ScenarioGroup],"="&amp;V35,
                   tblData[PrentGroup],"="&amp;U35)</f>
        <v>1284.53</v>
      </c>
      <c r="Y35" s="9">
        <f>SUMIFS(tblData[Amount],
                   tblData[Rpt Date],"="&amp;W35,
                   tblData[ScenarioGroup],"="&amp;V35,
                   tblData[PrentGroup],"="&amp;U35)</f>
        <v>1284.53</v>
      </c>
      <c r="AA35" s="7" t="s">
        <v>41</v>
      </c>
      <c r="AB35" s="7" t="str">
        <f t="shared" si="11"/>
        <v>Over 90</v>
      </c>
      <c r="AC35" s="8">
        <f t="shared" si="6"/>
        <v>43131</v>
      </c>
      <c r="AD35" s="9">
        <f>SUMIFS(tblData[Amount],
                   tblData[Rpt Date],"="&amp;AC35,
                   tblData[ScenarioGroup],"="&amp;AB35,
                   tblData[PrentGroup],"="&amp;AA35)</f>
        <v>1432.4499999999998</v>
      </c>
      <c r="AE35" s="9">
        <f>SUMIFS(tblData[Amount],
                   tblData[Rpt Date],"="&amp;AC35,
                   tblData[ScenarioGroup],"="&amp;AB35,
                   tblData[PrentGroup],"="&amp;AA35)</f>
        <v>1432.4499999999998</v>
      </c>
    </row>
    <row r="36" spans="1:31" x14ac:dyDescent="0.25">
      <c r="B36">
        <f t="shared" si="0"/>
        <v>30</v>
      </c>
      <c r="C36" s="7" t="s">
        <v>67</v>
      </c>
      <c r="D36" s="7" t="str">
        <f t="shared" si="7"/>
        <v>Over 90</v>
      </c>
      <c r="E36" s="8">
        <f t="shared" si="1"/>
        <v>43138</v>
      </c>
      <c r="F36" s="9">
        <f>SUMIFS(tblData[Amount],
                   tblData[Rpt Date],"="&amp;$E36,
                   tblData[ScenarioGroup],"="&amp;$D36)</f>
        <v>203315.8599999999</v>
      </c>
      <c r="G36" s="9">
        <f t="shared" ref="G36:G58" si="14">F36</f>
        <v>203315.8599999999</v>
      </c>
      <c r="I36" s="7" t="s">
        <v>42</v>
      </c>
      <c r="J36" s="7" t="str">
        <f t="shared" si="8"/>
        <v>Over 90</v>
      </c>
      <c r="K36" s="8">
        <f t="shared" si="3"/>
        <v>43138</v>
      </c>
      <c r="L36" s="9">
        <f>SUMIFS(tblData[Amount],
                   tblData[Rpt Date],"="&amp;K36,
                   tblData[ScenarioGroup],"="&amp;J36,
                   tblData[PrentGroup],"="&amp;I36)</f>
        <v>166848.43999999989</v>
      </c>
      <c r="M36" s="9">
        <f>SUMIFS(tblData[Amount],
                   tblData[Rpt Date],"="&amp;K36,
                   tblData[ScenarioGroup],"="&amp;J36,
                   tblData[PrentGroup],"="&amp;I36)</f>
        <v>166848.43999999989</v>
      </c>
      <c r="O36" s="7" t="s">
        <v>43</v>
      </c>
      <c r="P36" s="7" t="str">
        <f t="shared" si="9"/>
        <v>Over 90</v>
      </c>
      <c r="Q36" s="8">
        <f t="shared" si="4"/>
        <v>43138</v>
      </c>
      <c r="R36" s="9">
        <f>SUMIFS(tblData[Amount],
                   tblData[Rpt Date],"="&amp;Q36,
                   tblData[ScenarioGroup],"="&amp;P36,
                   tblData[PrentGroup],"="&amp;O36)</f>
        <v>33457.560000000005</v>
      </c>
      <c r="S36" s="9">
        <f>SUMIFS(tblData[Amount],
                   tblData[Rpt Date],"="&amp;Q36,
                   tblData[ScenarioGroup],"="&amp;P36,
                   tblData[PrentGroup],"="&amp;O36)</f>
        <v>33457.560000000005</v>
      </c>
      <c r="U36" s="7" t="s">
        <v>69</v>
      </c>
      <c r="V36" s="7" t="str">
        <f t="shared" si="10"/>
        <v>Over 90</v>
      </c>
      <c r="W36" s="8">
        <f t="shared" si="5"/>
        <v>43138</v>
      </c>
      <c r="X36" s="9">
        <f>SUMIFS(tblData[Amount],
                   tblData[Rpt Date],"="&amp;W36,
                   tblData[ScenarioGroup],"="&amp;V36,
                   tblData[PrentGroup],"="&amp;U36)</f>
        <v>1318.57</v>
      </c>
      <c r="Y36" s="9">
        <f>SUMIFS(tblData[Amount],
                   tblData[Rpt Date],"="&amp;W36,
                   tblData[ScenarioGroup],"="&amp;V36,
                   tblData[PrentGroup],"="&amp;U36)</f>
        <v>1318.57</v>
      </c>
      <c r="AA36" s="7" t="s">
        <v>41</v>
      </c>
      <c r="AB36" s="7" t="str">
        <f t="shared" si="11"/>
        <v>Over 90</v>
      </c>
      <c r="AC36" s="8">
        <f t="shared" si="6"/>
        <v>43138</v>
      </c>
      <c r="AD36" s="9">
        <f>SUMIFS(tblData[Amount],
                   tblData[Rpt Date],"="&amp;AC36,
                   tblData[ScenarioGroup],"="&amp;AB36,
                   tblData[PrentGroup],"="&amp;AA36)</f>
        <v>1691.29</v>
      </c>
      <c r="AE36" s="9">
        <f>SUMIFS(tblData[Amount],
                   tblData[Rpt Date],"="&amp;AC36,
                   tblData[ScenarioGroup],"="&amp;AB36,
                   tblData[PrentGroup],"="&amp;AA36)</f>
        <v>1691.29</v>
      </c>
    </row>
    <row r="37" spans="1:31" x14ac:dyDescent="0.25">
      <c r="B37">
        <f t="shared" si="0"/>
        <v>31</v>
      </c>
      <c r="C37" s="7" t="s">
        <v>67</v>
      </c>
      <c r="D37" s="7" t="str">
        <f t="shared" si="7"/>
        <v>Over 90</v>
      </c>
      <c r="E37" s="8">
        <f t="shared" si="1"/>
        <v>43145</v>
      </c>
      <c r="F37" s="9">
        <f>SUMIFS(tblData[Amount],
                   tblData[Rpt Date],"="&amp;$E37,
                   tblData[ScenarioGroup],"="&amp;$D37)</f>
        <v>218338.30999999991</v>
      </c>
      <c r="G37" s="9">
        <f t="shared" si="14"/>
        <v>218338.30999999991</v>
      </c>
      <c r="I37" s="7" t="s">
        <v>42</v>
      </c>
      <c r="J37" s="7" t="str">
        <f t="shared" si="8"/>
        <v>Over 90</v>
      </c>
      <c r="K37" s="8">
        <f t="shared" si="3"/>
        <v>43145</v>
      </c>
      <c r="L37" s="9">
        <f>SUMIFS(tblData[Amount],
                   tblData[Rpt Date],"="&amp;K37,
                   tblData[ScenarioGroup],"="&amp;J37,
                   tblData[PrentGroup],"="&amp;I37)</f>
        <v>189600.7399999999</v>
      </c>
      <c r="M37" s="9">
        <f>SUMIFS(tblData[Amount],
                   tblData[Rpt Date],"="&amp;K37,
                   tblData[ScenarioGroup],"="&amp;J37,
                   tblData[PrentGroup],"="&amp;I37)</f>
        <v>189600.7399999999</v>
      </c>
      <c r="O37" s="7" t="s">
        <v>43</v>
      </c>
      <c r="P37" s="7" t="str">
        <f t="shared" si="9"/>
        <v>Over 90</v>
      </c>
      <c r="Q37" s="8">
        <f t="shared" si="4"/>
        <v>43145</v>
      </c>
      <c r="R37" s="9">
        <f>SUMIFS(tblData[Amount],
                   tblData[Rpt Date],"="&amp;Q37,
                   tblData[ScenarioGroup],"="&amp;P37,
                   tblData[PrentGroup],"="&amp;O37)</f>
        <v>25189.879999999997</v>
      </c>
      <c r="S37" s="9">
        <f>SUMIFS(tblData[Amount],
                   tblData[Rpt Date],"="&amp;Q37,
                   tblData[ScenarioGroup],"="&amp;P37,
                   tblData[PrentGroup],"="&amp;O37)</f>
        <v>25189.879999999997</v>
      </c>
      <c r="U37" s="7" t="s">
        <v>69</v>
      </c>
      <c r="V37" s="7" t="str">
        <f t="shared" si="10"/>
        <v>Over 90</v>
      </c>
      <c r="W37" s="8">
        <f t="shared" si="5"/>
        <v>43145</v>
      </c>
      <c r="X37" s="9">
        <f>SUMIFS(tblData[Amount],
                   tblData[Rpt Date],"="&amp;W37,
                   tblData[ScenarioGroup],"="&amp;V37,
                   tblData[PrentGroup],"="&amp;U37)</f>
        <v>2546.0299999999997</v>
      </c>
      <c r="Y37" s="9">
        <f>SUMIFS(tblData[Amount],
                   tblData[Rpt Date],"="&amp;W37,
                   tblData[ScenarioGroup],"="&amp;V37,
                   tblData[PrentGroup],"="&amp;U37)</f>
        <v>2546.0299999999997</v>
      </c>
      <c r="AA37" s="7" t="s">
        <v>41</v>
      </c>
      <c r="AB37" s="7" t="str">
        <f t="shared" si="11"/>
        <v>Over 90</v>
      </c>
      <c r="AC37" s="8">
        <f t="shared" si="6"/>
        <v>43145</v>
      </c>
      <c r="AD37" s="9">
        <f>SUMIFS(tblData[Amount],
                   tblData[Rpt Date],"="&amp;AC37,
                   tblData[ScenarioGroup],"="&amp;AB37,
                   tblData[PrentGroup],"="&amp;AA37)</f>
        <v>1001.6600000000001</v>
      </c>
      <c r="AE37" s="9">
        <f>SUMIFS(tblData[Amount],
                   tblData[Rpt Date],"="&amp;AC37,
                   tblData[ScenarioGroup],"="&amp;AB37,
                   tblData[PrentGroup],"="&amp;AA37)</f>
        <v>1001.6600000000001</v>
      </c>
    </row>
    <row r="38" spans="1:31" x14ac:dyDescent="0.25">
      <c r="B38">
        <f t="shared" si="0"/>
        <v>32</v>
      </c>
      <c r="C38" s="7" t="s">
        <v>67</v>
      </c>
      <c r="D38" s="7" t="str">
        <f t="shared" si="7"/>
        <v>Over 90</v>
      </c>
      <c r="E38" s="8">
        <f t="shared" si="1"/>
        <v>43152</v>
      </c>
      <c r="F38" s="9">
        <f>SUMIFS(tblData[Amount],
                   tblData[Rpt Date],"="&amp;$E38,
                   tblData[ScenarioGroup],"="&amp;$D38)</f>
        <v>217177.9199999999</v>
      </c>
      <c r="G38" s="9">
        <f t="shared" si="14"/>
        <v>217177.9199999999</v>
      </c>
      <c r="I38" s="7" t="s">
        <v>42</v>
      </c>
      <c r="J38" s="7" t="str">
        <f t="shared" si="8"/>
        <v>Over 90</v>
      </c>
      <c r="K38" s="8">
        <f t="shared" si="3"/>
        <v>43152</v>
      </c>
      <c r="L38" s="9">
        <f>SUMIFS(tblData[Amount],
                   tblData[Rpt Date],"="&amp;K38,
                   tblData[ScenarioGroup],"="&amp;J38,
                   tblData[PrentGroup],"="&amp;I38)</f>
        <v>186285.4499999999</v>
      </c>
      <c r="M38" s="9">
        <f>SUMIFS(tblData[Amount],
                   tblData[Rpt Date],"="&amp;K38,
                   tblData[ScenarioGroup],"="&amp;J38,
                   tblData[PrentGroup],"="&amp;I38)</f>
        <v>186285.4499999999</v>
      </c>
      <c r="O38" s="7" t="s">
        <v>43</v>
      </c>
      <c r="P38" s="7" t="str">
        <f t="shared" si="9"/>
        <v>Over 90</v>
      </c>
      <c r="Q38" s="8">
        <f t="shared" si="4"/>
        <v>43152</v>
      </c>
      <c r="R38" s="9">
        <f>SUMIFS(tblData[Amount],
                   tblData[Rpt Date],"="&amp;Q38,
                   tblData[ScenarioGroup],"="&amp;P38,
                   tblData[PrentGroup],"="&amp;O38)</f>
        <v>24644.829999999998</v>
      </c>
      <c r="S38" s="9">
        <f>SUMIFS(tblData[Amount],
                   tblData[Rpt Date],"="&amp;Q38,
                   tblData[ScenarioGroup],"="&amp;P38,
                   tblData[PrentGroup],"="&amp;O38)</f>
        <v>24644.829999999998</v>
      </c>
      <c r="U38" s="7" t="s">
        <v>69</v>
      </c>
      <c r="V38" s="7" t="str">
        <f t="shared" si="10"/>
        <v>Over 90</v>
      </c>
      <c r="W38" s="8">
        <f t="shared" si="5"/>
        <v>43152</v>
      </c>
      <c r="X38" s="9">
        <f>SUMIFS(tblData[Amount],
                   tblData[Rpt Date],"="&amp;W38,
                   tblData[ScenarioGroup],"="&amp;V38,
                   tblData[PrentGroup],"="&amp;U38)</f>
        <v>4591.26</v>
      </c>
      <c r="Y38" s="9">
        <f>SUMIFS(tblData[Amount],
                   tblData[Rpt Date],"="&amp;W38,
                   tblData[ScenarioGroup],"="&amp;V38,
                   tblData[PrentGroup],"="&amp;U38)</f>
        <v>4591.26</v>
      </c>
      <c r="AA38" s="7" t="s">
        <v>41</v>
      </c>
      <c r="AB38" s="7" t="str">
        <f t="shared" si="11"/>
        <v>Over 90</v>
      </c>
      <c r="AC38" s="8">
        <f t="shared" si="6"/>
        <v>43152</v>
      </c>
      <c r="AD38" s="9">
        <f>SUMIFS(tblData[Amount],
                   tblData[Rpt Date],"="&amp;AC38,
                   tblData[ScenarioGroup],"="&amp;AB38,
                   tblData[PrentGroup],"="&amp;AA38)</f>
        <v>1656.38</v>
      </c>
      <c r="AE38" s="9">
        <f>SUMIFS(tblData[Amount],
                   tblData[Rpt Date],"="&amp;AC38,
                   tblData[ScenarioGroup],"="&amp;AB38,
                   tblData[PrentGroup],"="&amp;AA38)</f>
        <v>1656.38</v>
      </c>
    </row>
    <row r="39" spans="1:31" x14ac:dyDescent="0.25">
      <c r="B39">
        <f t="shared" si="0"/>
        <v>33</v>
      </c>
      <c r="C39" s="7" t="s">
        <v>67</v>
      </c>
      <c r="D39" s="7" t="str">
        <f t="shared" si="7"/>
        <v>Over 90</v>
      </c>
      <c r="E39" s="8">
        <f t="shared" si="1"/>
        <v>43159</v>
      </c>
      <c r="F39" s="9">
        <f>SUMIFS(tblData[Amount],
                   tblData[Rpt Date],"="&amp;$E39,
                   tblData[ScenarioGroup],"="&amp;$D39)</f>
        <v>212736.79999999984</v>
      </c>
      <c r="G39" s="9">
        <f t="shared" si="14"/>
        <v>212736.79999999984</v>
      </c>
      <c r="I39" s="7" t="s">
        <v>42</v>
      </c>
      <c r="J39" s="7" t="str">
        <f t="shared" si="8"/>
        <v>Over 90</v>
      </c>
      <c r="K39" s="8">
        <f t="shared" si="3"/>
        <v>43159</v>
      </c>
      <c r="L39" s="9">
        <f>SUMIFS(tblData[Amount],
                   tblData[Rpt Date],"="&amp;K39,
                   tblData[ScenarioGroup],"="&amp;J39,
                   tblData[PrentGroup],"="&amp;I39)</f>
        <v>169599.61999999988</v>
      </c>
      <c r="M39" s="9">
        <f>SUMIFS(tblData[Amount],
                   tblData[Rpt Date],"="&amp;K39,
                   tblData[ScenarioGroup],"="&amp;J39,
                   tblData[PrentGroup],"="&amp;I39)</f>
        <v>169599.61999999988</v>
      </c>
      <c r="O39" s="7" t="s">
        <v>43</v>
      </c>
      <c r="P39" s="7" t="str">
        <f t="shared" si="9"/>
        <v>Over 90</v>
      </c>
      <c r="Q39" s="8">
        <f t="shared" si="4"/>
        <v>43159</v>
      </c>
      <c r="R39" s="9">
        <f>SUMIFS(tblData[Amount],
                   tblData[Rpt Date],"="&amp;Q39,
                   tblData[ScenarioGroup],"="&amp;P39,
                   tblData[PrentGroup],"="&amp;O39)</f>
        <v>36501.839999999997</v>
      </c>
      <c r="S39" s="9">
        <f>SUMIFS(tblData[Amount],
                   tblData[Rpt Date],"="&amp;Q39,
                   tblData[ScenarioGroup],"="&amp;P39,
                   tblData[PrentGroup],"="&amp;O39)</f>
        <v>36501.839999999997</v>
      </c>
      <c r="U39" s="7" t="s">
        <v>69</v>
      </c>
      <c r="V39" s="7" t="str">
        <f t="shared" si="10"/>
        <v>Over 90</v>
      </c>
      <c r="W39" s="8">
        <f t="shared" si="5"/>
        <v>43159</v>
      </c>
      <c r="X39" s="9">
        <f>SUMIFS(tblData[Amount],
                   tblData[Rpt Date],"="&amp;W39,
                   tblData[ScenarioGroup],"="&amp;V39,
                   tblData[PrentGroup],"="&amp;U39)</f>
        <v>4926.46</v>
      </c>
      <c r="Y39" s="9">
        <f>SUMIFS(tblData[Amount],
                   tblData[Rpt Date],"="&amp;W39,
                   tblData[ScenarioGroup],"="&amp;V39,
                   tblData[PrentGroup],"="&amp;U39)</f>
        <v>4926.46</v>
      </c>
      <c r="AA39" s="7" t="s">
        <v>41</v>
      </c>
      <c r="AB39" s="7" t="str">
        <f t="shared" si="11"/>
        <v>Over 90</v>
      </c>
      <c r="AC39" s="8">
        <f t="shared" si="6"/>
        <v>43159</v>
      </c>
      <c r="AD39" s="9">
        <f>SUMIFS(tblData[Amount],
                   tblData[Rpt Date],"="&amp;AC39,
                   tblData[ScenarioGroup],"="&amp;AB39,
                   tblData[PrentGroup],"="&amp;AA39)</f>
        <v>1708.88</v>
      </c>
      <c r="AE39" s="9">
        <f>SUMIFS(tblData[Amount],
                   tblData[Rpt Date],"="&amp;AC39,
                   tblData[ScenarioGroup],"="&amp;AB39,
                   tblData[PrentGroup],"="&amp;AA39)</f>
        <v>1708.88</v>
      </c>
    </row>
    <row r="40" spans="1:31" x14ac:dyDescent="0.25">
      <c r="B40">
        <f t="shared" si="0"/>
        <v>34</v>
      </c>
      <c r="C40" s="7" t="s">
        <v>67</v>
      </c>
      <c r="D40" s="7" t="str">
        <f t="shared" si="7"/>
        <v>Over 90</v>
      </c>
      <c r="E40" s="8">
        <f t="shared" si="1"/>
        <v>43166</v>
      </c>
      <c r="F40" s="9">
        <f>SUMIFS(tblData[Amount],
                   tblData[Rpt Date],"="&amp;$E40,
                   tblData[ScenarioGroup],"="&amp;$D40)</f>
        <v>209029.06999999986</v>
      </c>
      <c r="G40" s="9">
        <f t="shared" si="14"/>
        <v>209029.06999999986</v>
      </c>
      <c r="I40" s="7" t="s">
        <v>42</v>
      </c>
      <c r="J40" s="7" t="str">
        <f t="shared" si="8"/>
        <v>Over 90</v>
      </c>
      <c r="K40" s="8">
        <f t="shared" si="3"/>
        <v>43166</v>
      </c>
      <c r="L40" s="9">
        <f>SUMIFS(tblData[Amount],
                   tblData[Rpt Date],"="&amp;K40,
                   tblData[ScenarioGroup],"="&amp;J40,
                   tblData[PrentGroup],"="&amp;I40)</f>
        <v>168003.15999999989</v>
      </c>
      <c r="M40" s="9">
        <f>SUMIFS(tblData[Amount],
                   tblData[Rpt Date],"="&amp;K40,
                   tblData[ScenarioGroup],"="&amp;J40,
                   tblData[PrentGroup],"="&amp;I40)</f>
        <v>168003.15999999989</v>
      </c>
      <c r="O40" s="7" t="s">
        <v>43</v>
      </c>
      <c r="P40" s="7" t="str">
        <f t="shared" si="9"/>
        <v>Over 90</v>
      </c>
      <c r="Q40" s="8">
        <f t="shared" si="4"/>
        <v>43166</v>
      </c>
      <c r="R40" s="9">
        <f>SUMIFS(tblData[Amount],
                   tblData[Rpt Date],"="&amp;Q40,
                   tblData[ScenarioGroup],"="&amp;P40,
                   tblData[PrentGroup],"="&amp;O40)</f>
        <v>32937.390000000007</v>
      </c>
      <c r="S40" s="9">
        <f>SUMIFS(tblData[Amount],
                   tblData[Rpt Date],"="&amp;Q40,
                   tblData[ScenarioGroup],"="&amp;P40,
                   tblData[PrentGroup],"="&amp;O40)</f>
        <v>32937.390000000007</v>
      </c>
      <c r="U40" s="7" t="s">
        <v>69</v>
      </c>
      <c r="V40" s="7" t="str">
        <f t="shared" si="10"/>
        <v>Over 90</v>
      </c>
      <c r="W40" s="8">
        <f t="shared" si="5"/>
        <v>43166</v>
      </c>
      <c r="X40" s="9">
        <f>SUMIFS(tblData[Amount],
                   tblData[Rpt Date],"="&amp;W40,
                   tblData[ScenarioGroup],"="&amp;V40,
                   tblData[PrentGroup],"="&amp;U40)</f>
        <v>6672.1</v>
      </c>
      <c r="Y40" s="9">
        <f>SUMIFS(tblData[Amount],
                   tblData[Rpt Date],"="&amp;W40,
                   tblData[ScenarioGroup],"="&amp;V40,
                   tblData[PrentGroup],"="&amp;U40)</f>
        <v>6672.1</v>
      </c>
      <c r="AA40" s="7" t="s">
        <v>41</v>
      </c>
      <c r="AB40" s="7" t="str">
        <f t="shared" si="11"/>
        <v>Over 90</v>
      </c>
      <c r="AC40" s="8">
        <f t="shared" si="6"/>
        <v>43166</v>
      </c>
      <c r="AD40" s="9">
        <f>SUMIFS(tblData[Amount],
                   tblData[Rpt Date],"="&amp;AC40,
                   tblData[ScenarioGroup],"="&amp;AB40,
                   tblData[PrentGroup],"="&amp;AA40)</f>
        <v>1416.42</v>
      </c>
      <c r="AE40" s="9">
        <f>SUMIFS(tblData[Amount],
                   tblData[Rpt Date],"="&amp;AC40,
                   tblData[ScenarioGroup],"="&amp;AB40,
                   tblData[PrentGroup],"="&amp;AA40)</f>
        <v>1416.42</v>
      </c>
    </row>
    <row r="41" spans="1:31" x14ac:dyDescent="0.25">
      <c r="B41">
        <f t="shared" si="0"/>
        <v>35</v>
      </c>
      <c r="C41" s="7" t="s">
        <v>67</v>
      </c>
      <c r="D41" s="7" t="str">
        <f t="shared" si="7"/>
        <v>Over 90</v>
      </c>
      <c r="E41" s="8">
        <f t="shared" si="1"/>
        <v>43173</v>
      </c>
      <c r="F41" s="9">
        <f>SUMIFS(tblData[Amount],
                   tblData[Rpt Date],"="&amp;$E41,
                   tblData[ScenarioGroup],"="&amp;$D41)</f>
        <v>229380.70999999985</v>
      </c>
      <c r="G41" s="9">
        <f t="shared" si="14"/>
        <v>229380.70999999985</v>
      </c>
      <c r="I41" s="7" t="s">
        <v>42</v>
      </c>
      <c r="J41" s="7" t="str">
        <f t="shared" si="8"/>
        <v>Over 90</v>
      </c>
      <c r="K41" s="8">
        <f t="shared" si="3"/>
        <v>43173</v>
      </c>
      <c r="L41" s="9">
        <f>SUMIFS(tblData[Amount],
                   tblData[Rpt Date],"="&amp;K41,
                   tblData[ScenarioGroup],"="&amp;J41,
                   tblData[PrentGroup],"="&amp;I41)</f>
        <v>171770.25999999986</v>
      </c>
      <c r="M41" s="9">
        <f>SUMIFS(tblData[Amount],
                   tblData[Rpt Date],"="&amp;K41,
                   tblData[ScenarioGroup],"="&amp;J41,
                   tblData[PrentGroup],"="&amp;I41)</f>
        <v>171770.25999999986</v>
      </c>
      <c r="O41" s="7" t="s">
        <v>43</v>
      </c>
      <c r="P41" s="7" t="str">
        <f t="shared" si="9"/>
        <v>Over 90</v>
      </c>
      <c r="Q41" s="8">
        <f t="shared" si="4"/>
        <v>43173</v>
      </c>
      <c r="R41" s="9">
        <f>SUMIFS(tblData[Amount],
                   tblData[Rpt Date],"="&amp;Q41,
                   tblData[ScenarioGroup],"="&amp;P41,
                   tblData[PrentGroup],"="&amp;O41)</f>
        <v>45737.240000000005</v>
      </c>
      <c r="S41" s="9">
        <f>SUMIFS(tblData[Amount],
                   tblData[Rpt Date],"="&amp;Q41,
                   tblData[ScenarioGroup],"="&amp;P41,
                   tblData[PrentGroup],"="&amp;O41)</f>
        <v>45737.240000000005</v>
      </c>
      <c r="U41" s="7" t="s">
        <v>69</v>
      </c>
      <c r="V41" s="7" t="str">
        <f t="shared" si="10"/>
        <v>Over 90</v>
      </c>
      <c r="W41" s="8">
        <f t="shared" si="5"/>
        <v>43173</v>
      </c>
      <c r="X41" s="9">
        <f>SUMIFS(tblData[Amount],
                   tblData[Rpt Date],"="&amp;W41,
                   tblData[ScenarioGroup],"="&amp;V41,
                   tblData[PrentGroup],"="&amp;U41)</f>
        <v>9641.1700000000019</v>
      </c>
      <c r="Y41" s="9">
        <f>SUMIFS(tblData[Amount],
                   tblData[Rpt Date],"="&amp;W41,
                   tblData[ScenarioGroup],"="&amp;V41,
                   tblData[PrentGroup],"="&amp;U41)</f>
        <v>9641.1700000000019</v>
      </c>
      <c r="AA41" s="7" t="s">
        <v>41</v>
      </c>
      <c r="AB41" s="7" t="str">
        <f t="shared" si="11"/>
        <v>Over 90</v>
      </c>
      <c r="AC41" s="8">
        <f t="shared" si="6"/>
        <v>43173</v>
      </c>
      <c r="AD41" s="9">
        <f>SUMIFS(tblData[Amount],
                   tblData[Rpt Date],"="&amp;AC41,
                   tblData[ScenarioGroup],"="&amp;AB41,
                   tblData[PrentGroup],"="&amp;AA41)</f>
        <v>2232.04</v>
      </c>
      <c r="AE41" s="9">
        <f>SUMIFS(tblData[Amount],
                   tblData[Rpt Date],"="&amp;AC41,
                   tblData[ScenarioGroup],"="&amp;AB41,
                   tblData[PrentGroup],"="&amp;AA41)</f>
        <v>2232.04</v>
      </c>
    </row>
    <row r="42" spans="1:31" x14ac:dyDescent="0.25">
      <c r="B42">
        <f t="shared" si="0"/>
        <v>36</v>
      </c>
      <c r="C42" s="7" t="s">
        <v>67</v>
      </c>
      <c r="D42" s="7" t="str">
        <f t="shared" si="7"/>
        <v>Over 90</v>
      </c>
      <c r="E42" s="8">
        <f t="shared" si="1"/>
        <v>43180</v>
      </c>
      <c r="F42" s="9">
        <f>SUMIFS(tblData[Amount],
                   tblData[Rpt Date],"="&amp;$E42,
                   tblData[ScenarioGroup],"="&amp;$D42)</f>
        <v>206200.86</v>
      </c>
      <c r="G42" s="9">
        <f t="shared" si="14"/>
        <v>206200.86</v>
      </c>
      <c r="I42" s="7" t="s">
        <v>42</v>
      </c>
      <c r="J42" s="7" t="str">
        <f t="shared" si="8"/>
        <v>Over 90</v>
      </c>
      <c r="K42" s="8">
        <f t="shared" si="3"/>
        <v>43180</v>
      </c>
      <c r="L42" s="9">
        <f>SUMIFS(tblData[Amount],
                   tblData[Rpt Date],"="&amp;K42,
                   tblData[ScenarioGroup],"="&amp;J42,
                   tblData[PrentGroup],"="&amp;I42)</f>
        <v>143688.93</v>
      </c>
      <c r="M42" s="9">
        <f>SUMIFS(tblData[Amount],
                   tblData[Rpt Date],"="&amp;K42,
                   tblData[ScenarioGroup],"="&amp;J42,
                   tblData[PrentGroup],"="&amp;I42)</f>
        <v>143688.93</v>
      </c>
      <c r="O42" s="7" t="s">
        <v>43</v>
      </c>
      <c r="P42" s="7" t="str">
        <f t="shared" si="9"/>
        <v>Over 90</v>
      </c>
      <c r="Q42" s="8">
        <f t="shared" si="4"/>
        <v>43180</v>
      </c>
      <c r="R42" s="9">
        <f>SUMIFS(tblData[Amount],
                   tblData[Rpt Date],"="&amp;Q42,
                   tblData[ScenarioGroup],"="&amp;P42,
                   tblData[PrentGroup],"="&amp;O42)</f>
        <v>50973.130000000005</v>
      </c>
      <c r="S42" s="9">
        <f>SUMIFS(tblData[Amount],
                   tblData[Rpt Date],"="&amp;Q42,
                   tblData[ScenarioGroup],"="&amp;P42,
                   tblData[PrentGroup],"="&amp;O42)</f>
        <v>50973.130000000005</v>
      </c>
      <c r="U42" s="7" t="s">
        <v>69</v>
      </c>
      <c r="V42" s="7" t="str">
        <f t="shared" si="10"/>
        <v>Over 90</v>
      </c>
      <c r="W42" s="8">
        <f t="shared" si="5"/>
        <v>43180</v>
      </c>
      <c r="X42" s="9">
        <f>SUMIFS(tblData[Amount],
                   tblData[Rpt Date],"="&amp;W42,
                   tblData[ScenarioGroup],"="&amp;V42,
                   tblData[PrentGroup],"="&amp;U42)</f>
        <v>9306.76</v>
      </c>
      <c r="Y42" s="9">
        <f>SUMIFS(tblData[Amount],
                   tblData[Rpt Date],"="&amp;W42,
                   tblData[ScenarioGroup],"="&amp;V42,
                   tblData[PrentGroup],"="&amp;U42)</f>
        <v>9306.76</v>
      </c>
      <c r="AA42" s="7" t="s">
        <v>41</v>
      </c>
      <c r="AB42" s="7" t="str">
        <f t="shared" si="11"/>
        <v>Over 90</v>
      </c>
      <c r="AC42" s="8">
        <f t="shared" si="6"/>
        <v>43180</v>
      </c>
      <c r="AD42" s="9">
        <f>SUMIFS(tblData[Amount],
                   tblData[Rpt Date],"="&amp;AC42,
                   tblData[ScenarioGroup],"="&amp;AB42,
                   tblData[PrentGroup],"="&amp;AA42)</f>
        <v>2232.04</v>
      </c>
      <c r="AE42" s="9">
        <f>SUMIFS(tblData[Amount],
                   tblData[Rpt Date],"="&amp;AC42,
                   tblData[ScenarioGroup],"="&amp;AB42,
                   tblData[PrentGroup],"="&amp;AA42)</f>
        <v>2232.04</v>
      </c>
    </row>
    <row r="43" spans="1:31" x14ac:dyDescent="0.25">
      <c r="B43">
        <f t="shared" si="0"/>
        <v>37</v>
      </c>
      <c r="C43" s="7" t="s">
        <v>67</v>
      </c>
      <c r="D43" s="7" t="str">
        <f t="shared" si="7"/>
        <v>Over 90</v>
      </c>
      <c r="E43" s="8">
        <f t="shared" si="1"/>
        <v>43187</v>
      </c>
      <c r="F43" s="9">
        <f>SUMIFS(tblData[Amount],
                   tblData[Rpt Date],"="&amp;$E43,
                   tblData[ScenarioGroup],"="&amp;$D43)</f>
        <v>206745.66999999995</v>
      </c>
      <c r="G43" s="9">
        <f t="shared" si="14"/>
        <v>206745.66999999995</v>
      </c>
      <c r="I43" s="7" t="s">
        <v>42</v>
      </c>
      <c r="J43" s="7" t="str">
        <f t="shared" si="8"/>
        <v>Over 90</v>
      </c>
      <c r="K43" s="8">
        <f t="shared" si="3"/>
        <v>43187</v>
      </c>
      <c r="L43" s="9">
        <f>SUMIFS(tblData[Amount],
                   tblData[Rpt Date],"="&amp;K43,
                   tblData[ScenarioGroup],"="&amp;J43,
                   tblData[PrentGroup],"="&amp;I43)</f>
        <v>138763.60999999999</v>
      </c>
      <c r="M43" s="9">
        <f>SUMIFS(tblData[Amount],
                   tblData[Rpt Date],"="&amp;K43,
                   tblData[ScenarioGroup],"="&amp;J43,
                   tblData[PrentGroup],"="&amp;I43)</f>
        <v>138763.60999999999</v>
      </c>
      <c r="O43" s="7" t="s">
        <v>43</v>
      </c>
      <c r="P43" s="7" t="str">
        <f t="shared" si="9"/>
        <v>Over 90</v>
      </c>
      <c r="Q43" s="8">
        <f t="shared" si="4"/>
        <v>43187</v>
      </c>
      <c r="R43" s="9">
        <f>SUMIFS(tblData[Amount],
                   tblData[Rpt Date],"="&amp;Q43,
                   tblData[ScenarioGroup],"="&amp;P43,
                   tblData[PrentGroup],"="&amp;O43)</f>
        <v>56034.460000000006</v>
      </c>
      <c r="S43" s="9">
        <f>SUMIFS(tblData[Amount],
                   tblData[Rpt Date],"="&amp;Q43,
                   tblData[ScenarioGroup],"="&amp;P43,
                   tblData[PrentGroup],"="&amp;O43)</f>
        <v>56034.460000000006</v>
      </c>
      <c r="U43" s="7" t="s">
        <v>69</v>
      </c>
      <c r="V43" s="7" t="str">
        <f t="shared" si="10"/>
        <v>Over 90</v>
      </c>
      <c r="W43" s="8">
        <f t="shared" si="5"/>
        <v>43187</v>
      </c>
      <c r="X43" s="9">
        <f>SUMIFS(tblData[Amount],
                   tblData[Rpt Date],"="&amp;W43,
                   tblData[ScenarioGroup],"="&amp;V43,
                   tblData[PrentGroup],"="&amp;U43)</f>
        <v>9868.07</v>
      </c>
      <c r="Y43" s="9">
        <f>SUMIFS(tblData[Amount],
                   tblData[Rpt Date],"="&amp;W43,
                   tblData[ScenarioGroup],"="&amp;V43,
                   tblData[PrentGroup],"="&amp;U43)</f>
        <v>9868.07</v>
      </c>
      <c r="AA43" s="7" t="s">
        <v>41</v>
      </c>
      <c r="AB43" s="7" t="str">
        <f t="shared" si="11"/>
        <v>Over 90</v>
      </c>
      <c r="AC43" s="8">
        <f t="shared" si="6"/>
        <v>43187</v>
      </c>
      <c r="AD43" s="9">
        <f>SUMIFS(tblData[Amount],
                   tblData[Rpt Date],"="&amp;AC43,
                   tblData[ScenarioGroup],"="&amp;AB43,
                   tblData[PrentGroup],"="&amp;AA43)</f>
        <v>2079.5300000000002</v>
      </c>
      <c r="AE43" s="9">
        <f>SUMIFS(tblData[Amount],
                   tblData[Rpt Date],"="&amp;AC43,
                   tblData[ScenarioGroup],"="&amp;AB43,
                   tblData[PrentGroup],"="&amp;AA43)</f>
        <v>2079.5300000000002</v>
      </c>
    </row>
    <row r="44" spans="1:31" x14ac:dyDescent="0.25">
      <c r="B44">
        <f t="shared" si="0"/>
        <v>38</v>
      </c>
      <c r="C44" s="7" t="s">
        <v>67</v>
      </c>
      <c r="D44" s="7" t="str">
        <f t="shared" si="7"/>
        <v>Over 90</v>
      </c>
      <c r="E44" s="8">
        <f t="shared" si="1"/>
        <v>43194</v>
      </c>
      <c r="F44" s="9">
        <f>SUMIFS(tblData[Amount],
                   tblData[Rpt Date],"="&amp;$E44,
                   tblData[ScenarioGroup],"="&amp;$D44)</f>
        <v>211866.69999999998</v>
      </c>
      <c r="G44" s="9">
        <f t="shared" si="14"/>
        <v>211866.69999999998</v>
      </c>
      <c r="I44" s="7" t="s">
        <v>42</v>
      </c>
      <c r="J44" s="7" t="str">
        <f t="shared" si="8"/>
        <v>Over 90</v>
      </c>
      <c r="K44" s="8">
        <f t="shared" si="3"/>
        <v>43194</v>
      </c>
      <c r="L44" s="9">
        <f>SUMIFS(tblData[Amount],
                   tblData[Rpt Date],"="&amp;K44,
                   tblData[ScenarioGroup],"="&amp;J44,
                   tblData[PrentGroup],"="&amp;I44)</f>
        <v>139122.11999999997</v>
      </c>
      <c r="M44" s="9">
        <f>SUMIFS(tblData[Amount],
                   tblData[Rpt Date],"="&amp;K44,
                   tblData[ScenarioGroup],"="&amp;J44,
                   tblData[PrentGroup],"="&amp;I44)</f>
        <v>139122.11999999997</v>
      </c>
      <c r="O44" s="7" t="s">
        <v>43</v>
      </c>
      <c r="P44" s="7" t="str">
        <f t="shared" si="9"/>
        <v>Over 90</v>
      </c>
      <c r="Q44" s="8">
        <f t="shared" si="4"/>
        <v>43194</v>
      </c>
      <c r="R44" s="9">
        <f>SUMIFS(tblData[Amount],
                   tblData[Rpt Date],"="&amp;Q44,
                   tblData[ScenarioGroup],"="&amp;P44,
                   tblData[PrentGroup],"="&amp;O44)</f>
        <v>60248.130000000005</v>
      </c>
      <c r="S44" s="9">
        <f>SUMIFS(tblData[Amount],
                   tblData[Rpt Date],"="&amp;Q44,
                   tblData[ScenarioGroup],"="&amp;P44,
                   tblData[PrentGroup],"="&amp;O44)</f>
        <v>60248.130000000005</v>
      </c>
      <c r="U44" s="7" t="s">
        <v>69</v>
      </c>
      <c r="V44" s="7" t="str">
        <f t="shared" si="10"/>
        <v>Over 90</v>
      </c>
      <c r="W44" s="8">
        <f t="shared" si="5"/>
        <v>43194</v>
      </c>
      <c r="X44" s="9">
        <f>SUMIFS(tblData[Amount],
                   tblData[Rpt Date],"="&amp;W44,
                   tblData[ScenarioGroup],"="&amp;V44,
                   tblData[PrentGroup],"="&amp;U44)</f>
        <v>10324.91</v>
      </c>
      <c r="Y44" s="9">
        <f>SUMIFS(tblData[Amount],
                   tblData[Rpt Date],"="&amp;W44,
                   tblData[ScenarioGroup],"="&amp;V44,
                   tblData[PrentGroup],"="&amp;U44)</f>
        <v>10324.91</v>
      </c>
      <c r="AA44" s="7" t="s">
        <v>41</v>
      </c>
      <c r="AB44" s="7" t="str">
        <f t="shared" si="11"/>
        <v>Over 90</v>
      </c>
      <c r="AC44" s="8">
        <f t="shared" si="6"/>
        <v>43194</v>
      </c>
      <c r="AD44" s="9">
        <f>SUMIFS(tblData[Amount],
                   tblData[Rpt Date],"="&amp;AC44,
                   tblData[ScenarioGroup],"="&amp;AB44,
                   tblData[PrentGroup],"="&amp;AA44)</f>
        <v>2171.54</v>
      </c>
      <c r="AE44" s="9">
        <f>SUMIFS(tblData[Amount],
                   tblData[Rpt Date],"="&amp;AC44,
                   tblData[ScenarioGroup],"="&amp;AB44,
                   tblData[PrentGroup],"="&amp;AA44)</f>
        <v>2171.54</v>
      </c>
    </row>
    <row r="45" spans="1:31" x14ac:dyDescent="0.25">
      <c r="B45">
        <f t="shared" si="0"/>
        <v>39</v>
      </c>
      <c r="C45" s="7" t="s">
        <v>67</v>
      </c>
      <c r="D45" s="7" t="str">
        <f t="shared" si="7"/>
        <v>Over 90</v>
      </c>
      <c r="E45" s="8">
        <f t="shared" si="1"/>
        <v>43201</v>
      </c>
      <c r="F45" s="9">
        <f>SUMIFS(tblData[Amount],
                   tblData[Rpt Date],"="&amp;$E45,
                   tblData[ScenarioGroup],"="&amp;$D45)</f>
        <v>219785.18000000005</v>
      </c>
      <c r="G45" s="9">
        <f t="shared" si="14"/>
        <v>219785.18000000005</v>
      </c>
      <c r="I45" s="7" t="s">
        <v>42</v>
      </c>
      <c r="J45" s="7" t="str">
        <f t="shared" si="8"/>
        <v>Over 90</v>
      </c>
      <c r="K45" s="8">
        <f t="shared" si="3"/>
        <v>43201</v>
      </c>
      <c r="L45" s="9">
        <f>SUMIFS(tblData[Amount],
                   tblData[Rpt Date],"="&amp;K45,
                   tblData[ScenarioGroup],"="&amp;J45,
                   tblData[PrentGroup],"="&amp;I45)</f>
        <v>127892.24000000005</v>
      </c>
      <c r="M45" s="9">
        <f>SUMIFS(tblData[Amount],
                   tblData[Rpt Date],"="&amp;K45,
                   tblData[ScenarioGroup],"="&amp;J45,
                   tblData[PrentGroup],"="&amp;I45)</f>
        <v>127892.24000000005</v>
      </c>
      <c r="O45" s="7" t="s">
        <v>43</v>
      </c>
      <c r="P45" s="7" t="str">
        <f t="shared" si="9"/>
        <v>Over 90</v>
      </c>
      <c r="Q45" s="8">
        <f t="shared" si="4"/>
        <v>43201</v>
      </c>
      <c r="R45" s="9">
        <f>SUMIFS(tblData[Amount],
                   tblData[Rpt Date],"="&amp;Q45,
                   tblData[ScenarioGroup],"="&amp;P45,
                   tblData[PrentGroup],"="&amp;O45)</f>
        <v>79869.78</v>
      </c>
      <c r="S45" s="9">
        <f>SUMIFS(tblData[Amount],
                   tblData[Rpt Date],"="&amp;Q45,
                   tblData[ScenarioGroup],"="&amp;P45,
                   tblData[PrentGroup],"="&amp;O45)</f>
        <v>79869.78</v>
      </c>
      <c r="U45" s="7" t="s">
        <v>69</v>
      </c>
      <c r="V45" s="7" t="str">
        <f t="shared" si="10"/>
        <v>Over 90</v>
      </c>
      <c r="W45" s="8">
        <f t="shared" si="5"/>
        <v>43201</v>
      </c>
      <c r="X45" s="9">
        <f>SUMIFS(tblData[Amount],
                   tblData[Rpt Date],"="&amp;W45,
                   tblData[ScenarioGroup],"="&amp;V45,
                   tblData[PrentGroup],"="&amp;U45)</f>
        <v>8817.36</v>
      </c>
      <c r="Y45" s="9">
        <f>SUMIFS(tblData[Amount],
                   tblData[Rpt Date],"="&amp;W45,
                   tblData[ScenarioGroup],"="&amp;V45,
                   tblData[PrentGroup],"="&amp;U45)</f>
        <v>8817.36</v>
      </c>
      <c r="AA45" s="7" t="s">
        <v>41</v>
      </c>
      <c r="AB45" s="7" t="str">
        <f t="shared" si="11"/>
        <v>Over 90</v>
      </c>
      <c r="AC45" s="8">
        <f t="shared" si="6"/>
        <v>43201</v>
      </c>
      <c r="AD45" s="9">
        <f>SUMIFS(tblData[Amount],
                   tblData[Rpt Date],"="&amp;AC45,
                   tblData[ScenarioGroup],"="&amp;AB45,
                   tblData[PrentGroup],"="&amp;AA45)</f>
        <v>3205.7999999999997</v>
      </c>
      <c r="AE45" s="9">
        <f>SUMIFS(tblData[Amount],
                   tblData[Rpt Date],"="&amp;AC45,
                   tblData[ScenarioGroup],"="&amp;AB45,
                   tblData[PrentGroup],"="&amp;AA45)</f>
        <v>3205.7999999999997</v>
      </c>
    </row>
    <row r="46" spans="1:31" x14ac:dyDescent="0.25">
      <c r="A46" t="str">
        <f>TEXT(E46,"MMM")&amp;CHAR(10)&amp;TEXT(E46,"YY")</f>
        <v>Apr
18</v>
      </c>
      <c r="B46">
        <f t="shared" si="0"/>
        <v>40</v>
      </c>
      <c r="C46" s="7" t="s">
        <v>67</v>
      </c>
      <c r="D46" s="7" t="str">
        <f t="shared" si="7"/>
        <v>Over 90</v>
      </c>
      <c r="E46" s="8">
        <f t="shared" si="1"/>
        <v>43208</v>
      </c>
      <c r="F46" s="9">
        <f>SUMIFS(tblData[Amount],
                   tblData[Rpt Date],"="&amp;$E46,
                   tblData[ScenarioGroup],"="&amp;$D46)</f>
        <v>216721.23000000019</v>
      </c>
      <c r="G46" s="9">
        <f t="shared" si="14"/>
        <v>216721.23000000019</v>
      </c>
      <c r="I46" s="7" t="s">
        <v>42</v>
      </c>
      <c r="J46" s="7" t="str">
        <f t="shared" si="8"/>
        <v>Over 90</v>
      </c>
      <c r="K46" s="8">
        <f t="shared" si="3"/>
        <v>43208</v>
      </c>
      <c r="L46" s="9">
        <f>SUMIFS(tblData[Amount],
                   tblData[Rpt Date],"="&amp;K46,
                   tblData[ScenarioGroup],"="&amp;J46,
                   tblData[PrentGroup],"="&amp;I46)</f>
        <v>126825.85000000019</v>
      </c>
      <c r="M46" s="9">
        <f>SUMIFS(tblData[Amount],
                   tblData[Rpt Date],"="&amp;K46,
                   tblData[ScenarioGroup],"="&amp;J46,
                   tblData[PrentGroup],"="&amp;I46)</f>
        <v>126825.85000000019</v>
      </c>
      <c r="O46" s="7" t="s">
        <v>43</v>
      </c>
      <c r="P46" s="7" t="str">
        <f t="shared" si="9"/>
        <v>Over 90</v>
      </c>
      <c r="Q46" s="8">
        <f t="shared" si="4"/>
        <v>43208</v>
      </c>
      <c r="R46" s="9">
        <f>SUMIFS(tblData[Amount],
                   tblData[Rpt Date],"="&amp;Q46,
                   tblData[ScenarioGroup],"="&amp;P46,
                   tblData[PrentGroup],"="&amp;O46)</f>
        <v>75865.81</v>
      </c>
      <c r="S46" s="9">
        <f>SUMIFS(tblData[Amount],
                   tblData[Rpt Date],"="&amp;Q46,
                   tblData[ScenarioGroup],"="&amp;P46,
                   tblData[PrentGroup],"="&amp;O46)</f>
        <v>75865.81</v>
      </c>
      <c r="U46" s="7" t="s">
        <v>69</v>
      </c>
      <c r="V46" s="7" t="str">
        <f t="shared" si="10"/>
        <v>Over 90</v>
      </c>
      <c r="W46" s="8">
        <f t="shared" si="5"/>
        <v>43208</v>
      </c>
      <c r="X46" s="9">
        <f>SUMIFS(tblData[Amount],
                   tblData[Rpt Date],"="&amp;W46,
                   tblData[ScenarioGroup],"="&amp;V46,
                   tblData[PrentGroup],"="&amp;U46)</f>
        <v>10823.77</v>
      </c>
      <c r="Y46" s="9">
        <f>SUMIFS(tblData[Amount],
                   tblData[Rpt Date],"="&amp;W46,
                   tblData[ScenarioGroup],"="&amp;V46,
                   tblData[PrentGroup],"="&amp;U46)</f>
        <v>10823.77</v>
      </c>
      <c r="AA46" s="7" t="s">
        <v>41</v>
      </c>
      <c r="AB46" s="7" t="str">
        <f t="shared" si="11"/>
        <v>Over 90</v>
      </c>
      <c r="AC46" s="8">
        <f t="shared" si="6"/>
        <v>43208</v>
      </c>
      <c r="AD46" s="9">
        <f>SUMIFS(tblData[Amount],
                   tblData[Rpt Date],"="&amp;AC46,
                   tblData[ScenarioGroup],"="&amp;AB46,
                   tblData[PrentGroup],"="&amp;AA46)</f>
        <v>3205.7999999999997</v>
      </c>
      <c r="AE46" s="9">
        <f>SUMIFS(tblData[Amount],
                   tblData[Rpt Date],"="&amp;AC46,
                   tblData[ScenarioGroup],"="&amp;AB46,
                   tblData[PrentGroup],"="&amp;AA46)</f>
        <v>3205.7999999999997</v>
      </c>
    </row>
    <row r="47" spans="1:31" x14ac:dyDescent="0.25">
      <c r="B47">
        <f t="shared" si="0"/>
        <v>41</v>
      </c>
      <c r="C47" s="7" t="s">
        <v>67</v>
      </c>
      <c r="D47" s="7" t="str">
        <f t="shared" si="7"/>
        <v>Over 90</v>
      </c>
      <c r="E47" s="8">
        <f t="shared" si="1"/>
        <v>43215</v>
      </c>
      <c r="F47" s="9">
        <f>SUMIFS(tblData[Amount],
                   tblData[Rpt Date],"="&amp;$E47,
                   tblData[ScenarioGroup],"="&amp;$D47)</f>
        <v>223655.89000000022</v>
      </c>
      <c r="G47" s="9">
        <f t="shared" si="14"/>
        <v>223655.89000000022</v>
      </c>
      <c r="I47" s="7" t="s">
        <v>42</v>
      </c>
      <c r="J47" s="7" t="str">
        <f t="shared" si="8"/>
        <v>Over 90</v>
      </c>
      <c r="K47" s="8">
        <f t="shared" si="3"/>
        <v>43215</v>
      </c>
      <c r="L47" s="9">
        <f>SUMIFS(tblData[Amount],
                   tblData[Rpt Date],"="&amp;K47,
                   tblData[ScenarioGroup],"="&amp;J47,
                   tblData[PrentGroup],"="&amp;I47)</f>
        <v>134562.78000000023</v>
      </c>
      <c r="M47" s="9">
        <f>SUMIFS(tblData[Amount],
                   tblData[Rpt Date],"="&amp;K47,
                   tblData[ScenarioGroup],"="&amp;J47,
                   tblData[PrentGroup],"="&amp;I47)</f>
        <v>134562.78000000023</v>
      </c>
      <c r="O47" s="7" t="s">
        <v>43</v>
      </c>
      <c r="P47" s="7" t="str">
        <f t="shared" si="9"/>
        <v>Over 90</v>
      </c>
      <c r="Q47" s="8">
        <f t="shared" si="4"/>
        <v>43215</v>
      </c>
      <c r="R47" s="9">
        <f>SUMIFS(tblData[Amount],
                   tblData[Rpt Date],"="&amp;Q47,
                   tblData[ScenarioGroup],"="&amp;P47,
                   tblData[PrentGroup],"="&amp;O47)</f>
        <v>75488.460000000021</v>
      </c>
      <c r="S47" s="9">
        <f>SUMIFS(tblData[Amount],
                   tblData[Rpt Date],"="&amp;Q47,
                   tblData[ScenarioGroup],"="&amp;P47,
                   tblData[PrentGroup],"="&amp;O47)</f>
        <v>75488.460000000021</v>
      </c>
      <c r="U47" s="7" t="s">
        <v>69</v>
      </c>
      <c r="V47" s="7" t="str">
        <f t="shared" si="10"/>
        <v>Over 90</v>
      </c>
      <c r="W47" s="8">
        <f t="shared" si="5"/>
        <v>43215</v>
      </c>
      <c r="X47" s="9">
        <f>SUMIFS(tblData[Amount],
                   tblData[Rpt Date],"="&amp;W47,
                   tblData[ScenarioGroup],"="&amp;V47,
                   tblData[PrentGroup],"="&amp;U47)</f>
        <v>11012.78</v>
      </c>
      <c r="Y47" s="9">
        <f>SUMIFS(tblData[Amount],
                   tblData[Rpt Date],"="&amp;W47,
                   tblData[ScenarioGroup],"="&amp;V47,
                   tblData[PrentGroup],"="&amp;U47)</f>
        <v>11012.78</v>
      </c>
      <c r="AA47" s="7" t="s">
        <v>41</v>
      </c>
      <c r="AB47" s="7" t="str">
        <f t="shared" si="11"/>
        <v>Over 90</v>
      </c>
      <c r="AC47" s="8">
        <f t="shared" si="6"/>
        <v>43215</v>
      </c>
      <c r="AD47" s="9">
        <f>SUMIFS(tblData[Amount],
                   tblData[Rpt Date],"="&amp;AC47,
                   tblData[ScenarioGroup],"="&amp;AB47,
                   tblData[PrentGroup],"="&amp;AA47)</f>
        <v>2591.87</v>
      </c>
      <c r="AE47" s="9">
        <f>SUMIFS(tblData[Amount],
                   tblData[Rpt Date],"="&amp;AC47,
                   tblData[ScenarioGroup],"="&amp;AB47,
                   tblData[PrentGroup],"="&amp;AA47)</f>
        <v>2591.87</v>
      </c>
    </row>
    <row r="48" spans="1:31" x14ac:dyDescent="0.25">
      <c r="B48">
        <f t="shared" si="0"/>
        <v>42</v>
      </c>
      <c r="C48" s="7" t="s">
        <v>67</v>
      </c>
      <c r="D48" s="7" t="str">
        <f t="shared" si="7"/>
        <v>Over 90</v>
      </c>
      <c r="E48" s="8">
        <f t="shared" si="1"/>
        <v>43222</v>
      </c>
      <c r="F48" s="9" t="e">
        <f>IF(SUMIFS(tblData[Amount],
                   tblData[Rpt Date],"="&amp;$E48,
                   tblData[ScenarioGroup],"="&amp;$D48)=0,NA())</f>
        <v>#N/A</v>
      </c>
      <c r="G48" s="9" t="e">
        <f>NA()</f>
        <v>#N/A</v>
      </c>
      <c r="I48" s="7" t="s">
        <v>42</v>
      </c>
      <c r="J48" s="7" t="str">
        <f t="shared" si="8"/>
        <v>Over 90</v>
      </c>
      <c r="K48" s="8">
        <f t="shared" si="3"/>
        <v>43222</v>
      </c>
      <c r="L48" s="9">
        <f>SUMIFS(tblData[Amount],
                   tblData[Rpt Date],"="&amp;K48,
                   tblData[ScenarioGroup],"="&amp;J48,
                   tblData[PrentGroup],"="&amp;I48)</f>
        <v>0</v>
      </c>
      <c r="M48" s="9">
        <f>SUMIFS(tblData[Amount],
                   tblData[Rpt Date],"="&amp;K48,
                   tblData[ScenarioGroup],"="&amp;J48,
                   tblData[PrentGroup],"="&amp;I48)</f>
        <v>0</v>
      </c>
      <c r="O48" s="7" t="s">
        <v>43</v>
      </c>
      <c r="P48" s="7" t="str">
        <f t="shared" si="9"/>
        <v>Over 90</v>
      </c>
      <c r="Q48" s="8">
        <f t="shared" si="4"/>
        <v>43222</v>
      </c>
      <c r="R48" s="9">
        <f>SUMIFS(tblData[Amount],
                   tblData[Rpt Date],"="&amp;Q48,
                   tblData[ScenarioGroup],"="&amp;P48,
                   tblData[PrentGroup],"="&amp;O48)</f>
        <v>0</v>
      </c>
      <c r="S48" s="9">
        <f>SUMIFS(tblData[Amount],
                   tblData[Rpt Date],"="&amp;Q48,
                   tblData[ScenarioGroup],"="&amp;P48,
                   tblData[PrentGroup],"="&amp;O48)</f>
        <v>0</v>
      </c>
      <c r="U48" s="7" t="s">
        <v>69</v>
      </c>
      <c r="V48" s="7" t="str">
        <f t="shared" si="10"/>
        <v>Over 90</v>
      </c>
      <c r="W48" s="8">
        <f t="shared" si="5"/>
        <v>43222</v>
      </c>
      <c r="X48" s="9">
        <f>SUMIFS(tblData[Amount],
                   tblData[Rpt Date],"="&amp;W48,
                   tblData[ScenarioGroup],"="&amp;V48,
                   tblData[PrentGroup],"="&amp;U48)</f>
        <v>0</v>
      </c>
      <c r="Y48" s="9">
        <f>SUMIFS(tblData[Amount],
                   tblData[Rpt Date],"="&amp;W48,
                   tblData[ScenarioGroup],"="&amp;V48,
                   tblData[PrentGroup],"="&amp;U48)</f>
        <v>0</v>
      </c>
      <c r="AA48" s="7" t="s">
        <v>41</v>
      </c>
      <c r="AB48" s="7" t="str">
        <f t="shared" si="11"/>
        <v>Over 90</v>
      </c>
      <c r="AC48" s="8">
        <f t="shared" si="6"/>
        <v>43222</v>
      </c>
      <c r="AD48" s="9">
        <f>SUMIFS(tblData[Amount],
                   tblData[Rpt Date],"="&amp;AC48,
                   tblData[ScenarioGroup],"="&amp;AB48,
                   tblData[PrentGroup],"="&amp;AA48)</f>
        <v>0</v>
      </c>
      <c r="AE48" s="9">
        <f>SUMIFS(tblData[Amount],
                   tblData[Rpt Date],"="&amp;AC48,
                   tblData[ScenarioGroup],"="&amp;AB48,
                   tblData[PrentGroup],"="&amp;AA48)</f>
        <v>0</v>
      </c>
    </row>
    <row r="49" spans="1:31" x14ac:dyDescent="0.25">
      <c r="B49">
        <f t="shared" si="0"/>
        <v>43</v>
      </c>
      <c r="C49" s="7" t="s">
        <v>67</v>
      </c>
      <c r="D49" s="7" t="str">
        <f t="shared" si="7"/>
        <v>Over 90</v>
      </c>
      <c r="E49" s="8">
        <f t="shared" si="1"/>
        <v>43229</v>
      </c>
      <c r="F49" s="9" t="e">
        <f>IF(SUMIFS(tblData[Amount],
                   tblData[Rpt Date],"="&amp;$E49,
                   tblData[ScenarioGroup],"="&amp;$D49)=0,NA())</f>
        <v>#N/A</v>
      </c>
      <c r="G49" s="9" t="e">
        <f>NA()</f>
        <v>#N/A</v>
      </c>
      <c r="I49" s="7" t="s">
        <v>42</v>
      </c>
      <c r="J49" s="7" t="str">
        <f t="shared" si="8"/>
        <v>Over 90</v>
      </c>
      <c r="K49" s="8">
        <f t="shared" si="3"/>
        <v>43229</v>
      </c>
      <c r="L49" s="9">
        <f>SUMIFS(tblData[Amount],
                   tblData[Rpt Date],"="&amp;K49,
                   tblData[ScenarioGroup],"="&amp;J49,
                   tblData[PrentGroup],"="&amp;I49)</f>
        <v>0</v>
      </c>
      <c r="M49" s="9">
        <f>SUMIFS(tblData[Amount],
                   tblData[Rpt Date],"="&amp;K49,
                   tblData[ScenarioGroup],"="&amp;J49,
                   tblData[PrentGroup],"="&amp;I49)</f>
        <v>0</v>
      </c>
      <c r="O49" s="7" t="s">
        <v>43</v>
      </c>
      <c r="P49" s="7" t="str">
        <f t="shared" si="9"/>
        <v>Over 90</v>
      </c>
      <c r="Q49" s="8">
        <f t="shared" si="4"/>
        <v>43229</v>
      </c>
      <c r="R49" s="9">
        <f>SUMIFS(tblData[Amount],
                   tblData[Rpt Date],"="&amp;Q49,
                   tblData[ScenarioGroup],"="&amp;P49,
                   tblData[PrentGroup],"="&amp;O49)</f>
        <v>0</v>
      </c>
      <c r="S49" s="9">
        <f>SUMIFS(tblData[Amount],
                   tblData[Rpt Date],"="&amp;Q49,
                   tblData[ScenarioGroup],"="&amp;P49,
                   tblData[PrentGroup],"="&amp;O49)</f>
        <v>0</v>
      </c>
      <c r="U49" s="7" t="s">
        <v>69</v>
      </c>
      <c r="V49" s="7" t="str">
        <f t="shared" si="10"/>
        <v>Over 90</v>
      </c>
      <c r="W49" s="8">
        <f t="shared" si="5"/>
        <v>43229</v>
      </c>
      <c r="X49" s="9">
        <f>SUMIFS(tblData[Amount],
                   tblData[Rpt Date],"="&amp;W49,
                   tblData[ScenarioGroup],"="&amp;V49,
                   tblData[PrentGroup],"="&amp;U49)</f>
        <v>0</v>
      </c>
      <c r="Y49" s="9">
        <f>SUMIFS(tblData[Amount],
                   tblData[Rpt Date],"="&amp;W49,
                   tblData[ScenarioGroup],"="&amp;V49,
                   tblData[PrentGroup],"="&amp;U49)</f>
        <v>0</v>
      </c>
      <c r="AA49" s="7" t="s">
        <v>41</v>
      </c>
      <c r="AB49" s="7" t="str">
        <f t="shared" si="11"/>
        <v>Over 90</v>
      </c>
      <c r="AC49" s="8">
        <f t="shared" si="6"/>
        <v>43229</v>
      </c>
      <c r="AD49" s="9">
        <f>SUMIFS(tblData[Amount],
                   tblData[Rpt Date],"="&amp;AC49,
                   tblData[ScenarioGroup],"="&amp;AB49,
                   tblData[PrentGroup],"="&amp;AA49)</f>
        <v>0</v>
      </c>
      <c r="AE49" s="9">
        <f>SUMIFS(tblData[Amount],
                   tblData[Rpt Date],"="&amp;AC49,
                   tblData[ScenarioGroup],"="&amp;AB49,
                   tblData[PrentGroup],"="&amp;AA49)</f>
        <v>0</v>
      </c>
    </row>
    <row r="50" spans="1:31" x14ac:dyDescent="0.25">
      <c r="B50">
        <f t="shared" si="0"/>
        <v>44</v>
      </c>
      <c r="C50" s="7" t="s">
        <v>67</v>
      </c>
      <c r="D50" s="7" t="str">
        <f t="shared" si="7"/>
        <v>Over 90</v>
      </c>
      <c r="E50" s="8">
        <f t="shared" si="1"/>
        <v>43236</v>
      </c>
      <c r="F50" s="9" t="e">
        <f>IF(SUMIFS(tblData[Amount],
                   tblData[Rpt Date],"="&amp;$E50,
                   tblData[ScenarioGroup],"="&amp;$D50)=0,NA())</f>
        <v>#N/A</v>
      </c>
      <c r="G50" s="9" t="e">
        <f>NA()</f>
        <v>#N/A</v>
      </c>
      <c r="I50" s="7" t="s">
        <v>42</v>
      </c>
      <c r="J50" s="7" t="str">
        <f t="shared" si="8"/>
        <v>Over 90</v>
      </c>
      <c r="K50" s="8">
        <f t="shared" si="3"/>
        <v>43236</v>
      </c>
      <c r="L50" s="9">
        <f>SUMIFS(tblData[Amount],
                   tblData[Rpt Date],"="&amp;K50,
                   tblData[ScenarioGroup],"="&amp;J50,
                   tblData[PrentGroup],"="&amp;I50)</f>
        <v>0</v>
      </c>
      <c r="M50" s="9">
        <f>SUMIFS(tblData[Amount],
                   tblData[Rpt Date],"="&amp;K50,
                   tblData[ScenarioGroup],"="&amp;J50,
                   tblData[PrentGroup],"="&amp;I50)</f>
        <v>0</v>
      </c>
      <c r="O50" s="7" t="s">
        <v>43</v>
      </c>
      <c r="P50" s="7" t="str">
        <f t="shared" si="9"/>
        <v>Over 90</v>
      </c>
      <c r="Q50" s="8">
        <f t="shared" si="4"/>
        <v>43236</v>
      </c>
      <c r="R50" s="9">
        <f>SUMIFS(tblData[Amount],
                   tblData[Rpt Date],"="&amp;Q50,
                   tblData[ScenarioGroup],"="&amp;P50,
                   tblData[PrentGroup],"="&amp;O50)</f>
        <v>0</v>
      </c>
      <c r="S50" s="9">
        <f>SUMIFS(tblData[Amount],
                   tblData[Rpt Date],"="&amp;Q50,
                   tblData[ScenarioGroup],"="&amp;P50,
                   tblData[PrentGroup],"="&amp;O50)</f>
        <v>0</v>
      </c>
      <c r="U50" s="7" t="s">
        <v>69</v>
      </c>
      <c r="V50" s="7" t="str">
        <f t="shared" si="10"/>
        <v>Over 90</v>
      </c>
      <c r="W50" s="8">
        <f t="shared" si="5"/>
        <v>43236</v>
      </c>
      <c r="X50" s="9">
        <f>SUMIFS(tblData[Amount],
                   tblData[Rpt Date],"="&amp;W50,
                   tblData[ScenarioGroup],"="&amp;V50,
                   tblData[PrentGroup],"="&amp;U50)</f>
        <v>0</v>
      </c>
      <c r="Y50" s="9">
        <f>SUMIFS(tblData[Amount],
                   tblData[Rpt Date],"="&amp;W50,
                   tblData[ScenarioGroup],"="&amp;V50,
                   tblData[PrentGroup],"="&amp;U50)</f>
        <v>0</v>
      </c>
      <c r="AA50" s="7" t="s">
        <v>41</v>
      </c>
      <c r="AB50" s="7" t="str">
        <f t="shared" si="11"/>
        <v>Over 90</v>
      </c>
      <c r="AC50" s="8">
        <f t="shared" si="6"/>
        <v>43236</v>
      </c>
      <c r="AD50" s="9">
        <f>SUMIFS(tblData[Amount],
                   tblData[Rpt Date],"="&amp;AC50,
                   tblData[ScenarioGroup],"="&amp;AB50,
                   tblData[PrentGroup],"="&amp;AA50)</f>
        <v>0</v>
      </c>
      <c r="AE50" s="9">
        <f>SUMIFS(tblData[Amount],
                   tblData[Rpt Date],"="&amp;AC50,
                   tblData[ScenarioGroup],"="&amp;AB50,
                   tblData[PrentGroup],"="&amp;AA50)</f>
        <v>0</v>
      </c>
    </row>
    <row r="51" spans="1:31" x14ac:dyDescent="0.25">
      <c r="B51">
        <f t="shared" si="0"/>
        <v>45</v>
      </c>
      <c r="C51" s="7" t="s">
        <v>67</v>
      </c>
      <c r="D51" s="7" t="str">
        <f t="shared" si="7"/>
        <v>Over 90</v>
      </c>
      <c r="E51" s="8">
        <f t="shared" si="1"/>
        <v>43243</v>
      </c>
      <c r="F51" s="9" t="e">
        <f>IF(SUMIFS(tblData[Amount],
                   tblData[Rpt Date],"="&amp;$E51,
                   tblData[ScenarioGroup],"="&amp;$D51)=0,NA())</f>
        <v>#N/A</v>
      </c>
      <c r="G51" s="9" t="e">
        <f>NA()</f>
        <v>#N/A</v>
      </c>
      <c r="I51" s="7" t="s">
        <v>42</v>
      </c>
      <c r="J51" s="7" t="str">
        <f t="shared" si="8"/>
        <v>Over 90</v>
      </c>
      <c r="K51" s="8">
        <f t="shared" si="3"/>
        <v>43243</v>
      </c>
      <c r="L51" s="9">
        <f>SUMIFS(tblData[Amount],
                   tblData[Rpt Date],"="&amp;K51,
                   tblData[ScenarioGroup],"="&amp;J51,
                   tblData[PrentGroup],"="&amp;I51)</f>
        <v>0</v>
      </c>
      <c r="M51" s="9">
        <f>SUMIFS(tblData[Amount],
                   tblData[Rpt Date],"="&amp;K51,
                   tblData[ScenarioGroup],"="&amp;J51,
                   tblData[PrentGroup],"="&amp;I51)</f>
        <v>0</v>
      </c>
      <c r="O51" s="7" t="s">
        <v>43</v>
      </c>
      <c r="P51" s="7" t="str">
        <f t="shared" si="9"/>
        <v>Over 90</v>
      </c>
      <c r="Q51" s="8">
        <f t="shared" si="4"/>
        <v>43243</v>
      </c>
      <c r="R51" s="9">
        <f>SUMIFS(tblData[Amount],
                   tblData[Rpt Date],"="&amp;Q51,
                   tblData[ScenarioGroup],"="&amp;P51,
                   tblData[PrentGroup],"="&amp;O51)</f>
        <v>0</v>
      </c>
      <c r="S51" s="9">
        <f>SUMIFS(tblData[Amount],
                   tblData[Rpt Date],"="&amp;Q51,
                   tblData[ScenarioGroup],"="&amp;P51,
                   tblData[PrentGroup],"="&amp;O51)</f>
        <v>0</v>
      </c>
      <c r="U51" s="7" t="s">
        <v>69</v>
      </c>
      <c r="V51" s="7" t="str">
        <f t="shared" si="10"/>
        <v>Over 90</v>
      </c>
      <c r="W51" s="8">
        <f t="shared" si="5"/>
        <v>43243</v>
      </c>
      <c r="X51" s="9">
        <f>SUMIFS(tblData[Amount],
                   tblData[Rpt Date],"="&amp;W51,
                   tblData[ScenarioGroup],"="&amp;V51,
                   tblData[PrentGroup],"="&amp;U51)</f>
        <v>0</v>
      </c>
      <c r="Y51" s="9">
        <f>SUMIFS(tblData[Amount],
                   tblData[Rpt Date],"="&amp;W51,
                   tblData[ScenarioGroup],"="&amp;V51,
                   tblData[PrentGroup],"="&amp;U51)</f>
        <v>0</v>
      </c>
      <c r="AA51" s="7" t="s">
        <v>41</v>
      </c>
      <c r="AB51" s="7" t="str">
        <f t="shared" si="11"/>
        <v>Over 90</v>
      </c>
      <c r="AC51" s="8">
        <f t="shared" si="6"/>
        <v>43243</v>
      </c>
      <c r="AD51" s="9">
        <f>SUMIFS(tblData[Amount],
                   tblData[Rpt Date],"="&amp;AC51,
                   tblData[ScenarioGroup],"="&amp;AB51,
                   tblData[PrentGroup],"="&amp;AA51)</f>
        <v>0</v>
      </c>
      <c r="AE51" s="9">
        <f>SUMIFS(tblData[Amount],
                   tblData[Rpt Date],"="&amp;AC51,
                   tblData[ScenarioGroup],"="&amp;AB51,
                   tblData[PrentGroup],"="&amp;AA51)</f>
        <v>0</v>
      </c>
    </row>
    <row r="52" spans="1:31" x14ac:dyDescent="0.25">
      <c r="B52">
        <f t="shared" si="0"/>
        <v>46</v>
      </c>
      <c r="C52" s="7" t="s">
        <v>67</v>
      </c>
      <c r="D52" s="7" t="str">
        <f t="shared" si="7"/>
        <v>Over 90</v>
      </c>
      <c r="E52" s="8">
        <f t="shared" si="1"/>
        <v>43250</v>
      </c>
      <c r="F52" s="9" t="e">
        <f>IF(SUMIFS(tblData[Amount],
                   tblData[Rpt Date],"="&amp;$E52,
                   tblData[ScenarioGroup],"="&amp;$D52)=0,NA())</f>
        <v>#N/A</v>
      </c>
      <c r="G52" s="9" t="e">
        <f>NA()</f>
        <v>#N/A</v>
      </c>
      <c r="I52" s="7" t="s">
        <v>42</v>
      </c>
      <c r="J52" s="7" t="str">
        <f t="shared" si="8"/>
        <v>Over 90</v>
      </c>
      <c r="K52" s="8">
        <f t="shared" si="3"/>
        <v>43250</v>
      </c>
      <c r="L52" s="9">
        <f>SUMIFS(tblData[Amount],
                   tblData[Rpt Date],"="&amp;K52,
                   tblData[ScenarioGroup],"="&amp;J52,
                   tblData[PrentGroup],"="&amp;I52)</f>
        <v>0</v>
      </c>
      <c r="M52" s="9">
        <f>SUMIFS(tblData[Amount],
                   tblData[Rpt Date],"="&amp;K52,
                   tblData[ScenarioGroup],"="&amp;J52,
                   tblData[PrentGroup],"="&amp;I52)</f>
        <v>0</v>
      </c>
      <c r="O52" s="7" t="s">
        <v>43</v>
      </c>
      <c r="P52" s="7" t="str">
        <f t="shared" si="9"/>
        <v>Over 90</v>
      </c>
      <c r="Q52" s="8">
        <f t="shared" si="4"/>
        <v>43250</v>
      </c>
      <c r="R52" s="9">
        <f>SUMIFS(tblData[Amount],
                   tblData[Rpt Date],"="&amp;Q52,
                   tblData[ScenarioGroup],"="&amp;P52,
                   tblData[PrentGroup],"="&amp;O52)</f>
        <v>0</v>
      </c>
      <c r="S52" s="9">
        <f>SUMIFS(tblData[Amount],
                   tblData[Rpt Date],"="&amp;Q52,
                   tblData[ScenarioGroup],"="&amp;P52,
                   tblData[PrentGroup],"="&amp;O52)</f>
        <v>0</v>
      </c>
      <c r="U52" s="7" t="s">
        <v>69</v>
      </c>
      <c r="V52" s="7" t="str">
        <f t="shared" si="10"/>
        <v>Over 90</v>
      </c>
      <c r="W52" s="8">
        <f t="shared" si="5"/>
        <v>43250</v>
      </c>
      <c r="X52" s="9">
        <f>SUMIFS(tblData[Amount],
                   tblData[Rpt Date],"="&amp;W52,
                   tblData[ScenarioGroup],"="&amp;V52,
                   tblData[PrentGroup],"="&amp;U52)</f>
        <v>0</v>
      </c>
      <c r="Y52" s="9">
        <f>SUMIFS(tblData[Amount],
                   tblData[Rpt Date],"="&amp;W52,
                   tblData[ScenarioGroup],"="&amp;V52,
                   tblData[PrentGroup],"="&amp;U52)</f>
        <v>0</v>
      </c>
      <c r="AA52" s="7" t="s">
        <v>41</v>
      </c>
      <c r="AB52" s="7" t="str">
        <f t="shared" si="11"/>
        <v>Over 90</v>
      </c>
      <c r="AC52" s="8">
        <f t="shared" si="6"/>
        <v>43250</v>
      </c>
      <c r="AD52" s="9">
        <f>SUMIFS(tblData[Amount],
                   tblData[Rpt Date],"="&amp;AC52,
                   tblData[ScenarioGroup],"="&amp;AB52,
                   tblData[PrentGroup],"="&amp;AA52)</f>
        <v>0</v>
      </c>
      <c r="AE52" s="9">
        <f>SUMIFS(tblData[Amount],
                   tblData[Rpt Date],"="&amp;AC52,
                   tblData[ScenarioGroup],"="&amp;AB52,
                   tblData[PrentGroup],"="&amp;AA52)</f>
        <v>0</v>
      </c>
    </row>
    <row r="53" spans="1:31" x14ac:dyDescent="0.25">
      <c r="B53">
        <f t="shared" si="0"/>
        <v>47</v>
      </c>
      <c r="C53" s="7" t="s">
        <v>67</v>
      </c>
      <c r="D53" s="7" t="str">
        <f t="shared" si="7"/>
        <v>Over 90</v>
      </c>
      <c r="E53" s="8">
        <f t="shared" si="1"/>
        <v>43257</v>
      </c>
      <c r="F53" s="9" t="e">
        <f>IF(SUMIFS(tblData[Amount],
                   tblData[Rpt Date],"="&amp;$E53,
                   tblData[ScenarioGroup],"="&amp;$D53)=0,NA())</f>
        <v>#N/A</v>
      </c>
      <c r="G53" s="9" t="e">
        <f>NA()</f>
        <v>#N/A</v>
      </c>
      <c r="I53" s="7" t="s">
        <v>42</v>
      </c>
      <c r="J53" s="7" t="str">
        <f t="shared" si="8"/>
        <v>Over 90</v>
      </c>
      <c r="K53" s="8">
        <f t="shared" si="3"/>
        <v>43257</v>
      </c>
      <c r="L53" s="9">
        <f>SUMIFS(tblData[Amount],
                   tblData[Rpt Date],"="&amp;K53,
                   tblData[ScenarioGroup],"="&amp;J53,
                   tblData[PrentGroup],"="&amp;I53)</f>
        <v>0</v>
      </c>
      <c r="M53" s="9">
        <f>SUMIFS(tblData[Amount],
                   tblData[Rpt Date],"="&amp;K53,
                   tblData[ScenarioGroup],"="&amp;J53,
                   tblData[PrentGroup],"="&amp;I53)</f>
        <v>0</v>
      </c>
      <c r="O53" s="7" t="s">
        <v>43</v>
      </c>
      <c r="P53" s="7" t="str">
        <f t="shared" si="9"/>
        <v>Over 90</v>
      </c>
      <c r="Q53" s="8">
        <f t="shared" si="4"/>
        <v>43257</v>
      </c>
      <c r="R53" s="9">
        <f>SUMIFS(tblData[Amount],
                   tblData[Rpt Date],"="&amp;Q53,
                   tblData[ScenarioGroup],"="&amp;P53,
                   tblData[PrentGroup],"="&amp;O53)</f>
        <v>0</v>
      </c>
      <c r="S53" s="9">
        <f>SUMIFS(tblData[Amount],
                   tblData[Rpt Date],"="&amp;Q53,
                   tblData[ScenarioGroup],"="&amp;P53,
                   tblData[PrentGroup],"="&amp;O53)</f>
        <v>0</v>
      </c>
      <c r="U53" s="7" t="s">
        <v>69</v>
      </c>
      <c r="V53" s="7" t="str">
        <f t="shared" si="10"/>
        <v>Over 90</v>
      </c>
      <c r="W53" s="8">
        <f t="shared" si="5"/>
        <v>43257</v>
      </c>
      <c r="X53" s="9">
        <f>SUMIFS(tblData[Amount],
                   tblData[Rpt Date],"="&amp;W53,
                   tblData[ScenarioGroup],"="&amp;V53,
                   tblData[PrentGroup],"="&amp;U53)</f>
        <v>0</v>
      </c>
      <c r="Y53" s="9">
        <f>SUMIFS(tblData[Amount],
                   tblData[Rpt Date],"="&amp;W53,
                   tblData[ScenarioGroup],"="&amp;V53,
                   tblData[PrentGroup],"="&amp;U53)</f>
        <v>0</v>
      </c>
      <c r="AA53" s="7" t="s">
        <v>41</v>
      </c>
      <c r="AB53" s="7" t="str">
        <f t="shared" si="11"/>
        <v>Over 90</v>
      </c>
      <c r="AC53" s="8">
        <f t="shared" si="6"/>
        <v>43257</v>
      </c>
      <c r="AD53" s="9">
        <f>SUMIFS(tblData[Amount],
                   tblData[Rpt Date],"="&amp;AC53,
                   tblData[ScenarioGroup],"="&amp;AB53,
                   tblData[PrentGroup],"="&amp;AA53)</f>
        <v>0</v>
      </c>
      <c r="AE53" s="9">
        <f>SUMIFS(tblData[Amount],
                   tblData[Rpt Date],"="&amp;AC53,
                   tblData[ScenarioGroup],"="&amp;AB53,
                   tblData[PrentGroup],"="&amp;AA53)</f>
        <v>0</v>
      </c>
    </row>
    <row r="54" spans="1:31" x14ac:dyDescent="0.25">
      <c r="B54">
        <f t="shared" si="0"/>
        <v>48</v>
      </c>
      <c r="C54" s="7" t="s">
        <v>67</v>
      </c>
      <c r="D54" s="7" t="str">
        <f t="shared" si="7"/>
        <v>Over 90</v>
      </c>
      <c r="E54" s="8">
        <f t="shared" si="1"/>
        <v>43264</v>
      </c>
      <c r="F54" s="9" t="e">
        <f>IF(SUMIFS(tblData[Amount],
                   tblData[Rpt Date],"="&amp;$E54,
                   tblData[ScenarioGroup],"="&amp;$D54)=0,NA())</f>
        <v>#N/A</v>
      </c>
      <c r="G54" s="9" t="e">
        <f>NA()</f>
        <v>#N/A</v>
      </c>
      <c r="I54" s="7" t="s">
        <v>42</v>
      </c>
      <c r="J54" s="7" t="str">
        <f t="shared" si="8"/>
        <v>Over 90</v>
      </c>
      <c r="K54" s="8">
        <f t="shared" si="3"/>
        <v>43264</v>
      </c>
      <c r="L54" s="9">
        <f>SUMIFS(tblData[Amount],
                   tblData[Rpt Date],"="&amp;K54,
                   tblData[ScenarioGroup],"="&amp;J54,
                   tblData[PrentGroup],"="&amp;I54)</f>
        <v>0</v>
      </c>
      <c r="M54" s="9">
        <f>SUMIFS(tblData[Amount],
                   tblData[Rpt Date],"="&amp;K54,
                   tblData[ScenarioGroup],"="&amp;J54,
                   tblData[PrentGroup],"="&amp;I54)</f>
        <v>0</v>
      </c>
      <c r="O54" s="7" t="s">
        <v>43</v>
      </c>
      <c r="P54" s="7" t="str">
        <f t="shared" si="9"/>
        <v>Over 90</v>
      </c>
      <c r="Q54" s="8">
        <f t="shared" si="4"/>
        <v>43264</v>
      </c>
      <c r="R54" s="9">
        <f>SUMIFS(tblData[Amount],
                   tblData[Rpt Date],"="&amp;Q54,
                   tblData[ScenarioGroup],"="&amp;P54,
                   tblData[PrentGroup],"="&amp;O54)</f>
        <v>0</v>
      </c>
      <c r="S54" s="9">
        <f>SUMIFS(tblData[Amount],
                   tblData[Rpt Date],"="&amp;Q54,
                   tblData[ScenarioGroup],"="&amp;P54,
                   tblData[PrentGroup],"="&amp;O54)</f>
        <v>0</v>
      </c>
      <c r="U54" s="7" t="s">
        <v>69</v>
      </c>
      <c r="V54" s="7" t="str">
        <f t="shared" si="10"/>
        <v>Over 90</v>
      </c>
      <c r="W54" s="8">
        <f t="shared" si="5"/>
        <v>43264</v>
      </c>
      <c r="X54" s="9">
        <f>SUMIFS(tblData[Amount],
                   tblData[Rpt Date],"="&amp;W54,
                   tblData[ScenarioGroup],"="&amp;V54,
                   tblData[PrentGroup],"="&amp;U54)</f>
        <v>0</v>
      </c>
      <c r="Y54" s="9">
        <f>SUMIFS(tblData[Amount],
                   tblData[Rpt Date],"="&amp;W54,
                   tblData[ScenarioGroup],"="&amp;V54,
                   tblData[PrentGroup],"="&amp;U54)</f>
        <v>0</v>
      </c>
      <c r="AA54" s="7" t="s">
        <v>41</v>
      </c>
      <c r="AB54" s="7" t="str">
        <f t="shared" si="11"/>
        <v>Over 90</v>
      </c>
      <c r="AC54" s="8">
        <f t="shared" si="6"/>
        <v>43264</v>
      </c>
      <c r="AD54" s="9">
        <f>SUMIFS(tblData[Amount],
                   tblData[Rpt Date],"="&amp;AC54,
                   tblData[ScenarioGroup],"="&amp;AB54,
                   tblData[PrentGroup],"="&amp;AA54)</f>
        <v>0</v>
      </c>
      <c r="AE54" s="9">
        <f>SUMIFS(tblData[Amount],
                   tblData[Rpt Date],"="&amp;AC54,
                   tblData[ScenarioGroup],"="&amp;AB54,
                   tblData[PrentGroup],"="&amp;AA54)</f>
        <v>0</v>
      </c>
    </row>
    <row r="55" spans="1:31" x14ac:dyDescent="0.25">
      <c r="B55">
        <f t="shared" si="0"/>
        <v>49</v>
      </c>
      <c r="C55" s="7" t="s">
        <v>67</v>
      </c>
      <c r="D55" s="7" t="str">
        <f t="shared" si="7"/>
        <v>Over 90</v>
      </c>
      <c r="E55" s="8">
        <f t="shared" si="1"/>
        <v>43271</v>
      </c>
      <c r="F55" s="9" t="e">
        <f>IF(SUMIFS(tblData[Amount],
                   tblData[Rpt Date],"="&amp;$E55,
                   tblData[ScenarioGroup],"="&amp;$D55)=0,NA())</f>
        <v>#N/A</v>
      </c>
      <c r="G55" s="9" t="e">
        <f>NA()</f>
        <v>#N/A</v>
      </c>
      <c r="I55" s="7" t="s">
        <v>42</v>
      </c>
      <c r="J55" s="7" t="str">
        <f t="shared" si="8"/>
        <v>Over 90</v>
      </c>
      <c r="K55" s="8">
        <f t="shared" si="3"/>
        <v>43271</v>
      </c>
      <c r="L55" s="9">
        <f>SUMIFS(tblData[Amount],
                   tblData[Rpt Date],"="&amp;K55,
                   tblData[ScenarioGroup],"="&amp;J55,
                   tblData[PrentGroup],"="&amp;I55)</f>
        <v>0</v>
      </c>
      <c r="M55" s="9">
        <f>SUMIFS(tblData[Amount],
                   tblData[Rpt Date],"="&amp;K55,
                   tblData[ScenarioGroup],"="&amp;J55,
                   tblData[PrentGroup],"="&amp;I55)</f>
        <v>0</v>
      </c>
      <c r="O55" s="7" t="s">
        <v>43</v>
      </c>
      <c r="P55" s="7" t="str">
        <f t="shared" si="9"/>
        <v>Over 90</v>
      </c>
      <c r="Q55" s="8">
        <f t="shared" si="4"/>
        <v>43271</v>
      </c>
      <c r="R55" s="9">
        <f>SUMIFS(tblData[Amount],
                   tblData[Rpt Date],"="&amp;Q55,
                   tblData[ScenarioGroup],"="&amp;P55,
                   tblData[PrentGroup],"="&amp;O55)</f>
        <v>0</v>
      </c>
      <c r="S55" s="9">
        <f>SUMIFS(tblData[Amount],
                   tblData[Rpt Date],"="&amp;Q55,
                   tblData[ScenarioGroup],"="&amp;P55,
                   tblData[PrentGroup],"="&amp;O55)</f>
        <v>0</v>
      </c>
      <c r="U55" s="7" t="s">
        <v>69</v>
      </c>
      <c r="V55" s="7" t="str">
        <f t="shared" si="10"/>
        <v>Over 90</v>
      </c>
      <c r="W55" s="8">
        <f t="shared" si="5"/>
        <v>43271</v>
      </c>
      <c r="X55" s="9">
        <f>SUMIFS(tblData[Amount],
                   tblData[Rpt Date],"="&amp;W55,
                   tblData[ScenarioGroup],"="&amp;V55,
                   tblData[PrentGroup],"="&amp;U55)</f>
        <v>0</v>
      </c>
      <c r="Y55" s="9">
        <f>SUMIFS(tblData[Amount],
                   tblData[Rpt Date],"="&amp;W55,
                   tblData[ScenarioGroup],"="&amp;V55,
                   tblData[PrentGroup],"="&amp;U55)</f>
        <v>0</v>
      </c>
      <c r="AA55" s="7" t="s">
        <v>41</v>
      </c>
      <c r="AB55" s="7" t="str">
        <f t="shared" si="11"/>
        <v>Over 90</v>
      </c>
      <c r="AC55" s="8">
        <f t="shared" si="6"/>
        <v>43271</v>
      </c>
      <c r="AD55" s="9">
        <f>SUMIFS(tblData[Amount],
                   tblData[Rpt Date],"="&amp;AC55,
                   tblData[ScenarioGroup],"="&amp;AB55,
                   tblData[PrentGroup],"="&amp;AA55)</f>
        <v>0</v>
      </c>
      <c r="AE55" s="9">
        <f>SUMIFS(tblData[Amount],
                   tblData[Rpt Date],"="&amp;AC55,
                   tblData[ScenarioGroup],"="&amp;AB55,
                   tblData[PrentGroup],"="&amp;AA55)</f>
        <v>0</v>
      </c>
    </row>
    <row r="56" spans="1:31" x14ac:dyDescent="0.25">
      <c r="B56">
        <f t="shared" si="0"/>
        <v>50</v>
      </c>
      <c r="C56" s="7" t="s">
        <v>67</v>
      </c>
      <c r="D56" s="7" t="str">
        <f t="shared" si="7"/>
        <v>Over 90</v>
      </c>
      <c r="E56" s="8">
        <f t="shared" si="1"/>
        <v>43278</v>
      </c>
      <c r="F56" s="9" t="e">
        <f>IF(SUMIFS(tblData[Amount],
                   tblData[Rpt Date],"="&amp;$E56,
                   tblData[ScenarioGroup],"="&amp;$D56)=0,NA())</f>
        <v>#N/A</v>
      </c>
      <c r="G56" s="9" t="e">
        <f>NA()</f>
        <v>#N/A</v>
      </c>
      <c r="I56" s="7" t="s">
        <v>42</v>
      </c>
      <c r="J56" s="7" t="str">
        <f t="shared" si="8"/>
        <v>Over 90</v>
      </c>
      <c r="K56" s="8">
        <f t="shared" si="3"/>
        <v>43278</v>
      </c>
      <c r="L56" s="9">
        <f>SUMIFS(tblData[Amount],
                   tblData[Rpt Date],"="&amp;K56,
                   tblData[ScenarioGroup],"="&amp;J56,
                   tblData[PrentGroup],"="&amp;I56)</f>
        <v>0</v>
      </c>
      <c r="M56" s="9">
        <f>SUMIFS(tblData[Amount],
                   tblData[Rpt Date],"="&amp;K56,
                   tblData[ScenarioGroup],"="&amp;J56,
                   tblData[PrentGroup],"="&amp;I56)</f>
        <v>0</v>
      </c>
      <c r="O56" s="7" t="s">
        <v>43</v>
      </c>
      <c r="P56" s="7" t="str">
        <f t="shared" si="9"/>
        <v>Over 90</v>
      </c>
      <c r="Q56" s="8">
        <f t="shared" si="4"/>
        <v>43278</v>
      </c>
      <c r="R56" s="9">
        <f>SUMIFS(tblData[Amount],
                   tblData[Rpt Date],"="&amp;Q56,
                   tblData[ScenarioGroup],"="&amp;P56,
                   tblData[PrentGroup],"="&amp;O56)</f>
        <v>0</v>
      </c>
      <c r="S56" s="9">
        <f>SUMIFS(tblData[Amount],
                   tblData[Rpt Date],"="&amp;Q56,
                   tblData[ScenarioGroup],"="&amp;P56,
                   tblData[PrentGroup],"="&amp;O56)</f>
        <v>0</v>
      </c>
      <c r="U56" s="7" t="s">
        <v>69</v>
      </c>
      <c r="V56" s="7" t="str">
        <f t="shared" si="10"/>
        <v>Over 90</v>
      </c>
      <c r="W56" s="8">
        <f t="shared" si="5"/>
        <v>43278</v>
      </c>
      <c r="X56" s="9">
        <f>SUMIFS(tblData[Amount],
                   tblData[Rpt Date],"="&amp;W56,
                   tblData[ScenarioGroup],"="&amp;V56,
                   tblData[PrentGroup],"="&amp;U56)</f>
        <v>0</v>
      </c>
      <c r="Y56" s="9">
        <f>SUMIFS(tblData[Amount],
                   tblData[Rpt Date],"="&amp;W56,
                   tblData[ScenarioGroup],"="&amp;V56,
                   tblData[PrentGroup],"="&amp;U56)</f>
        <v>0</v>
      </c>
      <c r="AA56" s="7" t="s">
        <v>41</v>
      </c>
      <c r="AB56" s="7" t="str">
        <f t="shared" si="11"/>
        <v>Over 90</v>
      </c>
      <c r="AC56" s="8">
        <f t="shared" si="6"/>
        <v>43278</v>
      </c>
      <c r="AD56" s="9">
        <f>SUMIFS(tblData[Amount],
                   tblData[Rpt Date],"="&amp;AC56,
                   tblData[ScenarioGroup],"="&amp;AB56,
                   tblData[PrentGroup],"="&amp;AA56)</f>
        <v>0</v>
      </c>
      <c r="AE56" s="9">
        <f>SUMIFS(tblData[Amount],
                   tblData[Rpt Date],"="&amp;AC56,
                   tblData[ScenarioGroup],"="&amp;AB56,
                   tblData[PrentGroup],"="&amp;AA56)</f>
        <v>0</v>
      </c>
    </row>
    <row r="57" spans="1:31" x14ac:dyDescent="0.25">
      <c r="B57">
        <f>+B58-1</f>
        <v>51</v>
      </c>
      <c r="C57" s="7" t="s">
        <v>67</v>
      </c>
      <c r="D57" s="7" t="str">
        <f t="shared" si="7"/>
        <v>Over 90</v>
      </c>
      <c r="E57" s="8">
        <f>E58-7</f>
        <v>43285</v>
      </c>
      <c r="F57" s="9" t="e">
        <f>IF(SUMIFS(tblData[Amount],
                   tblData[Rpt Date],"="&amp;$E57,
                   tblData[ScenarioGroup],"="&amp;$D57)=0,NA())</f>
        <v>#N/A</v>
      </c>
      <c r="G57" s="9" t="e">
        <f>NA()</f>
        <v>#N/A</v>
      </c>
      <c r="I57" s="7" t="s">
        <v>42</v>
      </c>
      <c r="J57" s="7" t="str">
        <f t="shared" si="8"/>
        <v>Over 90</v>
      </c>
      <c r="K57" s="8">
        <f>K58-7</f>
        <v>43285</v>
      </c>
      <c r="L57" s="9">
        <f>SUMIFS(tblData[Amount],
                   tblData[Rpt Date],"="&amp;K57,
                   tblData[ScenarioGroup],"="&amp;J57,
                   tblData[PrentGroup],"="&amp;I57)</f>
        <v>0</v>
      </c>
      <c r="M57" s="9">
        <f>SUMIFS(tblData[Amount],
                   tblData[Rpt Date],"="&amp;K57,
                   tblData[ScenarioGroup],"="&amp;J57,
                   tblData[PrentGroup],"="&amp;I57)</f>
        <v>0</v>
      </c>
      <c r="O57" s="7" t="s">
        <v>43</v>
      </c>
      <c r="P57" s="7" t="str">
        <f t="shared" si="9"/>
        <v>Over 90</v>
      </c>
      <c r="Q57" s="8">
        <f>Q58-7</f>
        <v>43285</v>
      </c>
      <c r="R57" s="9">
        <f>SUMIFS(tblData[Amount],
                   tblData[Rpt Date],"="&amp;Q57,
                   tblData[ScenarioGroup],"="&amp;P57,
                   tblData[PrentGroup],"="&amp;O57)</f>
        <v>0</v>
      </c>
      <c r="S57" s="9">
        <f>SUMIFS(tblData[Amount],
                   tblData[Rpt Date],"="&amp;Q57,
                   tblData[ScenarioGroup],"="&amp;P57,
                   tblData[PrentGroup],"="&amp;O57)</f>
        <v>0</v>
      </c>
      <c r="U57" s="7" t="s">
        <v>69</v>
      </c>
      <c r="V57" s="7" t="str">
        <f t="shared" si="10"/>
        <v>Over 90</v>
      </c>
      <c r="W57" s="8">
        <f>W58-7</f>
        <v>43285</v>
      </c>
      <c r="X57" s="9">
        <f>SUMIFS(tblData[Amount],
                   tblData[Rpt Date],"="&amp;W57,
                   tblData[ScenarioGroup],"="&amp;V57,
                   tblData[PrentGroup],"="&amp;U57)</f>
        <v>0</v>
      </c>
      <c r="Y57" s="9">
        <f>SUMIFS(tblData[Amount],
                   tblData[Rpt Date],"="&amp;W57,
                   tblData[ScenarioGroup],"="&amp;V57,
                   tblData[PrentGroup],"="&amp;U57)</f>
        <v>0</v>
      </c>
      <c r="AA57" s="7" t="s">
        <v>41</v>
      </c>
      <c r="AB57" s="7" t="str">
        <f t="shared" si="11"/>
        <v>Over 90</v>
      </c>
      <c r="AC57" s="8">
        <f>AC58-7</f>
        <v>43285</v>
      </c>
      <c r="AD57" s="9">
        <f>SUMIFS(tblData[Amount],
                   tblData[Rpt Date],"="&amp;AC57,
                   tblData[ScenarioGroup],"="&amp;AB57,
                   tblData[PrentGroup],"="&amp;AA57)</f>
        <v>0</v>
      </c>
      <c r="AE57" s="9">
        <f>SUMIFS(tblData[Amount],
                   tblData[Rpt Date],"="&amp;AC57,
                   tblData[ScenarioGroup],"="&amp;AB57,
                   tblData[PrentGroup],"="&amp;AA57)</f>
        <v>0</v>
      </c>
    </row>
    <row r="58" spans="1:31" x14ac:dyDescent="0.25">
      <c r="A58" t="str">
        <f>TEXT(E58,"MMM")&amp;CHAR(10)&amp;TEXT(E58,"DD")&amp;CHAR(10)&amp;TEXT(E58,"YYYY")</f>
        <v>Jul
11
2018</v>
      </c>
      <c r="B58">
        <v>52</v>
      </c>
      <c r="C58" s="7" t="s">
        <v>67</v>
      </c>
      <c r="D58" s="7" t="str">
        <f t="shared" si="7"/>
        <v>Over 90</v>
      </c>
      <c r="E58" s="14">
        <f>Start_Date</f>
        <v>43292</v>
      </c>
      <c r="F58" s="9">
        <f>SUMIFS(tblData[Amount],
                   tblData[Rpt Date],"="&amp;$E58,
                   tblData[ScenarioGroup],"="&amp;$D58)</f>
        <v>369652.97000000009</v>
      </c>
      <c r="G58" s="9">
        <f>IFERROR(F58,NA())</f>
        <v>369652.97000000009</v>
      </c>
      <c r="I58" s="7" t="s">
        <v>42</v>
      </c>
      <c r="J58" s="7" t="str">
        <f t="shared" si="8"/>
        <v>Over 90</v>
      </c>
      <c r="K58" s="14">
        <f>Start_Date</f>
        <v>43292</v>
      </c>
      <c r="L58" s="9">
        <f>SUMIFS(tblData[Amount],
                   tblData[Rpt Date],"="&amp;K58,
                   tblData[ScenarioGroup],"="&amp;J58,
                   tblData[PrentGroup],"="&amp;I58)</f>
        <v>224593.46000000008</v>
      </c>
      <c r="M58" s="9">
        <f>SUMIFS(tblData[Amount],
                   tblData[Rpt Date],"="&amp;K58,
                   tblData[ScenarioGroup],"="&amp;J58,
                   tblData[PrentGroup],"="&amp;I58)</f>
        <v>224593.46000000008</v>
      </c>
      <c r="O58" s="7" t="s">
        <v>43</v>
      </c>
      <c r="P58" s="7" t="str">
        <f t="shared" si="9"/>
        <v>Over 90</v>
      </c>
      <c r="Q58" s="14">
        <f>Start_Date</f>
        <v>43292</v>
      </c>
      <c r="R58" s="9">
        <f>SUMIFS(tblData[Amount],
                   tblData[Rpt Date],"="&amp;Q58,
                   tblData[ScenarioGroup],"="&amp;P58,
                   tblData[PrentGroup],"="&amp;O58)</f>
        <v>98095.090000000011</v>
      </c>
      <c r="S58" s="9">
        <f>SUMIFS(tblData[Amount],
                   tblData[Rpt Date],"="&amp;Q58,
                   tblData[ScenarioGroup],"="&amp;P58,
                   tblData[PrentGroup],"="&amp;O58)</f>
        <v>98095.090000000011</v>
      </c>
      <c r="U58" s="7" t="s">
        <v>69</v>
      </c>
      <c r="V58" s="7" t="str">
        <f t="shared" si="10"/>
        <v>Over 90</v>
      </c>
      <c r="W58" s="14">
        <f>Start_Date</f>
        <v>43292</v>
      </c>
      <c r="X58" s="9">
        <f>SUMIFS(tblData[Amount],
                   tblData[Rpt Date],"="&amp;W58,
                   tblData[ScenarioGroup],"="&amp;V58,
                   tblData[PrentGroup],"="&amp;U58)</f>
        <v>41203.789999999994</v>
      </c>
      <c r="Y58" s="9">
        <f>SUMIFS(tblData[Amount],
                   tblData[Rpt Date],"="&amp;W58,
                   tblData[ScenarioGroup],"="&amp;V58,
                   tblData[PrentGroup],"="&amp;U58)</f>
        <v>41203.789999999994</v>
      </c>
      <c r="AA58" s="7" t="s">
        <v>41</v>
      </c>
      <c r="AB58" s="7" t="str">
        <f t="shared" si="11"/>
        <v>Over 90</v>
      </c>
      <c r="AC58" s="14">
        <f>Start_Date</f>
        <v>43292</v>
      </c>
      <c r="AD58" s="9">
        <f>SUMIFS(tblData[Amount],
                   tblData[Rpt Date],"="&amp;AC58,
                   tblData[ScenarioGroup],"="&amp;AB58,
                   tblData[PrentGroup],"="&amp;AA58)</f>
        <v>5760.63</v>
      </c>
      <c r="AE58" s="9">
        <f>SUMIFS(tblData[Amount],
                   tblData[Rpt Date],"="&amp;AC58,
                   tblData[ScenarioGroup],"="&amp;AB58,
                   tblData[PrentGroup],"="&amp;AA58)</f>
        <v>5760.63</v>
      </c>
    </row>
    <row r="60" spans="1:31" x14ac:dyDescent="0.25">
      <c r="F60" s="4" t="e">
        <f>F57-F58</f>
        <v>#N/A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E61"/>
  <sheetViews>
    <sheetView topLeftCell="A21" workbookViewId="0">
      <selection activeCell="F49" sqref="F49:G57"/>
    </sheetView>
  </sheetViews>
  <sheetFormatPr defaultRowHeight="15" x14ac:dyDescent="0.25"/>
  <cols>
    <col min="3" max="7" width="12.7109375" customWidth="1"/>
    <col min="8" max="8" width="0.85546875" customWidth="1"/>
    <col min="9" max="13" width="12.7109375" customWidth="1"/>
    <col min="14" max="14" width="0.85546875" customWidth="1"/>
    <col min="15" max="15" width="14.85546875" customWidth="1"/>
    <col min="16" max="16" width="16.85546875" customWidth="1"/>
    <col min="17" max="19" width="12.7109375" customWidth="1"/>
    <col min="20" max="20" width="0.85546875" customWidth="1"/>
    <col min="21" max="21" width="14.85546875" customWidth="1"/>
    <col min="22" max="22" width="16.85546875" customWidth="1"/>
    <col min="23" max="25" width="12.7109375" customWidth="1"/>
    <col min="26" max="26" width="0.85546875" customWidth="1"/>
    <col min="27" max="27" width="14.85546875" customWidth="1"/>
    <col min="28" max="28" width="16.85546875" customWidth="1"/>
    <col min="29" max="30" width="12.7109375" customWidth="1"/>
    <col min="31" max="31" width="11.5703125" bestFit="1" customWidth="1"/>
  </cols>
  <sheetData>
    <row r="2" spans="1:31" x14ac:dyDescent="0.25">
      <c r="C2" s="7" t="s">
        <v>58</v>
      </c>
      <c r="D2" s="10" t="s">
        <v>36</v>
      </c>
    </row>
    <row r="4" spans="1:31" x14ac:dyDescent="0.25">
      <c r="C4" s="11" t="s">
        <v>71</v>
      </c>
      <c r="D4" s="3"/>
      <c r="E4" s="3"/>
      <c r="F4" s="3"/>
      <c r="G4" s="3"/>
      <c r="I4" s="11" t="s">
        <v>72</v>
      </c>
      <c r="J4" s="3"/>
      <c r="K4" s="3"/>
      <c r="L4" s="3"/>
      <c r="M4" s="3"/>
      <c r="O4" s="11" t="s">
        <v>43</v>
      </c>
      <c r="P4" s="3"/>
      <c r="Q4" s="3"/>
      <c r="R4" s="3"/>
      <c r="S4" s="3"/>
      <c r="U4" s="11" t="s">
        <v>69</v>
      </c>
      <c r="V4" s="3"/>
      <c r="W4" s="3"/>
      <c r="X4" s="3"/>
      <c r="Y4" s="3"/>
      <c r="AA4" s="11" t="s">
        <v>41</v>
      </c>
      <c r="AB4" s="3"/>
      <c r="AC4" s="3"/>
      <c r="AD4" s="3"/>
      <c r="AE4" s="3"/>
    </row>
    <row r="5" spans="1:31" ht="3.95" customHeight="1" x14ac:dyDescent="0.25"/>
    <row r="6" spans="1:31" x14ac:dyDescent="0.25">
      <c r="C6" s="10" t="s">
        <v>66</v>
      </c>
      <c r="D6" s="10" t="s">
        <v>36</v>
      </c>
      <c r="E6" s="10" t="s">
        <v>68</v>
      </c>
      <c r="F6" s="10" t="s">
        <v>37</v>
      </c>
      <c r="G6" s="10" t="s">
        <v>70</v>
      </c>
      <c r="I6" s="10" t="s">
        <v>66</v>
      </c>
      <c r="J6" s="10" t="s">
        <v>36</v>
      </c>
      <c r="K6" s="10" t="s">
        <v>68</v>
      </c>
      <c r="L6" s="10" t="s">
        <v>37</v>
      </c>
      <c r="M6" s="10" t="s">
        <v>70</v>
      </c>
      <c r="O6" s="10" t="s">
        <v>66</v>
      </c>
      <c r="P6" s="10" t="s">
        <v>36</v>
      </c>
      <c r="Q6" s="10" t="s">
        <v>68</v>
      </c>
      <c r="R6" s="10" t="s">
        <v>37</v>
      </c>
      <c r="S6" s="10" t="s">
        <v>70</v>
      </c>
      <c r="U6" s="10" t="s">
        <v>66</v>
      </c>
      <c r="V6" s="10" t="s">
        <v>36</v>
      </c>
      <c r="W6" s="10" t="s">
        <v>68</v>
      </c>
      <c r="X6" s="10" t="s">
        <v>37</v>
      </c>
      <c r="Y6" s="10" t="s">
        <v>70</v>
      </c>
      <c r="AA6" s="10" t="s">
        <v>66</v>
      </c>
      <c r="AB6" s="10" t="s">
        <v>36</v>
      </c>
      <c r="AC6" s="10" t="s">
        <v>68</v>
      </c>
      <c r="AD6" s="10" t="s">
        <v>37</v>
      </c>
      <c r="AE6" s="10" t="s">
        <v>70</v>
      </c>
    </row>
    <row r="7" spans="1:31" x14ac:dyDescent="0.25">
      <c r="A7" t="str">
        <f>TEXT(E7,"MMM")&amp;CHAR(10)&amp;TEXT(E7,"DD")&amp;CHAR(10)&amp;TEXT(E7,"YYYY")</f>
        <v>Jul
19
2017</v>
      </c>
      <c r="B7">
        <f t="shared" ref="B7:B56" si="0">+B8-1</f>
        <v>1</v>
      </c>
      <c r="C7" s="7" t="s">
        <v>67</v>
      </c>
      <c r="D7" s="7" t="str">
        <f>$C$2</f>
        <v>61 to 90</v>
      </c>
      <c r="E7" s="8">
        <f t="shared" ref="E7:E56" si="1">E8-7</f>
        <v>42935</v>
      </c>
      <c r="F7" s="9">
        <f>SUMIFS(tblData[Amount],
                   tblData[Rpt Date],"="&amp;$E7,
                   tblData[ScenarioGroup],"="&amp;$D7)</f>
        <v>5879.8</v>
      </c>
      <c r="G7" s="9">
        <f t="shared" ref="G7:G58" si="2">F7</f>
        <v>5879.8</v>
      </c>
      <c r="I7" s="7" t="s">
        <v>42</v>
      </c>
      <c r="J7" s="7" t="str">
        <f>$C$2</f>
        <v>61 to 90</v>
      </c>
      <c r="K7" s="8">
        <f t="shared" ref="K7:K56" si="3">K8-7</f>
        <v>42935</v>
      </c>
      <c r="L7" s="9">
        <f>SUMIFS(tblData[Amount],
                   tblData[Rpt Date],"="&amp;K7,
                   tblData[ScenarioGroup],"="&amp;J7,
                   tblData[PrentGroup],"="&amp;I7)</f>
        <v>3703.65</v>
      </c>
      <c r="M7" s="9">
        <f>SUMIFS(tblData[Amount],
                   tblData[Rpt Date],"="&amp;K7,
                   tblData[ScenarioGroup],"="&amp;J7,
                   tblData[PrentGroup],"="&amp;I7)</f>
        <v>3703.65</v>
      </c>
      <c r="O7" s="7" t="s">
        <v>43</v>
      </c>
      <c r="P7" s="7" t="str">
        <f>$C$2</f>
        <v>61 to 90</v>
      </c>
      <c r="Q7" s="8">
        <f t="shared" ref="Q7:Q56" si="4">Q8-7</f>
        <v>42935</v>
      </c>
      <c r="R7" s="9">
        <f>SUMIFS(tblData[Amount],
                   tblData[Rpt Date],"="&amp;Q7,
                   tblData[ScenarioGroup],"="&amp;P7,
                   tblData[PrentGroup],"="&amp;O7)</f>
        <v>375.08</v>
      </c>
      <c r="S7" s="9">
        <f>SUMIFS(tblData[Amount],
                   tblData[Rpt Date],"="&amp;Q7,
                   tblData[ScenarioGroup],"="&amp;P7,
                   tblData[PrentGroup],"="&amp;O7)</f>
        <v>375.08</v>
      </c>
      <c r="U7" s="7" t="s">
        <v>69</v>
      </c>
      <c r="V7" s="7" t="str">
        <f>$C$2</f>
        <v>61 to 90</v>
      </c>
      <c r="W7" s="8">
        <f t="shared" ref="W7:W56" si="5">W8-7</f>
        <v>42935</v>
      </c>
      <c r="X7" s="9">
        <f>SUMIFS(tblData[Amount],
                   tblData[Rpt Date],"="&amp;W7,
                   tblData[ScenarioGroup],"="&amp;V7,
                   tblData[PrentGroup],"="&amp;U7)</f>
        <v>344.56</v>
      </c>
      <c r="Y7" s="9">
        <f>SUMIFS(tblData[Amount],
                   tblData[Rpt Date],"="&amp;W7,
                   tblData[ScenarioGroup],"="&amp;V7,
                   tblData[PrentGroup],"="&amp;U7)</f>
        <v>344.56</v>
      </c>
      <c r="AA7" s="7" t="s">
        <v>41</v>
      </c>
      <c r="AB7" s="7" t="str">
        <f>$C$2</f>
        <v>61 to 90</v>
      </c>
      <c r="AC7" s="8">
        <f t="shared" ref="AC7:AC56" si="6">AC8-7</f>
        <v>42935</v>
      </c>
      <c r="AD7" s="9">
        <f>SUMIFS(tblData[Amount],
                   tblData[Rpt Date],"="&amp;AC7,
                   tblData[ScenarioGroup],"="&amp;AB7,
                   tblData[PrentGroup],"="&amp;AA7)</f>
        <v>1456.51</v>
      </c>
      <c r="AE7" s="9">
        <f>SUMIFS(tblData[Amount],
                   tblData[Rpt Date],"="&amp;AC7,
                   tblData[ScenarioGroup],"="&amp;AB7,
                   tblData[PrentGroup],"="&amp;AA7)</f>
        <v>1456.51</v>
      </c>
    </row>
    <row r="8" spans="1:31" x14ac:dyDescent="0.25">
      <c r="B8">
        <f t="shared" si="0"/>
        <v>2</v>
      </c>
      <c r="C8" s="7" t="s">
        <v>67</v>
      </c>
      <c r="D8" s="7" t="str">
        <f t="shared" ref="D8:D58" si="7">$C$2</f>
        <v>61 to 90</v>
      </c>
      <c r="E8" s="8">
        <f t="shared" si="1"/>
        <v>42942</v>
      </c>
      <c r="F8" s="9">
        <f>SUMIFS(tblData[Amount],
                   tblData[Rpt Date],"="&amp;$E8,
                   tblData[ScenarioGroup],"="&amp;$D8)</f>
        <v>5327.1599999999989</v>
      </c>
      <c r="G8" s="9">
        <f t="shared" si="2"/>
        <v>5327.1599999999989</v>
      </c>
      <c r="I8" s="7" t="s">
        <v>42</v>
      </c>
      <c r="J8" s="7" t="str">
        <f t="shared" ref="J8:J58" si="8">$C$2</f>
        <v>61 to 90</v>
      </c>
      <c r="K8" s="8">
        <f t="shared" si="3"/>
        <v>42942</v>
      </c>
      <c r="L8" s="9">
        <f>SUMIFS(tblData[Amount],
                   tblData[Rpt Date],"="&amp;K8,
                   tblData[ScenarioGroup],"="&amp;J8,
                   tblData[PrentGroup],"="&amp;I8)</f>
        <v>3312.74</v>
      </c>
      <c r="M8" s="9">
        <f>SUMIFS(tblData[Amount],
                   tblData[Rpt Date],"="&amp;K8,
                   tblData[ScenarioGroup],"="&amp;J8,
                   tblData[PrentGroup],"="&amp;I8)</f>
        <v>3312.74</v>
      </c>
      <c r="O8" s="7" t="s">
        <v>43</v>
      </c>
      <c r="P8" s="7" t="str">
        <f t="shared" ref="P8:P58" si="9">$C$2</f>
        <v>61 to 90</v>
      </c>
      <c r="Q8" s="8">
        <f t="shared" si="4"/>
        <v>42942</v>
      </c>
      <c r="R8" s="9">
        <f>SUMIFS(tblData[Amount],
                   tblData[Rpt Date],"="&amp;Q8,
                   tblData[ScenarioGroup],"="&amp;P8,
                   tblData[PrentGroup],"="&amp;O8)</f>
        <v>240.2</v>
      </c>
      <c r="S8" s="9">
        <f>SUMIFS(tblData[Amount],
                   tblData[Rpt Date],"="&amp;Q8,
                   tblData[ScenarioGroup],"="&amp;P8,
                   tblData[PrentGroup],"="&amp;O8)</f>
        <v>240.2</v>
      </c>
      <c r="U8" s="7" t="s">
        <v>69</v>
      </c>
      <c r="V8" s="7" t="str">
        <f t="shared" ref="V8:V58" si="10">$C$2</f>
        <v>61 to 90</v>
      </c>
      <c r="W8" s="8">
        <f t="shared" si="5"/>
        <v>42942</v>
      </c>
      <c r="X8" s="9">
        <f>SUMIFS(tblData[Amount],
                   tblData[Rpt Date],"="&amp;W8,
                   tblData[ScenarioGroup],"="&amp;V8,
                   tblData[PrentGroup],"="&amp;U8)</f>
        <v>563.45000000000005</v>
      </c>
      <c r="Y8" s="9">
        <f>SUMIFS(tblData[Amount],
                   tblData[Rpt Date],"="&amp;W8,
                   tblData[ScenarioGroup],"="&amp;V8,
                   tblData[PrentGroup],"="&amp;U8)</f>
        <v>563.45000000000005</v>
      </c>
      <c r="AA8" s="7" t="s">
        <v>41</v>
      </c>
      <c r="AB8" s="7" t="str">
        <f t="shared" ref="AB8:AB58" si="11">$C$2</f>
        <v>61 to 90</v>
      </c>
      <c r="AC8" s="8">
        <f t="shared" si="6"/>
        <v>42942</v>
      </c>
      <c r="AD8" s="9">
        <f>SUMIFS(tblData[Amount],
                   tblData[Rpt Date],"="&amp;AC8,
                   tblData[ScenarioGroup],"="&amp;AB8,
                   tblData[PrentGroup],"="&amp;AA8)</f>
        <v>1210.77</v>
      </c>
      <c r="AE8" s="9">
        <f>SUMIFS(tblData[Amount],
                   tblData[Rpt Date],"="&amp;AC8,
                   tblData[ScenarioGroup],"="&amp;AB8,
                   tblData[PrentGroup],"="&amp;AA8)</f>
        <v>1210.77</v>
      </c>
    </row>
    <row r="9" spans="1:31" x14ac:dyDescent="0.25">
      <c r="B9">
        <f t="shared" si="0"/>
        <v>3</v>
      </c>
      <c r="C9" s="7" t="s">
        <v>67</v>
      </c>
      <c r="D9" s="7" t="str">
        <f t="shared" si="7"/>
        <v>61 to 90</v>
      </c>
      <c r="E9" s="8">
        <f t="shared" si="1"/>
        <v>42949</v>
      </c>
      <c r="F9" s="9">
        <f>SUMIFS(tblData[Amount],
                   tblData[Rpt Date],"="&amp;$E9,
                   tblData[ScenarioGroup],"="&amp;$D9)</f>
        <v>16048.000000000002</v>
      </c>
      <c r="G9" s="9">
        <f t="shared" si="2"/>
        <v>16048.000000000002</v>
      </c>
      <c r="I9" s="7" t="s">
        <v>42</v>
      </c>
      <c r="J9" s="7" t="str">
        <f t="shared" si="8"/>
        <v>61 to 90</v>
      </c>
      <c r="K9" s="8">
        <f t="shared" si="3"/>
        <v>42949</v>
      </c>
      <c r="L9" s="9">
        <f>SUMIFS(tblData[Amount],
                   tblData[Rpt Date],"="&amp;K9,
                   tblData[ScenarioGroup],"="&amp;J9,
                   tblData[PrentGroup],"="&amp;I9)</f>
        <v>14289.320000000002</v>
      </c>
      <c r="M9" s="9">
        <f>SUMIFS(tblData[Amount],
                   tblData[Rpt Date],"="&amp;K9,
                   tblData[ScenarioGroup],"="&amp;J9,
                   tblData[PrentGroup],"="&amp;I9)</f>
        <v>14289.320000000002</v>
      </c>
      <c r="O9" s="7" t="s">
        <v>43</v>
      </c>
      <c r="P9" s="7" t="str">
        <f t="shared" si="9"/>
        <v>61 to 90</v>
      </c>
      <c r="Q9" s="8">
        <f t="shared" si="4"/>
        <v>42949</v>
      </c>
      <c r="R9" s="9">
        <f>SUMIFS(tblData[Amount],
                   tblData[Rpt Date],"="&amp;Q9,
                   tblData[ScenarioGroup],"="&amp;P9,
                   tblData[PrentGroup],"="&amp;O9)</f>
        <v>219.66</v>
      </c>
      <c r="S9" s="9">
        <f>SUMIFS(tblData[Amount],
                   tblData[Rpt Date],"="&amp;Q9,
                   tblData[ScenarioGroup],"="&amp;P9,
                   tblData[PrentGroup],"="&amp;O9)</f>
        <v>219.66</v>
      </c>
      <c r="U9" s="7" t="s">
        <v>69</v>
      </c>
      <c r="V9" s="7" t="str">
        <f t="shared" si="10"/>
        <v>61 to 90</v>
      </c>
      <c r="W9" s="8">
        <f t="shared" si="5"/>
        <v>42949</v>
      </c>
      <c r="X9" s="9">
        <f>SUMIFS(tblData[Amount],
                   tblData[Rpt Date],"="&amp;W9,
                   tblData[ScenarioGroup],"="&amp;V9,
                   tblData[PrentGroup],"="&amp;U9)</f>
        <v>563.45000000000005</v>
      </c>
      <c r="Y9" s="9">
        <f>SUMIFS(tblData[Amount],
                   tblData[Rpt Date],"="&amp;W9,
                   tblData[ScenarioGroup],"="&amp;V9,
                   tblData[PrentGroup],"="&amp;U9)</f>
        <v>563.45000000000005</v>
      </c>
      <c r="AA9" s="7" t="s">
        <v>41</v>
      </c>
      <c r="AB9" s="7" t="str">
        <f t="shared" si="11"/>
        <v>61 to 90</v>
      </c>
      <c r="AC9" s="8">
        <f t="shared" si="6"/>
        <v>42949</v>
      </c>
      <c r="AD9" s="9">
        <f>SUMIFS(tblData[Amount],
                   tblData[Rpt Date],"="&amp;AC9,
                   tblData[ScenarioGroup],"="&amp;AB9,
                   tblData[PrentGroup],"="&amp;AA9)</f>
        <v>975.56999999999994</v>
      </c>
      <c r="AE9" s="9">
        <f>SUMIFS(tblData[Amount],
                   tblData[Rpt Date],"="&amp;AC9,
                   tblData[ScenarioGroup],"="&amp;AB9,
                   tblData[PrentGroup],"="&amp;AA9)</f>
        <v>975.56999999999994</v>
      </c>
    </row>
    <row r="10" spans="1:31" x14ac:dyDescent="0.25">
      <c r="B10">
        <f t="shared" si="0"/>
        <v>4</v>
      </c>
      <c r="C10" s="7" t="s">
        <v>67</v>
      </c>
      <c r="D10" s="7" t="str">
        <f t="shared" si="7"/>
        <v>61 to 90</v>
      </c>
      <c r="E10" s="8">
        <f t="shared" si="1"/>
        <v>42956</v>
      </c>
      <c r="F10" s="9">
        <f>SUMIFS(tblData[Amount],
                   tblData[Rpt Date],"="&amp;$E10,
                   tblData[ScenarioGroup],"="&amp;$D10)</f>
        <v>17634.86</v>
      </c>
      <c r="G10" s="9">
        <f t="shared" si="2"/>
        <v>17634.86</v>
      </c>
      <c r="I10" s="7" t="s">
        <v>42</v>
      </c>
      <c r="J10" s="7" t="str">
        <f t="shared" si="8"/>
        <v>61 to 90</v>
      </c>
      <c r="K10" s="8">
        <f t="shared" si="3"/>
        <v>42956</v>
      </c>
      <c r="L10" s="9">
        <f>SUMIFS(tblData[Amount],
                   tblData[Rpt Date],"="&amp;K10,
                   tblData[ScenarioGroup],"="&amp;J10,
                   tblData[PrentGroup],"="&amp;I10)</f>
        <v>16209.830000000002</v>
      </c>
      <c r="M10" s="9">
        <f>SUMIFS(tblData[Amount],
                   tblData[Rpt Date],"="&amp;K10,
                   tblData[ScenarioGroup],"="&amp;J10,
                   tblData[PrentGroup],"="&amp;I10)</f>
        <v>16209.830000000002</v>
      </c>
      <c r="O10" s="7" t="s">
        <v>43</v>
      </c>
      <c r="P10" s="7" t="str">
        <f t="shared" si="9"/>
        <v>61 to 90</v>
      </c>
      <c r="Q10" s="8">
        <f t="shared" si="4"/>
        <v>42956</v>
      </c>
      <c r="R10" s="9">
        <f>SUMIFS(tblData[Amount],
                   tblData[Rpt Date],"="&amp;Q10,
                   tblData[ScenarioGroup],"="&amp;P10,
                   tblData[PrentGroup],"="&amp;O10)</f>
        <v>299.65999999999997</v>
      </c>
      <c r="S10" s="9">
        <f>SUMIFS(tblData[Amount],
                   tblData[Rpt Date],"="&amp;Q10,
                   tblData[ScenarioGroup],"="&amp;P10,
                   tblData[PrentGroup],"="&amp;O10)</f>
        <v>299.65999999999997</v>
      </c>
      <c r="U10" s="7" t="s">
        <v>69</v>
      </c>
      <c r="V10" s="7" t="str">
        <f t="shared" si="10"/>
        <v>61 to 90</v>
      </c>
      <c r="W10" s="8">
        <f t="shared" si="5"/>
        <v>42956</v>
      </c>
      <c r="X10" s="9">
        <f>SUMIFS(tblData[Amount],
                   tblData[Rpt Date],"="&amp;W10,
                   tblData[ScenarioGroup],"="&amp;V10,
                   tblData[PrentGroup],"="&amp;U10)</f>
        <v>218.89</v>
      </c>
      <c r="Y10" s="9">
        <f>SUMIFS(tblData[Amount],
                   tblData[Rpt Date],"="&amp;W10,
                   tblData[ScenarioGroup],"="&amp;V10,
                   tblData[PrentGroup],"="&amp;U10)</f>
        <v>218.89</v>
      </c>
      <c r="AA10" s="7" t="s">
        <v>41</v>
      </c>
      <c r="AB10" s="7" t="str">
        <f t="shared" si="11"/>
        <v>61 to 90</v>
      </c>
      <c r="AC10" s="8">
        <f t="shared" si="6"/>
        <v>42956</v>
      </c>
      <c r="AD10" s="9">
        <f>SUMIFS(tblData[Amount],
                   tblData[Rpt Date],"="&amp;AC10,
                   tblData[ScenarioGroup],"="&amp;AB10,
                   tblData[PrentGroup],"="&amp;AA10)</f>
        <v>906.48</v>
      </c>
      <c r="AE10" s="9">
        <f>SUMIFS(tblData[Amount],
                   tblData[Rpt Date],"="&amp;AC10,
                   tblData[ScenarioGroup],"="&amp;AB10,
                   tblData[PrentGroup],"="&amp;AA10)</f>
        <v>906.48</v>
      </c>
    </row>
    <row r="11" spans="1:31" x14ac:dyDescent="0.25">
      <c r="B11">
        <f t="shared" si="0"/>
        <v>5</v>
      </c>
      <c r="C11" s="7" t="s">
        <v>67</v>
      </c>
      <c r="D11" s="7" t="str">
        <f t="shared" si="7"/>
        <v>61 to 90</v>
      </c>
      <c r="E11" s="8">
        <f t="shared" si="1"/>
        <v>42963</v>
      </c>
      <c r="F11" s="9">
        <f>SUMIFS(tblData[Amount],
                   tblData[Rpt Date],"="&amp;$E11,
                   tblData[ScenarioGroup],"="&amp;$D11)</f>
        <v>18933.8</v>
      </c>
      <c r="G11" s="9">
        <f t="shared" si="2"/>
        <v>18933.8</v>
      </c>
      <c r="I11" s="7" t="s">
        <v>42</v>
      </c>
      <c r="J11" s="7" t="str">
        <f t="shared" si="8"/>
        <v>61 to 90</v>
      </c>
      <c r="K11" s="8">
        <f t="shared" si="3"/>
        <v>42963</v>
      </c>
      <c r="L11" s="9">
        <f>SUMIFS(tblData[Amount],
                   tblData[Rpt Date],"="&amp;K11,
                   tblData[ScenarioGroup],"="&amp;J11,
                   tblData[PrentGroup],"="&amp;I11)</f>
        <v>17422.439999999999</v>
      </c>
      <c r="M11" s="9">
        <f>SUMIFS(tblData[Amount],
                   tblData[Rpt Date],"="&amp;K11,
                   tblData[ScenarioGroup],"="&amp;J11,
                   tblData[PrentGroup],"="&amp;I11)</f>
        <v>17422.439999999999</v>
      </c>
      <c r="O11" s="7" t="s">
        <v>43</v>
      </c>
      <c r="P11" s="7" t="str">
        <f t="shared" si="9"/>
        <v>61 to 90</v>
      </c>
      <c r="Q11" s="8">
        <f t="shared" si="4"/>
        <v>42963</v>
      </c>
      <c r="R11" s="9">
        <f>SUMIFS(tblData[Amount],
                   tblData[Rpt Date],"="&amp;Q11,
                   tblData[ScenarioGroup],"="&amp;P11,
                   tblData[PrentGroup],"="&amp;O11)</f>
        <v>1292.47</v>
      </c>
      <c r="S11" s="9">
        <f>SUMIFS(tblData[Amount],
                   tblData[Rpt Date],"="&amp;Q11,
                   tblData[ScenarioGroup],"="&amp;P11,
                   tblData[PrentGroup],"="&amp;O11)</f>
        <v>1292.47</v>
      </c>
      <c r="U11" s="7" t="s">
        <v>69</v>
      </c>
      <c r="V11" s="7" t="str">
        <f t="shared" si="10"/>
        <v>61 to 90</v>
      </c>
      <c r="W11" s="8">
        <f t="shared" si="5"/>
        <v>42963</v>
      </c>
      <c r="X11" s="9">
        <f>SUMIFS(tblData[Amount],
                   tblData[Rpt Date],"="&amp;W11,
                   tblData[ScenarioGroup],"="&amp;V11,
                   tblData[PrentGroup],"="&amp;U11)</f>
        <v>218.89</v>
      </c>
      <c r="Y11" s="9">
        <f>SUMIFS(tblData[Amount],
                   tblData[Rpt Date],"="&amp;W11,
                   tblData[ScenarioGroup],"="&amp;V11,
                   tblData[PrentGroup],"="&amp;U11)</f>
        <v>218.89</v>
      </c>
      <c r="AA11" s="7" t="s">
        <v>41</v>
      </c>
      <c r="AB11" s="7" t="str">
        <f t="shared" si="11"/>
        <v>61 to 90</v>
      </c>
      <c r="AC11" s="8">
        <f t="shared" si="6"/>
        <v>42963</v>
      </c>
      <c r="AD11" s="9">
        <f>SUMIFS(tblData[Amount],
                   tblData[Rpt Date],"="&amp;AC11,
                   tblData[ScenarioGroup],"="&amp;AB11,
                   tblData[PrentGroup],"="&amp;AA11)</f>
        <v>0</v>
      </c>
      <c r="AE11" s="9">
        <f>SUMIFS(tblData[Amount],
                   tblData[Rpt Date],"="&amp;AC11,
                   tblData[ScenarioGroup],"="&amp;AB11,
                   tblData[PrentGroup],"="&amp;AA11)</f>
        <v>0</v>
      </c>
    </row>
    <row r="12" spans="1:31" x14ac:dyDescent="0.25">
      <c r="B12">
        <f t="shared" si="0"/>
        <v>6</v>
      </c>
      <c r="C12" s="7" t="s">
        <v>67</v>
      </c>
      <c r="D12" s="7" t="str">
        <f t="shared" si="7"/>
        <v>61 to 90</v>
      </c>
      <c r="E12" s="8">
        <f t="shared" si="1"/>
        <v>42970</v>
      </c>
      <c r="F12" s="9">
        <f>SUMIFS(tblData[Amount],
                   tblData[Rpt Date],"="&amp;$E12,
                   tblData[ScenarioGroup],"="&amp;$D12)</f>
        <v>20179.72</v>
      </c>
      <c r="G12" s="9">
        <f t="shared" si="2"/>
        <v>20179.72</v>
      </c>
      <c r="I12" s="7" t="s">
        <v>42</v>
      </c>
      <c r="J12" s="7" t="str">
        <f t="shared" si="8"/>
        <v>61 to 90</v>
      </c>
      <c r="K12" s="8">
        <f t="shared" si="3"/>
        <v>42970</v>
      </c>
      <c r="L12" s="9">
        <f>SUMIFS(tblData[Amount],
                   tblData[Rpt Date],"="&amp;K12,
                   tblData[ScenarioGroup],"="&amp;J12,
                   tblData[PrentGroup],"="&amp;I12)</f>
        <v>17931.560000000001</v>
      </c>
      <c r="M12" s="9">
        <f>SUMIFS(tblData[Amount],
                   tblData[Rpt Date],"="&amp;K12,
                   tblData[ScenarioGroup],"="&amp;J12,
                   tblData[PrentGroup],"="&amp;I12)</f>
        <v>17931.560000000001</v>
      </c>
      <c r="O12" s="7" t="s">
        <v>43</v>
      </c>
      <c r="P12" s="7" t="str">
        <f t="shared" si="9"/>
        <v>61 to 90</v>
      </c>
      <c r="Q12" s="8">
        <f t="shared" si="4"/>
        <v>42970</v>
      </c>
      <c r="R12" s="9">
        <f>SUMIFS(tblData[Amount],
                   tblData[Rpt Date],"="&amp;Q12,
                   tblData[ScenarioGroup],"="&amp;P12,
                   tblData[PrentGroup],"="&amp;O12)</f>
        <v>1864.27</v>
      </c>
      <c r="S12" s="9">
        <f>SUMIFS(tblData[Amount],
                   tblData[Rpt Date],"="&amp;Q12,
                   tblData[ScenarioGroup],"="&amp;P12,
                   tblData[PrentGroup],"="&amp;O12)</f>
        <v>1864.27</v>
      </c>
      <c r="U12" s="7" t="s">
        <v>69</v>
      </c>
      <c r="V12" s="7" t="str">
        <f t="shared" si="10"/>
        <v>61 to 90</v>
      </c>
      <c r="W12" s="8">
        <f t="shared" si="5"/>
        <v>42970</v>
      </c>
      <c r="X12" s="9">
        <f>SUMIFS(tblData[Amount],
                   tblData[Rpt Date],"="&amp;W12,
                   tblData[ScenarioGroup],"="&amp;V12,
                   tblData[PrentGroup],"="&amp;U12)</f>
        <v>218.89</v>
      </c>
      <c r="Y12" s="9">
        <f>SUMIFS(tblData[Amount],
                   tblData[Rpt Date],"="&amp;W12,
                   tblData[ScenarioGroup],"="&amp;V12,
                   tblData[PrentGroup],"="&amp;U12)</f>
        <v>218.89</v>
      </c>
      <c r="AA12" s="7" t="s">
        <v>41</v>
      </c>
      <c r="AB12" s="7" t="str">
        <f t="shared" si="11"/>
        <v>61 to 90</v>
      </c>
      <c r="AC12" s="8">
        <f t="shared" si="6"/>
        <v>42970</v>
      </c>
      <c r="AD12" s="9">
        <f>SUMIFS(tblData[Amount],
                   tblData[Rpt Date],"="&amp;AC12,
                   tblData[ScenarioGroup],"="&amp;AB12,
                   tblData[PrentGroup],"="&amp;AA12)</f>
        <v>165</v>
      </c>
      <c r="AE12" s="9">
        <f>SUMIFS(tblData[Amount],
                   tblData[Rpt Date],"="&amp;AC12,
                   tblData[ScenarioGroup],"="&amp;AB12,
                   tblData[PrentGroup],"="&amp;AA12)</f>
        <v>165</v>
      </c>
    </row>
    <row r="13" spans="1:31" x14ac:dyDescent="0.25">
      <c r="B13">
        <f t="shared" si="0"/>
        <v>7</v>
      </c>
      <c r="C13" s="7" t="s">
        <v>67</v>
      </c>
      <c r="D13" s="7" t="str">
        <f t="shared" si="7"/>
        <v>61 to 90</v>
      </c>
      <c r="E13" s="8">
        <f t="shared" si="1"/>
        <v>42977</v>
      </c>
      <c r="F13" s="9">
        <f>SUMIFS(tblData[Amount],
                   tblData[Rpt Date],"="&amp;$E13,
                   tblData[ScenarioGroup],"="&amp;$D13)</f>
        <v>11065.990000000002</v>
      </c>
      <c r="G13" s="9">
        <f t="shared" si="2"/>
        <v>11065.990000000002</v>
      </c>
      <c r="I13" s="7" t="s">
        <v>42</v>
      </c>
      <c r="J13" s="7" t="str">
        <f t="shared" si="8"/>
        <v>61 to 90</v>
      </c>
      <c r="K13" s="8">
        <f t="shared" si="3"/>
        <v>42977</v>
      </c>
      <c r="L13" s="9">
        <f>SUMIFS(tblData[Amount],
                   tblData[Rpt Date],"="&amp;K13,
                   tblData[ScenarioGroup],"="&amp;J13,
                   tblData[PrentGroup],"="&amp;I13)</f>
        <v>7649.7300000000005</v>
      </c>
      <c r="M13" s="9">
        <f>SUMIFS(tblData[Amount],
                   tblData[Rpt Date],"="&amp;K13,
                   tblData[ScenarioGroup],"="&amp;J13,
                   tblData[PrentGroup],"="&amp;I13)</f>
        <v>7649.7300000000005</v>
      </c>
      <c r="O13" s="7" t="s">
        <v>43</v>
      </c>
      <c r="P13" s="7" t="str">
        <f t="shared" si="9"/>
        <v>61 to 90</v>
      </c>
      <c r="Q13" s="8">
        <f t="shared" si="4"/>
        <v>42977</v>
      </c>
      <c r="R13" s="9">
        <f>SUMIFS(tblData[Amount],
                   tblData[Rpt Date],"="&amp;Q13,
                   tblData[ScenarioGroup],"="&amp;P13,
                   tblData[PrentGroup],"="&amp;O13)</f>
        <v>1864.27</v>
      </c>
      <c r="S13" s="9">
        <f>SUMIFS(tblData[Amount],
                   tblData[Rpt Date],"="&amp;Q13,
                   tblData[ScenarioGroup],"="&amp;P13,
                   tblData[PrentGroup],"="&amp;O13)</f>
        <v>1864.27</v>
      </c>
      <c r="U13" s="7" t="s">
        <v>69</v>
      </c>
      <c r="V13" s="7" t="str">
        <f t="shared" si="10"/>
        <v>61 to 90</v>
      </c>
      <c r="W13" s="8">
        <f t="shared" si="5"/>
        <v>42977</v>
      </c>
      <c r="X13" s="9">
        <f>SUMIFS(tblData[Amount],
                   tblData[Rpt Date],"="&amp;W13,
                   tblData[ScenarioGroup],"="&amp;V13,
                   tblData[PrentGroup],"="&amp;U13)</f>
        <v>1272.1400000000001</v>
      </c>
      <c r="Y13" s="9">
        <f>SUMIFS(tblData[Amount],
                   tblData[Rpt Date],"="&amp;W13,
                   tblData[ScenarioGroup],"="&amp;V13,
                   tblData[PrentGroup],"="&amp;U13)</f>
        <v>1272.1400000000001</v>
      </c>
      <c r="AA13" s="7" t="s">
        <v>41</v>
      </c>
      <c r="AB13" s="7" t="str">
        <f t="shared" si="11"/>
        <v>61 to 90</v>
      </c>
      <c r="AC13" s="8">
        <f t="shared" si="6"/>
        <v>42977</v>
      </c>
      <c r="AD13" s="9">
        <f>SUMIFS(tblData[Amount],
                   tblData[Rpt Date],"="&amp;AC13,
                   tblData[ScenarioGroup],"="&amp;AB13,
                   tblData[PrentGroup],"="&amp;AA13)</f>
        <v>279.85000000000002</v>
      </c>
      <c r="AE13" s="9">
        <f>SUMIFS(tblData[Amount],
                   tblData[Rpt Date],"="&amp;AC13,
                   tblData[ScenarioGroup],"="&amp;AB13,
                   tblData[PrentGroup],"="&amp;AA13)</f>
        <v>279.85000000000002</v>
      </c>
    </row>
    <row r="14" spans="1:31" x14ac:dyDescent="0.25">
      <c r="B14">
        <f t="shared" si="0"/>
        <v>8</v>
      </c>
      <c r="C14" s="7" t="s">
        <v>67</v>
      </c>
      <c r="D14" s="7" t="str">
        <f t="shared" si="7"/>
        <v>61 to 90</v>
      </c>
      <c r="E14" s="8">
        <f t="shared" si="1"/>
        <v>42984</v>
      </c>
      <c r="F14" s="9">
        <f>SUMIFS(tblData[Amount],
                   tblData[Rpt Date],"="&amp;$E14,
                   tblData[ScenarioGroup],"="&amp;$D14)</f>
        <v>15141.139999999998</v>
      </c>
      <c r="G14" s="9">
        <f t="shared" si="2"/>
        <v>15141.139999999998</v>
      </c>
      <c r="I14" s="7" t="s">
        <v>42</v>
      </c>
      <c r="J14" s="7" t="str">
        <f t="shared" si="8"/>
        <v>61 to 90</v>
      </c>
      <c r="K14" s="8">
        <f t="shared" si="3"/>
        <v>42984</v>
      </c>
      <c r="L14" s="9">
        <f>SUMIFS(tblData[Amount],
                   tblData[Rpt Date],"="&amp;K14,
                   tblData[ScenarioGroup],"="&amp;J14,
                   tblData[PrentGroup],"="&amp;I14)</f>
        <v>9562.3699999999972</v>
      </c>
      <c r="M14" s="9">
        <f>SUMIFS(tblData[Amount],
                   tblData[Rpt Date],"="&amp;K14,
                   tblData[ScenarioGroup],"="&amp;J14,
                   tblData[PrentGroup],"="&amp;I14)</f>
        <v>9562.3699999999972</v>
      </c>
      <c r="O14" s="7" t="s">
        <v>43</v>
      </c>
      <c r="P14" s="7" t="str">
        <f t="shared" si="9"/>
        <v>61 to 90</v>
      </c>
      <c r="Q14" s="8">
        <f t="shared" si="4"/>
        <v>42984</v>
      </c>
      <c r="R14" s="9">
        <f>SUMIFS(tblData[Amount],
                   tblData[Rpt Date],"="&amp;Q14,
                   tblData[ScenarioGroup],"="&amp;P14,
                   tblData[PrentGroup],"="&amp;O14)</f>
        <v>1784.27</v>
      </c>
      <c r="S14" s="9">
        <f>SUMIFS(tblData[Amount],
                   tblData[Rpt Date],"="&amp;Q14,
                   tblData[ScenarioGroup],"="&amp;P14,
                   tblData[PrentGroup],"="&amp;O14)</f>
        <v>1784.27</v>
      </c>
      <c r="U14" s="7" t="s">
        <v>69</v>
      </c>
      <c r="V14" s="7" t="str">
        <f t="shared" si="10"/>
        <v>61 to 90</v>
      </c>
      <c r="W14" s="8">
        <f t="shared" si="5"/>
        <v>42984</v>
      </c>
      <c r="X14" s="9">
        <f>SUMIFS(tblData[Amount],
                   tblData[Rpt Date],"="&amp;W14,
                   tblData[ScenarioGroup],"="&amp;V14,
                   tblData[PrentGroup],"="&amp;U14)</f>
        <v>1272.1400000000001</v>
      </c>
      <c r="Y14" s="9">
        <f>SUMIFS(tblData[Amount],
                   tblData[Rpt Date],"="&amp;W14,
                   tblData[ScenarioGroup],"="&amp;V14,
                   tblData[PrentGroup],"="&amp;U14)</f>
        <v>1272.1400000000001</v>
      </c>
      <c r="AA14" s="7" t="s">
        <v>41</v>
      </c>
      <c r="AB14" s="7" t="str">
        <f t="shared" si="11"/>
        <v>61 to 90</v>
      </c>
      <c r="AC14" s="8">
        <f t="shared" si="6"/>
        <v>42984</v>
      </c>
      <c r="AD14" s="9">
        <f>SUMIFS(tblData[Amount],
                   tblData[Rpt Date],"="&amp;AC14,
                   tblData[ScenarioGroup],"="&amp;AB14,
                   tblData[PrentGroup],"="&amp;AA14)</f>
        <v>2522.36</v>
      </c>
      <c r="AE14" s="9">
        <f>SUMIFS(tblData[Amount],
                   tblData[Rpt Date],"="&amp;AC14,
                   tblData[ScenarioGroup],"="&amp;AB14,
                   tblData[PrentGroup],"="&amp;AA14)</f>
        <v>2522.36</v>
      </c>
    </row>
    <row r="15" spans="1:31" x14ac:dyDescent="0.25">
      <c r="B15">
        <f t="shared" si="0"/>
        <v>9</v>
      </c>
      <c r="C15" s="7" t="s">
        <v>67</v>
      </c>
      <c r="D15" s="7" t="str">
        <f t="shared" si="7"/>
        <v>61 to 90</v>
      </c>
      <c r="E15" s="8">
        <f t="shared" si="1"/>
        <v>42991</v>
      </c>
      <c r="F15" s="9">
        <f>SUMIFS(tblData[Amount],
                   tblData[Rpt Date],"="&amp;$E15,
                   tblData[ScenarioGroup],"="&amp;$D15)</f>
        <v>24298.029999999988</v>
      </c>
      <c r="G15" s="9">
        <f t="shared" si="2"/>
        <v>24298.029999999988</v>
      </c>
      <c r="I15" s="7" t="s">
        <v>42</v>
      </c>
      <c r="J15" s="7" t="str">
        <f t="shared" si="8"/>
        <v>61 to 90</v>
      </c>
      <c r="K15" s="8">
        <f t="shared" si="3"/>
        <v>42991</v>
      </c>
      <c r="L15" s="9">
        <f>SUMIFS(tblData[Amount],
                   tblData[Rpt Date],"="&amp;K15,
                   tblData[ScenarioGroup],"="&amp;J15,
                   tblData[PrentGroup],"="&amp;I15)</f>
        <v>17666.949999999986</v>
      </c>
      <c r="M15" s="9">
        <f>SUMIFS(tblData[Amount],
                   tblData[Rpt Date],"="&amp;K15,
                   tblData[ScenarioGroup],"="&amp;J15,
                   tblData[PrentGroup],"="&amp;I15)</f>
        <v>17666.949999999986</v>
      </c>
      <c r="O15" s="7" t="s">
        <v>43</v>
      </c>
      <c r="P15" s="7" t="str">
        <f t="shared" si="9"/>
        <v>61 to 90</v>
      </c>
      <c r="Q15" s="8">
        <f t="shared" si="4"/>
        <v>42991</v>
      </c>
      <c r="R15" s="9">
        <f>SUMIFS(tblData[Amount],
                   tblData[Rpt Date],"="&amp;Q15,
                   tblData[ScenarioGroup],"="&amp;P15,
                   tblData[PrentGroup],"="&amp;O15)</f>
        <v>2779.2899999999995</v>
      </c>
      <c r="S15" s="9">
        <f>SUMIFS(tblData[Amount],
                   tblData[Rpt Date],"="&amp;Q15,
                   tblData[ScenarioGroup],"="&amp;P15,
                   tblData[PrentGroup],"="&amp;O15)</f>
        <v>2779.2899999999995</v>
      </c>
      <c r="U15" s="7" t="s">
        <v>69</v>
      </c>
      <c r="V15" s="7" t="str">
        <f t="shared" si="10"/>
        <v>61 to 90</v>
      </c>
      <c r="W15" s="8">
        <f t="shared" si="5"/>
        <v>42991</v>
      </c>
      <c r="X15" s="9">
        <f>SUMIFS(tblData[Amount],
                   tblData[Rpt Date],"="&amp;W15,
                   tblData[ScenarioGroup],"="&amp;V15,
                   tblData[PrentGroup],"="&amp;U15)</f>
        <v>1453.7600000000002</v>
      </c>
      <c r="Y15" s="9">
        <f>SUMIFS(tblData[Amount],
                   tblData[Rpt Date],"="&amp;W15,
                   tblData[ScenarioGroup],"="&amp;V15,
                   tblData[PrentGroup],"="&amp;U15)</f>
        <v>1453.7600000000002</v>
      </c>
      <c r="AA15" s="7" t="s">
        <v>41</v>
      </c>
      <c r="AB15" s="7" t="str">
        <f t="shared" si="11"/>
        <v>61 to 90</v>
      </c>
      <c r="AC15" s="8">
        <f t="shared" si="6"/>
        <v>42991</v>
      </c>
      <c r="AD15" s="9">
        <f>SUMIFS(tblData[Amount],
                   tblData[Rpt Date],"="&amp;AC15,
                   tblData[ScenarioGroup],"="&amp;AB15,
                   tblData[PrentGroup],"="&amp;AA15)</f>
        <v>2398.0300000000002</v>
      </c>
      <c r="AE15" s="9">
        <f>SUMIFS(tblData[Amount],
                   tblData[Rpt Date],"="&amp;AC15,
                   tblData[ScenarioGroup],"="&amp;AB15,
                   tblData[PrentGroup],"="&amp;AA15)</f>
        <v>2398.0300000000002</v>
      </c>
    </row>
    <row r="16" spans="1:31" x14ac:dyDescent="0.25">
      <c r="B16">
        <f t="shared" si="0"/>
        <v>10</v>
      </c>
      <c r="C16" s="7" t="s">
        <v>67</v>
      </c>
      <c r="D16" s="7" t="str">
        <f t="shared" si="7"/>
        <v>61 to 90</v>
      </c>
      <c r="E16" s="8">
        <f t="shared" si="1"/>
        <v>42998</v>
      </c>
      <c r="F16" s="9">
        <f>SUMIFS(tblData[Amount],
                   tblData[Rpt Date],"="&amp;$E16,
                   tblData[ScenarioGroup],"="&amp;$D16)</f>
        <v>29208.339999999993</v>
      </c>
      <c r="G16" s="9">
        <f t="shared" si="2"/>
        <v>29208.339999999993</v>
      </c>
      <c r="I16" s="7" t="s">
        <v>42</v>
      </c>
      <c r="J16" s="7" t="str">
        <f t="shared" si="8"/>
        <v>61 to 90</v>
      </c>
      <c r="K16" s="8">
        <f t="shared" si="3"/>
        <v>42998</v>
      </c>
      <c r="L16" s="9">
        <f>SUMIFS(tblData[Amount],
                   tblData[Rpt Date],"="&amp;K16,
                   tblData[ScenarioGroup],"="&amp;J16,
                   tblData[PrentGroup],"="&amp;I16)</f>
        <v>16367.209999999997</v>
      </c>
      <c r="M16" s="9">
        <f>SUMIFS(tblData[Amount],
                   tblData[Rpt Date],"="&amp;K16,
                   tblData[ScenarioGroup],"="&amp;J16,
                   tblData[PrentGroup],"="&amp;I16)</f>
        <v>16367.209999999997</v>
      </c>
      <c r="O16" s="7" t="s">
        <v>43</v>
      </c>
      <c r="P16" s="7" t="str">
        <f t="shared" si="9"/>
        <v>61 to 90</v>
      </c>
      <c r="Q16" s="8">
        <f t="shared" si="4"/>
        <v>42998</v>
      </c>
      <c r="R16" s="9">
        <f>SUMIFS(tblData[Amount],
                   tblData[Rpt Date],"="&amp;Q16,
                   tblData[ScenarioGroup],"="&amp;P16,
                   tblData[PrentGroup],"="&amp;O16)</f>
        <v>9170.99</v>
      </c>
      <c r="S16" s="9">
        <f>SUMIFS(tblData[Amount],
                   tblData[Rpt Date],"="&amp;Q16,
                   tblData[ScenarioGroup],"="&amp;P16,
                   tblData[PrentGroup],"="&amp;O16)</f>
        <v>9170.99</v>
      </c>
      <c r="U16" s="7" t="s">
        <v>69</v>
      </c>
      <c r="V16" s="7" t="str">
        <f t="shared" si="10"/>
        <v>61 to 90</v>
      </c>
      <c r="W16" s="8">
        <f t="shared" si="5"/>
        <v>42998</v>
      </c>
      <c r="X16" s="9">
        <f>SUMIFS(tblData[Amount],
                   tblData[Rpt Date],"="&amp;W16,
                   tblData[ScenarioGroup],"="&amp;V16,
                   tblData[PrentGroup],"="&amp;U16)</f>
        <v>1453.7600000000002</v>
      </c>
      <c r="Y16" s="9">
        <f>SUMIFS(tblData[Amount],
                   tblData[Rpt Date],"="&amp;W16,
                   tblData[ScenarioGroup],"="&amp;V16,
                   tblData[PrentGroup],"="&amp;U16)</f>
        <v>1453.7600000000002</v>
      </c>
      <c r="AA16" s="7" t="s">
        <v>41</v>
      </c>
      <c r="AB16" s="7" t="str">
        <f t="shared" si="11"/>
        <v>61 to 90</v>
      </c>
      <c r="AC16" s="8">
        <f t="shared" si="6"/>
        <v>42998</v>
      </c>
      <c r="AD16" s="9">
        <f>SUMIFS(tblData[Amount],
                   tblData[Rpt Date],"="&amp;AC16,
                   tblData[ScenarioGroup],"="&amp;AB16,
                   tblData[PrentGroup],"="&amp;AA16)</f>
        <v>2216.38</v>
      </c>
      <c r="AE16" s="9">
        <f>SUMIFS(tblData[Amount],
                   tblData[Rpt Date],"="&amp;AC16,
                   tblData[ScenarioGroup],"="&amp;AB16,
                   tblData[PrentGroup],"="&amp;AA16)</f>
        <v>2216.38</v>
      </c>
    </row>
    <row r="17" spans="1:31" x14ac:dyDescent="0.25">
      <c r="B17">
        <f t="shared" si="0"/>
        <v>11</v>
      </c>
      <c r="C17" s="7" t="s">
        <v>67</v>
      </c>
      <c r="D17" s="7" t="str">
        <f t="shared" si="7"/>
        <v>61 to 90</v>
      </c>
      <c r="E17" s="8">
        <f t="shared" si="1"/>
        <v>43005</v>
      </c>
      <c r="F17" s="9">
        <f>SUMIFS(tblData[Amount],
                   tblData[Rpt Date],"="&amp;$E17,
                   tblData[ScenarioGroup],"="&amp;$D17)</f>
        <v>55408.450000000026</v>
      </c>
      <c r="G17" s="9">
        <f t="shared" si="2"/>
        <v>55408.450000000026</v>
      </c>
      <c r="I17" s="7" t="s">
        <v>42</v>
      </c>
      <c r="J17" s="7" t="str">
        <f t="shared" si="8"/>
        <v>61 to 90</v>
      </c>
      <c r="K17" s="8">
        <f t="shared" si="3"/>
        <v>43005</v>
      </c>
      <c r="L17" s="9">
        <f>SUMIFS(tblData[Amount],
                   tblData[Rpt Date],"="&amp;K17,
                   tblData[ScenarioGroup],"="&amp;J17,
                   tblData[PrentGroup],"="&amp;I17)</f>
        <v>44245.480000000032</v>
      </c>
      <c r="M17" s="9">
        <f>SUMIFS(tblData[Amount],
                   tblData[Rpt Date],"="&amp;K17,
                   tblData[ScenarioGroup],"="&amp;J17,
                   tblData[PrentGroup],"="&amp;I17)</f>
        <v>44245.480000000032</v>
      </c>
      <c r="O17" s="7" t="s">
        <v>43</v>
      </c>
      <c r="P17" s="7" t="str">
        <f t="shared" si="9"/>
        <v>61 to 90</v>
      </c>
      <c r="Q17" s="8">
        <f t="shared" si="4"/>
        <v>43005</v>
      </c>
      <c r="R17" s="9">
        <f>SUMIFS(tblData[Amount],
                   tblData[Rpt Date],"="&amp;Q17,
                   tblData[ScenarioGroup],"="&amp;P17,
                   tblData[PrentGroup],"="&amp;O17)</f>
        <v>9107.14</v>
      </c>
      <c r="S17" s="9">
        <f>SUMIFS(tblData[Amount],
                   tblData[Rpt Date],"="&amp;Q17,
                   tblData[ScenarioGroup],"="&amp;P17,
                   tblData[PrentGroup],"="&amp;O17)</f>
        <v>9107.14</v>
      </c>
      <c r="U17" s="7" t="s">
        <v>69</v>
      </c>
      <c r="V17" s="7" t="str">
        <f t="shared" si="10"/>
        <v>61 to 90</v>
      </c>
      <c r="W17" s="8">
        <f t="shared" si="5"/>
        <v>43005</v>
      </c>
      <c r="X17" s="9">
        <f>SUMIFS(tblData[Amount],
                   tblData[Rpt Date],"="&amp;W17,
                   tblData[ScenarioGroup],"="&amp;V17,
                   tblData[PrentGroup],"="&amp;U17)</f>
        <v>988.65</v>
      </c>
      <c r="Y17" s="9">
        <f>SUMIFS(tblData[Amount],
                   tblData[Rpt Date],"="&amp;W17,
                   tblData[ScenarioGroup],"="&amp;V17,
                   tblData[PrentGroup],"="&amp;U17)</f>
        <v>988.65</v>
      </c>
      <c r="AA17" s="7" t="s">
        <v>41</v>
      </c>
      <c r="AB17" s="7" t="str">
        <f t="shared" si="11"/>
        <v>61 to 90</v>
      </c>
      <c r="AC17" s="8">
        <f t="shared" si="6"/>
        <v>43005</v>
      </c>
      <c r="AD17" s="9">
        <f>SUMIFS(tblData[Amount],
                   tblData[Rpt Date],"="&amp;AC17,
                   tblData[ScenarioGroup],"="&amp;AB17,
                   tblData[PrentGroup],"="&amp;AA17)</f>
        <v>1067.18</v>
      </c>
      <c r="AE17" s="9">
        <f>SUMIFS(tblData[Amount],
                   tblData[Rpt Date],"="&amp;AC17,
                   tblData[ScenarioGroup],"="&amp;AB17,
                   tblData[PrentGroup],"="&amp;AA17)</f>
        <v>1067.18</v>
      </c>
    </row>
    <row r="18" spans="1:31" x14ac:dyDescent="0.25">
      <c r="B18">
        <f t="shared" si="0"/>
        <v>12</v>
      </c>
      <c r="C18" s="7" t="s">
        <v>67</v>
      </c>
      <c r="D18" s="7" t="str">
        <f t="shared" si="7"/>
        <v>61 to 90</v>
      </c>
      <c r="E18" s="8">
        <f t="shared" si="1"/>
        <v>43012</v>
      </c>
      <c r="F18" s="9">
        <f>SUMIFS(tblData[Amount],
                   tblData[Rpt Date],"="&amp;$E18,
                   tblData[ScenarioGroup],"="&amp;$D18)</f>
        <v>52382.719999999994</v>
      </c>
      <c r="G18" s="9">
        <f t="shared" si="2"/>
        <v>52382.719999999994</v>
      </c>
      <c r="I18" s="7" t="s">
        <v>42</v>
      </c>
      <c r="J18" s="7" t="str">
        <f t="shared" si="8"/>
        <v>61 to 90</v>
      </c>
      <c r="K18" s="8">
        <f t="shared" si="3"/>
        <v>43012</v>
      </c>
      <c r="L18" s="9">
        <f>SUMIFS(tblData[Amount],
                   tblData[Rpt Date],"="&amp;K18,
                   tblData[ScenarioGroup],"="&amp;J18,
                   tblData[PrentGroup],"="&amp;I18)</f>
        <v>39809.999999999985</v>
      </c>
      <c r="M18" s="9">
        <f>SUMIFS(tblData[Amount],
                   tblData[Rpt Date],"="&amp;K18,
                   tblData[ScenarioGroup],"="&amp;J18,
                   tblData[PrentGroup],"="&amp;I18)</f>
        <v>39809.999999999985</v>
      </c>
      <c r="O18" s="7" t="s">
        <v>43</v>
      </c>
      <c r="P18" s="7" t="str">
        <f t="shared" si="9"/>
        <v>61 to 90</v>
      </c>
      <c r="Q18" s="8">
        <f t="shared" si="4"/>
        <v>43012</v>
      </c>
      <c r="R18" s="9">
        <f>SUMIFS(tblData[Amount],
                   tblData[Rpt Date],"="&amp;Q18,
                   tblData[ScenarioGroup],"="&amp;P18,
                   tblData[PrentGroup],"="&amp;O18)</f>
        <v>11071.77</v>
      </c>
      <c r="S18" s="9">
        <f>SUMIFS(tblData[Amount],
                   tblData[Rpt Date],"="&amp;Q18,
                   tblData[ScenarioGroup],"="&amp;P18,
                   tblData[PrentGroup],"="&amp;O18)</f>
        <v>11071.77</v>
      </c>
      <c r="U18" s="7" t="s">
        <v>69</v>
      </c>
      <c r="V18" s="7" t="str">
        <f t="shared" si="10"/>
        <v>61 to 90</v>
      </c>
      <c r="W18" s="8">
        <f t="shared" si="5"/>
        <v>43012</v>
      </c>
      <c r="X18" s="9">
        <f>SUMIFS(tblData[Amount],
                   tblData[Rpt Date],"="&amp;W18,
                   tblData[ScenarioGroup],"="&amp;V18,
                   tblData[PrentGroup],"="&amp;U18)</f>
        <v>807.03</v>
      </c>
      <c r="Y18" s="9">
        <f>SUMIFS(tblData[Amount],
                   tblData[Rpt Date],"="&amp;W18,
                   tblData[ScenarioGroup],"="&amp;V18,
                   tblData[PrentGroup],"="&amp;U18)</f>
        <v>807.03</v>
      </c>
      <c r="AA18" s="7" t="s">
        <v>41</v>
      </c>
      <c r="AB18" s="7" t="str">
        <f t="shared" si="11"/>
        <v>61 to 90</v>
      </c>
      <c r="AC18" s="8">
        <f t="shared" si="6"/>
        <v>43012</v>
      </c>
      <c r="AD18" s="9">
        <f>SUMIFS(tblData[Amount],
                   tblData[Rpt Date],"="&amp;AC18,
                   tblData[ScenarioGroup],"="&amp;AB18,
                   tblData[PrentGroup],"="&amp;AA18)</f>
        <v>693.92000000000007</v>
      </c>
      <c r="AE18" s="9">
        <f>SUMIFS(tblData[Amount],
                   tblData[Rpt Date],"="&amp;AC18,
                   tblData[ScenarioGroup],"="&amp;AB18,
                   tblData[PrentGroup],"="&amp;AA18)</f>
        <v>693.92000000000007</v>
      </c>
    </row>
    <row r="19" spans="1:31" x14ac:dyDescent="0.25">
      <c r="B19">
        <f t="shared" si="0"/>
        <v>13</v>
      </c>
      <c r="C19" s="7" t="s">
        <v>67</v>
      </c>
      <c r="D19" s="7" t="str">
        <f t="shared" si="7"/>
        <v>61 to 90</v>
      </c>
      <c r="E19" s="8">
        <f t="shared" si="1"/>
        <v>43019</v>
      </c>
      <c r="F19" s="9">
        <f>SUMIFS(tblData[Amount],
                   tblData[Rpt Date],"="&amp;$E19,
                   tblData[ScenarioGroup],"="&amp;$D19)</f>
        <v>52176.56</v>
      </c>
      <c r="G19" s="9">
        <f t="shared" si="2"/>
        <v>52176.56</v>
      </c>
      <c r="I19" s="7" t="s">
        <v>42</v>
      </c>
      <c r="J19" s="7" t="str">
        <f t="shared" si="8"/>
        <v>61 to 90</v>
      </c>
      <c r="K19" s="8">
        <f t="shared" si="3"/>
        <v>43019</v>
      </c>
      <c r="L19" s="9">
        <f>SUMIFS(tblData[Amount],
                   tblData[Rpt Date],"="&amp;K19,
                   tblData[ScenarioGroup],"="&amp;J19,
                   tblData[PrentGroup],"="&amp;I19)</f>
        <v>39236.49</v>
      </c>
      <c r="M19" s="9">
        <f>SUMIFS(tblData[Amount],
                   tblData[Rpt Date],"="&amp;K19,
                   tblData[ScenarioGroup],"="&amp;J19,
                   tblData[PrentGroup],"="&amp;I19)</f>
        <v>39236.49</v>
      </c>
      <c r="O19" s="7" t="s">
        <v>43</v>
      </c>
      <c r="P19" s="7" t="str">
        <f t="shared" si="9"/>
        <v>61 to 90</v>
      </c>
      <c r="Q19" s="8">
        <f t="shared" si="4"/>
        <v>43019</v>
      </c>
      <c r="R19" s="9">
        <f>SUMIFS(tblData[Amount],
                   tblData[Rpt Date],"="&amp;Q19,
                   tblData[ScenarioGroup],"="&amp;P19,
                   tblData[PrentGroup],"="&amp;O19)</f>
        <v>12295.239999999998</v>
      </c>
      <c r="S19" s="9">
        <f>SUMIFS(tblData[Amount],
                   tblData[Rpt Date],"="&amp;Q19,
                   tblData[ScenarioGroup],"="&amp;P19,
                   tblData[PrentGroup],"="&amp;O19)</f>
        <v>12295.239999999998</v>
      </c>
      <c r="U19" s="7" t="s">
        <v>69</v>
      </c>
      <c r="V19" s="7" t="str">
        <f t="shared" si="10"/>
        <v>61 to 90</v>
      </c>
      <c r="W19" s="8">
        <f t="shared" si="5"/>
        <v>43019</v>
      </c>
      <c r="X19" s="9">
        <f>SUMIFS(tblData[Amount],
                   tblData[Rpt Date],"="&amp;W19,
                   tblData[ScenarioGroup],"="&amp;V19,
                   tblData[PrentGroup],"="&amp;U19)</f>
        <v>264.52999999999997</v>
      </c>
      <c r="Y19" s="9">
        <f>SUMIFS(tblData[Amount],
                   tblData[Rpt Date],"="&amp;W19,
                   tblData[ScenarioGroup],"="&amp;V19,
                   tblData[PrentGroup],"="&amp;U19)</f>
        <v>264.52999999999997</v>
      </c>
      <c r="AA19" s="7" t="s">
        <v>41</v>
      </c>
      <c r="AB19" s="7" t="str">
        <f t="shared" si="11"/>
        <v>61 to 90</v>
      </c>
      <c r="AC19" s="8">
        <f t="shared" si="6"/>
        <v>43019</v>
      </c>
      <c r="AD19" s="9">
        <f>SUMIFS(tblData[Amount],
                   tblData[Rpt Date],"="&amp;AC19,
                   tblData[ScenarioGroup],"="&amp;AB19,
                   tblData[PrentGroup],"="&amp;AA19)</f>
        <v>380.3</v>
      </c>
      <c r="AE19" s="9">
        <f>SUMIFS(tblData[Amount],
                   tblData[Rpt Date],"="&amp;AC19,
                   tblData[ScenarioGroup],"="&amp;AB19,
                   tblData[PrentGroup],"="&amp;AA19)</f>
        <v>380.3</v>
      </c>
    </row>
    <row r="20" spans="1:31" x14ac:dyDescent="0.25">
      <c r="A20" t="str">
        <f>TEXT(E20,"MMM")&amp;CHAR(10)&amp;TEXT(E20,"YY")</f>
        <v>Oct
17</v>
      </c>
      <c r="B20">
        <f t="shared" si="0"/>
        <v>14</v>
      </c>
      <c r="C20" s="7" t="s">
        <v>67</v>
      </c>
      <c r="D20" s="7" t="str">
        <f t="shared" si="7"/>
        <v>61 to 90</v>
      </c>
      <c r="E20" s="8">
        <f t="shared" si="1"/>
        <v>43026</v>
      </c>
      <c r="F20" s="9">
        <f>SUMIFS(tblData[Amount],
                   tblData[Rpt Date],"="&amp;$E20,
                   tblData[ScenarioGroup],"="&amp;$D20)</f>
        <v>51251.290000000008</v>
      </c>
      <c r="G20" s="9">
        <f t="shared" si="2"/>
        <v>51251.290000000008</v>
      </c>
      <c r="I20" s="7" t="s">
        <v>42</v>
      </c>
      <c r="J20" s="7" t="str">
        <f t="shared" si="8"/>
        <v>61 to 90</v>
      </c>
      <c r="K20" s="8">
        <f t="shared" si="3"/>
        <v>43026</v>
      </c>
      <c r="L20" s="9">
        <f>SUMIFS(tblData[Amount],
                   tblData[Rpt Date],"="&amp;K20,
                   tblData[ScenarioGroup],"="&amp;J20,
                   tblData[PrentGroup],"="&amp;I20)</f>
        <v>43634.840000000004</v>
      </c>
      <c r="M20" s="9">
        <f>SUMIFS(tblData[Amount],
                   tblData[Rpt Date],"="&amp;K20,
                   tblData[ScenarioGroup],"="&amp;J20,
                   tblData[PrentGroup],"="&amp;I20)</f>
        <v>43634.840000000004</v>
      </c>
      <c r="O20" s="7" t="s">
        <v>43</v>
      </c>
      <c r="P20" s="7" t="str">
        <f t="shared" si="9"/>
        <v>61 to 90</v>
      </c>
      <c r="Q20" s="8">
        <f t="shared" si="4"/>
        <v>43026</v>
      </c>
      <c r="R20" s="9">
        <f>SUMIFS(tblData[Amount],
                   tblData[Rpt Date],"="&amp;Q20,
                   tblData[ScenarioGroup],"="&amp;P20,
                   tblData[PrentGroup],"="&amp;O20)</f>
        <v>6231.55</v>
      </c>
      <c r="S20" s="9">
        <f>SUMIFS(tblData[Amount],
                   tblData[Rpt Date],"="&amp;Q20,
                   tblData[ScenarioGroup],"="&amp;P20,
                   tblData[PrentGroup],"="&amp;O20)</f>
        <v>6231.55</v>
      </c>
      <c r="U20" s="7" t="s">
        <v>69</v>
      </c>
      <c r="V20" s="7" t="str">
        <f t="shared" si="10"/>
        <v>61 to 90</v>
      </c>
      <c r="W20" s="8">
        <f t="shared" si="5"/>
        <v>43026</v>
      </c>
      <c r="X20" s="9">
        <f>SUMIFS(tblData[Amount],
                   tblData[Rpt Date],"="&amp;W20,
                   tblData[ScenarioGroup],"="&amp;V20,
                   tblData[PrentGroup],"="&amp;U20)</f>
        <v>264.52999999999997</v>
      </c>
      <c r="Y20" s="9">
        <f>SUMIFS(tblData[Amount],
                   tblData[Rpt Date],"="&amp;W20,
                   tblData[ScenarioGroup],"="&amp;V20,
                   tblData[PrentGroup],"="&amp;U20)</f>
        <v>264.52999999999997</v>
      </c>
      <c r="AA20" s="7" t="s">
        <v>41</v>
      </c>
      <c r="AB20" s="7" t="str">
        <f t="shared" si="11"/>
        <v>61 to 90</v>
      </c>
      <c r="AC20" s="8">
        <f t="shared" si="6"/>
        <v>43026</v>
      </c>
      <c r="AD20" s="9">
        <f>SUMIFS(tblData[Amount],
                   tblData[Rpt Date],"="&amp;AC20,
                   tblData[ScenarioGroup],"="&amp;AB20,
                   tblData[PrentGroup],"="&amp;AA20)</f>
        <v>1120.3700000000001</v>
      </c>
      <c r="AE20" s="9">
        <f>SUMIFS(tblData[Amount],
                   tblData[Rpt Date],"="&amp;AC20,
                   tblData[ScenarioGroup],"="&amp;AB20,
                   tblData[PrentGroup],"="&amp;AA20)</f>
        <v>1120.3700000000001</v>
      </c>
    </row>
    <row r="21" spans="1:31" x14ac:dyDescent="0.25">
      <c r="B21">
        <f t="shared" si="0"/>
        <v>15</v>
      </c>
      <c r="C21" s="7" t="s">
        <v>67</v>
      </c>
      <c r="D21" s="7" t="str">
        <f t="shared" si="7"/>
        <v>61 to 90</v>
      </c>
      <c r="E21" s="8">
        <f t="shared" si="1"/>
        <v>43033</v>
      </c>
      <c r="F21" s="9">
        <f>SUMIFS(tblData[Amount],
                   tblData[Rpt Date],"="&amp;$E21,
                   tblData[ScenarioGroup],"="&amp;$D21)</f>
        <v>37791.01</v>
      </c>
      <c r="G21" s="9">
        <f t="shared" si="2"/>
        <v>37791.01</v>
      </c>
      <c r="I21" s="7" t="s">
        <v>42</v>
      </c>
      <c r="J21" s="7" t="str">
        <f t="shared" si="8"/>
        <v>61 to 90</v>
      </c>
      <c r="K21" s="8">
        <f t="shared" si="3"/>
        <v>43033</v>
      </c>
      <c r="L21" s="9">
        <f>SUMIFS(tblData[Amount],
                   tblData[Rpt Date],"="&amp;K21,
                   tblData[ScenarioGroup],"="&amp;J21,
                   tblData[PrentGroup],"="&amp;I21)</f>
        <v>22016.14</v>
      </c>
      <c r="M21" s="9">
        <f>SUMIFS(tblData[Amount],
                   tblData[Rpt Date],"="&amp;K21,
                   tblData[ScenarioGroup],"="&amp;J21,
                   tblData[PrentGroup],"="&amp;I21)</f>
        <v>22016.14</v>
      </c>
      <c r="O21" s="7" t="s">
        <v>43</v>
      </c>
      <c r="P21" s="7" t="str">
        <f t="shared" si="9"/>
        <v>61 to 90</v>
      </c>
      <c r="Q21" s="8">
        <f t="shared" si="4"/>
        <v>43033</v>
      </c>
      <c r="R21" s="9">
        <f>SUMIFS(tblData[Amount],
                   tblData[Rpt Date],"="&amp;Q21,
                   tblData[ScenarioGroup],"="&amp;P21,
                   tblData[PrentGroup],"="&amp;O21)</f>
        <v>13925.86</v>
      </c>
      <c r="S21" s="9">
        <f>SUMIFS(tblData[Amount],
                   tblData[Rpt Date],"="&amp;Q21,
                   tblData[ScenarioGroup],"="&amp;P21,
                   tblData[PrentGroup],"="&amp;O21)</f>
        <v>13925.86</v>
      </c>
      <c r="U21" s="7" t="s">
        <v>69</v>
      </c>
      <c r="V21" s="7" t="str">
        <f t="shared" si="10"/>
        <v>61 to 90</v>
      </c>
      <c r="W21" s="8">
        <f t="shared" si="5"/>
        <v>43033</v>
      </c>
      <c r="X21" s="9">
        <f>SUMIFS(tblData[Amount],
                   tblData[Rpt Date],"="&amp;W21,
                   tblData[ScenarioGroup],"="&amp;V21,
                   tblData[PrentGroup],"="&amp;U21)</f>
        <v>1118.53</v>
      </c>
      <c r="Y21" s="9">
        <f>SUMIFS(tblData[Amount],
                   tblData[Rpt Date],"="&amp;W21,
                   tblData[ScenarioGroup],"="&amp;V21,
                   tblData[PrentGroup],"="&amp;U21)</f>
        <v>1118.53</v>
      </c>
      <c r="AA21" s="7" t="s">
        <v>41</v>
      </c>
      <c r="AB21" s="7" t="str">
        <f t="shared" si="11"/>
        <v>61 to 90</v>
      </c>
      <c r="AC21" s="8">
        <f t="shared" si="6"/>
        <v>43033</v>
      </c>
      <c r="AD21" s="9">
        <f>SUMIFS(tblData[Amount],
                   tblData[Rpt Date],"="&amp;AC21,
                   tblData[ScenarioGroup],"="&amp;AB21,
                   tblData[PrentGroup],"="&amp;AA21)</f>
        <v>730.48</v>
      </c>
      <c r="AE21" s="9">
        <f>SUMIFS(tblData[Amount],
                   tblData[Rpt Date],"="&amp;AC21,
                   tblData[ScenarioGroup],"="&amp;AB21,
                   tblData[PrentGroup],"="&amp;AA21)</f>
        <v>730.48</v>
      </c>
    </row>
    <row r="22" spans="1:31" x14ac:dyDescent="0.25">
      <c r="B22">
        <f t="shared" si="0"/>
        <v>16</v>
      </c>
      <c r="C22" s="7" t="s">
        <v>67</v>
      </c>
      <c r="D22" s="7" t="str">
        <f t="shared" si="7"/>
        <v>61 to 90</v>
      </c>
      <c r="E22" s="8">
        <f t="shared" si="1"/>
        <v>43040</v>
      </c>
      <c r="F22" s="9">
        <f>SUMIFS(tblData[Amount],
                   tblData[Rpt Date],"="&amp;$E22,
                   tblData[ScenarioGroup],"="&amp;$D22)</f>
        <v>52862.479999999989</v>
      </c>
      <c r="G22" s="9">
        <f t="shared" si="2"/>
        <v>52862.479999999989</v>
      </c>
      <c r="I22" s="7" t="s">
        <v>42</v>
      </c>
      <c r="J22" s="7" t="str">
        <f t="shared" si="8"/>
        <v>61 to 90</v>
      </c>
      <c r="K22" s="8">
        <f t="shared" si="3"/>
        <v>43040</v>
      </c>
      <c r="L22" s="9">
        <f>SUMIFS(tblData[Amount],
                   tblData[Rpt Date],"="&amp;K22,
                   tblData[ScenarioGroup],"="&amp;J22,
                   tblData[PrentGroup],"="&amp;I22)</f>
        <v>45590.179999999986</v>
      </c>
      <c r="M22" s="9">
        <f>SUMIFS(tblData[Amount],
                   tblData[Rpt Date],"="&amp;K22,
                   tblData[ScenarioGroup],"="&amp;J22,
                   tblData[PrentGroup],"="&amp;I22)</f>
        <v>45590.179999999986</v>
      </c>
      <c r="O22" s="7" t="s">
        <v>43</v>
      </c>
      <c r="P22" s="7" t="str">
        <f t="shared" si="9"/>
        <v>61 to 90</v>
      </c>
      <c r="Q22" s="8">
        <f t="shared" si="4"/>
        <v>43040</v>
      </c>
      <c r="R22" s="9">
        <f>SUMIFS(tblData[Amount],
                   tblData[Rpt Date],"="&amp;Q22,
                   tblData[ScenarioGroup],"="&amp;P22,
                   tblData[PrentGroup],"="&amp;O22)</f>
        <v>4780.16</v>
      </c>
      <c r="S22" s="9">
        <f>SUMIFS(tblData[Amount],
                   tblData[Rpt Date],"="&amp;Q22,
                   tblData[ScenarioGroup],"="&amp;P22,
                   tblData[PrentGroup],"="&amp;O22)</f>
        <v>4780.16</v>
      </c>
      <c r="U22" s="7" t="s">
        <v>69</v>
      </c>
      <c r="V22" s="7" t="str">
        <f t="shared" si="10"/>
        <v>61 to 90</v>
      </c>
      <c r="W22" s="8">
        <f t="shared" si="5"/>
        <v>43040</v>
      </c>
      <c r="X22" s="9">
        <f>SUMIFS(tblData[Amount],
                   tblData[Rpt Date],"="&amp;W22,
                   tblData[ScenarioGroup],"="&amp;V22,
                   tblData[PrentGroup],"="&amp;U22)</f>
        <v>0</v>
      </c>
      <c r="Y22" s="9">
        <f>SUMIFS(tblData[Amount],
                   tblData[Rpt Date],"="&amp;W22,
                   tblData[ScenarioGroup],"="&amp;V22,
                   tblData[PrentGroup],"="&amp;U22)</f>
        <v>0</v>
      </c>
      <c r="AA22" s="7" t="s">
        <v>41</v>
      </c>
      <c r="AB22" s="7" t="str">
        <f t="shared" si="11"/>
        <v>61 to 90</v>
      </c>
      <c r="AC22" s="8">
        <f t="shared" si="6"/>
        <v>43040</v>
      </c>
      <c r="AD22" s="9">
        <f>SUMIFS(tblData[Amount],
                   tblData[Rpt Date],"="&amp;AC22,
                   tblData[ScenarioGroup],"="&amp;AB22,
                   tblData[PrentGroup],"="&amp;AA22)</f>
        <v>2492.14</v>
      </c>
      <c r="AE22" s="9">
        <f>SUMIFS(tblData[Amount],
                   tblData[Rpt Date],"="&amp;AC22,
                   tblData[ScenarioGroup],"="&amp;AB22,
                   tblData[PrentGroup],"="&amp;AA22)</f>
        <v>2492.14</v>
      </c>
    </row>
    <row r="23" spans="1:31" x14ac:dyDescent="0.25">
      <c r="B23">
        <f t="shared" si="0"/>
        <v>17</v>
      </c>
      <c r="C23" s="7" t="s">
        <v>67</v>
      </c>
      <c r="D23" s="7" t="str">
        <f t="shared" si="7"/>
        <v>61 to 90</v>
      </c>
      <c r="E23" s="8">
        <f t="shared" si="1"/>
        <v>43047</v>
      </c>
      <c r="F23" s="9">
        <f>SUMIFS(tblData[Amount],
                   tblData[Rpt Date],"="&amp;$E23,
                   tblData[ScenarioGroup],"="&amp;$D23)</f>
        <v>42327.239999999983</v>
      </c>
      <c r="G23" s="9">
        <f t="shared" si="2"/>
        <v>42327.239999999983</v>
      </c>
      <c r="I23" s="7" t="s">
        <v>42</v>
      </c>
      <c r="J23" s="7" t="str">
        <f t="shared" si="8"/>
        <v>61 to 90</v>
      </c>
      <c r="K23" s="8">
        <f t="shared" si="3"/>
        <v>43047</v>
      </c>
      <c r="L23" s="9">
        <f>SUMIFS(tblData[Amount],
                   tblData[Rpt Date],"="&amp;K23,
                   tblData[ScenarioGroup],"="&amp;J23,
                   tblData[PrentGroup],"="&amp;I23)</f>
        <v>35395.479999999989</v>
      </c>
      <c r="M23" s="9">
        <f>SUMIFS(tblData[Amount],
                   tblData[Rpt Date],"="&amp;K23,
                   tblData[ScenarioGroup],"="&amp;J23,
                   tblData[PrentGroup],"="&amp;I23)</f>
        <v>35395.479999999989</v>
      </c>
      <c r="O23" s="7" t="s">
        <v>43</v>
      </c>
      <c r="P23" s="7" t="str">
        <f t="shared" si="9"/>
        <v>61 to 90</v>
      </c>
      <c r="Q23" s="8">
        <f t="shared" si="4"/>
        <v>43047</v>
      </c>
      <c r="R23" s="9">
        <f>SUMIFS(tblData[Amount],
                   tblData[Rpt Date],"="&amp;Q23,
                   tblData[ScenarioGroup],"="&amp;P23,
                   tblData[PrentGroup],"="&amp;O23)</f>
        <v>4439.6200000000008</v>
      </c>
      <c r="S23" s="9">
        <f>SUMIFS(tblData[Amount],
                   tblData[Rpt Date],"="&amp;Q23,
                   tblData[ScenarioGroup],"="&amp;P23,
                   tblData[PrentGroup],"="&amp;O23)</f>
        <v>4439.6200000000008</v>
      </c>
      <c r="U23" s="7" t="s">
        <v>69</v>
      </c>
      <c r="V23" s="7" t="str">
        <f t="shared" si="10"/>
        <v>61 to 90</v>
      </c>
      <c r="W23" s="8">
        <f t="shared" si="5"/>
        <v>43047</v>
      </c>
      <c r="X23" s="9">
        <f>SUMIFS(tblData[Amount],
                   tblData[Rpt Date],"="&amp;W23,
                   tblData[ScenarioGroup],"="&amp;V23,
                   tblData[PrentGroup],"="&amp;U23)</f>
        <v>0</v>
      </c>
      <c r="Y23" s="9">
        <f>SUMIFS(tblData[Amount],
                   tblData[Rpt Date],"="&amp;W23,
                   tblData[ScenarioGroup],"="&amp;V23,
                   tblData[PrentGroup],"="&amp;U23)</f>
        <v>0</v>
      </c>
      <c r="AA23" s="7" t="s">
        <v>41</v>
      </c>
      <c r="AB23" s="7" t="str">
        <f t="shared" si="11"/>
        <v>61 to 90</v>
      </c>
      <c r="AC23" s="8">
        <f t="shared" si="6"/>
        <v>43047</v>
      </c>
      <c r="AD23" s="9">
        <f>SUMIFS(tblData[Amount],
                   tblData[Rpt Date],"="&amp;AC23,
                   tblData[ScenarioGroup],"="&amp;AB23,
                   tblData[PrentGroup],"="&amp;AA23)</f>
        <v>2492.14</v>
      </c>
      <c r="AE23" s="9">
        <f>SUMIFS(tblData[Amount],
                   tblData[Rpt Date],"="&amp;AC23,
                   tblData[ScenarioGroup],"="&amp;AB23,
                   tblData[PrentGroup],"="&amp;AA23)</f>
        <v>2492.14</v>
      </c>
    </row>
    <row r="24" spans="1:31" x14ac:dyDescent="0.25">
      <c r="B24">
        <f t="shared" si="0"/>
        <v>18</v>
      </c>
      <c r="C24" s="7" t="s">
        <v>67</v>
      </c>
      <c r="D24" s="7" t="str">
        <f t="shared" si="7"/>
        <v>61 to 90</v>
      </c>
      <c r="E24" s="8">
        <f t="shared" si="1"/>
        <v>43054</v>
      </c>
      <c r="F24" s="9">
        <f>SUMIFS(tblData[Amount],
                   tblData[Rpt Date],"="&amp;$E24,
                   tblData[ScenarioGroup],"="&amp;$D24)</f>
        <v>40330.389999999992</v>
      </c>
      <c r="G24" s="9">
        <f t="shared" si="2"/>
        <v>40330.389999999992</v>
      </c>
      <c r="I24" s="7" t="s">
        <v>42</v>
      </c>
      <c r="J24" s="7" t="str">
        <f t="shared" si="8"/>
        <v>61 to 90</v>
      </c>
      <c r="K24" s="8">
        <f t="shared" si="3"/>
        <v>43054</v>
      </c>
      <c r="L24" s="9">
        <f>SUMIFS(tblData[Amount],
                   tblData[Rpt Date],"="&amp;K24,
                   tblData[ScenarioGroup],"="&amp;J24,
                   tblData[PrentGroup],"="&amp;I24)</f>
        <v>33211.459999999992</v>
      </c>
      <c r="M24" s="9">
        <f>SUMIFS(tblData[Amount],
                   tblData[Rpt Date],"="&amp;K24,
                   tblData[ScenarioGroup],"="&amp;J24,
                   tblData[PrentGroup],"="&amp;I24)</f>
        <v>33211.459999999992</v>
      </c>
      <c r="O24" s="7" t="s">
        <v>43</v>
      </c>
      <c r="P24" s="7" t="str">
        <f t="shared" si="9"/>
        <v>61 to 90</v>
      </c>
      <c r="Q24" s="8">
        <f t="shared" si="4"/>
        <v>43054</v>
      </c>
      <c r="R24" s="9">
        <f>SUMIFS(tblData[Amount],
                   tblData[Rpt Date],"="&amp;Q24,
                   tblData[ScenarioGroup],"="&amp;P24,
                   tblData[PrentGroup],"="&amp;O24)</f>
        <v>6013.22</v>
      </c>
      <c r="S24" s="9">
        <f>SUMIFS(tblData[Amount],
                   tblData[Rpt Date],"="&amp;Q24,
                   tblData[ScenarioGroup],"="&amp;P24,
                   tblData[PrentGroup],"="&amp;O24)</f>
        <v>6013.22</v>
      </c>
      <c r="U24" s="7" t="s">
        <v>69</v>
      </c>
      <c r="V24" s="7" t="str">
        <f t="shared" si="10"/>
        <v>61 to 90</v>
      </c>
      <c r="W24" s="8">
        <f t="shared" si="5"/>
        <v>43054</v>
      </c>
      <c r="X24" s="9">
        <f>SUMIFS(tblData[Amount],
                   tblData[Rpt Date],"="&amp;W24,
                   tblData[ScenarioGroup],"="&amp;V24,
                   tblData[PrentGroup],"="&amp;U24)</f>
        <v>274.27999999999997</v>
      </c>
      <c r="Y24" s="9">
        <f>SUMIFS(tblData[Amount],
                   tblData[Rpt Date],"="&amp;W24,
                   tblData[ScenarioGroup],"="&amp;V24,
                   tblData[PrentGroup],"="&amp;U24)</f>
        <v>274.27999999999997</v>
      </c>
      <c r="AA24" s="7" t="s">
        <v>41</v>
      </c>
      <c r="AB24" s="7" t="str">
        <f t="shared" si="11"/>
        <v>61 to 90</v>
      </c>
      <c r="AC24" s="8">
        <f t="shared" si="6"/>
        <v>43054</v>
      </c>
      <c r="AD24" s="9">
        <f>SUMIFS(tblData[Amount],
                   tblData[Rpt Date],"="&amp;AC24,
                   tblData[ScenarioGroup],"="&amp;AB24,
                   tblData[PrentGroup],"="&amp;AA24)</f>
        <v>831.43000000000006</v>
      </c>
      <c r="AE24" s="9">
        <f>SUMIFS(tblData[Amount],
                   tblData[Rpt Date],"="&amp;AC24,
                   tblData[ScenarioGroup],"="&amp;AB24,
                   tblData[PrentGroup],"="&amp;AA24)</f>
        <v>831.43000000000006</v>
      </c>
    </row>
    <row r="25" spans="1:31" x14ac:dyDescent="0.25">
      <c r="B25">
        <f t="shared" si="0"/>
        <v>19</v>
      </c>
      <c r="C25" s="7" t="s">
        <v>67</v>
      </c>
      <c r="D25" s="7" t="str">
        <f t="shared" si="7"/>
        <v>61 to 90</v>
      </c>
      <c r="E25" s="8">
        <f t="shared" si="1"/>
        <v>43061</v>
      </c>
      <c r="F25" s="9">
        <f>SUMIFS(tblData[Amount],
                   tblData[Rpt Date],"="&amp;$E25,
                   tblData[ScenarioGroup],"="&amp;$D25)</f>
        <v>40330.389999999992</v>
      </c>
      <c r="G25" s="9">
        <f t="shared" si="2"/>
        <v>40330.389999999992</v>
      </c>
      <c r="I25" s="7" t="s">
        <v>42</v>
      </c>
      <c r="J25" s="7" t="str">
        <f t="shared" si="8"/>
        <v>61 to 90</v>
      </c>
      <c r="K25" s="8">
        <f t="shared" si="3"/>
        <v>43061</v>
      </c>
      <c r="L25" s="9">
        <f>SUMIFS(tblData[Amount],
                   tblData[Rpt Date],"="&amp;K25,
                   tblData[ScenarioGroup],"="&amp;J25,
                   tblData[PrentGroup],"="&amp;I25)</f>
        <v>33211.459999999992</v>
      </c>
      <c r="M25" s="9">
        <f>SUMIFS(tblData[Amount],
                   tblData[Rpt Date],"="&amp;K25,
                   tblData[ScenarioGroup],"="&amp;J25,
                   tblData[PrentGroup],"="&amp;I25)</f>
        <v>33211.459999999992</v>
      </c>
      <c r="O25" s="7" t="s">
        <v>43</v>
      </c>
      <c r="P25" s="7" t="str">
        <f t="shared" si="9"/>
        <v>61 to 90</v>
      </c>
      <c r="Q25" s="8">
        <f t="shared" si="4"/>
        <v>43061</v>
      </c>
      <c r="R25" s="9">
        <f>SUMIFS(tblData[Amount],
                   tblData[Rpt Date],"="&amp;Q25,
                   tblData[ScenarioGroup],"="&amp;P25,
                   tblData[PrentGroup],"="&amp;O25)</f>
        <v>6013.22</v>
      </c>
      <c r="S25" s="9">
        <f>SUMIFS(tblData[Amount],
                   tblData[Rpt Date],"="&amp;Q25,
                   tblData[ScenarioGroup],"="&amp;P25,
                   tblData[PrentGroup],"="&amp;O25)</f>
        <v>6013.22</v>
      </c>
      <c r="U25" s="7" t="s">
        <v>69</v>
      </c>
      <c r="V25" s="7" t="str">
        <f t="shared" si="10"/>
        <v>61 to 90</v>
      </c>
      <c r="W25" s="8">
        <f t="shared" si="5"/>
        <v>43061</v>
      </c>
      <c r="X25" s="9">
        <f>SUMIFS(tblData[Amount],
                   tblData[Rpt Date],"="&amp;W25,
                   tblData[ScenarioGroup],"="&amp;V25,
                   tblData[PrentGroup],"="&amp;U25)</f>
        <v>274.27999999999997</v>
      </c>
      <c r="Y25" s="9">
        <f>SUMIFS(tblData[Amount],
                   tblData[Rpt Date],"="&amp;W25,
                   tblData[ScenarioGroup],"="&amp;V25,
                   tblData[PrentGroup],"="&amp;U25)</f>
        <v>274.27999999999997</v>
      </c>
      <c r="AA25" s="7" t="s">
        <v>41</v>
      </c>
      <c r="AB25" s="7" t="str">
        <f t="shared" si="11"/>
        <v>61 to 90</v>
      </c>
      <c r="AC25" s="8">
        <f t="shared" si="6"/>
        <v>43061</v>
      </c>
      <c r="AD25" s="9">
        <f>SUMIFS(tblData[Amount],
                   tblData[Rpt Date],"="&amp;AC25,
                   tblData[ScenarioGroup],"="&amp;AB25,
                   tblData[PrentGroup],"="&amp;AA25)</f>
        <v>831.43000000000006</v>
      </c>
      <c r="AE25" s="9">
        <f>SUMIFS(tblData[Amount],
                   tblData[Rpt Date],"="&amp;AC25,
                   tblData[ScenarioGroup],"="&amp;AB25,
                   tblData[PrentGroup],"="&amp;AA25)</f>
        <v>831.43000000000006</v>
      </c>
    </row>
    <row r="26" spans="1:31" x14ac:dyDescent="0.25">
      <c r="B26">
        <f t="shared" si="0"/>
        <v>20</v>
      </c>
      <c r="C26" s="7" t="s">
        <v>67</v>
      </c>
      <c r="D26" s="7" t="str">
        <f t="shared" si="7"/>
        <v>61 to 90</v>
      </c>
      <c r="E26" s="8">
        <f t="shared" si="1"/>
        <v>43068</v>
      </c>
      <c r="F26" s="9">
        <f>SUMIFS(tblData[Amount],
                   tblData[Rpt Date],"="&amp;$E26,
                   tblData[ScenarioGroup],"="&amp;$D26)</f>
        <v>41914.729999999989</v>
      </c>
      <c r="G26" s="9">
        <f t="shared" si="2"/>
        <v>41914.729999999989</v>
      </c>
      <c r="I26" s="7" t="s">
        <v>42</v>
      </c>
      <c r="J26" s="7" t="str">
        <f t="shared" si="8"/>
        <v>61 to 90</v>
      </c>
      <c r="K26" s="8">
        <f t="shared" si="3"/>
        <v>43068</v>
      </c>
      <c r="L26" s="9">
        <f>SUMIFS(tblData[Amount],
                   tblData[Rpt Date],"="&amp;K26,
                   tblData[ScenarioGroup],"="&amp;J26,
                   tblData[PrentGroup],"="&amp;I26)</f>
        <v>29913.419999999991</v>
      </c>
      <c r="M26" s="9">
        <f>SUMIFS(tblData[Amount],
                   tblData[Rpt Date],"="&amp;K26,
                   tblData[ScenarioGroup],"="&amp;J26,
                   tblData[PrentGroup],"="&amp;I26)</f>
        <v>29913.419999999991</v>
      </c>
      <c r="O26" s="7" t="s">
        <v>43</v>
      </c>
      <c r="P26" s="7" t="str">
        <f t="shared" si="9"/>
        <v>61 to 90</v>
      </c>
      <c r="Q26" s="8">
        <f t="shared" si="4"/>
        <v>43068</v>
      </c>
      <c r="R26" s="9">
        <f>SUMIFS(tblData[Amount],
                   tblData[Rpt Date],"="&amp;Q26,
                   tblData[ScenarioGroup],"="&amp;P26,
                   tblData[PrentGroup],"="&amp;O26)</f>
        <v>6124.4</v>
      </c>
      <c r="S26" s="9">
        <f>SUMIFS(tblData[Amount],
                   tblData[Rpt Date],"="&amp;Q26,
                   tblData[ScenarioGroup],"="&amp;P26,
                   tblData[PrentGroup],"="&amp;O26)</f>
        <v>6124.4</v>
      </c>
      <c r="U26" s="7" t="s">
        <v>69</v>
      </c>
      <c r="V26" s="7" t="str">
        <f t="shared" si="10"/>
        <v>61 to 90</v>
      </c>
      <c r="W26" s="8">
        <f t="shared" si="5"/>
        <v>43068</v>
      </c>
      <c r="X26" s="9">
        <f>SUMIFS(tblData[Amount],
                   tblData[Rpt Date],"="&amp;W26,
                   tblData[ScenarioGroup],"="&amp;V26,
                   tblData[PrentGroup],"="&amp;U26)</f>
        <v>4977.1099999999997</v>
      </c>
      <c r="Y26" s="9">
        <f>SUMIFS(tblData[Amount],
                   tblData[Rpt Date],"="&amp;W26,
                   tblData[ScenarioGroup],"="&amp;V26,
                   tblData[PrentGroup],"="&amp;U26)</f>
        <v>4977.1099999999997</v>
      </c>
      <c r="AA26" s="7" t="s">
        <v>41</v>
      </c>
      <c r="AB26" s="7" t="str">
        <f t="shared" si="11"/>
        <v>61 to 90</v>
      </c>
      <c r="AC26" s="8">
        <f t="shared" si="6"/>
        <v>43068</v>
      </c>
      <c r="AD26" s="9">
        <f>SUMIFS(tblData[Amount],
                   tblData[Rpt Date],"="&amp;AC26,
                   tblData[ScenarioGroup],"="&amp;AB26,
                   tblData[PrentGroup],"="&amp;AA26)</f>
        <v>899.8</v>
      </c>
      <c r="AE26" s="9">
        <f>SUMIFS(tblData[Amount],
                   tblData[Rpt Date],"="&amp;AC26,
                   tblData[ScenarioGroup],"="&amp;AB26,
                   tblData[PrentGroup],"="&amp;AA26)</f>
        <v>899.8</v>
      </c>
    </row>
    <row r="27" spans="1:31" x14ac:dyDescent="0.25">
      <c r="B27">
        <f t="shared" si="0"/>
        <v>21</v>
      </c>
      <c r="C27" s="7" t="s">
        <v>67</v>
      </c>
      <c r="D27" s="7" t="str">
        <f t="shared" si="7"/>
        <v>61 to 90</v>
      </c>
      <c r="E27" s="8">
        <f t="shared" si="1"/>
        <v>43075</v>
      </c>
      <c r="F27" s="9">
        <f>SUMIFS(tblData[Amount],
                   tblData[Rpt Date],"="&amp;$E27,
                   tblData[ScenarioGroup],"="&amp;$D27)</f>
        <v>24787.010000000002</v>
      </c>
      <c r="G27" s="9">
        <f t="shared" si="2"/>
        <v>24787.010000000002</v>
      </c>
      <c r="I27" s="7" t="s">
        <v>42</v>
      </c>
      <c r="J27" s="7" t="str">
        <f t="shared" si="8"/>
        <v>61 to 90</v>
      </c>
      <c r="K27" s="8">
        <f t="shared" si="3"/>
        <v>43075</v>
      </c>
      <c r="L27" s="9">
        <f>SUMIFS(tblData[Amount],
                   tblData[Rpt Date],"="&amp;K27,
                   tblData[ScenarioGroup],"="&amp;J27,
                   tblData[PrentGroup],"="&amp;I27)</f>
        <v>13145.430000000002</v>
      </c>
      <c r="M27" s="9">
        <f>SUMIFS(tblData[Amount],
                   tblData[Rpt Date],"="&amp;K27,
                   tblData[ScenarioGroup],"="&amp;J27,
                   tblData[PrentGroup],"="&amp;I27)</f>
        <v>13145.430000000002</v>
      </c>
      <c r="O27" s="7" t="s">
        <v>43</v>
      </c>
      <c r="P27" s="7" t="str">
        <f t="shared" si="9"/>
        <v>61 to 90</v>
      </c>
      <c r="Q27" s="8">
        <f t="shared" si="4"/>
        <v>43075</v>
      </c>
      <c r="R27" s="9">
        <f>SUMIFS(tblData[Amount],
                   tblData[Rpt Date],"="&amp;Q27,
                   tblData[ScenarioGroup],"="&amp;P27,
                   tblData[PrentGroup],"="&amp;O27)</f>
        <v>5773.3600000000006</v>
      </c>
      <c r="S27" s="9">
        <f>SUMIFS(tblData[Amount],
                   tblData[Rpt Date],"="&amp;Q27,
                   tblData[ScenarioGroup],"="&amp;P27,
                   tblData[PrentGroup],"="&amp;O27)</f>
        <v>5773.3600000000006</v>
      </c>
      <c r="U27" s="7" t="s">
        <v>69</v>
      </c>
      <c r="V27" s="7" t="str">
        <f t="shared" si="10"/>
        <v>61 to 90</v>
      </c>
      <c r="W27" s="8">
        <f t="shared" si="5"/>
        <v>43075</v>
      </c>
      <c r="X27" s="9">
        <f>SUMIFS(tblData[Amount],
                   tblData[Rpt Date],"="&amp;W27,
                   tblData[ScenarioGroup],"="&amp;V27,
                   tblData[PrentGroup],"="&amp;U27)</f>
        <v>3623.89</v>
      </c>
      <c r="Y27" s="9">
        <f>SUMIFS(tblData[Amount],
                   tblData[Rpt Date],"="&amp;W27,
                   tblData[ScenarioGroup],"="&amp;V27,
                   tblData[PrentGroup],"="&amp;U27)</f>
        <v>3623.89</v>
      </c>
      <c r="AA27" s="7" t="s">
        <v>41</v>
      </c>
      <c r="AB27" s="7" t="str">
        <f t="shared" si="11"/>
        <v>61 to 90</v>
      </c>
      <c r="AC27" s="8">
        <f t="shared" si="6"/>
        <v>43075</v>
      </c>
      <c r="AD27" s="9">
        <f>SUMIFS(tblData[Amount],
                   tblData[Rpt Date],"="&amp;AC27,
                   tblData[ScenarioGroup],"="&amp;AB27,
                   tblData[PrentGroup],"="&amp;AA27)</f>
        <v>2244.3299999999995</v>
      </c>
      <c r="AE27" s="9">
        <f>SUMIFS(tblData[Amount],
                   tblData[Rpt Date],"="&amp;AC27,
                   tblData[ScenarioGroup],"="&amp;AB27,
                   tblData[PrentGroup],"="&amp;AA27)</f>
        <v>2244.3299999999995</v>
      </c>
    </row>
    <row r="28" spans="1:31" x14ac:dyDescent="0.25">
      <c r="B28">
        <f t="shared" si="0"/>
        <v>22</v>
      </c>
      <c r="C28" s="7" t="s">
        <v>67</v>
      </c>
      <c r="D28" s="7" t="str">
        <f t="shared" si="7"/>
        <v>61 to 90</v>
      </c>
      <c r="E28" s="8">
        <f t="shared" si="1"/>
        <v>43082</v>
      </c>
      <c r="F28" s="9">
        <f>SUMIFS(tblData[Amount],
                   tblData[Rpt Date],"="&amp;$E28,
                   tblData[ScenarioGroup],"="&amp;$D28)</f>
        <v>38742.090000000004</v>
      </c>
      <c r="G28" s="9">
        <f t="shared" si="2"/>
        <v>38742.090000000004</v>
      </c>
      <c r="I28" s="7" t="s">
        <v>42</v>
      </c>
      <c r="J28" s="7" t="str">
        <f t="shared" si="8"/>
        <v>61 to 90</v>
      </c>
      <c r="K28" s="8">
        <f t="shared" si="3"/>
        <v>43082</v>
      </c>
      <c r="L28" s="9">
        <f>SUMIFS(tblData[Amount],
                   tblData[Rpt Date],"="&amp;K28,
                   tblData[ScenarioGroup],"="&amp;J28,
                   tblData[PrentGroup],"="&amp;I28)</f>
        <v>21876.27</v>
      </c>
      <c r="M28" s="9">
        <f>SUMIFS(tblData[Amount],
                   tblData[Rpt Date],"="&amp;K28,
                   tblData[ScenarioGroup],"="&amp;J28,
                   tblData[PrentGroup],"="&amp;I28)</f>
        <v>21876.27</v>
      </c>
      <c r="O28" s="7" t="s">
        <v>43</v>
      </c>
      <c r="P28" s="7" t="str">
        <f t="shared" si="9"/>
        <v>61 to 90</v>
      </c>
      <c r="Q28" s="8">
        <f t="shared" si="4"/>
        <v>43082</v>
      </c>
      <c r="R28" s="9">
        <f>SUMIFS(tblData[Amount],
                   tblData[Rpt Date],"="&amp;Q28,
                   tblData[ScenarioGroup],"="&amp;P28,
                   tblData[PrentGroup],"="&amp;O28)</f>
        <v>14360.31</v>
      </c>
      <c r="S28" s="9">
        <f>SUMIFS(tblData[Amount],
                   tblData[Rpt Date],"="&amp;Q28,
                   tblData[ScenarioGroup],"="&amp;P28,
                   tblData[PrentGroup],"="&amp;O28)</f>
        <v>14360.31</v>
      </c>
      <c r="U28" s="7" t="s">
        <v>69</v>
      </c>
      <c r="V28" s="7" t="str">
        <f t="shared" si="10"/>
        <v>61 to 90</v>
      </c>
      <c r="W28" s="8">
        <f t="shared" si="5"/>
        <v>43082</v>
      </c>
      <c r="X28" s="9">
        <f>SUMIFS(tblData[Amount],
                   tblData[Rpt Date],"="&amp;W28,
                   tblData[ScenarioGroup],"="&amp;V28,
                   tblData[PrentGroup],"="&amp;U28)</f>
        <v>803.33999999999992</v>
      </c>
      <c r="Y28" s="9">
        <f>SUMIFS(tblData[Amount],
                   tblData[Rpt Date],"="&amp;W28,
                   tblData[ScenarioGroup],"="&amp;V28,
                   tblData[PrentGroup],"="&amp;U28)</f>
        <v>803.33999999999992</v>
      </c>
      <c r="AA28" s="7" t="s">
        <v>41</v>
      </c>
      <c r="AB28" s="7" t="str">
        <f t="shared" si="11"/>
        <v>61 to 90</v>
      </c>
      <c r="AC28" s="8">
        <f t="shared" si="6"/>
        <v>43082</v>
      </c>
      <c r="AD28" s="9">
        <f>SUMIFS(tblData[Amount],
                   tblData[Rpt Date],"="&amp;AC28,
                   tblData[ScenarioGroup],"="&amp;AB28,
                   tblData[PrentGroup],"="&amp;AA28)</f>
        <v>1702.1699999999998</v>
      </c>
      <c r="AE28" s="9">
        <f>SUMIFS(tblData[Amount],
                   tblData[Rpt Date],"="&amp;AC28,
                   tblData[ScenarioGroup],"="&amp;AB28,
                   tblData[PrentGroup],"="&amp;AA28)</f>
        <v>1702.1699999999998</v>
      </c>
    </row>
    <row r="29" spans="1:31" x14ac:dyDescent="0.25">
      <c r="B29">
        <f t="shared" si="0"/>
        <v>23</v>
      </c>
      <c r="C29" s="7" t="s">
        <v>67</v>
      </c>
      <c r="D29" s="7" t="str">
        <f t="shared" si="7"/>
        <v>61 to 90</v>
      </c>
      <c r="E29" s="8">
        <f t="shared" si="1"/>
        <v>43089</v>
      </c>
      <c r="F29" s="9">
        <f>SUMIFS(tblData[Amount],
                   tblData[Rpt Date],"="&amp;$E29,
                   tblData[ScenarioGroup],"="&amp;$D29)</f>
        <v>33278.47</v>
      </c>
      <c r="G29" s="9">
        <f t="shared" si="2"/>
        <v>33278.47</v>
      </c>
      <c r="I29" s="7" t="s">
        <v>42</v>
      </c>
      <c r="J29" s="7" t="str">
        <f t="shared" si="8"/>
        <v>61 to 90</v>
      </c>
      <c r="K29" s="8">
        <f t="shared" si="3"/>
        <v>43089</v>
      </c>
      <c r="L29" s="9">
        <f>SUMIFS(tblData[Amount],
                   tblData[Rpt Date],"="&amp;K29,
                   tblData[ScenarioGroup],"="&amp;J29,
                   tblData[PrentGroup],"="&amp;I29)</f>
        <v>15583.68</v>
      </c>
      <c r="M29" s="9">
        <f>SUMIFS(tblData[Amount],
                   tblData[Rpt Date],"="&amp;K29,
                   tblData[ScenarioGroup],"="&amp;J29,
                   tblData[PrentGroup],"="&amp;I29)</f>
        <v>15583.68</v>
      </c>
      <c r="O29" s="7" t="s">
        <v>43</v>
      </c>
      <c r="P29" s="7" t="str">
        <f t="shared" si="9"/>
        <v>61 to 90</v>
      </c>
      <c r="Q29" s="8">
        <f t="shared" si="4"/>
        <v>43089</v>
      </c>
      <c r="R29" s="9">
        <f>SUMIFS(tblData[Amount],
                   tblData[Rpt Date],"="&amp;Q29,
                   tblData[ScenarioGroup],"="&amp;P29,
                   tblData[PrentGroup],"="&amp;O29)</f>
        <v>15463.56</v>
      </c>
      <c r="S29" s="9">
        <f>SUMIFS(tblData[Amount],
                   tblData[Rpt Date],"="&amp;Q29,
                   tblData[ScenarioGroup],"="&amp;P29,
                   tblData[PrentGroup],"="&amp;O29)</f>
        <v>15463.56</v>
      </c>
      <c r="U29" s="7" t="s">
        <v>69</v>
      </c>
      <c r="V29" s="7" t="str">
        <f t="shared" si="10"/>
        <v>61 to 90</v>
      </c>
      <c r="W29" s="8">
        <f t="shared" si="5"/>
        <v>43089</v>
      </c>
      <c r="X29" s="9">
        <f>SUMIFS(tblData[Amount],
                   tblData[Rpt Date],"="&amp;W29,
                   tblData[ScenarioGroup],"="&amp;V29,
                   tblData[PrentGroup],"="&amp;U29)</f>
        <v>529.05999999999995</v>
      </c>
      <c r="Y29" s="9">
        <f>SUMIFS(tblData[Amount],
                   tblData[Rpt Date],"="&amp;W29,
                   tblData[ScenarioGroup],"="&amp;V29,
                   tblData[PrentGroup],"="&amp;U29)</f>
        <v>529.05999999999995</v>
      </c>
      <c r="AA29" s="7" t="s">
        <v>41</v>
      </c>
      <c r="AB29" s="7" t="str">
        <f t="shared" si="11"/>
        <v>61 to 90</v>
      </c>
      <c r="AC29" s="8">
        <f t="shared" si="6"/>
        <v>43089</v>
      </c>
      <c r="AD29" s="9">
        <f>SUMIFS(tblData[Amount],
                   tblData[Rpt Date],"="&amp;AC29,
                   tblData[ScenarioGroup],"="&amp;AB29,
                   tblData[PrentGroup],"="&amp;AA29)</f>
        <v>1702.1699999999998</v>
      </c>
      <c r="AE29" s="9">
        <f>SUMIFS(tblData[Amount],
                   tblData[Rpt Date],"="&amp;AC29,
                   tblData[ScenarioGroup],"="&amp;AB29,
                   tblData[PrentGroup],"="&amp;AA29)</f>
        <v>1702.1699999999998</v>
      </c>
    </row>
    <row r="30" spans="1:31" x14ac:dyDescent="0.25">
      <c r="B30">
        <f t="shared" si="0"/>
        <v>24</v>
      </c>
      <c r="C30" s="7" t="s">
        <v>67</v>
      </c>
      <c r="D30" s="7" t="str">
        <f t="shared" si="7"/>
        <v>61 to 90</v>
      </c>
      <c r="E30" s="8">
        <f t="shared" si="1"/>
        <v>43096</v>
      </c>
      <c r="F30" s="9">
        <f>SUMIFS(tblData[Amount],
                   tblData[Rpt Date],"="&amp;$E30,
                   tblData[ScenarioGroup],"="&amp;$D30)</f>
        <v>33278.47</v>
      </c>
      <c r="G30" s="9">
        <f t="shared" si="2"/>
        <v>33278.47</v>
      </c>
      <c r="I30" s="7" t="s">
        <v>42</v>
      </c>
      <c r="J30" s="7" t="str">
        <f t="shared" si="8"/>
        <v>61 to 90</v>
      </c>
      <c r="K30" s="8">
        <f t="shared" si="3"/>
        <v>43096</v>
      </c>
      <c r="L30" s="9">
        <f>SUMIFS(tblData[Amount],
                   tblData[Rpt Date],"="&amp;K30,
                   tblData[ScenarioGroup],"="&amp;J30,
                   tblData[PrentGroup],"="&amp;I30)</f>
        <v>15583.68</v>
      </c>
      <c r="M30" s="9">
        <f>SUMIFS(tblData[Amount],
                   tblData[Rpt Date],"="&amp;K30,
                   tblData[ScenarioGroup],"="&amp;J30,
                   tblData[PrentGroup],"="&amp;I30)</f>
        <v>15583.68</v>
      </c>
      <c r="O30" s="7" t="s">
        <v>43</v>
      </c>
      <c r="P30" s="7" t="str">
        <f t="shared" si="9"/>
        <v>61 to 90</v>
      </c>
      <c r="Q30" s="8">
        <f t="shared" si="4"/>
        <v>43096</v>
      </c>
      <c r="R30" s="9">
        <f>SUMIFS(tblData[Amount],
                   tblData[Rpt Date],"="&amp;Q30,
                   tblData[ScenarioGroup],"="&amp;P30,
                   tblData[PrentGroup],"="&amp;O30)</f>
        <v>15463.56</v>
      </c>
      <c r="S30" s="9">
        <f>SUMIFS(tblData[Amount],
                   tblData[Rpt Date],"="&amp;Q30,
                   tblData[ScenarioGroup],"="&amp;P30,
                   tblData[PrentGroup],"="&amp;O30)</f>
        <v>15463.56</v>
      </c>
      <c r="U30" s="7" t="s">
        <v>69</v>
      </c>
      <c r="V30" s="7" t="str">
        <f t="shared" si="10"/>
        <v>61 to 90</v>
      </c>
      <c r="W30" s="8">
        <f t="shared" si="5"/>
        <v>43096</v>
      </c>
      <c r="X30" s="9">
        <f>SUMIFS(tblData[Amount],
                   tblData[Rpt Date],"="&amp;W30,
                   tblData[ScenarioGroup],"="&amp;V30,
                   tblData[PrentGroup],"="&amp;U30)</f>
        <v>529.05999999999995</v>
      </c>
      <c r="Y30" s="9">
        <f>SUMIFS(tblData[Amount],
                   tblData[Rpt Date],"="&amp;W30,
                   tblData[ScenarioGroup],"="&amp;V30,
                   tblData[PrentGroup],"="&amp;U30)</f>
        <v>529.05999999999995</v>
      </c>
      <c r="AA30" s="7" t="s">
        <v>41</v>
      </c>
      <c r="AB30" s="7" t="str">
        <f t="shared" si="11"/>
        <v>61 to 90</v>
      </c>
      <c r="AC30" s="8">
        <f t="shared" si="6"/>
        <v>43096</v>
      </c>
      <c r="AD30" s="9">
        <f>SUMIFS(tblData[Amount],
                   tblData[Rpt Date],"="&amp;AC30,
                   tblData[ScenarioGroup],"="&amp;AB30,
                   tblData[PrentGroup],"="&amp;AA30)</f>
        <v>1702.1699999999998</v>
      </c>
      <c r="AE30" s="9">
        <f>SUMIFS(tblData[Amount],
                   tblData[Rpt Date],"="&amp;AC30,
                   tblData[ScenarioGroup],"="&amp;AB30,
                   tblData[PrentGroup],"="&amp;AA30)</f>
        <v>1702.1699999999998</v>
      </c>
    </row>
    <row r="31" spans="1:31" x14ac:dyDescent="0.25">
      <c r="B31">
        <f t="shared" si="0"/>
        <v>25</v>
      </c>
      <c r="C31" s="7" t="s">
        <v>67</v>
      </c>
      <c r="D31" s="7" t="str">
        <f t="shared" si="7"/>
        <v>61 to 90</v>
      </c>
      <c r="E31" s="8">
        <f t="shared" si="1"/>
        <v>43103</v>
      </c>
      <c r="F31" s="9">
        <f>SUMIFS(tblData[Amount],
                   tblData[Rpt Date],"="&amp;$E31,
                   tblData[ScenarioGroup],"="&amp;$D31)</f>
        <v>33202.1</v>
      </c>
      <c r="G31" s="9">
        <f t="shared" si="2"/>
        <v>33202.1</v>
      </c>
      <c r="I31" s="7" t="s">
        <v>42</v>
      </c>
      <c r="J31" s="7" t="str">
        <f t="shared" si="8"/>
        <v>61 to 90</v>
      </c>
      <c r="K31" s="8">
        <f t="shared" si="3"/>
        <v>43103</v>
      </c>
      <c r="L31" s="9">
        <f>SUMIFS(tblData[Amount],
                   tblData[Rpt Date],"="&amp;K31,
                   tblData[ScenarioGroup],"="&amp;J31,
                   tblData[PrentGroup],"="&amp;I31)</f>
        <v>20363.93</v>
      </c>
      <c r="M31" s="9">
        <f>SUMIFS(tblData[Amount],
                   tblData[Rpt Date],"="&amp;K31,
                   tblData[ScenarioGroup],"="&amp;J31,
                   tblData[PrentGroup],"="&amp;I31)</f>
        <v>20363.93</v>
      </c>
      <c r="O31" s="7" t="s">
        <v>43</v>
      </c>
      <c r="P31" s="7" t="str">
        <f t="shared" si="9"/>
        <v>61 to 90</v>
      </c>
      <c r="Q31" s="8">
        <f t="shared" si="4"/>
        <v>43103</v>
      </c>
      <c r="R31" s="9">
        <f>SUMIFS(tblData[Amount],
                   tblData[Rpt Date],"="&amp;Q31,
                   tblData[ScenarioGroup],"="&amp;P31,
                   tblData[PrentGroup],"="&amp;O31)</f>
        <v>12127.650000000001</v>
      </c>
      <c r="S31" s="9">
        <f>SUMIFS(tblData[Amount],
                   tblData[Rpt Date],"="&amp;Q31,
                   tblData[ScenarioGroup],"="&amp;P31,
                   tblData[PrentGroup],"="&amp;O31)</f>
        <v>12127.650000000001</v>
      </c>
      <c r="U31" s="7" t="s">
        <v>69</v>
      </c>
      <c r="V31" s="7" t="str">
        <f t="shared" si="10"/>
        <v>61 to 90</v>
      </c>
      <c r="W31" s="8">
        <f t="shared" si="5"/>
        <v>43103</v>
      </c>
      <c r="X31" s="9">
        <f>SUMIFS(tblData[Amount],
                   tblData[Rpt Date],"="&amp;W31,
                   tblData[ScenarioGroup],"="&amp;V31,
                   tblData[PrentGroup],"="&amp;U31)</f>
        <v>180.82</v>
      </c>
      <c r="Y31" s="9">
        <f>SUMIFS(tblData[Amount],
                   tblData[Rpt Date],"="&amp;W31,
                   tblData[ScenarioGroup],"="&amp;V31,
                   tblData[PrentGroup],"="&amp;U31)</f>
        <v>180.82</v>
      </c>
      <c r="AA31" s="7" t="s">
        <v>41</v>
      </c>
      <c r="AB31" s="7" t="str">
        <f t="shared" si="11"/>
        <v>61 to 90</v>
      </c>
      <c r="AC31" s="8">
        <f t="shared" si="6"/>
        <v>43103</v>
      </c>
      <c r="AD31" s="9">
        <f>SUMIFS(tblData[Amount],
                   tblData[Rpt Date],"="&amp;AC31,
                   tblData[ScenarioGroup],"="&amp;AB31,
                   tblData[PrentGroup],"="&amp;AA31)</f>
        <v>529.70000000000005</v>
      </c>
      <c r="AE31" s="9">
        <f>SUMIFS(tblData[Amount],
                   tblData[Rpt Date],"="&amp;AC31,
                   tblData[ScenarioGroup],"="&amp;AB31,
                   tblData[PrentGroup],"="&amp;AA31)</f>
        <v>529.70000000000005</v>
      </c>
    </row>
    <row r="32" spans="1:31" x14ac:dyDescent="0.25">
      <c r="B32">
        <f t="shared" si="0"/>
        <v>26</v>
      </c>
      <c r="C32" s="7" t="s">
        <v>67</v>
      </c>
      <c r="D32" s="7" t="str">
        <f t="shared" si="7"/>
        <v>61 to 90</v>
      </c>
      <c r="E32" s="8">
        <f t="shared" si="1"/>
        <v>43110</v>
      </c>
      <c r="F32" s="9">
        <f>SUMIFS(tblData[Amount],
                   tblData[Rpt Date],"="&amp;$E32,
                   tblData[ScenarioGroup],"="&amp;$D32)</f>
        <v>38477.149999999987</v>
      </c>
      <c r="G32" s="9">
        <f t="shared" si="2"/>
        <v>38477.149999999987</v>
      </c>
      <c r="I32" s="7" t="s">
        <v>42</v>
      </c>
      <c r="J32" s="7" t="str">
        <f t="shared" si="8"/>
        <v>61 to 90</v>
      </c>
      <c r="K32" s="8">
        <f t="shared" si="3"/>
        <v>43110</v>
      </c>
      <c r="L32" s="9">
        <f>SUMIFS(tblData[Amount],
                   tblData[Rpt Date],"="&amp;K32,
                   tblData[ScenarioGroup],"="&amp;J32,
                   tblData[PrentGroup],"="&amp;I32)</f>
        <v>22518.659999999989</v>
      </c>
      <c r="M32" s="9">
        <f>SUMIFS(tblData[Amount],
                   tblData[Rpt Date],"="&amp;K32,
                   tblData[ScenarioGroup],"="&amp;J32,
                   tblData[PrentGroup],"="&amp;I32)</f>
        <v>22518.659999999989</v>
      </c>
      <c r="O32" s="7" t="s">
        <v>43</v>
      </c>
      <c r="P32" s="7" t="str">
        <f t="shared" si="9"/>
        <v>61 to 90</v>
      </c>
      <c r="Q32" s="8">
        <f t="shared" si="4"/>
        <v>43110</v>
      </c>
      <c r="R32" s="9">
        <f>SUMIFS(tblData[Amount],
                   tblData[Rpt Date],"="&amp;Q32,
                   tblData[ScenarioGroup],"="&amp;P32,
                   tblData[PrentGroup],"="&amp;O32)</f>
        <v>13698.73</v>
      </c>
      <c r="S32" s="9">
        <f>SUMIFS(tblData[Amount],
                   tblData[Rpt Date],"="&amp;Q32,
                   tblData[ScenarioGroup],"="&amp;P32,
                   tblData[PrentGroup],"="&amp;O32)</f>
        <v>13698.73</v>
      </c>
      <c r="U32" s="7" t="s">
        <v>69</v>
      </c>
      <c r="V32" s="7" t="str">
        <f t="shared" si="10"/>
        <v>61 to 90</v>
      </c>
      <c r="W32" s="8">
        <f t="shared" si="5"/>
        <v>43110</v>
      </c>
      <c r="X32" s="9">
        <f>SUMIFS(tblData[Amount],
                   tblData[Rpt Date],"="&amp;W32,
                   tblData[ScenarioGroup],"="&amp;V32,
                   tblData[PrentGroup],"="&amp;U32)</f>
        <v>1500.53</v>
      </c>
      <c r="Y32" s="9">
        <f>SUMIFS(tblData[Amount],
                   tblData[Rpt Date],"="&amp;W32,
                   tblData[ScenarioGroup],"="&amp;V32,
                   tblData[PrentGroup],"="&amp;U32)</f>
        <v>1500.53</v>
      </c>
      <c r="AA32" s="7" t="s">
        <v>41</v>
      </c>
      <c r="AB32" s="7" t="str">
        <f t="shared" si="11"/>
        <v>61 to 90</v>
      </c>
      <c r="AC32" s="8">
        <f t="shared" si="6"/>
        <v>43110</v>
      </c>
      <c r="AD32" s="9">
        <f>SUMIFS(tblData[Amount],
                   tblData[Rpt Date],"="&amp;AC32,
                   tblData[ScenarioGroup],"="&amp;AB32,
                   tblData[PrentGroup],"="&amp;AA32)</f>
        <v>759.23</v>
      </c>
      <c r="AE32" s="9">
        <f>SUMIFS(tblData[Amount],
                   tblData[Rpt Date],"="&amp;AC32,
                   tblData[ScenarioGroup],"="&amp;AB32,
                   tblData[PrentGroup],"="&amp;AA32)</f>
        <v>759.23</v>
      </c>
    </row>
    <row r="33" spans="1:31" x14ac:dyDescent="0.25">
      <c r="A33" t="str">
        <f>TEXT(E33,"MMM")&amp;CHAR(10)&amp;TEXT(E33,"YY")</f>
        <v>Jan
18</v>
      </c>
      <c r="B33">
        <f t="shared" si="0"/>
        <v>27</v>
      </c>
      <c r="C33" s="7" t="s">
        <v>67</v>
      </c>
      <c r="D33" s="7" t="str">
        <f t="shared" si="7"/>
        <v>61 to 90</v>
      </c>
      <c r="E33" s="8">
        <f t="shared" si="1"/>
        <v>43117</v>
      </c>
      <c r="F33" s="9">
        <f>SUMIFS(tblData[Amount],
                   tblData[Rpt Date],"="&amp;$E33,
                   tblData[ScenarioGroup],"="&amp;$D33)</f>
        <v>69618.260000000009</v>
      </c>
      <c r="G33" s="9">
        <f t="shared" si="2"/>
        <v>69618.260000000009</v>
      </c>
      <c r="I33" s="7" t="s">
        <v>42</v>
      </c>
      <c r="J33" s="7" t="str">
        <f t="shared" si="8"/>
        <v>61 to 90</v>
      </c>
      <c r="K33" s="8">
        <f t="shared" si="3"/>
        <v>43117</v>
      </c>
      <c r="L33" s="9">
        <f>SUMIFS(tblData[Amount],
                   tblData[Rpt Date],"="&amp;K33,
                   tblData[ScenarioGroup],"="&amp;J33,
                   tblData[PrentGroup],"="&amp;I33)</f>
        <v>47568.580000000009</v>
      </c>
      <c r="M33" s="9">
        <f>SUMIFS(tblData[Amount],
                   tblData[Rpt Date],"="&amp;K33,
                   tblData[ScenarioGroup],"="&amp;J33,
                   tblData[PrentGroup],"="&amp;I33)</f>
        <v>47568.580000000009</v>
      </c>
      <c r="O33" s="7" t="s">
        <v>43</v>
      </c>
      <c r="P33" s="7" t="str">
        <f t="shared" si="9"/>
        <v>61 to 90</v>
      </c>
      <c r="Q33" s="8">
        <f t="shared" si="4"/>
        <v>43117</v>
      </c>
      <c r="R33" s="9">
        <f>SUMIFS(tblData[Amount],
                   tblData[Rpt Date],"="&amp;Q33,
                   tblData[ScenarioGroup],"="&amp;P33,
                   tblData[PrentGroup],"="&amp;O33)</f>
        <v>16055.26</v>
      </c>
      <c r="S33" s="9">
        <f>SUMIFS(tblData[Amount],
                   tblData[Rpt Date],"="&amp;Q33,
                   tblData[ScenarioGroup],"="&amp;P33,
                   tblData[PrentGroup],"="&amp;O33)</f>
        <v>16055.26</v>
      </c>
      <c r="U33" s="7" t="s">
        <v>69</v>
      </c>
      <c r="V33" s="7" t="str">
        <f t="shared" si="10"/>
        <v>61 to 90</v>
      </c>
      <c r="W33" s="8">
        <f t="shared" si="5"/>
        <v>43117</v>
      </c>
      <c r="X33" s="9">
        <f>SUMIFS(tblData[Amount],
                   tblData[Rpt Date],"="&amp;W33,
                   tblData[ScenarioGroup],"="&amp;V33,
                   tblData[PrentGroup],"="&amp;U33)</f>
        <v>4984.58</v>
      </c>
      <c r="Y33" s="9">
        <f>SUMIFS(tblData[Amount],
                   tblData[Rpt Date],"="&amp;W33,
                   tblData[ScenarioGroup],"="&amp;V33,
                   tblData[PrentGroup],"="&amp;U33)</f>
        <v>4984.58</v>
      </c>
      <c r="AA33" s="7" t="s">
        <v>41</v>
      </c>
      <c r="AB33" s="7" t="str">
        <f t="shared" si="11"/>
        <v>61 to 90</v>
      </c>
      <c r="AC33" s="8">
        <f t="shared" si="6"/>
        <v>43117</v>
      </c>
      <c r="AD33" s="9">
        <f>SUMIFS(tblData[Amount],
                   tblData[Rpt Date],"="&amp;AC33,
                   tblData[ScenarioGroup],"="&amp;AB33,
                   tblData[PrentGroup],"="&amp;AA33)</f>
        <v>1009.84</v>
      </c>
      <c r="AE33" s="9">
        <f>SUMIFS(tblData[Amount],
                   tblData[Rpt Date],"="&amp;AC33,
                   tblData[ScenarioGroup],"="&amp;AB33,
                   tblData[PrentGroup],"="&amp;AA33)</f>
        <v>1009.84</v>
      </c>
    </row>
    <row r="34" spans="1:31" x14ac:dyDescent="0.25">
      <c r="B34">
        <f t="shared" si="0"/>
        <v>28</v>
      </c>
      <c r="C34" s="7" t="s">
        <v>67</v>
      </c>
      <c r="D34" s="7" t="str">
        <f t="shared" si="7"/>
        <v>61 to 90</v>
      </c>
      <c r="E34" s="8">
        <f t="shared" si="1"/>
        <v>43124</v>
      </c>
      <c r="F34" s="9">
        <f>SUMIFS(tblData[Amount],
                   tblData[Rpt Date],"="&amp;$E34,
                   tblData[ScenarioGroup],"="&amp;$D34)</f>
        <v>71008.319999999992</v>
      </c>
      <c r="G34" s="9">
        <f t="shared" si="2"/>
        <v>71008.319999999992</v>
      </c>
      <c r="I34" s="7" t="s">
        <v>42</v>
      </c>
      <c r="J34" s="7" t="str">
        <f t="shared" si="8"/>
        <v>61 to 90</v>
      </c>
      <c r="K34" s="8">
        <f t="shared" si="3"/>
        <v>43124</v>
      </c>
      <c r="L34" s="9">
        <f>SUMIFS(tblData[Amount],
                   tblData[Rpt Date],"="&amp;K34,
                   tblData[ScenarioGroup],"="&amp;J34,
                   tblData[PrentGroup],"="&amp;I34)</f>
        <v>49569.37999999999</v>
      </c>
      <c r="M34" s="9">
        <f>SUMIFS(tblData[Amount],
                   tblData[Rpt Date],"="&amp;K34,
                   tblData[ScenarioGroup],"="&amp;J34,
                   tblData[PrentGroup],"="&amp;I34)</f>
        <v>49569.37999999999</v>
      </c>
      <c r="O34" s="7" t="s">
        <v>43</v>
      </c>
      <c r="P34" s="7" t="str">
        <f t="shared" si="9"/>
        <v>61 to 90</v>
      </c>
      <c r="Q34" s="8">
        <f t="shared" si="4"/>
        <v>43124</v>
      </c>
      <c r="R34" s="9">
        <f>SUMIFS(tblData[Amount],
                   tblData[Rpt Date],"="&amp;Q34,
                   tblData[ScenarioGroup],"="&amp;P34,
                   tblData[PrentGroup],"="&amp;O34)</f>
        <v>14813.73</v>
      </c>
      <c r="S34" s="9">
        <f>SUMIFS(tblData[Amount],
                   tblData[Rpt Date],"="&amp;Q34,
                   tblData[ScenarioGroup],"="&amp;P34,
                   tblData[PrentGroup],"="&amp;O34)</f>
        <v>14813.73</v>
      </c>
      <c r="U34" s="7" t="s">
        <v>69</v>
      </c>
      <c r="V34" s="7" t="str">
        <f t="shared" si="10"/>
        <v>61 to 90</v>
      </c>
      <c r="W34" s="8">
        <f t="shared" si="5"/>
        <v>43124</v>
      </c>
      <c r="X34" s="9">
        <f>SUMIFS(tblData[Amount],
                   tblData[Rpt Date],"="&amp;W34,
                   tblData[ScenarioGroup],"="&amp;V34,
                   tblData[PrentGroup],"="&amp;U34)</f>
        <v>5555.2999999999993</v>
      </c>
      <c r="Y34" s="9">
        <f>SUMIFS(tblData[Amount],
                   tblData[Rpt Date],"="&amp;W34,
                   tblData[ScenarioGroup],"="&amp;V34,
                   tblData[PrentGroup],"="&amp;U34)</f>
        <v>5555.2999999999993</v>
      </c>
      <c r="AA34" s="7" t="s">
        <v>41</v>
      </c>
      <c r="AB34" s="7" t="str">
        <f t="shared" si="11"/>
        <v>61 to 90</v>
      </c>
      <c r="AC34" s="8">
        <f t="shared" si="6"/>
        <v>43124</v>
      </c>
      <c r="AD34" s="9">
        <f>SUMIFS(tblData[Amount],
                   tblData[Rpt Date],"="&amp;AC34,
                   tblData[ScenarioGroup],"="&amp;AB34,
                   tblData[PrentGroup],"="&amp;AA34)</f>
        <v>1069.9099999999999</v>
      </c>
      <c r="AE34" s="9">
        <f>SUMIFS(tblData[Amount],
                   tblData[Rpt Date],"="&amp;AC34,
                   tblData[ScenarioGroup],"="&amp;AB34,
                   tblData[PrentGroup],"="&amp;AA34)</f>
        <v>1069.9099999999999</v>
      </c>
    </row>
    <row r="35" spans="1:31" x14ac:dyDescent="0.25">
      <c r="B35">
        <f t="shared" si="0"/>
        <v>29</v>
      </c>
      <c r="C35" s="7" t="s">
        <v>67</v>
      </c>
      <c r="D35" s="7" t="str">
        <f t="shared" si="7"/>
        <v>61 to 90</v>
      </c>
      <c r="E35" s="8">
        <f t="shared" si="1"/>
        <v>43131</v>
      </c>
      <c r="F35" s="9">
        <f>SUMIFS(tblData[Amount],
                   tblData[Rpt Date],"="&amp;$E35,
                   tblData[ScenarioGroup],"="&amp;$D35)</f>
        <v>80359.319999999992</v>
      </c>
      <c r="G35" s="9">
        <f t="shared" si="2"/>
        <v>80359.319999999992</v>
      </c>
      <c r="I35" s="7" t="s">
        <v>42</v>
      </c>
      <c r="J35" s="7" t="str">
        <f t="shared" si="8"/>
        <v>61 to 90</v>
      </c>
      <c r="K35" s="8">
        <f t="shared" si="3"/>
        <v>43131</v>
      </c>
      <c r="L35" s="9">
        <f>SUMIFS(tblData[Amount],
                   tblData[Rpt Date],"="&amp;K35,
                   tblData[ScenarioGroup],"="&amp;J35,
                   tblData[PrentGroup],"="&amp;I35)</f>
        <v>48340.349999999991</v>
      </c>
      <c r="M35" s="9">
        <f>SUMIFS(tblData[Amount],
                   tblData[Rpt Date],"="&amp;K35,
                   tblData[ScenarioGroup],"="&amp;J35,
                   tblData[PrentGroup],"="&amp;I35)</f>
        <v>48340.349999999991</v>
      </c>
      <c r="O35" s="7" t="s">
        <v>43</v>
      </c>
      <c r="P35" s="7" t="str">
        <f t="shared" si="9"/>
        <v>61 to 90</v>
      </c>
      <c r="Q35" s="8">
        <f t="shared" si="4"/>
        <v>43131</v>
      </c>
      <c r="R35" s="9">
        <f>SUMIFS(tblData[Amount],
                   tblData[Rpt Date],"="&amp;Q35,
                   tblData[ScenarioGroup],"="&amp;P35,
                   tblData[PrentGroup],"="&amp;O35)</f>
        <v>24316.820000000003</v>
      </c>
      <c r="S35" s="9">
        <f>SUMIFS(tblData[Amount],
                   tblData[Rpt Date],"="&amp;Q35,
                   tblData[ScenarioGroup],"="&amp;P35,
                   tblData[PrentGroup],"="&amp;O35)</f>
        <v>24316.820000000003</v>
      </c>
      <c r="U35" s="7" t="s">
        <v>69</v>
      </c>
      <c r="V35" s="7" t="str">
        <f t="shared" si="10"/>
        <v>61 to 90</v>
      </c>
      <c r="W35" s="8">
        <f t="shared" si="5"/>
        <v>43131</v>
      </c>
      <c r="X35" s="9">
        <f>SUMIFS(tblData[Amount],
                   tblData[Rpt Date],"="&amp;W35,
                   tblData[ScenarioGroup],"="&amp;V35,
                   tblData[PrentGroup],"="&amp;U35)</f>
        <v>6830.35</v>
      </c>
      <c r="Y35" s="9">
        <f>SUMIFS(tblData[Amount],
                   tblData[Rpt Date],"="&amp;W35,
                   tblData[ScenarioGroup],"="&amp;V35,
                   tblData[PrentGroup],"="&amp;U35)</f>
        <v>6830.35</v>
      </c>
      <c r="AA35" s="7" t="s">
        <v>41</v>
      </c>
      <c r="AB35" s="7" t="str">
        <f t="shared" si="11"/>
        <v>61 to 90</v>
      </c>
      <c r="AC35" s="8">
        <f t="shared" si="6"/>
        <v>43131</v>
      </c>
      <c r="AD35" s="9">
        <f>SUMIFS(tblData[Amount],
                   tblData[Rpt Date],"="&amp;AC35,
                   tblData[ScenarioGroup],"="&amp;AB35,
                   tblData[PrentGroup],"="&amp;AA35)</f>
        <v>871.8</v>
      </c>
      <c r="AE35" s="9">
        <f>SUMIFS(tblData[Amount],
                   tblData[Rpt Date],"="&amp;AC35,
                   tblData[ScenarioGroup],"="&amp;AB35,
                   tblData[PrentGroup],"="&amp;AA35)</f>
        <v>871.8</v>
      </c>
    </row>
    <row r="36" spans="1:31" x14ac:dyDescent="0.25">
      <c r="B36">
        <f t="shared" si="0"/>
        <v>30</v>
      </c>
      <c r="C36" s="7" t="s">
        <v>67</v>
      </c>
      <c r="D36" s="7" t="str">
        <f t="shared" si="7"/>
        <v>61 to 90</v>
      </c>
      <c r="E36" s="8">
        <f t="shared" si="1"/>
        <v>43138</v>
      </c>
      <c r="F36" s="9">
        <f>SUMIFS(tblData[Amount],
                   tblData[Rpt Date],"="&amp;$E36,
                   tblData[ScenarioGroup],"="&amp;$D36)</f>
        <v>86752.670000000013</v>
      </c>
      <c r="G36" s="9">
        <f t="shared" si="2"/>
        <v>86752.670000000013</v>
      </c>
      <c r="I36" s="7" t="s">
        <v>42</v>
      </c>
      <c r="J36" s="7" t="str">
        <f t="shared" si="8"/>
        <v>61 to 90</v>
      </c>
      <c r="K36" s="8">
        <f t="shared" si="3"/>
        <v>43138</v>
      </c>
      <c r="L36" s="9">
        <f>SUMIFS(tblData[Amount],
                   tblData[Rpt Date],"="&amp;K36,
                   tblData[ScenarioGroup],"="&amp;J36,
                   tblData[PrentGroup],"="&amp;I36)</f>
        <v>47736.150000000023</v>
      </c>
      <c r="M36" s="9">
        <f>SUMIFS(tblData[Amount],
                   tblData[Rpt Date],"="&amp;K36,
                   tblData[ScenarioGroup],"="&amp;J36,
                   tblData[PrentGroup],"="&amp;I36)</f>
        <v>47736.150000000023</v>
      </c>
      <c r="O36" s="7" t="s">
        <v>43</v>
      </c>
      <c r="P36" s="7" t="str">
        <f t="shared" si="9"/>
        <v>61 to 90</v>
      </c>
      <c r="Q36" s="8">
        <f t="shared" si="4"/>
        <v>43138</v>
      </c>
      <c r="R36" s="9">
        <f>SUMIFS(tblData[Amount],
                   tblData[Rpt Date],"="&amp;Q36,
                   tblData[ScenarioGroup],"="&amp;P36,
                   tblData[PrentGroup],"="&amp;O36)</f>
        <v>29966.170000000006</v>
      </c>
      <c r="S36" s="9">
        <f>SUMIFS(tblData[Amount],
                   tblData[Rpt Date],"="&amp;Q36,
                   tblData[ScenarioGroup],"="&amp;P36,
                   tblData[PrentGroup],"="&amp;O36)</f>
        <v>29966.170000000006</v>
      </c>
      <c r="U36" s="7" t="s">
        <v>69</v>
      </c>
      <c r="V36" s="7" t="str">
        <f t="shared" si="10"/>
        <v>61 to 90</v>
      </c>
      <c r="W36" s="8">
        <f t="shared" si="5"/>
        <v>43138</v>
      </c>
      <c r="X36" s="9">
        <f>SUMIFS(tblData[Amount],
                   tblData[Rpt Date],"="&amp;W36,
                   tblData[ScenarioGroup],"="&amp;V36,
                   tblData[PrentGroup],"="&amp;U36)</f>
        <v>8705.39</v>
      </c>
      <c r="Y36" s="9">
        <f>SUMIFS(tblData[Amount],
                   tblData[Rpt Date],"="&amp;W36,
                   tblData[ScenarioGroup],"="&amp;V36,
                   tblData[PrentGroup],"="&amp;U36)</f>
        <v>8705.39</v>
      </c>
      <c r="AA36" s="7" t="s">
        <v>41</v>
      </c>
      <c r="AB36" s="7" t="str">
        <f t="shared" si="11"/>
        <v>61 to 90</v>
      </c>
      <c r="AC36" s="8">
        <f t="shared" si="6"/>
        <v>43138</v>
      </c>
      <c r="AD36" s="9">
        <f>SUMIFS(tblData[Amount],
                   tblData[Rpt Date],"="&amp;AC36,
                   tblData[ScenarioGroup],"="&amp;AB36,
                   tblData[PrentGroup],"="&amp;AA36)</f>
        <v>344.96</v>
      </c>
      <c r="AE36" s="9">
        <f>SUMIFS(tblData[Amount],
                   tblData[Rpt Date],"="&amp;AC36,
                   tblData[ScenarioGroup],"="&amp;AB36,
                   tblData[PrentGroup],"="&amp;AA36)</f>
        <v>344.96</v>
      </c>
    </row>
    <row r="37" spans="1:31" x14ac:dyDescent="0.25">
      <c r="B37">
        <f t="shared" si="0"/>
        <v>31</v>
      </c>
      <c r="C37" s="7" t="s">
        <v>67</v>
      </c>
      <c r="D37" s="7" t="str">
        <f t="shared" si="7"/>
        <v>61 to 90</v>
      </c>
      <c r="E37" s="8">
        <f t="shared" si="1"/>
        <v>43145</v>
      </c>
      <c r="F37" s="9">
        <f>SUMIFS(tblData[Amount],
                   tblData[Rpt Date],"="&amp;$E37,
                   tblData[ScenarioGroup],"="&amp;$D37)</f>
        <v>97483.010000000009</v>
      </c>
      <c r="G37" s="9">
        <f t="shared" si="2"/>
        <v>97483.010000000009</v>
      </c>
      <c r="I37" s="7" t="s">
        <v>42</v>
      </c>
      <c r="J37" s="7" t="str">
        <f t="shared" si="8"/>
        <v>61 to 90</v>
      </c>
      <c r="K37" s="8">
        <f t="shared" si="3"/>
        <v>43145</v>
      </c>
      <c r="L37" s="9">
        <f>SUMIFS(tblData[Amount],
                   tblData[Rpt Date],"="&amp;K37,
                   tblData[ScenarioGroup],"="&amp;J37,
                   tblData[PrentGroup],"="&amp;I37)</f>
        <v>54862.750000000007</v>
      </c>
      <c r="M37" s="9">
        <f>SUMIFS(tblData[Amount],
                   tblData[Rpt Date],"="&amp;K37,
                   tblData[ScenarioGroup],"="&amp;J37,
                   tblData[PrentGroup],"="&amp;I37)</f>
        <v>54862.750000000007</v>
      </c>
      <c r="O37" s="7" t="s">
        <v>43</v>
      </c>
      <c r="P37" s="7" t="str">
        <f t="shared" si="9"/>
        <v>61 to 90</v>
      </c>
      <c r="Q37" s="8">
        <f t="shared" si="4"/>
        <v>43145</v>
      </c>
      <c r="R37" s="9">
        <f>SUMIFS(tblData[Amount],
                   tblData[Rpt Date],"="&amp;Q37,
                   tblData[ScenarioGroup],"="&amp;P37,
                   tblData[PrentGroup],"="&amp;O37)</f>
        <v>34237.630000000005</v>
      </c>
      <c r="S37" s="9">
        <f>SUMIFS(tblData[Amount],
                   tblData[Rpt Date],"="&amp;Q37,
                   tblData[ScenarioGroup],"="&amp;P37,
                   tblData[PrentGroup],"="&amp;O37)</f>
        <v>34237.630000000005</v>
      </c>
      <c r="U37" s="7" t="s">
        <v>69</v>
      </c>
      <c r="V37" s="7" t="str">
        <f t="shared" si="10"/>
        <v>61 to 90</v>
      </c>
      <c r="W37" s="8">
        <f t="shared" si="5"/>
        <v>43145</v>
      </c>
      <c r="X37" s="9">
        <f>SUMIFS(tblData[Amount],
                   tblData[Rpt Date],"="&amp;W37,
                   tblData[ScenarioGroup],"="&amp;V37,
                   tblData[PrentGroup],"="&amp;U37)</f>
        <v>7691.8500000000022</v>
      </c>
      <c r="Y37" s="9">
        <f>SUMIFS(tblData[Amount],
                   tblData[Rpt Date],"="&amp;W37,
                   tblData[ScenarioGroup],"="&amp;V37,
                   tblData[PrentGroup],"="&amp;U37)</f>
        <v>7691.8500000000022</v>
      </c>
      <c r="AA37" s="7" t="s">
        <v>41</v>
      </c>
      <c r="AB37" s="7" t="str">
        <f t="shared" si="11"/>
        <v>61 to 90</v>
      </c>
      <c r="AC37" s="8">
        <f t="shared" si="6"/>
        <v>43145</v>
      </c>
      <c r="AD37" s="9">
        <f>SUMIFS(tblData[Amount],
                   tblData[Rpt Date],"="&amp;AC37,
                   tblData[ScenarioGroup],"="&amp;AB37,
                   tblData[PrentGroup],"="&amp;AA37)</f>
        <v>690.78</v>
      </c>
      <c r="AE37" s="9">
        <f>SUMIFS(tblData[Amount],
                   tblData[Rpt Date],"="&amp;AC37,
                   tblData[ScenarioGroup],"="&amp;AB37,
                   tblData[PrentGroup],"="&amp;AA37)</f>
        <v>690.78</v>
      </c>
    </row>
    <row r="38" spans="1:31" x14ac:dyDescent="0.25">
      <c r="B38">
        <f t="shared" si="0"/>
        <v>32</v>
      </c>
      <c r="C38" s="7" t="s">
        <v>67</v>
      </c>
      <c r="D38" s="7" t="str">
        <f t="shared" si="7"/>
        <v>61 to 90</v>
      </c>
      <c r="E38" s="8">
        <f t="shared" si="1"/>
        <v>43152</v>
      </c>
      <c r="F38" s="9">
        <f>SUMIFS(tblData[Amount],
                   tblData[Rpt Date],"="&amp;$E38,
                   tblData[ScenarioGroup],"="&amp;$D38)</f>
        <v>70996.81</v>
      </c>
      <c r="G38" s="9">
        <f t="shared" si="2"/>
        <v>70996.81</v>
      </c>
      <c r="I38" s="7" t="s">
        <v>42</v>
      </c>
      <c r="J38" s="7" t="str">
        <f t="shared" si="8"/>
        <v>61 to 90</v>
      </c>
      <c r="K38" s="8">
        <f t="shared" si="3"/>
        <v>43152</v>
      </c>
      <c r="L38" s="9">
        <f>SUMIFS(tblData[Amount],
                   tblData[Rpt Date],"="&amp;K38,
                   tblData[ScenarioGroup],"="&amp;J38,
                   tblData[PrentGroup],"="&amp;I38)</f>
        <v>27105.67</v>
      </c>
      <c r="M38" s="9">
        <f>SUMIFS(tblData[Amount],
                   tblData[Rpt Date],"="&amp;K38,
                   tblData[ScenarioGroup],"="&amp;J38,
                   tblData[PrentGroup],"="&amp;I38)</f>
        <v>27105.67</v>
      </c>
      <c r="O38" s="7" t="s">
        <v>43</v>
      </c>
      <c r="P38" s="7" t="str">
        <f t="shared" si="9"/>
        <v>61 to 90</v>
      </c>
      <c r="Q38" s="8">
        <f t="shared" si="4"/>
        <v>43152</v>
      </c>
      <c r="R38" s="9">
        <f>SUMIFS(tblData[Amount],
                   tblData[Rpt Date],"="&amp;Q38,
                   tblData[ScenarioGroup],"="&amp;P38,
                   tblData[PrentGroup],"="&amp;O38)</f>
        <v>37615.780000000006</v>
      </c>
      <c r="S38" s="9">
        <f>SUMIFS(tblData[Amount],
                   tblData[Rpt Date],"="&amp;Q38,
                   tblData[ScenarioGroup],"="&amp;P38,
                   tblData[PrentGroup],"="&amp;O38)</f>
        <v>37615.780000000006</v>
      </c>
      <c r="U38" s="7" t="s">
        <v>69</v>
      </c>
      <c r="V38" s="7" t="str">
        <f t="shared" si="10"/>
        <v>61 to 90</v>
      </c>
      <c r="W38" s="8">
        <f t="shared" si="5"/>
        <v>43152</v>
      </c>
      <c r="X38" s="9">
        <f>SUMIFS(tblData[Amount],
                   tblData[Rpt Date],"="&amp;W38,
                   tblData[ScenarioGroup],"="&amp;V38,
                   tblData[PrentGroup],"="&amp;U38)</f>
        <v>5559.7500000000009</v>
      </c>
      <c r="Y38" s="9">
        <f>SUMIFS(tblData[Amount],
                   tblData[Rpt Date],"="&amp;W38,
                   tblData[ScenarioGroup],"="&amp;V38,
                   tblData[PrentGroup],"="&amp;U38)</f>
        <v>5559.7500000000009</v>
      </c>
      <c r="AA38" s="7" t="s">
        <v>41</v>
      </c>
      <c r="AB38" s="7" t="str">
        <f t="shared" si="11"/>
        <v>61 to 90</v>
      </c>
      <c r="AC38" s="8">
        <f t="shared" si="6"/>
        <v>43152</v>
      </c>
      <c r="AD38" s="9">
        <f>SUMIFS(tblData[Amount],
                   tblData[Rpt Date],"="&amp;AC38,
                   tblData[ScenarioGroup],"="&amp;AB38,
                   tblData[PrentGroup],"="&amp;AA38)</f>
        <v>715.61</v>
      </c>
      <c r="AE38" s="9">
        <f>SUMIFS(tblData[Amount],
                   tblData[Rpt Date],"="&amp;AC38,
                   tblData[ScenarioGroup],"="&amp;AB38,
                   tblData[PrentGroup],"="&amp;AA38)</f>
        <v>715.61</v>
      </c>
    </row>
    <row r="39" spans="1:31" x14ac:dyDescent="0.25">
      <c r="B39">
        <f t="shared" si="0"/>
        <v>33</v>
      </c>
      <c r="C39" s="7" t="s">
        <v>67</v>
      </c>
      <c r="D39" s="7" t="str">
        <f t="shared" si="7"/>
        <v>61 to 90</v>
      </c>
      <c r="E39" s="8">
        <f t="shared" si="1"/>
        <v>43159</v>
      </c>
      <c r="F39" s="9">
        <f>SUMIFS(tblData[Amount],
                   tblData[Rpt Date],"="&amp;$E39,
                   tblData[ScenarioGroup],"="&amp;$D39)</f>
        <v>57649.410000000011</v>
      </c>
      <c r="G39" s="9">
        <f t="shared" si="2"/>
        <v>57649.410000000011</v>
      </c>
      <c r="I39" s="7" t="s">
        <v>42</v>
      </c>
      <c r="J39" s="7" t="str">
        <f t="shared" si="8"/>
        <v>61 to 90</v>
      </c>
      <c r="K39" s="8">
        <f t="shared" si="3"/>
        <v>43159</v>
      </c>
      <c r="L39" s="9">
        <f>SUMIFS(tblData[Amount],
                   tblData[Rpt Date],"="&amp;K39,
                   tblData[ScenarioGroup],"="&amp;J39,
                   tblData[PrentGroup],"="&amp;I39)</f>
        <v>23303.250000000004</v>
      </c>
      <c r="M39" s="9">
        <f>SUMIFS(tblData[Amount],
                   tblData[Rpt Date],"="&amp;K39,
                   tblData[ScenarioGroup],"="&amp;J39,
                   tblData[PrentGroup],"="&amp;I39)</f>
        <v>23303.250000000004</v>
      </c>
      <c r="O39" s="7" t="s">
        <v>43</v>
      </c>
      <c r="P39" s="7" t="str">
        <f t="shared" si="9"/>
        <v>61 to 90</v>
      </c>
      <c r="Q39" s="8">
        <f t="shared" si="4"/>
        <v>43159</v>
      </c>
      <c r="R39" s="9">
        <f>SUMIFS(tblData[Amount],
                   tblData[Rpt Date],"="&amp;Q39,
                   tblData[ScenarioGroup],"="&amp;P39,
                   tblData[PrentGroup],"="&amp;O39)</f>
        <v>27687.58</v>
      </c>
      <c r="S39" s="9">
        <f>SUMIFS(tblData[Amount],
                   tblData[Rpt Date],"="&amp;Q39,
                   tblData[ScenarioGroup],"="&amp;P39,
                   tblData[PrentGroup],"="&amp;O39)</f>
        <v>27687.58</v>
      </c>
      <c r="U39" s="7" t="s">
        <v>69</v>
      </c>
      <c r="V39" s="7" t="str">
        <f t="shared" si="10"/>
        <v>61 to 90</v>
      </c>
      <c r="W39" s="8">
        <f t="shared" si="5"/>
        <v>43159</v>
      </c>
      <c r="X39" s="9">
        <f>SUMIFS(tblData[Amount],
                   tblData[Rpt Date],"="&amp;W39,
                   tblData[ScenarioGroup],"="&amp;V39,
                   tblData[PrentGroup],"="&amp;U39)</f>
        <v>5568.01</v>
      </c>
      <c r="Y39" s="9">
        <f>SUMIFS(tblData[Amount],
                   tblData[Rpt Date],"="&amp;W39,
                   tblData[ScenarioGroup],"="&amp;V39,
                   tblData[PrentGroup],"="&amp;U39)</f>
        <v>5568.01</v>
      </c>
      <c r="AA39" s="7" t="s">
        <v>41</v>
      </c>
      <c r="AB39" s="7" t="str">
        <f t="shared" si="11"/>
        <v>61 to 90</v>
      </c>
      <c r="AC39" s="8">
        <f t="shared" si="6"/>
        <v>43159</v>
      </c>
      <c r="AD39" s="9">
        <f>SUMIFS(tblData[Amount],
                   tblData[Rpt Date],"="&amp;AC39,
                   tblData[ScenarioGroup],"="&amp;AB39,
                   tblData[PrentGroup],"="&amp;AA39)</f>
        <v>1090.57</v>
      </c>
      <c r="AE39" s="9">
        <f>SUMIFS(tblData[Amount],
                   tblData[Rpt Date],"="&amp;AC39,
                   tblData[ScenarioGroup],"="&amp;AB39,
                   tblData[PrentGroup],"="&amp;AA39)</f>
        <v>1090.57</v>
      </c>
    </row>
    <row r="40" spans="1:31" x14ac:dyDescent="0.25">
      <c r="B40">
        <f t="shared" si="0"/>
        <v>34</v>
      </c>
      <c r="C40" s="7" t="s">
        <v>67</v>
      </c>
      <c r="D40" s="7" t="str">
        <f t="shared" si="7"/>
        <v>61 to 90</v>
      </c>
      <c r="E40" s="8">
        <f t="shared" si="1"/>
        <v>43166</v>
      </c>
      <c r="F40" s="9">
        <f>SUMIFS(tblData[Amount],
                   tblData[Rpt Date],"="&amp;$E40,
                   tblData[ScenarioGroup],"="&amp;$D40)</f>
        <v>65532.429999999993</v>
      </c>
      <c r="G40" s="9">
        <f t="shared" si="2"/>
        <v>65532.429999999993</v>
      </c>
      <c r="I40" s="7" t="s">
        <v>42</v>
      </c>
      <c r="J40" s="7" t="str">
        <f t="shared" si="8"/>
        <v>61 to 90</v>
      </c>
      <c r="K40" s="8">
        <f t="shared" si="3"/>
        <v>43166</v>
      </c>
      <c r="L40" s="9">
        <f>SUMIFS(tblData[Amount],
                   tblData[Rpt Date],"="&amp;K40,
                   tblData[ScenarioGroup],"="&amp;J40,
                   tblData[PrentGroup],"="&amp;I40)</f>
        <v>27171.94999999999</v>
      </c>
      <c r="M40" s="9">
        <f>SUMIFS(tblData[Amount],
                   tblData[Rpt Date],"="&amp;K40,
                   tblData[ScenarioGroup],"="&amp;J40,
                   tblData[PrentGroup],"="&amp;I40)</f>
        <v>27171.94999999999</v>
      </c>
      <c r="O40" s="7" t="s">
        <v>43</v>
      </c>
      <c r="P40" s="7" t="str">
        <f t="shared" si="9"/>
        <v>61 to 90</v>
      </c>
      <c r="Q40" s="8">
        <f t="shared" si="4"/>
        <v>43166</v>
      </c>
      <c r="R40" s="9">
        <f>SUMIFS(tblData[Amount],
                   tblData[Rpt Date],"="&amp;Q40,
                   tblData[ScenarioGroup],"="&amp;P40,
                   tblData[PrentGroup],"="&amp;O40)</f>
        <v>32492.750000000004</v>
      </c>
      <c r="S40" s="9">
        <f>SUMIFS(tblData[Amount],
                   tblData[Rpt Date],"="&amp;Q40,
                   tblData[ScenarioGroup],"="&amp;P40,
                   tblData[PrentGroup],"="&amp;O40)</f>
        <v>32492.750000000004</v>
      </c>
      <c r="U40" s="7" t="s">
        <v>69</v>
      </c>
      <c r="V40" s="7" t="str">
        <f t="shared" si="10"/>
        <v>61 to 90</v>
      </c>
      <c r="W40" s="8">
        <f t="shared" si="5"/>
        <v>43166</v>
      </c>
      <c r="X40" s="9">
        <f>SUMIFS(tblData[Amount],
                   tblData[Rpt Date],"="&amp;W40,
                   tblData[ScenarioGroup],"="&amp;V40,
                   tblData[PrentGroup],"="&amp;U40)</f>
        <v>4937.26</v>
      </c>
      <c r="Y40" s="9">
        <f>SUMIFS(tblData[Amount],
                   tblData[Rpt Date],"="&amp;W40,
                   tblData[ScenarioGroup],"="&amp;V40,
                   tblData[PrentGroup],"="&amp;U40)</f>
        <v>4937.26</v>
      </c>
      <c r="AA40" s="7" t="s">
        <v>41</v>
      </c>
      <c r="AB40" s="7" t="str">
        <f t="shared" si="11"/>
        <v>61 to 90</v>
      </c>
      <c r="AC40" s="8">
        <f t="shared" si="6"/>
        <v>43166</v>
      </c>
      <c r="AD40" s="9">
        <f>SUMIFS(tblData[Amount],
                   tblData[Rpt Date],"="&amp;AC40,
                   tblData[ScenarioGroup],"="&amp;AB40,
                   tblData[PrentGroup],"="&amp;AA40)</f>
        <v>930.47</v>
      </c>
      <c r="AE40" s="9">
        <f>SUMIFS(tblData[Amount],
                   tblData[Rpt Date],"="&amp;AC40,
                   tblData[ScenarioGroup],"="&amp;AB40,
                   tblData[PrentGroup],"="&amp;AA40)</f>
        <v>930.47</v>
      </c>
    </row>
    <row r="41" spans="1:31" x14ac:dyDescent="0.25">
      <c r="B41">
        <f t="shared" si="0"/>
        <v>35</v>
      </c>
      <c r="C41" s="7" t="s">
        <v>67</v>
      </c>
      <c r="D41" s="7" t="str">
        <f t="shared" si="7"/>
        <v>61 to 90</v>
      </c>
      <c r="E41" s="8">
        <f t="shared" si="1"/>
        <v>43173</v>
      </c>
      <c r="F41" s="9">
        <f>SUMIFS(tblData[Amount],
                   tblData[Rpt Date],"="&amp;$E41,
                   tblData[ScenarioGroup],"="&amp;$D41)</f>
        <v>76937.3</v>
      </c>
      <c r="G41" s="9">
        <f t="shared" si="2"/>
        <v>76937.3</v>
      </c>
      <c r="I41" s="7" t="s">
        <v>42</v>
      </c>
      <c r="J41" s="7" t="str">
        <f t="shared" si="8"/>
        <v>61 to 90</v>
      </c>
      <c r="K41" s="8">
        <f t="shared" si="3"/>
        <v>43173</v>
      </c>
      <c r="L41" s="9">
        <f>SUMIFS(tblData[Amount],
                   tblData[Rpt Date],"="&amp;K41,
                   tblData[ScenarioGroup],"="&amp;J41,
                   tblData[PrentGroup],"="&amp;I41)</f>
        <v>38447.600000000006</v>
      </c>
      <c r="M41" s="9">
        <f>SUMIFS(tblData[Amount],
                   tblData[Rpt Date],"="&amp;K41,
                   tblData[ScenarioGroup],"="&amp;J41,
                   tblData[PrentGroup],"="&amp;I41)</f>
        <v>38447.600000000006</v>
      </c>
      <c r="O41" s="7" t="s">
        <v>43</v>
      </c>
      <c r="P41" s="7" t="str">
        <f t="shared" si="9"/>
        <v>61 to 90</v>
      </c>
      <c r="Q41" s="8">
        <f t="shared" si="4"/>
        <v>43173</v>
      </c>
      <c r="R41" s="9">
        <f>SUMIFS(tblData[Amount],
                   tblData[Rpt Date],"="&amp;Q41,
                   tblData[ScenarioGroup],"="&amp;P41,
                   tblData[PrentGroup],"="&amp;O41)</f>
        <v>35361.230000000003</v>
      </c>
      <c r="S41" s="9">
        <f>SUMIFS(tblData[Amount],
                   tblData[Rpt Date],"="&amp;Q41,
                   tblData[ScenarioGroup],"="&amp;P41,
                   tblData[PrentGroup],"="&amp;O41)</f>
        <v>35361.230000000003</v>
      </c>
      <c r="U41" s="7" t="s">
        <v>69</v>
      </c>
      <c r="V41" s="7" t="str">
        <f t="shared" si="10"/>
        <v>61 to 90</v>
      </c>
      <c r="W41" s="8">
        <f t="shared" si="5"/>
        <v>43173</v>
      </c>
      <c r="X41" s="9">
        <f>SUMIFS(tblData[Amount],
                   tblData[Rpt Date],"="&amp;W41,
                   tblData[ScenarioGroup],"="&amp;V41,
                   tblData[PrentGroup],"="&amp;U41)</f>
        <v>1968.19</v>
      </c>
      <c r="Y41" s="9">
        <f>SUMIFS(tblData[Amount],
                   tblData[Rpt Date],"="&amp;W41,
                   tblData[ScenarioGroup],"="&amp;V41,
                   tblData[PrentGroup],"="&amp;U41)</f>
        <v>1968.19</v>
      </c>
      <c r="AA41" s="7" t="s">
        <v>41</v>
      </c>
      <c r="AB41" s="7" t="str">
        <f t="shared" si="11"/>
        <v>61 to 90</v>
      </c>
      <c r="AC41" s="8">
        <f t="shared" si="6"/>
        <v>43173</v>
      </c>
      <c r="AD41" s="9">
        <f>SUMIFS(tblData[Amount],
                   tblData[Rpt Date],"="&amp;AC41,
                   tblData[ScenarioGroup],"="&amp;AB41,
                   tblData[PrentGroup],"="&amp;AA41)</f>
        <v>1160.28</v>
      </c>
      <c r="AE41" s="9">
        <f>SUMIFS(tblData[Amount],
                   tblData[Rpt Date],"="&amp;AC41,
                   tblData[ScenarioGroup],"="&amp;AB41,
                   tblData[PrentGroup],"="&amp;AA41)</f>
        <v>1160.28</v>
      </c>
    </row>
    <row r="42" spans="1:31" x14ac:dyDescent="0.25">
      <c r="B42">
        <f t="shared" si="0"/>
        <v>36</v>
      </c>
      <c r="C42" s="7" t="s">
        <v>67</v>
      </c>
      <c r="D42" s="7" t="str">
        <f t="shared" si="7"/>
        <v>61 to 90</v>
      </c>
      <c r="E42" s="8">
        <f t="shared" si="1"/>
        <v>43180</v>
      </c>
      <c r="F42" s="9">
        <f>SUMIFS(tblData[Amount],
                   tblData[Rpt Date],"="&amp;$E42,
                   tblData[ScenarioGroup],"="&amp;$D42)</f>
        <v>68062.960000000006</v>
      </c>
      <c r="G42" s="9">
        <f t="shared" si="2"/>
        <v>68062.960000000006</v>
      </c>
      <c r="I42" s="7" t="s">
        <v>42</v>
      </c>
      <c r="J42" s="7" t="str">
        <f t="shared" si="8"/>
        <v>61 to 90</v>
      </c>
      <c r="K42" s="8">
        <f t="shared" si="3"/>
        <v>43180</v>
      </c>
      <c r="L42" s="9">
        <f>SUMIFS(tblData[Amount],
                   tblData[Rpt Date],"="&amp;K42,
                   tblData[ScenarioGroup],"="&amp;J42,
                   tblData[PrentGroup],"="&amp;I42)</f>
        <v>31636.07</v>
      </c>
      <c r="M42" s="9">
        <f>SUMIFS(tblData[Amount],
                   tblData[Rpt Date],"="&amp;K42,
                   tblData[ScenarioGroup],"="&amp;J42,
                   tblData[PrentGroup],"="&amp;I42)</f>
        <v>31636.07</v>
      </c>
      <c r="O42" s="7" t="s">
        <v>43</v>
      </c>
      <c r="P42" s="7" t="str">
        <f t="shared" si="9"/>
        <v>61 to 90</v>
      </c>
      <c r="Q42" s="8">
        <f t="shared" si="4"/>
        <v>43180</v>
      </c>
      <c r="R42" s="9">
        <f>SUMIFS(tblData[Amount],
                   tblData[Rpt Date],"="&amp;Q42,
                   tblData[ScenarioGroup],"="&amp;P42,
                   tblData[PrentGroup],"="&amp;O42)</f>
        <v>30125.339999999997</v>
      </c>
      <c r="S42" s="9">
        <f>SUMIFS(tblData[Amount],
                   tblData[Rpt Date],"="&amp;Q42,
                   tblData[ScenarioGroup],"="&amp;P42,
                   tblData[PrentGroup],"="&amp;O42)</f>
        <v>30125.339999999997</v>
      </c>
      <c r="U42" s="7" t="s">
        <v>69</v>
      </c>
      <c r="V42" s="7" t="str">
        <f t="shared" si="10"/>
        <v>61 to 90</v>
      </c>
      <c r="W42" s="8">
        <f t="shared" si="5"/>
        <v>43180</v>
      </c>
      <c r="X42" s="9">
        <f>SUMIFS(tblData[Amount],
                   tblData[Rpt Date],"="&amp;W42,
                   tblData[ScenarioGroup],"="&amp;V42,
                   tblData[PrentGroup],"="&amp;U42)</f>
        <v>5141.2700000000004</v>
      </c>
      <c r="Y42" s="9">
        <f>SUMIFS(tblData[Amount],
                   tblData[Rpt Date],"="&amp;W42,
                   tblData[ScenarioGroup],"="&amp;V42,
                   tblData[PrentGroup],"="&amp;U42)</f>
        <v>5141.2700000000004</v>
      </c>
      <c r="AA42" s="7" t="s">
        <v>41</v>
      </c>
      <c r="AB42" s="7" t="str">
        <f t="shared" si="11"/>
        <v>61 to 90</v>
      </c>
      <c r="AC42" s="8">
        <f t="shared" si="6"/>
        <v>43180</v>
      </c>
      <c r="AD42" s="9">
        <f>SUMIFS(tblData[Amount],
                   tblData[Rpt Date],"="&amp;AC42,
                   tblData[ScenarioGroup],"="&amp;AB42,
                   tblData[PrentGroup],"="&amp;AA42)</f>
        <v>1160.28</v>
      </c>
      <c r="AE42" s="9">
        <f>SUMIFS(tblData[Amount],
                   tblData[Rpt Date],"="&amp;AC42,
                   tblData[ScenarioGroup],"="&amp;AB42,
                   tblData[PrentGroup],"="&amp;AA42)</f>
        <v>1160.28</v>
      </c>
    </row>
    <row r="43" spans="1:31" x14ac:dyDescent="0.25">
      <c r="B43">
        <f t="shared" si="0"/>
        <v>37</v>
      </c>
      <c r="C43" s="7" t="s">
        <v>67</v>
      </c>
      <c r="D43" s="7" t="str">
        <f t="shared" si="7"/>
        <v>61 to 90</v>
      </c>
      <c r="E43" s="8">
        <f t="shared" si="1"/>
        <v>43187</v>
      </c>
      <c r="F43" s="9">
        <f>SUMIFS(tblData[Amount],
                   tblData[Rpt Date],"="&amp;$E43,
                   tblData[ScenarioGroup],"="&amp;$D43)</f>
        <v>80030.84</v>
      </c>
      <c r="G43" s="9">
        <f t="shared" si="2"/>
        <v>80030.84</v>
      </c>
      <c r="I43" s="7" t="s">
        <v>42</v>
      </c>
      <c r="J43" s="7" t="str">
        <f t="shared" si="8"/>
        <v>61 to 90</v>
      </c>
      <c r="K43" s="8">
        <f t="shared" si="3"/>
        <v>43187</v>
      </c>
      <c r="L43" s="9">
        <f>SUMIFS(tblData[Amount],
                   tblData[Rpt Date],"="&amp;K43,
                   tblData[ScenarioGroup],"="&amp;J43,
                   tblData[PrentGroup],"="&amp;I43)</f>
        <v>46197.76999999999</v>
      </c>
      <c r="M43" s="9">
        <f>SUMIFS(tblData[Amount],
                   tblData[Rpt Date],"="&amp;K43,
                   tblData[ScenarioGroup],"="&amp;J43,
                   tblData[PrentGroup],"="&amp;I43)</f>
        <v>46197.76999999999</v>
      </c>
      <c r="O43" s="7" t="s">
        <v>43</v>
      </c>
      <c r="P43" s="7" t="str">
        <f t="shared" si="9"/>
        <v>61 to 90</v>
      </c>
      <c r="Q43" s="8">
        <f t="shared" si="4"/>
        <v>43187</v>
      </c>
      <c r="R43" s="9">
        <f>SUMIFS(tblData[Amount],
                   tblData[Rpt Date],"="&amp;Q43,
                   tblData[ScenarioGroup],"="&amp;P43,
                   tblData[PrentGroup],"="&amp;O43)</f>
        <v>27597.419999999995</v>
      </c>
      <c r="S43" s="9">
        <f>SUMIFS(tblData[Amount],
                   tblData[Rpt Date],"="&amp;Q43,
                   tblData[ScenarioGroup],"="&amp;P43,
                   tblData[PrentGroup],"="&amp;O43)</f>
        <v>27597.419999999995</v>
      </c>
      <c r="U43" s="7" t="s">
        <v>69</v>
      </c>
      <c r="V43" s="7" t="str">
        <f t="shared" si="10"/>
        <v>61 to 90</v>
      </c>
      <c r="W43" s="8">
        <f t="shared" si="5"/>
        <v>43187</v>
      </c>
      <c r="X43" s="9">
        <f>SUMIFS(tblData[Amount],
                   tblData[Rpt Date],"="&amp;W43,
                   tblData[ScenarioGroup],"="&amp;V43,
                   tblData[PrentGroup],"="&amp;U43)</f>
        <v>4579.9600000000009</v>
      </c>
      <c r="Y43" s="9">
        <f>SUMIFS(tblData[Amount],
                   tblData[Rpt Date],"="&amp;W43,
                   tblData[ScenarioGroup],"="&amp;V43,
                   tblData[PrentGroup],"="&amp;U43)</f>
        <v>4579.9600000000009</v>
      </c>
      <c r="AA43" s="7" t="s">
        <v>41</v>
      </c>
      <c r="AB43" s="7" t="str">
        <f t="shared" si="11"/>
        <v>61 to 90</v>
      </c>
      <c r="AC43" s="8">
        <f t="shared" si="6"/>
        <v>43187</v>
      </c>
      <c r="AD43" s="9">
        <f>SUMIFS(tblData[Amount],
                   tblData[Rpt Date],"="&amp;AC43,
                   tblData[ScenarioGroup],"="&amp;AB43,
                   tblData[PrentGroup],"="&amp;AA43)</f>
        <v>1655.69</v>
      </c>
      <c r="AE43" s="9">
        <f>SUMIFS(tblData[Amount],
                   tblData[Rpt Date],"="&amp;AC43,
                   tblData[ScenarioGroup],"="&amp;AB43,
                   tblData[PrentGroup],"="&amp;AA43)</f>
        <v>1655.69</v>
      </c>
    </row>
    <row r="44" spans="1:31" x14ac:dyDescent="0.25">
      <c r="B44">
        <f t="shared" si="0"/>
        <v>38</v>
      </c>
      <c r="C44" s="7" t="s">
        <v>67</v>
      </c>
      <c r="D44" s="7" t="str">
        <f t="shared" si="7"/>
        <v>61 to 90</v>
      </c>
      <c r="E44" s="8">
        <f t="shared" si="1"/>
        <v>43194</v>
      </c>
      <c r="F44" s="9">
        <f>SUMIFS(tblData[Amount],
                   tblData[Rpt Date],"="&amp;$E44,
                   tblData[ScenarioGroup],"="&amp;$D44)</f>
        <v>82501.359999999986</v>
      </c>
      <c r="G44" s="9">
        <f t="shared" si="2"/>
        <v>82501.359999999986</v>
      </c>
      <c r="I44" s="7" t="s">
        <v>42</v>
      </c>
      <c r="J44" s="7" t="str">
        <f t="shared" si="8"/>
        <v>61 to 90</v>
      </c>
      <c r="K44" s="8">
        <f t="shared" si="3"/>
        <v>43194</v>
      </c>
      <c r="L44" s="9">
        <f>SUMIFS(tblData[Amount],
                   tblData[Rpt Date],"="&amp;K44,
                   tblData[ScenarioGroup],"="&amp;J44,
                   tblData[PrentGroup],"="&amp;I44)</f>
        <v>47472.98</v>
      </c>
      <c r="M44" s="9">
        <f>SUMIFS(tblData[Amount],
                   tblData[Rpt Date],"="&amp;K44,
                   tblData[ScenarioGroup],"="&amp;J44,
                   tblData[PrentGroup],"="&amp;I44)</f>
        <v>47472.98</v>
      </c>
      <c r="O44" s="7" t="s">
        <v>43</v>
      </c>
      <c r="P44" s="7" t="str">
        <f t="shared" si="9"/>
        <v>61 to 90</v>
      </c>
      <c r="Q44" s="8">
        <f t="shared" si="4"/>
        <v>43194</v>
      </c>
      <c r="R44" s="9">
        <f>SUMIFS(tblData[Amount],
                   tblData[Rpt Date],"="&amp;Q44,
                   tblData[ScenarioGroup],"="&amp;P44,
                   tblData[PrentGroup],"="&amp;O44)</f>
        <v>27194.859999999997</v>
      </c>
      <c r="S44" s="9">
        <f>SUMIFS(tblData[Amount],
                   tblData[Rpt Date],"="&amp;Q44,
                   tblData[ScenarioGroup],"="&amp;P44,
                   tblData[PrentGroup],"="&amp;O44)</f>
        <v>27194.859999999997</v>
      </c>
      <c r="U44" s="7" t="s">
        <v>69</v>
      </c>
      <c r="V44" s="7" t="str">
        <f t="shared" si="10"/>
        <v>61 to 90</v>
      </c>
      <c r="W44" s="8">
        <f t="shared" si="5"/>
        <v>43194</v>
      </c>
      <c r="X44" s="9">
        <f>SUMIFS(tblData[Amount],
                   tblData[Rpt Date],"="&amp;W44,
                   tblData[ScenarioGroup],"="&amp;V44,
                   tblData[PrentGroup],"="&amp;U44)</f>
        <v>6162.0199999999995</v>
      </c>
      <c r="Y44" s="9">
        <f>SUMIFS(tblData[Amount],
                   tblData[Rpt Date],"="&amp;W44,
                   tblData[ScenarioGroup],"="&amp;V44,
                   tblData[PrentGroup],"="&amp;U44)</f>
        <v>6162.0199999999995</v>
      </c>
      <c r="AA44" s="7" t="s">
        <v>41</v>
      </c>
      <c r="AB44" s="7" t="str">
        <f t="shared" si="11"/>
        <v>61 to 90</v>
      </c>
      <c r="AC44" s="8">
        <f t="shared" si="6"/>
        <v>43194</v>
      </c>
      <c r="AD44" s="9">
        <f>SUMIFS(tblData[Amount],
                   tblData[Rpt Date],"="&amp;AC44,
                   tblData[ScenarioGroup],"="&amp;AB44,
                   tblData[PrentGroup],"="&amp;AA44)</f>
        <v>1671.5</v>
      </c>
      <c r="AE44" s="9">
        <f>SUMIFS(tblData[Amount],
                   tblData[Rpt Date],"="&amp;AC44,
                   tblData[ScenarioGroup],"="&amp;AB44,
                   tblData[PrentGroup],"="&amp;AA44)</f>
        <v>1671.5</v>
      </c>
    </row>
    <row r="45" spans="1:31" x14ac:dyDescent="0.25">
      <c r="B45">
        <f t="shared" si="0"/>
        <v>39</v>
      </c>
      <c r="C45" s="7" t="s">
        <v>67</v>
      </c>
      <c r="D45" s="7" t="str">
        <f t="shared" si="7"/>
        <v>61 to 90</v>
      </c>
      <c r="E45" s="8">
        <f t="shared" si="1"/>
        <v>43201</v>
      </c>
      <c r="F45" s="9">
        <f>SUMIFS(tblData[Amount],
                   tblData[Rpt Date],"="&amp;$E45,
                   tblData[ScenarioGroup],"="&amp;$D45)</f>
        <v>78538.690000000031</v>
      </c>
      <c r="G45" s="9">
        <f t="shared" si="2"/>
        <v>78538.690000000031</v>
      </c>
      <c r="I45" s="7" t="s">
        <v>42</v>
      </c>
      <c r="J45" s="7" t="str">
        <f t="shared" si="8"/>
        <v>61 to 90</v>
      </c>
      <c r="K45" s="8">
        <f t="shared" si="3"/>
        <v>43201</v>
      </c>
      <c r="L45" s="9">
        <f>SUMIFS(tblData[Amount],
                   tblData[Rpt Date],"="&amp;K45,
                   tblData[ScenarioGroup],"="&amp;J45,
                   tblData[PrentGroup],"="&amp;I45)</f>
        <v>50981.020000000026</v>
      </c>
      <c r="M45" s="9">
        <f>SUMIFS(tblData[Amount],
                   tblData[Rpt Date],"="&amp;K45,
                   tblData[ScenarioGroup],"="&amp;J45,
                   tblData[PrentGroup],"="&amp;I45)</f>
        <v>50981.020000000026</v>
      </c>
      <c r="O45" s="7" t="s">
        <v>43</v>
      </c>
      <c r="P45" s="7" t="str">
        <f t="shared" si="9"/>
        <v>61 to 90</v>
      </c>
      <c r="Q45" s="8">
        <f t="shared" si="4"/>
        <v>43201</v>
      </c>
      <c r="R45" s="9">
        <f>SUMIFS(tblData[Amount],
                   tblData[Rpt Date],"="&amp;Q45,
                   tblData[ScenarioGroup],"="&amp;P45,
                   tblData[PrentGroup],"="&amp;O45)</f>
        <v>19660.82</v>
      </c>
      <c r="S45" s="9">
        <f>SUMIFS(tblData[Amount],
                   tblData[Rpt Date],"="&amp;Q45,
                   tblData[ScenarioGroup],"="&amp;P45,
                   tblData[PrentGroup],"="&amp;O45)</f>
        <v>19660.82</v>
      </c>
      <c r="U45" s="7" t="s">
        <v>69</v>
      </c>
      <c r="V45" s="7" t="str">
        <f t="shared" si="10"/>
        <v>61 to 90</v>
      </c>
      <c r="W45" s="8">
        <f t="shared" si="5"/>
        <v>43201</v>
      </c>
      <c r="X45" s="9">
        <f>SUMIFS(tblData[Amount],
                   tblData[Rpt Date],"="&amp;W45,
                   tblData[ScenarioGroup],"="&amp;V45,
                   tblData[PrentGroup],"="&amp;U45)</f>
        <v>7029.91</v>
      </c>
      <c r="Y45" s="9">
        <f>SUMIFS(tblData[Amount],
                   tblData[Rpt Date],"="&amp;W45,
                   tblData[ScenarioGroup],"="&amp;V45,
                   tblData[PrentGroup],"="&amp;U45)</f>
        <v>7029.91</v>
      </c>
      <c r="AA45" s="7" t="s">
        <v>41</v>
      </c>
      <c r="AB45" s="7" t="str">
        <f t="shared" si="11"/>
        <v>61 to 90</v>
      </c>
      <c r="AC45" s="8">
        <f t="shared" si="6"/>
        <v>43201</v>
      </c>
      <c r="AD45" s="9">
        <f>SUMIFS(tblData[Amount],
                   tblData[Rpt Date],"="&amp;AC45,
                   tblData[ScenarioGroup],"="&amp;AB45,
                   tblData[PrentGroup],"="&amp;AA45)</f>
        <v>866.94</v>
      </c>
      <c r="AE45" s="9">
        <f>SUMIFS(tblData[Amount],
                   tblData[Rpt Date],"="&amp;AC45,
                   tblData[ScenarioGroup],"="&amp;AB45,
                   tblData[PrentGroup],"="&amp;AA45)</f>
        <v>866.94</v>
      </c>
    </row>
    <row r="46" spans="1:31" x14ac:dyDescent="0.25">
      <c r="A46" t="str">
        <f>TEXT(E46,"MMM")&amp;CHAR(10)&amp;TEXT(E46,"YY")</f>
        <v>Apr
18</v>
      </c>
      <c r="B46">
        <f t="shared" si="0"/>
        <v>40</v>
      </c>
      <c r="C46" s="7" t="s">
        <v>67</v>
      </c>
      <c r="D46" s="7" t="str">
        <f t="shared" si="7"/>
        <v>61 to 90</v>
      </c>
      <c r="E46" s="8">
        <f t="shared" si="1"/>
        <v>43208</v>
      </c>
      <c r="F46" s="9">
        <f>SUMIFS(tblData[Amount],
                   tblData[Rpt Date],"="&amp;$E46,
                   tblData[ScenarioGroup],"="&amp;$D46)</f>
        <v>80464.319999999978</v>
      </c>
      <c r="G46" s="9">
        <f t="shared" si="2"/>
        <v>80464.319999999978</v>
      </c>
      <c r="I46" s="7" t="s">
        <v>42</v>
      </c>
      <c r="J46" s="7" t="str">
        <f t="shared" si="8"/>
        <v>61 to 90</v>
      </c>
      <c r="K46" s="8">
        <f t="shared" si="3"/>
        <v>43208</v>
      </c>
      <c r="L46" s="9">
        <f>SUMIFS(tblData[Amount],
                   tblData[Rpt Date],"="&amp;K46,
                   tblData[ScenarioGroup],"="&amp;J46,
                   tblData[PrentGroup],"="&amp;I46)</f>
        <v>51787.599999999991</v>
      </c>
      <c r="M46" s="9">
        <f>SUMIFS(tblData[Amount],
                   tblData[Rpt Date],"="&amp;K46,
                   tblData[ScenarioGroup],"="&amp;J46,
                   tblData[PrentGroup],"="&amp;I46)</f>
        <v>51787.599999999991</v>
      </c>
      <c r="O46" s="7" t="s">
        <v>43</v>
      </c>
      <c r="P46" s="7" t="str">
        <f t="shared" si="9"/>
        <v>61 to 90</v>
      </c>
      <c r="Q46" s="8">
        <f t="shared" si="4"/>
        <v>43208</v>
      </c>
      <c r="R46" s="9">
        <f>SUMIFS(tblData[Amount],
                   tblData[Rpt Date],"="&amp;Q46,
                   tblData[ScenarioGroup],"="&amp;P46,
                   tblData[PrentGroup],"="&amp;O46)</f>
        <v>21590.71</v>
      </c>
      <c r="S46" s="9">
        <f>SUMIFS(tblData[Amount],
                   tblData[Rpt Date],"="&amp;Q46,
                   tblData[ScenarioGroup],"="&amp;P46,
                   tblData[PrentGroup],"="&amp;O46)</f>
        <v>21590.71</v>
      </c>
      <c r="U46" s="7" t="s">
        <v>69</v>
      </c>
      <c r="V46" s="7" t="str">
        <f t="shared" si="10"/>
        <v>61 to 90</v>
      </c>
      <c r="W46" s="8">
        <f t="shared" si="5"/>
        <v>43208</v>
      </c>
      <c r="X46" s="9">
        <f>SUMIFS(tblData[Amount],
                   tblData[Rpt Date],"="&amp;W46,
                   tblData[ScenarioGroup],"="&amp;V46,
                   tblData[PrentGroup],"="&amp;U46)</f>
        <v>6550.670000000001</v>
      </c>
      <c r="Y46" s="9">
        <f>SUMIFS(tblData[Amount],
                   tblData[Rpt Date],"="&amp;W46,
                   tblData[ScenarioGroup],"="&amp;V46,
                   tblData[PrentGroup],"="&amp;U46)</f>
        <v>6550.670000000001</v>
      </c>
      <c r="AA46" s="7" t="s">
        <v>41</v>
      </c>
      <c r="AB46" s="7" t="str">
        <f t="shared" si="11"/>
        <v>61 to 90</v>
      </c>
      <c r="AC46" s="8">
        <f t="shared" si="6"/>
        <v>43208</v>
      </c>
      <c r="AD46" s="9">
        <f>SUMIFS(tblData[Amount],
                   tblData[Rpt Date],"="&amp;AC46,
                   tblData[ScenarioGroup],"="&amp;AB46,
                   tblData[PrentGroup],"="&amp;AA46)</f>
        <v>535.33999999999992</v>
      </c>
      <c r="AE46" s="9">
        <f>SUMIFS(tblData[Amount],
                   tblData[Rpt Date],"="&amp;AC46,
                   tblData[ScenarioGroup],"="&amp;AB46,
                   tblData[PrentGroup],"="&amp;AA46)</f>
        <v>535.33999999999992</v>
      </c>
    </row>
    <row r="47" spans="1:31" x14ac:dyDescent="0.25">
      <c r="B47">
        <f t="shared" si="0"/>
        <v>41</v>
      </c>
      <c r="C47" s="7" t="s">
        <v>67</v>
      </c>
      <c r="D47" s="7" t="str">
        <f t="shared" si="7"/>
        <v>61 to 90</v>
      </c>
      <c r="E47" s="8">
        <f t="shared" si="1"/>
        <v>43215</v>
      </c>
      <c r="F47" s="9">
        <f>SUMIFS(tblData[Amount],
                   tblData[Rpt Date],"="&amp;$E47,
                   tblData[ScenarioGroup],"="&amp;$D47)</f>
        <v>85517.10000000002</v>
      </c>
      <c r="G47" s="9">
        <f t="shared" si="2"/>
        <v>85517.10000000002</v>
      </c>
      <c r="I47" s="7" t="s">
        <v>42</v>
      </c>
      <c r="J47" s="7" t="str">
        <f t="shared" si="8"/>
        <v>61 to 90</v>
      </c>
      <c r="K47" s="8">
        <f t="shared" si="3"/>
        <v>43215</v>
      </c>
      <c r="L47" s="9">
        <f>SUMIFS(tblData[Amount],
                   tblData[Rpt Date],"="&amp;K47,
                   tblData[ScenarioGroup],"="&amp;J47,
                   tblData[PrentGroup],"="&amp;I47)</f>
        <v>58300.380000000019</v>
      </c>
      <c r="M47" s="9">
        <f>SUMIFS(tblData[Amount],
                   tblData[Rpt Date],"="&amp;K47,
                   tblData[ScenarioGroup],"="&amp;J47,
                   tblData[PrentGroup],"="&amp;I47)</f>
        <v>58300.380000000019</v>
      </c>
      <c r="O47" s="7" t="s">
        <v>43</v>
      </c>
      <c r="P47" s="7" t="str">
        <f t="shared" si="9"/>
        <v>61 to 90</v>
      </c>
      <c r="Q47" s="8">
        <f t="shared" si="4"/>
        <v>43215</v>
      </c>
      <c r="R47" s="9">
        <f>SUMIFS(tblData[Amount],
                   tblData[Rpt Date],"="&amp;Q47,
                   tblData[ScenarioGroup],"="&amp;P47,
                   tblData[PrentGroup],"="&amp;O47)</f>
        <v>20118.849999999999</v>
      </c>
      <c r="S47" s="9">
        <f>SUMIFS(tblData[Amount],
                   tblData[Rpt Date],"="&amp;Q47,
                   tblData[ScenarioGroup],"="&amp;P47,
                   tblData[PrentGroup],"="&amp;O47)</f>
        <v>20118.849999999999</v>
      </c>
      <c r="U47" s="7" t="s">
        <v>69</v>
      </c>
      <c r="V47" s="7" t="str">
        <f t="shared" si="10"/>
        <v>61 to 90</v>
      </c>
      <c r="W47" s="8">
        <f t="shared" si="5"/>
        <v>43215</v>
      </c>
      <c r="X47" s="9">
        <f>SUMIFS(tblData[Amount],
                   tblData[Rpt Date],"="&amp;W47,
                   tblData[ScenarioGroup],"="&amp;V47,
                   tblData[PrentGroup],"="&amp;U47)</f>
        <v>6205.4000000000005</v>
      </c>
      <c r="Y47" s="9">
        <f>SUMIFS(tblData[Amount],
                   tblData[Rpt Date],"="&amp;W47,
                   tblData[ScenarioGroup],"="&amp;V47,
                   tblData[PrentGroup],"="&amp;U47)</f>
        <v>6205.4000000000005</v>
      </c>
      <c r="AA47" s="7" t="s">
        <v>41</v>
      </c>
      <c r="AB47" s="7" t="str">
        <f t="shared" si="11"/>
        <v>61 to 90</v>
      </c>
      <c r="AC47" s="8">
        <f t="shared" si="6"/>
        <v>43215</v>
      </c>
      <c r="AD47" s="9">
        <f>SUMIFS(tblData[Amount],
                   tblData[Rpt Date],"="&amp;AC47,
                   tblData[ScenarioGroup],"="&amp;AB47,
                   tblData[PrentGroup],"="&amp;AA47)</f>
        <v>892.46999999999991</v>
      </c>
      <c r="AE47" s="9">
        <f>SUMIFS(tblData[Amount],
                   tblData[Rpt Date],"="&amp;AC47,
                   tblData[ScenarioGroup],"="&amp;AB47,
                   tblData[PrentGroup],"="&amp;AA47)</f>
        <v>892.46999999999991</v>
      </c>
    </row>
    <row r="48" spans="1:31" x14ac:dyDescent="0.25">
      <c r="B48">
        <f t="shared" si="0"/>
        <v>42</v>
      </c>
      <c r="C48" s="7" t="s">
        <v>67</v>
      </c>
      <c r="D48" s="7" t="str">
        <f t="shared" si="7"/>
        <v>61 to 90</v>
      </c>
      <c r="E48" s="8">
        <f t="shared" si="1"/>
        <v>43222</v>
      </c>
      <c r="F48" s="9" t="e">
        <f>NA()</f>
        <v>#N/A</v>
      </c>
      <c r="G48" s="9" t="e">
        <f>NA()</f>
        <v>#N/A</v>
      </c>
      <c r="I48" s="7" t="s">
        <v>42</v>
      </c>
      <c r="J48" s="7" t="str">
        <f t="shared" si="8"/>
        <v>61 to 90</v>
      </c>
      <c r="K48" s="8">
        <f t="shared" si="3"/>
        <v>43222</v>
      </c>
      <c r="L48" s="9">
        <f>SUMIFS(tblData[Amount],
                   tblData[Rpt Date],"="&amp;K48,
                   tblData[ScenarioGroup],"="&amp;J48,
                   tblData[PrentGroup],"="&amp;I48)</f>
        <v>0</v>
      </c>
      <c r="M48" s="9">
        <f>SUMIFS(tblData[Amount],
                   tblData[Rpt Date],"="&amp;K48,
                   tblData[ScenarioGroup],"="&amp;J48,
                   tblData[PrentGroup],"="&amp;I48)</f>
        <v>0</v>
      </c>
      <c r="O48" s="7" t="s">
        <v>43</v>
      </c>
      <c r="P48" s="7" t="str">
        <f t="shared" si="9"/>
        <v>61 to 90</v>
      </c>
      <c r="Q48" s="8">
        <f t="shared" si="4"/>
        <v>43222</v>
      </c>
      <c r="R48" s="9">
        <f>SUMIFS(tblData[Amount],
                   tblData[Rpt Date],"="&amp;Q48,
                   tblData[ScenarioGroup],"="&amp;P48,
                   tblData[PrentGroup],"="&amp;O48)</f>
        <v>0</v>
      </c>
      <c r="S48" s="9">
        <f>SUMIFS(tblData[Amount],
                   tblData[Rpt Date],"="&amp;Q48,
                   tblData[ScenarioGroup],"="&amp;P48,
                   tblData[PrentGroup],"="&amp;O48)</f>
        <v>0</v>
      </c>
      <c r="U48" s="7" t="s">
        <v>69</v>
      </c>
      <c r="V48" s="7" t="str">
        <f t="shared" si="10"/>
        <v>61 to 90</v>
      </c>
      <c r="W48" s="8">
        <f t="shared" si="5"/>
        <v>43222</v>
      </c>
      <c r="X48" s="9">
        <f>SUMIFS(tblData[Amount],
                   tblData[Rpt Date],"="&amp;W48,
                   tblData[ScenarioGroup],"="&amp;V48,
                   tblData[PrentGroup],"="&amp;U48)</f>
        <v>0</v>
      </c>
      <c r="Y48" s="9">
        <f>SUMIFS(tblData[Amount],
                   tblData[Rpt Date],"="&amp;W48,
                   tblData[ScenarioGroup],"="&amp;V48,
                   tblData[PrentGroup],"="&amp;U48)</f>
        <v>0</v>
      </c>
      <c r="AA48" s="7" t="s">
        <v>41</v>
      </c>
      <c r="AB48" s="7" t="str">
        <f t="shared" si="11"/>
        <v>61 to 90</v>
      </c>
      <c r="AC48" s="8">
        <f t="shared" si="6"/>
        <v>43222</v>
      </c>
      <c r="AD48" s="9">
        <f>SUMIFS(tblData[Amount],
                   tblData[Rpt Date],"="&amp;AC48,
                   tblData[ScenarioGroup],"="&amp;AB48,
                   tblData[PrentGroup],"="&amp;AA48)</f>
        <v>0</v>
      </c>
      <c r="AE48" s="9">
        <f>SUMIFS(tblData[Amount],
                   tblData[Rpt Date],"="&amp;AC48,
                   tblData[ScenarioGroup],"="&amp;AB48,
                   tblData[PrentGroup],"="&amp;AA48)</f>
        <v>0</v>
      </c>
    </row>
    <row r="49" spans="1:31" x14ac:dyDescent="0.25">
      <c r="B49">
        <f t="shared" si="0"/>
        <v>43</v>
      </c>
      <c r="C49" s="7" t="s">
        <v>67</v>
      </c>
      <c r="D49" s="7" t="str">
        <f t="shared" si="7"/>
        <v>61 to 90</v>
      </c>
      <c r="E49" s="8">
        <f t="shared" si="1"/>
        <v>43229</v>
      </c>
      <c r="F49" s="9" t="e">
        <f>NA()</f>
        <v>#N/A</v>
      </c>
      <c r="G49" s="9" t="e">
        <f>NA()</f>
        <v>#N/A</v>
      </c>
      <c r="I49" s="7" t="s">
        <v>42</v>
      </c>
      <c r="J49" s="7" t="str">
        <f t="shared" si="8"/>
        <v>61 to 90</v>
      </c>
      <c r="K49" s="8">
        <f t="shared" si="3"/>
        <v>43229</v>
      </c>
      <c r="L49" s="9">
        <f>SUMIFS(tblData[Amount],
                   tblData[Rpt Date],"="&amp;K49,
                   tblData[ScenarioGroup],"="&amp;J49,
                   tblData[PrentGroup],"="&amp;I49)</f>
        <v>0</v>
      </c>
      <c r="M49" s="9">
        <f>SUMIFS(tblData[Amount],
                   tblData[Rpt Date],"="&amp;K49,
                   tblData[ScenarioGroup],"="&amp;J49,
                   tblData[PrentGroup],"="&amp;I49)</f>
        <v>0</v>
      </c>
      <c r="O49" s="7" t="s">
        <v>43</v>
      </c>
      <c r="P49" s="7" t="str">
        <f t="shared" si="9"/>
        <v>61 to 90</v>
      </c>
      <c r="Q49" s="8">
        <f t="shared" si="4"/>
        <v>43229</v>
      </c>
      <c r="R49" s="9">
        <f>SUMIFS(tblData[Amount],
                   tblData[Rpt Date],"="&amp;Q49,
                   tblData[ScenarioGroup],"="&amp;P49,
                   tblData[PrentGroup],"="&amp;O49)</f>
        <v>0</v>
      </c>
      <c r="S49" s="9">
        <f>SUMIFS(tblData[Amount],
                   tblData[Rpt Date],"="&amp;Q49,
                   tblData[ScenarioGroup],"="&amp;P49,
                   tblData[PrentGroup],"="&amp;O49)</f>
        <v>0</v>
      </c>
      <c r="U49" s="7" t="s">
        <v>69</v>
      </c>
      <c r="V49" s="7" t="str">
        <f t="shared" si="10"/>
        <v>61 to 90</v>
      </c>
      <c r="W49" s="8">
        <f t="shared" si="5"/>
        <v>43229</v>
      </c>
      <c r="X49" s="9">
        <f>SUMIFS(tblData[Amount],
                   tblData[Rpt Date],"="&amp;W49,
                   tblData[ScenarioGroup],"="&amp;V49,
                   tblData[PrentGroup],"="&amp;U49)</f>
        <v>0</v>
      </c>
      <c r="Y49" s="9">
        <f>SUMIFS(tblData[Amount],
                   tblData[Rpt Date],"="&amp;W49,
                   tblData[ScenarioGroup],"="&amp;V49,
                   tblData[PrentGroup],"="&amp;U49)</f>
        <v>0</v>
      </c>
      <c r="AA49" s="7" t="s">
        <v>41</v>
      </c>
      <c r="AB49" s="7" t="str">
        <f t="shared" si="11"/>
        <v>61 to 90</v>
      </c>
      <c r="AC49" s="8">
        <f t="shared" si="6"/>
        <v>43229</v>
      </c>
      <c r="AD49" s="9">
        <f>SUMIFS(tblData[Amount],
                   tblData[Rpt Date],"="&amp;AC49,
                   tblData[ScenarioGroup],"="&amp;AB49,
                   tblData[PrentGroup],"="&amp;AA49)</f>
        <v>0</v>
      </c>
      <c r="AE49" s="9">
        <f>SUMIFS(tblData[Amount],
                   tblData[Rpt Date],"="&amp;AC49,
                   tblData[ScenarioGroup],"="&amp;AB49,
                   tblData[PrentGroup],"="&amp;AA49)</f>
        <v>0</v>
      </c>
    </row>
    <row r="50" spans="1:31" x14ac:dyDescent="0.25">
      <c r="B50">
        <f t="shared" si="0"/>
        <v>44</v>
      </c>
      <c r="C50" s="7" t="s">
        <v>67</v>
      </c>
      <c r="D50" s="7" t="str">
        <f t="shared" si="7"/>
        <v>61 to 90</v>
      </c>
      <c r="E50" s="8">
        <f t="shared" si="1"/>
        <v>43236</v>
      </c>
      <c r="F50" s="9" t="e">
        <f>NA()</f>
        <v>#N/A</v>
      </c>
      <c r="G50" s="9" t="e">
        <f>NA()</f>
        <v>#N/A</v>
      </c>
      <c r="I50" s="7" t="s">
        <v>42</v>
      </c>
      <c r="J50" s="7" t="str">
        <f t="shared" si="8"/>
        <v>61 to 90</v>
      </c>
      <c r="K50" s="8">
        <f t="shared" si="3"/>
        <v>43236</v>
      </c>
      <c r="L50" s="9">
        <f>SUMIFS(tblData[Amount],
                   tblData[Rpt Date],"="&amp;K50,
                   tblData[ScenarioGroup],"="&amp;J50,
                   tblData[PrentGroup],"="&amp;I50)</f>
        <v>0</v>
      </c>
      <c r="M50" s="9">
        <f>SUMIFS(tblData[Amount],
                   tblData[Rpt Date],"="&amp;K50,
                   tblData[ScenarioGroup],"="&amp;J50,
                   tblData[PrentGroup],"="&amp;I50)</f>
        <v>0</v>
      </c>
      <c r="O50" s="7" t="s">
        <v>43</v>
      </c>
      <c r="P50" s="7" t="str">
        <f t="shared" si="9"/>
        <v>61 to 90</v>
      </c>
      <c r="Q50" s="8">
        <f t="shared" si="4"/>
        <v>43236</v>
      </c>
      <c r="R50" s="9">
        <f>SUMIFS(tblData[Amount],
                   tblData[Rpt Date],"="&amp;Q50,
                   tblData[ScenarioGroup],"="&amp;P50,
                   tblData[PrentGroup],"="&amp;O50)</f>
        <v>0</v>
      </c>
      <c r="S50" s="9">
        <f>SUMIFS(tblData[Amount],
                   tblData[Rpt Date],"="&amp;Q50,
                   tblData[ScenarioGroup],"="&amp;P50,
                   tblData[PrentGroup],"="&amp;O50)</f>
        <v>0</v>
      </c>
      <c r="U50" s="7" t="s">
        <v>69</v>
      </c>
      <c r="V50" s="7" t="str">
        <f t="shared" si="10"/>
        <v>61 to 90</v>
      </c>
      <c r="W50" s="8">
        <f t="shared" si="5"/>
        <v>43236</v>
      </c>
      <c r="X50" s="9">
        <f>SUMIFS(tblData[Amount],
                   tblData[Rpt Date],"="&amp;W50,
                   tblData[ScenarioGroup],"="&amp;V50,
                   tblData[PrentGroup],"="&amp;U50)</f>
        <v>0</v>
      </c>
      <c r="Y50" s="9">
        <f>SUMIFS(tblData[Amount],
                   tblData[Rpt Date],"="&amp;W50,
                   tblData[ScenarioGroup],"="&amp;V50,
                   tblData[PrentGroup],"="&amp;U50)</f>
        <v>0</v>
      </c>
      <c r="AA50" s="7" t="s">
        <v>41</v>
      </c>
      <c r="AB50" s="7" t="str">
        <f t="shared" si="11"/>
        <v>61 to 90</v>
      </c>
      <c r="AC50" s="8">
        <f t="shared" si="6"/>
        <v>43236</v>
      </c>
      <c r="AD50" s="9">
        <f>SUMIFS(tblData[Amount],
                   tblData[Rpt Date],"="&amp;AC50,
                   tblData[ScenarioGroup],"="&amp;AB50,
                   tblData[PrentGroup],"="&amp;AA50)</f>
        <v>0</v>
      </c>
      <c r="AE50" s="9">
        <f>SUMIFS(tblData[Amount],
                   tblData[Rpt Date],"="&amp;AC50,
                   tblData[ScenarioGroup],"="&amp;AB50,
                   tblData[PrentGroup],"="&amp;AA50)</f>
        <v>0</v>
      </c>
    </row>
    <row r="51" spans="1:31" x14ac:dyDescent="0.25">
      <c r="B51">
        <f t="shared" si="0"/>
        <v>45</v>
      </c>
      <c r="C51" s="7" t="s">
        <v>67</v>
      </c>
      <c r="D51" s="7" t="str">
        <f t="shared" si="7"/>
        <v>61 to 90</v>
      </c>
      <c r="E51" s="8">
        <f t="shared" si="1"/>
        <v>43243</v>
      </c>
      <c r="F51" s="9" t="e">
        <f>NA()</f>
        <v>#N/A</v>
      </c>
      <c r="G51" s="9" t="e">
        <f>NA()</f>
        <v>#N/A</v>
      </c>
      <c r="I51" s="7" t="s">
        <v>42</v>
      </c>
      <c r="J51" s="7" t="str">
        <f t="shared" si="8"/>
        <v>61 to 90</v>
      </c>
      <c r="K51" s="8">
        <f t="shared" si="3"/>
        <v>43243</v>
      </c>
      <c r="L51" s="9">
        <f>SUMIFS(tblData[Amount],
                   tblData[Rpt Date],"="&amp;K51,
                   tblData[ScenarioGroup],"="&amp;J51,
                   tblData[PrentGroup],"="&amp;I51)</f>
        <v>0</v>
      </c>
      <c r="M51" s="9">
        <f>SUMIFS(tblData[Amount],
                   tblData[Rpt Date],"="&amp;K51,
                   tblData[ScenarioGroup],"="&amp;J51,
                   tblData[PrentGroup],"="&amp;I51)</f>
        <v>0</v>
      </c>
      <c r="O51" s="7" t="s">
        <v>43</v>
      </c>
      <c r="P51" s="7" t="str">
        <f t="shared" si="9"/>
        <v>61 to 90</v>
      </c>
      <c r="Q51" s="8">
        <f t="shared" si="4"/>
        <v>43243</v>
      </c>
      <c r="R51" s="9">
        <f>SUMIFS(tblData[Amount],
                   tblData[Rpt Date],"="&amp;Q51,
                   tblData[ScenarioGroup],"="&amp;P51,
                   tblData[PrentGroup],"="&amp;O51)</f>
        <v>0</v>
      </c>
      <c r="S51" s="9">
        <f>SUMIFS(tblData[Amount],
                   tblData[Rpt Date],"="&amp;Q51,
                   tblData[ScenarioGroup],"="&amp;P51,
                   tblData[PrentGroup],"="&amp;O51)</f>
        <v>0</v>
      </c>
      <c r="U51" s="7" t="s">
        <v>69</v>
      </c>
      <c r="V51" s="7" t="str">
        <f t="shared" si="10"/>
        <v>61 to 90</v>
      </c>
      <c r="W51" s="8">
        <f t="shared" si="5"/>
        <v>43243</v>
      </c>
      <c r="X51" s="9">
        <f>SUMIFS(tblData[Amount],
                   tblData[Rpt Date],"="&amp;W51,
                   tblData[ScenarioGroup],"="&amp;V51,
                   tblData[PrentGroup],"="&amp;U51)</f>
        <v>0</v>
      </c>
      <c r="Y51" s="9">
        <f>SUMIFS(tblData[Amount],
                   tblData[Rpt Date],"="&amp;W51,
                   tblData[ScenarioGroup],"="&amp;V51,
                   tblData[PrentGroup],"="&amp;U51)</f>
        <v>0</v>
      </c>
      <c r="AA51" s="7" t="s">
        <v>41</v>
      </c>
      <c r="AB51" s="7" t="str">
        <f t="shared" si="11"/>
        <v>61 to 90</v>
      </c>
      <c r="AC51" s="8">
        <f t="shared" si="6"/>
        <v>43243</v>
      </c>
      <c r="AD51" s="9">
        <f>SUMIFS(tblData[Amount],
                   tblData[Rpt Date],"="&amp;AC51,
                   tblData[ScenarioGroup],"="&amp;AB51,
                   tblData[PrentGroup],"="&amp;AA51)</f>
        <v>0</v>
      </c>
      <c r="AE51" s="9">
        <f>SUMIFS(tblData[Amount],
                   tblData[Rpt Date],"="&amp;AC51,
                   tblData[ScenarioGroup],"="&amp;AB51,
                   tblData[PrentGroup],"="&amp;AA51)</f>
        <v>0</v>
      </c>
    </row>
    <row r="52" spans="1:31" x14ac:dyDescent="0.25">
      <c r="B52">
        <f t="shared" si="0"/>
        <v>46</v>
      </c>
      <c r="C52" s="7" t="s">
        <v>67</v>
      </c>
      <c r="D52" s="7" t="str">
        <f t="shared" si="7"/>
        <v>61 to 90</v>
      </c>
      <c r="E52" s="8">
        <f t="shared" si="1"/>
        <v>43250</v>
      </c>
      <c r="F52" s="9" t="e">
        <f>NA()</f>
        <v>#N/A</v>
      </c>
      <c r="G52" s="9" t="e">
        <f>NA()</f>
        <v>#N/A</v>
      </c>
      <c r="I52" s="7" t="s">
        <v>42</v>
      </c>
      <c r="J52" s="7" t="str">
        <f t="shared" si="8"/>
        <v>61 to 90</v>
      </c>
      <c r="K52" s="8">
        <f t="shared" si="3"/>
        <v>43250</v>
      </c>
      <c r="L52" s="9">
        <f>SUMIFS(tblData[Amount],
                   tblData[Rpt Date],"="&amp;K52,
                   tblData[ScenarioGroup],"="&amp;J52,
                   tblData[PrentGroup],"="&amp;I52)</f>
        <v>0</v>
      </c>
      <c r="M52" s="9">
        <f>SUMIFS(tblData[Amount],
                   tblData[Rpt Date],"="&amp;K52,
                   tblData[ScenarioGroup],"="&amp;J52,
                   tblData[PrentGroup],"="&amp;I52)</f>
        <v>0</v>
      </c>
      <c r="O52" s="7" t="s">
        <v>43</v>
      </c>
      <c r="P52" s="7" t="str">
        <f t="shared" si="9"/>
        <v>61 to 90</v>
      </c>
      <c r="Q52" s="8">
        <f t="shared" si="4"/>
        <v>43250</v>
      </c>
      <c r="R52" s="9">
        <f>SUMIFS(tblData[Amount],
                   tblData[Rpt Date],"="&amp;Q52,
                   tblData[ScenarioGroup],"="&amp;P52,
                   tblData[PrentGroup],"="&amp;O52)</f>
        <v>0</v>
      </c>
      <c r="S52" s="9">
        <f>SUMIFS(tblData[Amount],
                   tblData[Rpt Date],"="&amp;Q52,
                   tblData[ScenarioGroup],"="&amp;P52,
                   tblData[PrentGroup],"="&amp;O52)</f>
        <v>0</v>
      </c>
      <c r="U52" s="7" t="s">
        <v>69</v>
      </c>
      <c r="V52" s="7" t="str">
        <f t="shared" si="10"/>
        <v>61 to 90</v>
      </c>
      <c r="W52" s="8">
        <f t="shared" si="5"/>
        <v>43250</v>
      </c>
      <c r="X52" s="9">
        <f>SUMIFS(tblData[Amount],
                   tblData[Rpt Date],"="&amp;W52,
                   tblData[ScenarioGroup],"="&amp;V52,
                   tblData[PrentGroup],"="&amp;U52)</f>
        <v>0</v>
      </c>
      <c r="Y52" s="9">
        <f>SUMIFS(tblData[Amount],
                   tblData[Rpt Date],"="&amp;W52,
                   tblData[ScenarioGroup],"="&amp;V52,
                   tblData[PrentGroup],"="&amp;U52)</f>
        <v>0</v>
      </c>
      <c r="AA52" s="7" t="s">
        <v>41</v>
      </c>
      <c r="AB52" s="7" t="str">
        <f t="shared" si="11"/>
        <v>61 to 90</v>
      </c>
      <c r="AC52" s="8">
        <f t="shared" si="6"/>
        <v>43250</v>
      </c>
      <c r="AD52" s="9">
        <f>SUMIFS(tblData[Amount],
                   tblData[Rpt Date],"="&amp;AC52,
                   tblData[ScenarioGroup],"="&amp;AB52,
                   tblData[PrentGroup],"="&amp;AA52)</f>
        <v>0</v>
      </c>
      <c r="AE52" s="9">
        <f>SUMIFS(tblData[Amount],
                   tblData[Rpt Date],"="&amp;AC52,
                   tblData[ScenarioGroup],"="&amp;AB52,
                   tblData[PrentGroup],"="&amp;AA52)</f>
        <v>0</v>
      </c>
    </row>
    <row r="53" spans="1:31" x14ac:dyDescent="0.25">
      <c r="B53">
        <f t="shared" si="0"/>
        <v>47</v>
      </c>
      <c r="C53" s="7" t="s">
        <v>67</v>
      </c>
      <c r="D53" s="7" t="str">
        <f t="shared" si="7"/>
        <v>61 to 90</v>
      </c>
      <c r="E53" s="8">
        <f t="shared" si="1"/>
        <v>43257</v>
      </c>
      <c r="F53" s="9" t="e">
        <f>NA()</f>
        <v>#N/A</v>
      </c>
      <c r="G53" s="9" t="e">
        <f>NA()</f>
        <v>#N/A</v>
      </c>
      <c r="I53" s="7" t="s">
        <v>42</v>
      </c>
      <c r="J53" s="7" t="str">
        <f t="shared" si="8"/>
        <v>61 to 90</v>
      </c>
      <c r="K53" s="8">
        <f t="shared" si="3"/>
        <v>43257</v>
      </c>
      <c r="L53" s="9">
        <f>SUMIFS(tblData[Amount],
                   tblData[Rpt Date],"="&amp;K53,
                   tblData[ScenarioGroup],"="&amp;J53,
                   tblData[PrentGroup],"="&amp;I53)</f>
        <v>0</v>
      </c>
      <c r="M53" s="9">
        <f>SUMIFS(tblData[Amount],
                   tblData[Rpt Date],"="&amp;K53,
                   tblData[ScenarioGroup],"="&amp;J53,
                   tblData[PrentGroup],"="&amp;I53)</f>
        <v>0</v>
      </c>
      <c r="O53" s="7" t="s">
        <v>43</v>
      </c>
      <c r="P53" s="7" t="str">
        <f t="shared" si="9"/>
        <v>61 to 90</v>
      </c>
      <c r="Q53" s="8">
        <f t="shared" si="4"/>
        <v>43257</v>
      </c>
      <c r="R53" s="9">
        <f>SUMIFS(tblData[Amount],
                   tblData[Rpt Date],"="&amp;Q53,
                   tblData[ScenarioGroup],"="&amp;P53,
                   tblData[PrentGroup],"="&amp;O53)</f>
        <v>0</v>
      </c>
      <c r="S53" s="9">
        <f>SUMIFS(tblData[Amount],
                   tblData[Rpt Date],"="&amp;Q53,
                   tblData[ScenarioGroup],"="&amp;P53,
                   tblData[PrentGroup],"="&amp;O53)</f>
        <v>0</v>
      </c>
      <c r="U53" s="7" t="s">
        <v>69</v>
      </c>
      <c r="V53" s="7" t="str">
        <f t="shared" si="10"/>
        <v>61 to 90</v>
      </c>
      <c r="W53" s="8">
        <f t="shared" si="5"/>
        <v>43257</v>
      </c>
      <c r="X53" s="9">
        <f>SUMIFS(tblData[Amount],
                   tblData[Rpt Date],"="&amp;W53,
                   tblData[ScenarioGroup],"="&amp;V53,
                   tblData[PrentGroup],"="&amp;U53)</f>
        <v>0</v>
      </c>
      <c r="Y53" s="9">
        <f>SUMIFS(tblData[Amount],
                   tblData[Rpt Date],"="&amp;W53,
                   tblData[ScenarioGroup],"="&amp;V53,
                   tblData[PrentGroup],"="&amp;U53)</f>
        <v>0</v>
      </c>
      <c r="AA53" s="7" t="s">
        <v>41</v>
      </c>
      <c r="AB53" s="7" t="str">
        <f t="shared" si="11"/>
        <v>61 to 90</v>
      </c>
      <c r="AC53" s="8">
        <f t="shared" si="6"/>
        <v>43257</v>
      </c>
      <c r="AD53" s="9">
        <f>SUMIFS(tblData[Amount],
                   tblData[Rpt Date],"="&amp;AC53,
                   tblData[ScenarioGroup],"="&amp;AB53,
                   tblData[PrentGroup],"="&amp;AA53)</f>
        <v>0</v>
      </c>
      <c r="AE53" s="9">
        <f>SUMIFS(tblData[Amount],
                   tblData[Rpt Date],"="&amp;AC53,
                   tblData[ScenarioGroup],"="&amp;AB53,
                   tblData[PrentGroup],"="&amp;AA53)</f>
        <v>0</v>
      </c>
    </row>
    <row r="54" spans="1:31" x14ac:dyDescent="0.25">
      <c r="B54">
        <f t="shared" si="0"/>
        <v>48</v>
      </c>
      <c r="C54" s="7" t="s">
        <v>67</v>
      </c>
      <c r="D54" s="7" t="str">
        <f t="shared" si="7"/>
        <v>61 to 90</v>
      </c>
      <c r="E54" s="8">
        <f t="shared" si="1"/>
        <v>43264</v>
      </c>
      <c r="F54" s="9" t="e">
        <f>NA()</f>
        <v>#N/A</v>
      </c>
      <c r="G54" s="9" t="e">
        <f>NA()</f>
        <v>#N/A</v>
      </c>
      <c r="I54" s="7" t="s">
        <v>42</v>
      </c>
      <c r="J54" s="7" t="str">
        <f t="shared" si="8"/>
        <v>61 to 90</v>
      </c>
      <c r="K54" s="8">
        <f t="shared" si="3"/>
        <v>43264</v>
      </c>
      <c r="L54" s="9">
        <f>SUMIFS(tblData[Amount],
                   tblData[Rpt Date],"="&amp;K54,
                   tblData[ScenarioGroup],"="&amp;J54,
                   tblData[PrentGroup],"="&amp;I54)</f>
        <v>0</v>
      </c>
      <c r="M54" s="9">
        <f>SUMIFS(tblData[Amount],
                   tblData[Rpt Date],"="&amp;K54,
                   tblData[ScenarioGroup],"="&amp;J54,
                   tblData[PrentGroup],"="&amp;I54)</f>
        <v>0</v>
      </c>
      <c r="O54" s="7" t="s">
        <v>43</v>
      </c>
      <c r="P54" s="7" t="str">
        <f t="shared" si="9"/>
        <v>61 to 90</v>
      </c>
      <c r="Q54" s="8">
        <f t="shared" si="4"/>
        <v>43264</v>
      </c>
      <c r="R54" s="9">
        <f>SUMIFS(tblData[Amount],
                   tblData[Rpt Date],"="&amp;Q54,
                   tblData[ScenarioGroup],"="&amp;P54,
                   tblData[PrentGroup],"="&amp;O54)</f>
        <v>0</v>
      </c>
      <c r="S54" s="9">
        <f>SUMIFS(tblData[Amount],
                   tblData[Rpt Date],"="&amp;Q54,
                   tblData[ScenarioGroup],"="&amp;P54,
                   tblData[PrentGroup],"="&amp;O54)</f>
        <v>0</v>
      </c>
      <c r="U54" s="7" t="s">
        <v>69</v>
      </c>
      <c r="V54" s="7" t="str">
        <f t="shared" si="10"/>
        <v>61 to 90</v>
      </c>
      <c r="W54" s="8">
        <f t="shared" si="5"/>
        <v>43264</v>
      </c>
      <c r="X54" s="9">
        <f>SUMIFS(tblData[Amount],
                   tblData[Rpt Date],"="&amp;W54,
                   tblData[ScenarioGroup],"="&amp;V54,
                   tblData[PrentGroup],"="&amp;U54)</f>
        <v>0</v>
      </c>
      <c r="Y54" s="9">
        <f>SUMIFS(tblData[Amount],
                   tblData[Rpt Date],"="&amp;W54,
                   tblData[ScenarioGroup],"="&amp;V54,
                   tblData[PrentGroup],"="&amp;U54)</f>
        <v>0</v>
      </c>
      <c r="AA54" s="7" t="s">
        <v>41</v>
      </c>
      <c r="AB54" s="7" t="str">
        <f t="shared" si="11"/>
        <v>61 to 90</v>
      </c>
      <c r="AC54" s="8">
        <f t="shared" si="6"/>
        <v>43264</v>
      </c>
      <c r="AD54" s="9">
        <f>SUMIFS(tblData[Amount],
                   tblData[Rpt Date],"="&amp;AC54,
                   tblData[ScenarioGroup],"="&amp;AB54,
                   tblData[PrentGroup],"="&amp;AA54)</f>
        <v>0</v>
      </c>
      <c r="AE54" s="9">
        <f>SUMIFS(tblData[Amount],
                   tblData[Rpt Date],"="&amp;AC54,
                   tblData[ScenarioGroup],"="&amp;AB54,
                   tblData[PrentGroup],"="&amp;AA54)</f>
        <v>0</v>
      </c>
    </row>
    <row r="55" spans="1:31" x14ac:dyDescent="0.25">
      <c r="B55">
        <f t="shared" si="0"/>
        <v>49</v>
      </c>
      <c r="C55" s="7" t="s">
        <v>67</v>
      </c>
      <c r="D55" s="7" t="str">
        <f t="shared" si="7"/>
        <v>61 to 90</v>
      </c>
      <c r="E55" s="8">
        <f t="shared" si="1"/>
        <v>43271</v>
      </c>
      <c r="F55" s="9" t="e">
        <f>NA()</f>
        <v>#N/A</v>
      </c>
      <c r="G55" s="9" t="e">
        <f>NA()</f>
        <v>#N/A</v>
      </c>
      <c r="I55" s="7" t="s">
        <v>42</v>
      </c>
      <c r="J55" s="7" t="str">
        <f t="shared" si="8"/>
        <v>61 to 90</v>
      </c>
      <c r="K55" s="8">
        <f t="shared" si="3"/>
        <v>43271</v>
      </c>
      <c r="L55" s="9">
        <f>SUMIFS(tblData[Amount],
                   tblData[Rpt Date],"="&amp;K55,
                   tblData[ScenarioGroup],"="&amp;J55,
                   tblData[PrentGroup],"="&amp;I55)</f>
        <v>0</v>
      </c>
      <c r="M55" s="9">
        <f>SUMIFS(tblData[Amount],
                   tblData[Rpt Date],"="&amp;K55,
                   tblData[ScenarioGroup],"="&amp;J55,
                   tblData[PrentGroup],"="&amp;I55)</f>
        <v>0</v>
      </c>
      <c r="O55" s="7" t="s">
        <v>43</v>
      </c>
      <c r="P55" s="7" t="str">
        <f t="shared" si="9"/>
        <v>61 to 90</v>
      </c>
      <c r="Q55" s="8">
        <f t="shared" si="4"/>
        <v>43271</v>
      </c>
      <c r="R55" s="9">
        <f>SUMIFS(tblData[Amount],
                   tblData[Rpt Date],"="&amp;Q55,
                   tblData[ScenarioGroup],"="&amp;P55,
                   tblData[PrentGroup],"="&amp;O55)</f>
        <v>0</v>
      </c>
      <c r="S55" s="9">
        <f>SUMIFS(tblData[Amount],
                   tblData[Rpt Date],"="&amp;Q55,
                   tblData[ScenarioGroup],"="&amp;P55,
                   tblData[PrentGroup],"="&amp;O55)</f>
        <v>0</v>
      </c>
      <c r="U55" s="7" t="s">
        <v>69</v>
      </c>
      <c r="V55" s="7" t="str">
        <f t="shared" si="10"/>
        <v>61 to 90</v>
      </c>
      <c r="W55" s="8">
        <f t="shared" si="5"/>
        <v>43271</v>
      </c>
      <c r="X55" s="9">
        <f>SUMIFS(tblData[Amount],
                   tblData[Rpt Date],"="&amp;W55,
                   tblData[ScenarioGroup],"="&amp;V55,
                   tblData[PrentGroup],"="&amp;U55)</f>
        <v>0</v>
      </c>
      <c r="Y55" s="9">
        <f>SUMIFS(tblData[Amount],
                   tblData[Rpt Date],"="&amp;W55,
                   tblData[ScenarioGroup],"="&amp;V55,
                   tblData[PrentGroup],"="&amp;U55)</f>
        <v>0</v>
      </c>
      <c r="AA55" s="7" t="s">
        <v>41</v>
      </c>
      <c r="AB55" s="7" t="str">
        <f t="shared" si="11"/>
        <v>61 to 90</v>
      </c>
      <c r="AC55" s="8">
        <f t="shared" si="6"/>
        <v>43271</v>
      </c>
      <c r="AD55" s="9">
        <f>SUMIFS(tblData[Amount],
                   tblData[Rpt Date],"="&amp;AC55,
                   tblData[ScenarioGroup],"="&amp;AB55,
                   tblData[PrentGroup],"="&amp;AA55)</f>
        <v>0</v>
      </c>
      <c r="AE55" s="9">
        <f>SUMIFS(tblData[Amount],
                   tblData[Rpt Date],"="&amp;AC55,
                   tblData[ScenarioGroup],"="&amp;AB55,
                   tblData[PrentGroup],"="&amp;AA55)</f>
        <v>0</v>
      </c>
    </row>
    <row r="56" spans="1:31" x14ac:dyDescent="0.25">
      <c r="B56">
        <f t="shared" si="0"/>
        <v>50</v>
      </c>
      <c r="C56" s="7" t="s">
        <v>67</v>
      </c>
      <c r="D56" s="7" t="str">
        <f t="shared" si="7"/>
        <v>61 to 90</v>
      </c>
      <c r="E56" s="8">
        <f t="shared" si="1"/>
        <v>43278</v>
      </c>
      <c r="F56" s="9" t="e">
        <f>NA()</f>
        <v>#N/A</v>
      </c>
      <c r="G56" s="9" t="e">
        <f>NA()</f>
        <v>#N/A</v>
      </c>
      <c r="I56" s="7" t="s">
        <v>42</v>
      </c>
      <c r="J56" s="7" t="str">
        <f t="shared" si="8"/>
        <v>61 to 90</v>
      </c>
      <c r="K56" s="8">
        <f t="shared" si="3"/>
        <v>43278</v>
      </c>
      <c r="L56" s="9">
        <f>SUMIFS(tblData[Amount],
                   tblData[Rpt Date],"="&amp;K56,
                   tblData[ScenarioGroup],"="&amp;J56,
                   tblData[PrentGroup],"="&amp;I56)</f>
        <v>0</v>
      </c>
      <c r="M56" s="9">
        <f>SUMIFS(tblData[Amount],
                   tblData[Rpt Date],"="&amp;K56,
                   tblData[ScenarioGroup],"="&amp;J56,
                   tblData[PrentGroup],"="&amp;I56)</f>
        <v>0</v>
      </c>
      <c r="O56" s="7" t="s">
        <v>43</v>
      </c>
      <c r="P56" s="7" t="str">
        <f t="shared" si="9"/>
        <v>61 to 90</v>
      </c>
      <c r="Q56" s="8">
        <f t="shared" si="4"/>
        <v>43278</v>
      </c>
      <c r="R56" s="9">
        <f>SUMIFS(tblData[Amount],
                   tblData[Rpt Date],"="&amp;Q56,
                   tblData[ScenarioGroup],"="&amp;P56,
                   tblData[PrentGroup],"="&amp;O56)</f>
        <v>0</v>
      </c>
      <c r="S56" s="9">
        <f>SUMIFS(tblData[Amount],
                   tblData[Rpt Date],"="&amp;Q56,
                   tblData[ScenarioGroup],"="&amp;P56,
                   tblData[PrentGroup],"="&amp;O56)</f>
        <v>0</v>
      </c>
      <c r="U56" s="7" t="s">
        <v>69</v>
      </c>
      <c r="V56" s="7" t="str">
        <f t="shared" si="10"/>
        <v>61 to 90</v>
      </c>
      <c r="W56" s="8">
        <f t="shared" si="5"/>
        <v>43278</v>
      </c>
      <c r="X56" s="9">
        <f>SUMIFS(tblData[Amount],
                   tblData[Rpt Date],"="&amp;W56,
                   tblData[ScenarioGroup],"="&amp;V56,
                   tblData[PrentGroup],"="&amp;U56)</f>
        <v>0</v>
      </c>
      <c r="Y56" s="9">
        <f>SUMIFS(tblData[Amount],
                   tblData[Rpt Date],"="&amp;W56,
                   tblData[ScenarioGroup],"="&amp;V56,
                   tblData[PrentGroup],"="&amp;U56)</f>
        <v>0</v>
      </c>
      <c r="AA56" s="7" t="s">
        <v>41</v>
      </c>
      <c r="AB56" s="7" t="str">
        <f t="shared" si="11"/>
        <v>61 to 90</v>
      </c>
      <c r="AC56" s="8">
        <f t="shared" si="6"/>
        <v>43278</v>
      </c>
      <c r="AD56" s="9">
        <f>SUMIFS(tblData[Amount],
                   tblData[Rpt Date],"="&amp;AC56,
                   tblData[ScenarioGroup],"="&amp;AB56,
                   tblData[PrentGroup],"="&amp;AA56)</f>
        <v>0</v>
      </c>
      <c r="AE56" s="9">
        <f>SUMIFS(tblData[Amount],
                   tblData[Rpt Date],"="&amp;AC56,
                   tblData[ScenarioGroup],"="&amp;AB56,
                   tblData[PrentGroup],"="&amp;AA56)</f>
        <v>0</v>
      </c>
    </row>
    <row r="57" spans="1:31" x14ac:dyDescent="0.25">
      <c r="B57">
        <f>+B58-1</f>
        <v>51</v>
      </c>
      <c r="C57" s="7" t="s">
        <v>67</v>
      </c>
      <c r="D57" s="7" t="str">
        <f t="shared" si="7"/>
        <v>61 to 90</v>
      </c>
      <c r="E57" s="8">
        <f>E58-7</f>
        <v>43285</v>
      </c>
      <c r="F57" s="9" t="e">
        <f>NA()</f>
        <v>#N/A</v>
      </c>
      <c r="G57" s="9" t="e">
        <f>NA()</f>
        <v>#N/A</v>
      </c>
      <c r="I57" s="7" t="s">
        <v>42</v>
      </c>
      <c r="J57" s="7" t="str">
        <f t="shared" si="8"/>
        <v>61 to 90</v>
      </c>
      <c r="K57" s="8">
        <f>K58-7</f>
        <v>43285</v>
      </c>
      <c r="L57" s="9">
        <f>SUMIFS(tblData[Amount],
                   tblData[Rpt Date],"="&amp;K57,
                   tblData[ScenarioGroup],"="&amp;J57,
                   tblData[PrentGroup],"="&amp;I57)</f>
        <v>0</v>
      </c>
      <c r="M57" s="9">
        <f>SUMIFS(tblData[Amount],
                   tblData[Rpt Date],"="&amp;K57,
                   tblData[ScenarioGroup],"="&amp;J57,
                   tblData[PrentGroup],"="&amp;I57)</f>
        <v>0</v>
      </c>
      <c r="O57" s="7" t="s">
        <v>43</v>
      </c>
      <c r="P57" s="7" t="str">
        <f t="shared" si="9"/>
        <v>61 to 90</v>
      </c>
      <c r="Q57" s="8">
        <f>Q58-7</f>
        <v>43285</v>
      </c>
      <c r="R57" s="9">
        <f>SUMIFS(tblData[Amount],
                   tblData[Rpt Date],"="&amp;Q57,
                   tblData[ScenarioGroup],"="&amp;P57,
                   tblData[PrentGroup],"="&amp;O57)</f>
        <v>0</v>
      </c>
      <c r="S57" s="9">
        <f>SUMIFS(tblData[Amount],
                   tblData[Rpt Date],"="&amp;Q57,
                   tblData[ScenarioGroup],"="&amp;P57,
                   tblData[PrentGroup],"="&amp;O57)</f>
        <v>0</v>
      </c>
      <c r="U57" s="7" t="s">
        <v>69</v>
      </c>
      <c r="V57" s="7" t="str">
        <f t="shared" si="10"/>
        <v>61 to 90</v>
      </c>
      <c r="W57" s="8">
        <f>W58-7</f>
        <v>43285</v>
      </c>
      <c r="X57" s="9">
        <f>SUMIFS(tblData[Amount],
                   tblData[Rpt Date],"="&amp;W57,
                   tblData[ScenarioGroup],"="&amp;V57,
                   tblData[PrentGroup],"="&amp;U57)</f>
        <v>0</v>
      </c>
      <c r="Y57" s="9">
        <f>SUMIFS(tblData[Amount],
                   tblData[Rpt Date],"="&amp;W57,
                   tblData[ScenarioGroup],"="&amp;V57,
                   tblData[PrentGroup],"="&amp;U57)</f>
        <v>0</v>
      </c>
      <c r="AA57" s="7" t="s">
        <v>41</v>
      </c>
      <c r="AB57" s="7" t="str">
        <f t="shared" si="11"/>
        <v>61 to 90</v>
      </c>
      <c r="AC57" s="8">
        <f>AC58-7</f>
        <v>43285</v>
      </c>
      <c r="AD57" s="9">
        <f>SUMIFS(tblData[Amount],
                   tblData[Rpt Date],"="&amp;AC57,
                   tblData[ScenarioGroup],"="&amp;AB57,
                   tblData[PrentGroup],"="&amp;AA57)</f>
        <v>0</v>
      </c>
      <c r="AE57" s="9">
        <f>SUMIFS(tblData[Amount],
                   tblData[Rpt Date],"="&amp;AC57,
                   tblData[ScenarioGroup],"="&amp;AB57,
                   tblData[PrentGroup],"="&amp;AA57)</f>
        <v>0</v>
      </c>
    </row>
    <row r="58" spans="1:31" x14ac:dyDescent="0.25">
      <c r="A58" t="str">
        <f>TEXT(E58,"MMM")&amp;CHAR(10)&amp;TEXT(E58,"DD")&amp;CHAR(10)&amp;TEXT(E58,"YYYY")</f>
        <v>Jul
11
2018</v>
      </c>
      <c r="B58">
        <v>52</v>
      </c>
      <c r="C58" s="7" t="s">
        <v>67</v>
      </c>
      <c r="D58" s="7" t="str">
        <f t="shared" si="7"/>
        <v>61 to 90</v>
      </c>
      <c r="E58" s="14">
        <f>Start_Date</f>
        <v>43292</v>
      </c>
      <c r="F58" s="9">
        <f>SUMIFS(tblData[Amount],
                   tblData[Rpt Date],"="&amp;$E58,
                   tblData[ScenarioGroup],"="&amp;$D58)</f>
        <v>97840.650000000023</v>
      </c>
      <c r="G58" s="9">
        <f t="shared" si="2"/>
        <v>97840.650000000023</v>
      </c>
      <c r="I58" s="7" t="s">
        <v>42</v>
      </c>
      <c r="J58" s="7" t="str">
        <f t="shared" si="8"/>
        <v>61 to 90</v>
      </c>
      <c r="K58" s="14">
        <f>Start_Date</f>
        <v>43292</v>
      </c>
      <c r="L58" s="9">
        <f>SUMIFS(tblData[Amount],
                   tblData[Rpt Date],"="&amp;K58,
                   tblData[ScenarioGroup],"="&amp;J58,
                   tblData[PrentGroup],"="&amp;I58)</f>
        <v>83625.380000000034</v>
      </c>
      <c r="M58" s="9">
        <f>SUMIFS(tblData[Amount],
                   tblData[Rpt Date],"="&amp;K58,
                   tblData[ScenarioGroup],"="&amp;J58,
                   tblData[PrentGroup],"="&amp;I58)</f>
        <v>83625.380000000034</v>
      </c>
      <c r="O58" s="7" t="s">
        <v>43</v>
      </c>
      <c r="P58" s="7" t="str">
        <f t="shared" si="9"/>
        <v>61 to 90</v>
      </c>
      <c r="Q58" s="14">
        <f>Start_Date</f>
        <v>43292</v>
      </c>
      <c r="R58" s="9">
        <f>SUMIFS(tblData[Amount],
                   tblData[Rpt Date],"="&amp;Q58,
                   tblData[ScenarioGroup],"="&amp;P58,
                   tblData[PrentGroup],"="&amp;O58)</f>
        <v>2339.5099999999998</v>
      </c>
      <c r="S58" s="9">
        <f>SUMIFS(tblData[Amount],
                   tblData[Rpt Date],"="&amp;Q58,
                   tblData[ScenarioGroup],"="&amp;P58,
                   tblData[PrentGroup],"="&amp;O58)</f>
        <v>2339.5099999999998</v>
      </c>
      <c r="U58" s="7" t="s">
        <v>69</v>
      </c>
      <c r="V58" s="7" t="str">
        <f t="shared" si="10"/>
        <v>61 to 90</v>
      </c>
      <c r="W58" s="14">
        <f>Start_Date</f>
        <v>43292</v>
      </c>
      <c r="X58" s="9">
        <f>SUMIFS(tblData[Amount],
                   tblData[Rpt Date],"="&amp;W58,
                   tblData[ScenarioGroup],"="&amp;V58,
                   tblData[PrentGroup],"="&amp;U58)</f>
        <v>7352.3899999999994</v>
      </c>
      <c r="Y58" s="9">
        <f>SUMIFS(tblData[Amount],
                   tblData[Rpt Date],"="&amp;W58,
                   tblData[ScenarioGroup],"="&amp;V58,
                   tblData[PrentGroup],"="&amp;U58)</f>
        <v>7352.3899999999994</v>
      </c>
      <c r="AA58" s="7" t="s">
        <v>41</v>
      </c>
      <c r="AB58" s="7" t="str">
        <f t="shared" si="11"/>
        <v>61 to 90</v>
      </c>
      <c r="AC58" s="14">
        <f>Start_Date</f>
        <v>43292</v>
      </c>
      <c r="AD58" s="9">
        <f>SUMIFS(tblData[Amount],
                   tblData[Rpt Date],"="&amp;AC58,
                   tblData[ScenarioGroup],"="&amp;AB58,
                   tblData[PrentGroup],"="&amp;AA58)</f>
        <v>4523.37</v>
      </c>
      <c r="AE58" s="9">
        <f>SUMIFS(tblData[Amount],
                   tblData[Rpt Date],"="&amp;AC58,
                   tblData[ScenarioGroup],"="&amp;AB58,
                   tblData[PrentGroup],"="&amp;AA58)</f>
        <v>4523.37</v>
      </c>
    </row>
    <row r="61" spans="1:31" x14ac:dyDescent="0.25">
      <c r="F61" s="4" t="e">
        <f>F57-F58</f>
        <v>#N/A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E58"/>
  <sheetViews>
    <sheetView workbookViewId="0"/>
  </sheetViews>
  <sheetFormatPr defaultRowHeight="15" x14ac:dyDescent="0.25"/>
  <cols>
    <col min="3" max="7" width="12.7109375" customWidth="1"/>
    <col min="8" max="8" width="0.85546875" customWidth="1"/>
    <col min="9" max="13" width="12.7109375" customWidth="1"/>
    <col min="14" max="14" width="0.85546875" customWidth="1"/>
    <col min="15" max="15" width="14.85546875" customWidth="1"/>
    <col min="16" max="16" width="16.85546875" customWidth="1"/>
    <col min="17" max="19" width="12.7109375" customWidth="1"/>
    <col min="20" max="20" width="0.85546875" customWidth="1"/>
    <col min="21" max="21" width="14.85546875" customWidth="1"/>
    <col min="22" max="22" width="16.85546875" customWidth="1"/>
    <col min="23" max="25" width="12.7109375" customWidth="1"/>
    <col min="26" max="26" width="0.85546875" customWidth="1"/>
    <col min="27" max="27" width="14.85546875" customWidth="1"/>
    <col min="28" max="28" width="16.85546875" customWidth="1"/>
    <col min="29" max="30" width="12.7109375" customWidth="1"/>
    <col min="31" max="31" width="11.5703125" bestFit="1" customWidth="1"/>
  </cols>
  <sheetData>
    <row r="2" spans="2:31" x14ac:dyDescent="0.25">
      <c r="C2" s="7" t="s">
        <v>57</v>
      </c>
      <c r="D2" s="10" t="s">
        <v>36</v>
      </c>
    </row>
    <row r="4" spans="2:31" x14ac:dyDescent="0.25">
      <c r="C4" s="11" t="s">
        <v>71</v>
      </c>
      <c r="D4" s="3"/>
      <c r="E4" s="3"/>
      <c r="F4" s="3"/>
      <c r="G4" s="3"/>
      <c r="I4" s="11" t="s">
        <v>72</v>
      </c>
      <c r="J4" s="3"/>
      <c r="K4" s="3"/>
      <c r="L4" s="3"/>
      <c r="M4" s="3"/>
      <c r="O4" s="11" t="s">
        <v>43</v>
      </c>
      <c r="P4" s="3"/>
      <c r="Q4" s="3"/>
      <c r="R4" s="3"/>
      <c r="S4" s="3"/>
      <c r="U4" s="11" t="s">
        <v>69</v>
      </c>
      <c r="V4" s="3"/>
      <c r="W4" s="3"/>
      <c r="X4" s="3"/>
      <c r="Y4" s="3"/>
      <c r="AA4" s="11" t="s">
        <v>41</v>
      </c>
      <c r="AB4" s="3"/>
      <c r="AC4" s="3"/>
      <c r="AD4" s="3"/>
      <c r="AE4" s="3"/>
    </row>
    <row r="5" spans="2:31" ht="3.95" customHeight="1" x14ac:dyDescent="0.25"/>
    <row r="6" spans="2:31" x14ac:dyDescent="0.25">
      <c r="C6" s="10" t="s">
        <v>66</v>
      </c>
      <c r="D6" s="10" t="s">
        <v>36</v>
      </c>
      <c r="E6" s="10" t="s">
        <v>68</v>
      </c>
      <c r="F6" s="10" t="s">
        <v>37</v>
      </c>
      <c r="G6" s="10" t="s">
        <v>70</v>
      </c>
      <c r="I6" s="10" t="s">
        <v>66</v>
      </c>
      <c r="J6" s="10" t="s">
        <v>36</v>
      </c>
      <c r="K6" s="10" t="s">
        <v>68</v>
      </c>
      <c r="L6" s="10" t="s">
        <v>37</v>
      </c>
      <c r="M6" s="10" t="s">
        <v>70</v>
      </c>
      <c r="O6" s="10" t="s">
        <v>66</v>
      </c>
      <c r="P6" s="10" t="s">
        <v>36</v>
      </c>
      <c r="Q6" s="10" t="s">
        <v>68</v>
      </c>
      <c r="R6" s="10" t="s">
        <v>37</v>
      </c>
      <c r="S6" s="10" t="s">
        <v>70</v>
      </c>
      <c r="U6" s="10" t="s">
        <v>66</v>
      </c>
      <c r="V6" s="10" t="s">
        <v>36</v>
      </c>
      <c r="W6" s="10" t="s">
        <v>68</v>
      </c>
      <c r="X6" s="10" t="s">
        <v>37</v>
      </c>
      <c r="Y6" s="10" t="s">
        <v>70</v>
      </c>
      <c r="AA6" s="10" t="s">
        <v>66</v>
      </c>
      <c r="AB6" s="10" t="s">
        <v>36</v>
      </c>
      <c r="AC6" s="10" t="s">
        <v>68</v>
      </c>
      <c r="AD6" s="10" t="s">
        <v>37</v>
      </c>
      <c r="AE6" s="10" t="s">
        <v>70</v>
      </c>
    </row>
    <row r="7" spans="2:31" x14ac:dyDescent="0.25">
      <c r="B7">
        <f t="shared" ref="B7:B56" si="0">+B8-1</f>
        <v>1</v>
      </c>
      <c r="C7" s="7" t="s">
        <v>67</v>
      </c>
      <c r="D7" s="7" t="str">
        <f>$C$2</f>
        <v>31 to 60</v>
      </c>
      <c r="E7" s="8">
        <f t="shared" ref="E7:E56" si="1">E8-7</f>
        <v>42935</v>
      </c>
      <c r="F7" s="9">
        <f>SUMIFS(tblData[Amount],
                   tblData[Rpt Date],"="&amp;$E7,
                   tblData[ScenarioGroup],"="&amp;$D7)</f>
        <v>20474.990000000002</v>
      </c>
      <c r="G7" s="9">
        <f t="shared" ref="G7:G58" si="2">F7</f>
        <v>20474.990000000002</v>
      </c>
      <c r="I7" s="7" t="s">
        <v>42</v>
      </c>
      <c r="J7" s="7" t="str">
        <f>$C$2</f>
        <v>31 to 60</v>
      </c>
      <c r="K7" s="8">
        <f t="shared" ref="K7:K56" si="3">K8-7</f>
        <v>42935</v>
      </c>
      <c r="L7" s="9">
        <f>SUMIFS(tblData[Amount],
                   tblData[Rpt Date],"="&amp;K7,
                   tblData[ScenarioGroup],"="&amp;J7,
                   tblData[PrentGroup],"="&amp;I7)</f>
        <v>18231.66</v>
      </c>
      <c r="M7" s="9">
        <f>SUMIFS(tblData[Amount],
                   tblData[Rpt Date],"="&amp;K7,
                   tblData[ScenarioGroup],"="&amp;J7,
                   tblData[PrentGroup],"="&amp;I7)</f>
        <v>18231.66</v>
      </c>
      <c r="O7" s="7" t="s">
        <v>43</v>
      </c>
      <c r="P7" s="7" t="str">
        <f>$C$2</f>
        <v>31 to 60</v>
      </c>
      <c r="Q7" s="8">
        <f t="shared" ref="Q7:Q56" si="4">Q8-7</f>
        <v>42935</v>
      </c>
      <c r="R7" s="9">
        <f>SUMIFS(tblData[Amount],
                   tblData[Rpt Date],"="&amp;Q7,
                   tblData[ScenarioGroup],"="&amp;P7,
                   tblData[PrentGroup],"="&amp;O7)</f>
        <v>1308.47</v>
      </c>
      <c r="S7" s="9">
        <f>SUMIFS(tblData[Amount],
                   tblData[Rpt Date],"="&amp;Q7,
                   tblData[ScenarioGroup],"="&amp;P7,
                   tblData[PrentGroup],"="&amp;O7)</f>
        <v>1308.47</v>
      </c>
      <c r="U7" s="7" t="s">
        <v>69</v>
      </c>
      <c r="V7" s="7" t="str">
        <f>$C$2</f>
        <v>31 to 60</v>
      </c>
      <c r="W7" s="8">
        <f t="shared" ref="W7:W56" si="5">W8-7</f>
        <v>42935</v>
      </c>
      <c r="X7" s="9">
        <f>SUMIFS(tblData[Amount],
                   tblData[Rpt Date],"="&amp;W7,
                   tblData[ScenarioGroup],"="&amp;V7,
                   tblData[PrentGroup],"="&amp;U7)</f>
        <v>218.89</v>
      </c>
      <c r="Y7" s="9">
        <f>SUMIFS(tblData[Amount],
                   tblData[Rpt Date],"="&amp;W7,
                   tblData[ScenarioGroup],"="&amp;V7,
                   tblData[PrentGroup],"="&amp;U7)</f>
        <v>218.89</v>
      </c>
      <c r="AA7" s="7" t="s">
        <v>41</v>
      </c>
      <c r="AB7" s="7" t="str">
        <f>$C$2</f>
        <v>31 to 60</v>
      </c>
      <c r="AC7" s="8">
        <f t="shared" ref="AC7:AC56" si="6">AC8-7</f>
        <v>42935</v>
      </c>
      <c r="AD7" s="9">
        <f>SUMIFS(tblData[Amount],
                   tblData[Rpt Date],"="&amp;AC7,
                   tblData[ScenarioGroup],"="&amp;AB7,
                   tblData[PrentGroup],"="&amp;AA7)</f>
        <v>715.97</v>
      </c>
      <c r="AE7" s="9">
        <f>SUMIFS(tblData[Amount],
                   tblData[Rpt Date],"="&amp;AC7,
                   tblData[ScenarioGroup],"="&amp;AB7,
                   tblData[PrentGroup],"="&amp;AA7)</f>
        <v>715.97</v>
      </c>
    </row>
    <row r="8" spans="2:31" x14ac:dyDescent="0.25">
      <c r="B8">
        <f t="shared" si="0"/>
        <v>2</v>
      </c>
      <c r="C8" s="7" t="s">
        <v>67</v>
      </c>
      <c r="D8" s="7" t="str">
        <f t="shared" ref="D8:D58" si="7">$C$2</f>
        <v>31 to 60</v>
      </c>
      <c r="E8" s="8">
        <f t="shared" si="1"/>
        <v>42942</v>
      </c>
      <c r="F8" s="9">
        <f>SUMIFS(tblData[Amount],
                   tblData[Rpt Date],"="&amp;$E8,
                   tblData[ScenarioGroup],"="&amp;$D8)</f>
        <v>23697.729999999996</v>
      </c>
      <c r="G8" s="9">
        <f t="shared" si="2"/>
        <v>23697.729999999996</v>
      </c>
      <c r="I8" s="7" t="s">
        <v>42</v>
      </c>
      <c r="J8" s="7" t="str">
        <f t="shared" ref="J8:J58" si="8">$C$2</f>
        <v>31 to 60</v>
      </c>
      <c r="K8" s="8">
        <f t="shared" si="3"/>
        <v>42942</v>
      </c>
      <c r="L8" s="9">
        <f>SUMIFS(tblData[Amount],
                   tblData[Rpt Date],"="&amp;K8,
                   tblData[ScenarioGroup],"="&amp;J8,
                   tblData[PrentGroup],"="&amp;I8)</f>
        <v>19460.419999999998</v>
      </c>
      <c r="M8" s="9">
        <f>SUMIFS(tblData[Amount],
                   tblData[Rpt Date],"="&amp;K8,
                   tblData[ScenarioGroup],"="&amp;J8,
                   tblData[PrentGroup],"="&amp;I8)</f>
        <v>19460.419999999998</v>
      </c>
      <c r="O8" s="7" t="s">
        <v>43</v>
      </c>
      <c r="P8" s="7" t="str">
        <f t="shared" ref="P8:P58" si="9">$C$2</f>
        <v>31 to 60</v>
      </c>
      <c r="Q8" s="8">
        <f t="shared" si="4"/>
        <v>42942</v>
      </c>
      <c r="R8" s="9">
        <f>SUMIFS(tblData[Amount],
                   tblData[Rpt Date],"="&amp;Q8,
                   tblData[ScenarioGroup],"="&amp;P8,
                   tblData[PrentGroup],"="&amp;O8)</f>
        <v>1864.27</v>
      </c>
      <c r="S8" s="9">
        <f>SUMIFS(tblData[Amount],
                   tblData[Rpt Date],"="&amp;Q8,
                   tblData[ScenarioGroup],"="&amp;P8,
                   tblData[PrentGroup],"="&amp;O8)</f>
        <v>1864.27</v>
      </c>
      <c r="U8" s="7" t="s">
        <v>69</v>
      </c>
      <c r="V8" s="7" t="str">
        <f t="shared" ref="V8:V58" si="10">$C$2</f>
        <v>31 to 60</v>
      </c>
      <c r="W8" s="8">
        <f t="shared" si="5"/>
        <v>42942</v>
      </c>
      <c r="X8" s="9">
        <f>SUMIFS(tblData[Amount],
                   tblData[Rpt Date],"="&amp;W8,
                   tblData[ScenarioGroup],"="&amp;V8,
                   tblData[PrentGroup],"="&amp;U8)</f>
        <v>1272.1400000000001</v>
      </c>
      <c r="Y8" s="9">
        <f>SUMIFS(tblData[Amount],
                   tblData[Rpt Date],"="&amp;W8,
                   tblData[ScenarioGroup],"="&amp;V8,
                   tblData[PrentGroup],"="&amp;U8)</f>
        <v>1272.1400000000001</v>
      </c>
      <c r="AA8" s="7" t="s">
        <v>41</v>
      </c>
      <c r="AB8" s="7" t="str">
        <f t="shared" ref="AB8:AB58" si="11">$C$2</f>
        <v>31 to 60</v>
      </c>
      <c r="AC8" s="8">
        <f t="shared" si="6"/>
        <v>42942</v>
      </c>
      <c r="AD8" s="9">
        <f>SUMIFS(tblData[Amount],
                   tblData[Rpt Date],"="&amp;AC8,
                   tblData[ScenarioGroup],"="&amp;AB8,
                   tblData[PrentGroup],"="&amp;AA8)</f>
        <v>1100.9000000000001</v>
      </c>
      <c r="AE8" s="9">
        <f>SUMIFS(tblData[Amount],
                   tblData[Rpt Date],"="&amp;AC8,
                   tblData[ScenarioGroup],"="&amp;AB8,
                   tblData[PrentGroup],"="&amp;AA8)</f>
        <v>1100.9000000000001</v>
      </c>
    </row>
    <row r="9" spans="2:31" x14ac:dyDescent="0.25">
      <c r="B9">
        <f t="shared" si="0"/>
        <v>3</v>
      </c>
      <c r="C9" s="7" t="s">
        <v>67</v>
      </c>
      <c r="D9" s="7" t="str">
        <f t="shared" si="7"/>
        <v>31 to 60</v>
      </c>
      <c r="E9" s="8">
        <f t="shared" si="1"/>
        <v>42949</v>
      </c>
      <c r="F9" s="9">
        <f>SUMIFS(tblData[Amount],
                   tblData[Rpt Date],"="&amp;$E9,
                   tblData[ScenarioGroup],"="&amp;$D9)</f>
        <v>29183.219999999994</v>
      </c>
      <c r="G9" s="9">
        <f t="shared" si="2"/>
        <v>29183.219999999994</v>
      </c>
      <c r="I9" s="7" t="s">
        <v>42</v>
      </c>
      <c r="J9" s="7" t="str">
        <f t="shared" si="8"/>
        <v>31 to 60</v>
      </c>
      <c r="K9" s="8">
        <f t="shared" si="3"/>
        <v>42949</v>
      </c>
      <c r="L9" s="9">
        <f>SUMIFS(tblData[Amount],
                   tblData[Rpt Date],"="&amp;K9,
                   tblData[ScenarioGroup],"="&amp;J9,
                   tblData[PrentGroup],"="&amp;I9)</f>
        <v>24945.909999999996</v>
      </c>
      <c r="M9" s="9">
        <f>SUMIFS(tblData[Amount],
                   tblData[Rpt Date],"="&amp;K9,
                   tblData[ScenarioGroup],"="&amp;J9,
                   tblData[PrentGroup],"="&amp;I9)</f>
        <v>24945.909999999996</v>
      </c>
      <c r="O9" s="7" t="s">
        <v>43</v>
      </c>
      <c r="P9" s="7" t="str">
        <f t="shared" si="9"/>
        <v>31 to 60</v>
      </c>
      <c r="Q9" s="8">
        <f t="shared" si="4"/>
        <v>42949</v>
      </c>
      <c r="R9" s="9">
        <f>SUMIFS(tblData[Amount],
                   tblData[Rpt Date],"="&amp;Q9,
                   tblData[ScenarioGroup],"="&amp;P9,
                   tblData[PrentGroup],"="&amp;O9)</f>
        <v>1864.27</v>
      </c>
      <c r="S9" s="9">
        <f>SUMIFS(tblData[Amount],
                   tblData[Rpt Date],"="&amp;Q9,
                   tblData[ScenarioGroup],"="&amp;P9,
                   tblData[PrentGroup],"="&amp;O9)</f>
        <v>1864.27</v>
      </c>
      <c r="U9" s="7" t="s">
        <v>69</v>
      </c>
      <c r="V9" s="7" t="str">
        <f t="shared" si="10"/>
        <v>31 to 60</v>
      </c>
      <c r="W9" s="8">
        <f t="shared" si="5"/>
        <v>42949</v>
      </c>
      <c r="X9" s="9">
        <f>SUMIFS(tblData[Amount],
                   tblData[Rpt Date],"="&amp;W9,
                   tblData[ScenarioGroup],"="&amp;V9,
                   tblData[PrentGroup],"="&amp;U9)</f>
        <v>1272.1400000000001</v>
      </c>
      <c r="Y9" s="9">
        <f>SUMIFS(tblData[Amount],
                   tblData[Rpt Date],"="&amp;W9,
                   tblData[ScenarioGroup],"="&amp;V9,
                   tblData[PrentGroup],"="&amp;U9)</f>
        <v>1272.1400000000001</v>
      </c>
      <c r="AA9" s="7" t="s">
        <v>41</v>
      </c>
      <c r="AB9" s="7" t="str">
        <f t="shared" si="11"/>
        <v>31 to 60</v>
      </c>
      <c r="AC9" s="8">
        <f t="shared" si="6"/>
        <v>42949</v>
      </c>
      <c r="AD9" s="9">
        <f>SUMIFS(tblData[Amount],
                   tblData[Rpt Date],"="&amp;AC9,
                   tblData[ScenarioGroup],"="&amp;AB9,
                   tblData[PrentGroup],"="&amp;AA9)</f>
        <v>1100.9000000000001</v>
      </c>
      <c r="AE9" s="9">
        <f>SUMIFS(tblData[Amount],
                   tblData[Rpt Date],"="&amp;AC9,
                   tblData[ScenarioGroup],"="&amp;AB9,
                   tblData[PrentGroup],"="&amp;AA9)</f>
        <v>1100.9000000000001</v>
      </c>
    </row>
    <row r="10" spans="2:31" x14ac:dyDescent="0.25">
      <c r="B10">
        <f t="shared" si="0"/>
        <v>4</v>
      </c>
      <c r="C10" s="7" t="s">
        <v>67</v>
      </c>
      <c r="D10" s="7" t="str">
        <f t="shared" si="7"/>
        <v>31 to 60</v>
      </c>
      <c r="E10" s="8">
        <f t="shared" si="1"/>
        <v>42956</v>
      </c>
      <c r="F10" s="9">
        <f>SUMIFS(tblData[Amount],
                   tblData[Rpt Date],"="&amp;$E10,
                   tblData[ScenarioGroup],"="&amp;$D10)</f>
        <v>32339.819999999992</v>
      </c>
      <c r="G10" s="9">
        <f t="shared" si="2"/>
        <v>32339.819999999992</v>
      </c>
      <c r="I10" s="7" t="s">
        <v>42</v>
      </c>
      <c r="J10" s="7" t="str">
        <f t="shared" si="8"/>
        <v>31 to 60</v>
      </c>
      <c r="K10" s="8">
        <f t="shared" si="3"/>
        <v>42956</v>
      </c>
      <c r="L10" s="9">
        <f>SUMIFS(tblData[Amount],
                   tblData[Rpt Date],"="&amp;K10,
                   tblData[ScenarioGroup],"="&amp;J10,
                   tblData[PrentGroup],"="&amp;I10)</f>
        <v>25255.62999999999</v>
      </c>
      <c r="M10" s="9">
        <f>SUMIFS(tblData[Amount],
                   tblData[Rpt Date],"="&amp;K10,
                   tblData[ScenarioGroup],"="&amp;J10,
                   tblData[PrentGroup],"="&amp;I10)</f>
        <v>25255.62999999999</v>
      </c>
      <c r="O10" s="7" t="s">
        <v>43</v>
      </c>
      <c r="P10" s="7" t="str">
        <f t="shared" si="9"/>
        <v>31 to 60</v>
      </c>
      <c r="Q10" s="8">
        <f t="shared" si="4"/>
        <v>42956</v>
      </c>
      <c r="R10" s="9">
        <f>SUMIFS(tblData[Amount],
                   tblData[Rpt Date],"="&amp;Q10,
                   tblData[ScenarioGroup],"="&amp;P10,
                   tblData[PrentGroup],"="&amp;O10)</f>
        <v>1784.27</v>
      </c>
      <c r="S10" s="9">
        <f>SUMIFS(tblData[Amount],
                   tblData[Rpt Date],"="&amp;Q10,
                   tblData[ScenarioGroup],"="&amp;P10,
                   tblData[PrentGroup],"="&amp;O10)</f>
        <v>1784.27</v>
      </c>
      <c r="U10" s="7" t="s">
        <v>69</v>
      </c>
      <c r="V10" s="7" t="str">
        <f t="shared" si="10"/>
        <v>31 to 60</v>
      </c>
      <c r="W10" s="8">
        <f t="shared" si="5"/>
        <v>42956</v>
      </c>
      <c r="X10" s="9">
        <f>SUMIFS(tblData[Amount],
                   tblData[Rpt Date],"="&amp;W10,
                   tblData[ScenarioGroup],"="&amp;V10,
                   tblData[PrentGroup],"="&amp;U10)</f>
        <v>1272.1400000000001</v>
      </c>
      <c r="Y10" s="9">
        <f>SUMIFS(tblData[Amount],
                   tblData[Rpt Date],"="&amp;W10,
                   tblData[ScenarioGroup],"="&amp;V10,
                   tblData[PrentGroup],"="&amp;U10)</f>
        <v>1272.1400000000001</v>
      </c>
      <c r="AA10" s="7" t="s">
        <v>41</v>
      </c>
      <c r="AB10" s="7" t="str">
        <f t="shared" si="11"/>
        <v>31 to 60</v>
      </c>
      <c r="AC10" s="8">
        <f t="shared" si="6"/>
        <v>42956</v>
      </c>
      <c r="AD10" s="9">
        <f>SUMIFS(tblData[Amount],
                   tblData[Rpt Date],"="&amp;AC10,
                   tblData[ScenarioGroup],"="&amp;AB10,
                   tblData[PrentGroup],"="&amp;AA10)</f>
        <v>4027.78</v>
      </c>
      <c r="AE10" s="9">
        <f>SUMIFS(tblData[Amount],
                   tblData[Rpt Date],"="&amp;AC10,
                   tblData[ScenarioGroup],"="&amp;AB10,
                   tblData[PrentGroup],"="&amp;AA10)</f>
        <v>4027.78</v>
      </c>
    </row>
    <row r="11" spans="2:31" x14ac:dyDescent="0.25">
      <c r="B11">
        <f t="shared" si="0"/>
        <v>5</v>
      </c>
      <c r="C11" s="7" t="s">
        <v>67</v>
      </c>
      <c r="D11" s="7" t="str">
        <f t="shared" si="7"/>
        <v>31 to 60</v>
      </c>
      <c r="E11" s="8">
        <f t="shared" si="1"/>
        <v>42963</v>
      </c>
      <c r="F11" s="9">
        <f>SUMIFS(tblData[Amount],
                   tblData[Rpt Date],"="&amp;$E11,
                   tblData[ScenarioGroup],"="&amp;$D11)</f>
        <v>29676.949999999997</v>
      </c>
      <c r="G11" s="9">
        <f t="shared" si="2"/>
        <v>29676.949999999997</v>
      </c>
      <c r="I11" s="7" t="s">
        <v>42</v>
      </c>
      <c r="J11" s="7" t="str">
        <f t="shared" si="8"/>
        <v>31 to 60</v>
      </c>
      <c r="K11" s="8">
        <f t="shared" si="3"/>
        <v>42963</v>
      </c>
      <c r="L11" s="9">
        <f>SUMIFS(tblData[Amount],
                   tblData[Rpt Date],"="&amp;K11,
                   tblData[ScenarioGroup],"="&amp;J11,
                   tblData[PrentGroup],"="&amp;I11)</f>
        <v>22892.249999999996</v>
      </c>
      <c r="M11" s="9">
        <f>SUMIFS(tblData[Amount],
                   tblData[Rpt Date],"="&amp;K11,
                   tblData[ScenarioGroup],"="&amp;J11,
                   tblData[PrentGroup],"="&amp;I11)</f>
        <v>22892.249999999996</v>
      </c>
      <c r="O11" s="7" t="s">
        <v>43</v>
      </c>
      <c r="P11" s="7" t="str">
        <f t="shared" si="9"/>
        <v>31 to 60</v>
      </c>
      <c r="Q11" s="8">
        <f t="shared" si="4"/>
        <v>42963</v>
      </c>
      <c r="R11" s="9">
        <f>SUMIFS(tblData[Amount],
                   tblData[Rpt Date],"="&amp;Q11,
                   tblData[ScenarioGroup],"="&amp;P11,
                   tblData[PrentGroup],"="&amp;O11)</f>
        <v>820.72</v>
      </c>
      <c r="S11" s="9">
        <f>SUMIFS(tblData[Amount],
                   tblData[Rpt Date],"="&amp;Q11,
                   tblData[ScenarioGroup],"="&amp;P11,
                   tblData[PrentGroup],"="&amp;O11)</f>
        <v>820.72</v>
      </c>
      <c r="U11" s="7" t="s">
        <v>69</v>
      </c>
      <c r="V11" s="7" t="str">
        <f t="shared" si="10"/>
        <v>31 to 60</v>
      </c>
      <c r="W11" s="8">
        <f t="shared" si="5"/>
        <v>42963</v>
      </c>
      <c r="X11" s="9">
        <f>SUMIFS(tblData[Amount],
                   tblData[Rpt Date],"="&amp;W11,
                   tblData[ScenarioGroup],"="&amp;V11,
                   tblData[PrentGroup],"="&amp;U11)</f>
        <v>1272.1400000000001</v>
      </c>
      <c r="Y11" s="9">
        <f>SUMIFS(tblData[Amount],
                   tblData[Rpt Date],"="&amp;W11,
                   tblData[ScenarioGroup],"="&amp;V11,
                   tblData[PrentGroup],"="&amp;U11)</f>
        <v>1272.1400000000001</v>
      </c>
      <c r="AA11" s="7" t="s">
        <v>41</v>
      </c>
      <c r="AB11" s="7" t="str">
        <f t="shared" si="11"/>
        <v>31 to 60</v>
      </c>
      <c r="AC11" s="8">
        <f t="shared" si="6"/>
        <v>42963</v>
      </c>
      <c r="AD11" s="9">
        <f>SUMIFS(tblData[Amount],
                   tblData[Rpt Date],"="&amp;AC11,
                   tblData[ScenarioGroup],"="&amp;AB11,
                   tblData[PrentGroup],"="&amp;AA11)</f>
        <v>4691.8399999999992</v>
      </c>
      <c r="AE11" s="9">
        <f>SUMIFS(tblData[Amount],
                   tblData[Rpt Date],"="&amp;AC11,
                   tblData[ScenarioGroup],"="&amp;AB11,
                   tblData[PrentGroup],"="&amp;AA11)</f>
        <v>4691.8399999999992</v>
      </c>
    </row>
    <row r="12" spans="2:31" x14ac:dyDescent="0.25">
      <c r="B12">
        <f t="shared" si="0"/>
        <v>6</v>
      </c>
      <c r="C12" s="7" t="s">
        <v>67</v>
      </c>
      <c r="D12" s="7" t="str">
        <f t="shared" si="7"/>
        <v>31 to 60</v>
      </c>
      <c r="E12" s="8">
        <f t="shared" si="1"/>
        <v>42970</v>
      </c>
      <c r="F12" s="9">
        <f>SUMIFS(tblData[Amount],
                   tblData[Rpt Date],"="&amp;$E12,
                   tblData[ScenarioGroup],"="&amp;$D12)</f>
        <v>23478.81</v>
      </c>
      <c r="G12" s="9">
        <f t="shared" si="2"/>
        <v>23478.81</v>
      </c>
      <c r="I12" s="7" t="s">
        <v>42</v>
      </c>
      <c r="J12" s="7" t="str">
        <f t="shared" si="8"/>
        <v>31 to 60</v>
      </c>
      <c r="K12" s="8">
        <f t="shared" si="3"/>
        <v>42970</v>
      </c>
      <c r="L12" s="9">
        <f>SUMIFS(tblData[Amount],
                   tblData[Rpt Date],"="&amp;K12,
                   tblData[ScenarioGroup],"="&amp;J12,
                   tblData[PrentGroup],"="&amp;I12)</f>
        <v>16267.640000000001</v>
      </c>
      <c r="M12" s="9">
        <f>SUMIFS(tblData[Amount],
                   tblData[Rpt Date],"="&amp;K12,
                   tblData[ScenarioGroup],"="&amp;J12,
                   tblData[PrentGroup],"="&amp;I12)</f>
        <v>16267.640000000001</v>
      </c>
      <c r="O12" s="7" t="s">
        <v>43</v>
      </c>
      <c r="P12" s="7" t="str">
        <f t="shared" si="9"/>
        <v>31 to 60</v>
      </c>
      <c r="Q12" s="8">
        <f t="shared" si="4"/>
        <v>42970</v>
      </c>
      <c r="R12" s="9">
        <f>SUMIFS(tblData[Amount],
                   tblData[Rpt Date],"="&amp;Q12,
                   tblData[ScenarioGroup],"="&amp;P12,
                   tblData[PrentGroup],"="&amp;O12)</f>
        <v>841.26</v>
      </c>
      <c r="S12" s="9">
        <f>SUMIFS(tblData[Amount],
                   tblData[Rpt Date],"="&amp;Q12,
                   tblData[ScenarioGroup],"="&amp;P12,
                   tblData[PrentGroup],"="&amp;O12)</f>
        <v>841.26</v>
      </c>
      <c r="U12" s="7" t="s">
        <v>69</v>
      </c>
      <c r="V12" s="7" t="str">
        <f t="shared" si="10"/>
        <v>31 to 60</v>
      </c>
      <c r="W12" s="8">
        <f t="shared" si="5"/>
        <v>42970</v>
      </c>
      <c r="X12" s="9">
        <f>SUMIFS(tblData[Amount],
                   tblData[Rpt Date],"="&amp;W12,
                   tblData[ScenarioGroup],"="&amp;V12,
                   tblData[PrentGroup],"="&amp;U12)</f>
        <v>1272.1400000000001</v>
      </c>
      <c r="Y12" s="9">
        <f>SUMIFS(tblData[Amount],
                   tblData[Rpt Date],"="&amp;W12,
                   tblData[ScenarioGroup],"="&amp;V12,
                   tblData[PrentGroup],"="&amp;U12)</f>
        <v>1272.1400000000001</v>
      </c>
      <c r="AA12" s="7" t="s">
        <v>41</v>
      </c>
      <c r="AB12" s="7" t="str">
        <f t="shared" si="11"/>
        <v>31 to 60</v>
      </c>
      <c r="AC12" s="8">
        <f t="shared" si="6"/>
        <v>42970</v>
      </c>
      <c r="AD12" s="9">
        <f>SUMIFS(tblData[Amount],
                   tblData[Rpt Date],"="&amp;AC12,
                   tblData[ScenarioGroup],"="&amp;AB12,
                   tblData[PrentGroup],"="&amp;AA12)</f>
        <v>5097.7700000000004</v>
      </c>
      <c r="AE12" s="9">
        <f>SUMIFS(tblData[Amount],
                   tblData[Rpt Date],"="&amp;AC12,
                   tblData[ScenarioGroup],"="&amp;AB12,
                   tblData[PrentGroup],"="&amp;AA12)</f>
        <v>5097.7700000000004</v>
      </c>
    </row>
    <row r="13" spans="2:31" x14ac:dyDescent="0.25">
      <c r="B13">
        <f t="shared" si="0"/>
        <v>7</v>
      </c>
      <c r="C13" s="7" t="s">
        <v>67</v>
      </c>
      <c r="D13" s="7" t="str">
        <f t="shared" si="7"/>
        <v>31 to 60</v>
      </c>
      <c r="E13" s="8">
        <f t="shared" si="1"/>
        <v>42977</v>
      </c>
      <c r="F13" s="9">
        <f>SUMIFS(tblData[Amount],
                   tblData[Rpt Date],"="&amp;$E13,
                   tblData[ScenarioGroup],"="&amp;$D13)</f>
        <v>31117.390000000003</v>
      </c>
      <c r="G13" s="9">
        <f t="shared" si="2"/>
        <v>31117.390000000003</v>
      </c>
      <c r="I13" s="7" t="s">
        <v>42</v>
      </c>
      <c r="J13" s="7" t="str">
        <f t="shared" si="8"/>
        <v>31 to 60</v>
      </c>
      <c r="K13" s="8">
        <f t="shared" si="3"/>
        <v>42977</v>
      </c>
      <c r="L13" s="9">
        <f>SUMIFS(tblData[Amount],
                   tblData[Rpt Date],"="&amp;K13,
                   tblData[ScenarioGroup],"="&amp;J13,
                   tblData[PrentGroup],"="&amp;I13)</f>
        <v>25051.640000000003</v>
      </c>
      <c r="M13" s="9">
        <f>SUMIFS(tblData[Amount],
                   tblData[Rpt Date],"="&amp;K13,
                   tblData[ScenarioGroup],"="&amp;J13,
                   tblData[PrentGroup],"="&amp;I13)</f>
        <v>25051.640000000003</v>
      </c>
      <c r="O13" s="7" t="s">
        <v>43</v>
      </c>
      <c r="P13" s="7" t="str">
        <f t="shared" si="9"/>
        <v>31 to 60</v>
      </c>
      <c r="Q13" s="8">
        <f t="shared" si="4"/>
        <v>42977</v>
      </c>
      <c r="R13" s="9">
        <f>SUMIFS(tblData[Amount],
                   tblData[Rpt Date],"="&amp;Q13,
                   tblData[ScenarioGroup],"="&amp;P13,
                   tblData[PrentGroup],"="&amp;O13)</f>
        <v>841.26</v>
      </c>
      <c r="S13" s="9">
        <f>SUMIFS(tblData[Amount],
                   tblData[Rpt Date],"="&amp;Q13,
                   tblData[ScenarioGroup],"="&amp;P13,
                   tblData[PrentGroup],"="&amp;O13)</f>
        <v>841.26</v>
      </c>
      <c r="U13" s="7" t="s">
        <v>69</v>
      </c>
      <c r="V13" s="7" t="str">
        <f t="shared" si="10"/>
        <v>31 to 60</v>
      </c>
      <c r="W13" s="8">
        <f t="shared" si="5"/>
        <v>42977</v>
      </c>
      <c r="X13" s="9">
        <f>SUMIFS(tblData[Amount],
                   tblData[Rpt Date],"="&amp;W13,
                   tblData[ScenarioGroup],"="&amp;V13,
                   tblData[PrentGroup],"="&amp;U13)</f>
        <v>241.57</v>
      </c>
      <c r="Y13" s="9">
        <f>SUMIFS(tblData[Amount],
                   tblData[Rpt Date],"="&amp;W13,
                   tblData[ScenarioGroup],"="&amp;V13,
                   tblData[PrentGroup],"="&amp;U13)</f>
        <v>241.57</v>
      </c>
      <c r="AA13" s="7" t="s">
        <v>41</v>
      </c>
      <c r="AB13" s="7" t="str">
        <f t="shared" si="11"/>
        <v>31 to 60</v>
      </c>
      <c r="AC13" s="8">
        <f t="shared" si="6"/>
        <v>42977</v>
      </c>
      <c r="AD13" s="9">
        <f>SUMIFS(tblData[Amount],
                   tblData[Rpt Date],"="&amp;AC13,
                   tblData[ScenarioGroup],"="&amp;AB13,
                   tblData[PrentGroup],"="&amp;AA13)</f>
        <v>4982.92</v>
      </c>
      <c r="AE13" s="9">
        <f>SUMIFS(tblData[Amount],
                   tblData[Rpt Date],"="&amp;AC13,
                   tblData[ScenarioGroup],"="&amp;AB13,
                   tblData[PrentGroup],"="&amp;AA13)</f>
        <v>4982.92</v>
      </c>
    </row>
    <row r="14" spans="2:31" x14ac:dyDescent="0.25">
      <c r="B14">
        <f t="shared" si="0"/>
        <v>8</v>
      </c>
      <c r="C14" s="7" t="s">
        <v>67</v>
      </c>
      <c r="D14" s="7" t="str">
        <f t="shared" si="7"/>
        <v>31 to 60</v>
      </c>
      <c r="E14" s="8">
        <f t="shared" si="1"/>
        <v>42984</v>
      </c>
      <c r="F14" s="9">
        <f>SUMIFS(tblData[Amount],
                   tblData[Rpt Date],"="&amp;$E14,
                   tblData[ScenarioGroup],"="&amp;$D14)</f>
        <v>24939.759999999998</v>
      </c>
      <c r="G14" s="9">
        <f t="shared" si="2"/>
        <v>24939.759999999998</v>
      </c>
      <c r="I14" s="7" t="s">
        <v>42</v>
      </c>
      <c r="J14" s="7" t="str">
        <f t="shared" si="8"/>
        <v>31 to 60</v>
      </c>
      <c r="K14" s="8">
        <f t="shared" si="3"/>
        <v>42984</v>
      </c>
      <c r="L14" s="9">
        <f>SUMIFS(tblData[Amount],
                   tblData[Rpt Date],"="&amp;K14,
                   tblData[ScenarioGroup],"="&amp;J14,
                   tblData[PrentGroup],"="&amp;I14)</f>
        <v>19699.059999999998</v>
      </c>
      <c r="M14" s="9">
        <f>SUMIFS(tblData[Amount],
                   tblData[Rpt Date],"="&amp;K14,
                   tblData[ScenarioGroup],"="&amp;J14,
                   tblData[PrentGroup],"="&amp;I14)</f>
        <v>19699.059999999998</v>
      </c>
      <c r="O14" s="7" t="s">
        <v>43</v>
      </c>
      <c r="P14" s="7" t="str">
        <f t="shared" si="9"/>
        <v>31 to 60</v>
      </c>
      <c r="Q14" s="8">
        <f t="shared" si="4"/>
        <v>42984</v>
      </c>
      <c r="R14" s="9">
        <f>SUMIFS(tblData[Amount],
                   tblData[Rpt Date],"="&amp;Q14,
                   tblData[ScenarioGroup],"="&amp;P14,
                   tblData[PrentGroup],"="&amp;O14)</f>
        <v>1701.3400000000001</v>
      </c>
      <c r="S14" s="9">
        <f>SUMIFS(tblData[Amount],
                   tblData[Rpt Date],"="&amp;Q14,
                   tblData[ScenarioGroup],"="&amp;P14,
                   tblData[PrentGroup],"="&amp;O14)</f>
        <v>1701.3400000000001</v>
      </c>
      <c r="U14" s="7" t="s">
        <v>69</v>
      </c>
      <c r="V14" s="7" t="str">
        <f t="shared" si="10"/>
        <v>31 to 60</v>
      </c>
      <c r="W14" s="8">
        <f t="shared" si="5"/>
        <v>42984</v>
      </c>
      <c r="X14" s="9">
        <f>SUMIFS(tblData[Amount],
                   tblData[Rpt Date],"="&amp;W14,
                   tblData[ScenarioGroup],"="&amp;V14,
                   tblData[PrentGroup],"="&amp;U14)</f>
        <v>259.38</v>
      </c>
      <c r="Y14" s="9">
        <f>SUMIFS(tblData[Amount],
                   tblData[Rpt Date],"="&amp;W14,
                   tblData[ScenarioGroup],"="&amp;V14,
                   tblData[PrentGroup],"="&amp;U14)</f>
        <v>259.38</v>
      </c>
      <c r="AA14" s="7" t="s">
        <v>41</v>
      </c>
      <c r="AB14" s="7" t="str">
        <f t="shared" si="11"/>
        <v>31 to 60</v>
      </c>
      <c r="AC14" s="8">
        <f t="shared" si="6"/>
        <v>42984</v>
      </c>
      <c r="AD14" s="9">
        <f>SUMIFS(tblData[Amount],
                   tblData[Rpt Date],"="&amp;AC14,
                   tblData[ScenarioGroup],"="&amp;AB14,
                   tblData[PrentGroup],"="&amp;AA14)</f>
        <v>3279.9800000000005</v>
      </c>
      <c r="AE14" s="9">
        <f>SUMIFS(tblData[Amount],
                   tblData[Rpt Date],"="&amp;AC14,
                   tblData[ScenarioGroup],"="&amp;AB14,
                   tblData[PrentGroup],"="&amp;AA14)</f>
        <v>3279.9800000000005</v>
      </c>
    </row>
    <row r="15" spans="2:31" x14ac:dyDescent="0.25">
      <c r="B15">
        <f t="shared" si="0"/>
        <v>9</v>
      </c>
      <c r="C15" s="7" t="s">
        <v>67</v>
      </c>
      <c r="D15" s="7" t="str">
        <f t="shared" si="7"/>
        <v>31 to 60</v>
      </c>
      <c r="E15" s="8">
        <f t="shared" si="1"/>
        <v>42991</v>
      </c>
      <c r="F15" s="9">
        <f>SUMIFS(tblData[Amount],
                   tblData[Rpt Date],"="&amp;$E15,
                   tblData[ScenarioGroup],"="&amp;$D15)</f>
        <v>68926.349999999977</v>
      </c>
      <c r="G15" s="9">
        <f t="shared" si="2"/>
        <v>68926.349999999977</v>
      </c>
      <c r="I15" s="7" t="s">
        <v>42</v>
      </c>
      <c r="J15" s="7" t="str">
        <f t="shared" si="8"/>
        <v>31 to 60</v>
      </c>
      <c r="K15" s="8">
        <f t="shared" si="3"/>
        <v>42991</v>
      </c>
      <c r="L15" s="9">
        <f>SUMIFS(tblData[Amount],
                   tblData[Rpt Date],"="&amp;K15,
                   tblData[ScenarioGroup],"="&amp;J15,
                   tblData[PrentGroup],"="&amp;I15)</f>
        <v>49816.029999999984</v>
      </c>
      <c r="M15" s="9">
        <f>SUMIFS(tblData[Amount],
                   tblData[Rpt Date],"="&amp;K15,
                   tblData[ScenarioGroup],"="&amp;J15,
                   tblData[PrentGroup],"="&amp;I15)</f>
        <v>49816.029999999984</v>
      </c>
      <c r="O15" s="7" t="s">
        <v>43</v>
      </c>
      <c r="P15" s="7" t="str">
        <f t="shared" si="9"/>
        <v>31 to 60</v>
      </c>
      <c r="Q15" s="8">
        <f t="shared" si="4"/>
        <v>42991</v>
      </c>
      <c r="R15" s="9">
        <f>SUMIFS(tblData[Amount],
                   tblData[Rpt Date],"="&amp;Q15,
                   tblData[ScenarioGroup],"="&amp;P15,
                   tblData[PrentGroup],"="&amp;O15)</f>
        <v>14631.039999999997</v>
      </c>
      <c r="S15" s="9">
        <f>SUMIFS(tblData[Amount],
                   tblData[Rpt Date],"="&amp;Q15,
                   tblData[ScenarioGroup],"="&amp;P15,
                   tblData[PrentGroup],"="&amp;O15)</f>
        <v>14631.039999999997</v>
      </c>
      <c r="U15" s="7" t="s">
        <v>69</v>
      </c>
      <c r="V15" s="7" t="str">
        <f t="shared" si="10"/>
        <v>31 to 60</v>
      </c>
      <c r="W15" s="8">
        <f t="shared" si="5"/>
        <v>42991</v>
      </c>
      <c r="X15" s="9">
        <f>SUMIFS(tblData[Amount],
                   tblData[Rpt Date],"="&amp;W15,
                   tblData[ScenarioGroup],"="&amp;V15,
                   tblData[PrentGroup],"="&amp;U15)</f>
        <v>2021.8799999999999</v>
      </c>
      <c r="Y15" s="9">
        <f>SUMIFS(tblData[Amount],
                   tblData[Rpt Date],"="&amp;W15,
                   tblData[ScenarioGroup],"="&amp;V15,
                   tblData[PrentGroup],"="&amp;U15)</f>
        <v>2021.8799999999999</v>
      </c>
      <c r="AA15" s="7" t="s">
        <v>41</v>
      </c>
      <c r="AB15" s="7" t="str">
        <f t="shared" si="11"/>
        <v>31 to 60</v>
      </c>
      <c r="AC15" s="8">
        <f t="shared" si="6"/>
        <v>42991</v>
      </c>
      <c r="AD15" s="9">
        <f>SUMIFS(tblData[Amount],
                   tblData[Rpt Date],"="&amp;AC15,
                   tblData[ScenarioGroup],"="&amp;AB15,
                   tblData[PrentGroup],"="&amp;AA15)</f>
        <v>2457.4</v>
      </c>
      <c r="AE15" s="9">
        <f>SUMIFS(tblData[Amount],
                   tblData[Rpt Date],"="&amp;AC15,
                   tblData[ScenarioGroup],"="&amp;AB15,
                   tblData[PrentGroup],"="&amp;AA15)</f>
        <v>2457.4</v>
      </c>
    </row>
    <row r="16" spans="2:31" x14ac:dyDescent="0.25">
      <c r="B16">
        <f t="shared" si="0"/>
        <v>10</v>
      </c>
      <c r="C16" s="7" t="s">
        <v>67</v>
      </c>
      <c r="D16" s="7" t="str">
        <f t="shared" si="7"/>
        <v>31 to 60</v>
      </c>
      <c r="E16" s="8">
        <f t="shared" si="1"/>
        <v>42998</v>
      </c>
      <c r="F16" s="9">
        <f>SUMIFS(tblData[Amount],
                   tblData[Rpt Date],"="&amp;$E16,
                   tblData[ScenarioGroup],"="&amp;$D16)</f>
        <v>59822.239999999991</v>
      </c>
      <c r="G16" s="9">
        <f t="shared" si="2"/>
        <v>59822.239999999991</v>
      </c>
      <c r="I16" s="7" t="s">
        <v>42</v>
      </c>
      <c r="J16" s="7" t="str">
        <f t="shared" si="8"/>
        <v>31 to 60</v>
      </c>
      <c r="K16" s="8">
        <f t="shared" si="3"/>
        <v>42998</v>
      </c>
      <c r="L16" s="9">
        <f>SUMIFS(tblData[Amount],
                   tblData[Rpt Date],"="&amp;K16,
                   tblData[ScenarioGroup],"="&amp;J16,
                   tblData[PrentGroup],"="&amp;I16)</f>
        <v>49452.53</v>
      </c>
      <c r="M16" s="9">
        <f>SUMIFS(tblData[Amount],
                   tblData[Rpt Date],"="&amp;K16,
                   tblData[ScenarioGroup],"="&amp;J16,
                   tblData[PrentGroup],"="&amp;I16)</f>
        <v>49452.53</v>
      </c>
      <c r="O16" s="7" t="s">
        <v>43</v>
      </c>
      <c r="P16" s="7" t="str">
        <f t="shared" si="9"/>
        <v>31 to 60</v>
      </c>
      <c r="Q16" s="8">
        <f t="shared" si="4"/>
        <v>42998</v>
      </c>
      <c r="R16" s="9">
        <f>SUMIFS(tblData[Amount],
                   tblData[Rpt Date],"="&amp;Q16,
                   tblData[ScenarioGroup],"="&amp;P16,
                   tblData[PrentGroup],"="&amp;O16)</f>
        <v>6987.2699999999995</v>
      </c>
      <c r="S16" s="9">
        <f>SUMIFS(tblData[Amount],
                   tblData[Rpt Date],"="&amp;Q16,
                   tblData[ScenarioGroup],"="&amp;P16,
                   tblData[PrentGroup],"="&amp;O16)</f>
        <v>6987.2699999999995</v>
      </c>
      <c r="U16" s="7" t="s">
        <v>69</v>
      </c>
      <c r="V16" s="7" t="str">
        <f t="shared" si="10"/>
        <v>31 to 60</v>
      </c>
      <c r="W16" s="8">
        <f t="shared" si="5"/>
        <v>42998</v>
      </c>
      <c r="X16" s="9">
        <f>SUMIFS(tblData[Amount],
                   tblData[Rpt Date],"="&amp;W16,
                   tblData[ScenarioGroup],"="&amp;V16,
                   tblData[PrentGroup],"="&amp;U16)</f>
        <v>1780.31</v>
      </c>
      <c r="Y16" s="9">
        <f>SUMIFS(tblData[Amount],
                   tblData[Rpt Date],"="&amp;W16,
                   tblData[ScenarioGroup],"="&amp;V16,
                   tblData[PrentGroup],"="&amp;U16)</f>
        <v>1780.31</v>
      </c>
      <c r="AA16" s="7" t="s">
        <v>41</v>
      </c>
      <c r="AB16" s="7" t="str">
        <f t="shared" si="11"/>
        <v>31 to 60</v>
      </c>
      <c r="AC16" s="8">
        <f t="shared" si="6"/>
        <v>42998</v>
      </c>
      <c r="AD16" s="9">
        <f>SUMIFS(tblData[Amount],
                   tblData[Rpt Date],"="&amp;AC16,
                   tblData[ScenarioGroup],"="&amp;AB16,
                   tblData[PrentGroup],"="&amp;AA16)</f>
        <v>1602.13</v>
      </c>
      <c r="AE16" s="9">
        <f>SUMIFS(tblData[Amount],
                   tblData[Rpt Date],"="&amp;AC16,
                   tblData[ScenarioGroup],"="&amp;AB16,
                   tblData[PrentGroup],"="&amp;AA16)</f>
        <v>1602.13</v>
      </c>
    </row>
    <row r="17" spans="2:31" x14ac:dyDescent="0.25">
      <c r="B17">
        <f t="shared" si="0"/>
        <v>11</v>
      </c>
      <c r="C17" s="7" t="s">
        <v>67</v>
      </c>
      <c r="D17" s="7" t="str">
        <f t="shared" si="7"/>
        <v>31 to 60</v>
      </c>
      <c r="E17" s="8">
        <f t="shared" si="1"/>
        <v>43005</v>
      </c>
      <c r="F17" s="9">
        <f>SUMIFS(tblData[Amount],
                   tblData[Rpt Date],"="&amp;$E17,
                   tblData[ScenarioGroup],"="&amp;$D17)</f>
        <v>42491.279999999992</v>
      </c>
      <c r="G17" s="9">
        <f t="shared" si="2"/>
        <v>42491.279999999992</v>
      </c>
      <c r="I17" s="7" t="s">
        <v>42</v>
      </c>
      <c r="J17" s="7" t="str">
        <f t="shared" si="8"/>
        <v>31 to 60</v>
      </c>
      <c r="K17" s="8">
        <f t="shared" si="3"/>
        <v>43005</v>
      </c>
      <c r="L17" s="9">
        <f>SUMIFS(tblData[Amount],
                   tblData[Rpt Date],"="&amp;K17,
                   tblData[ScenarioGroup],"="&amp;J17,
                   tblData[PrentGroup],"="&amp;I17)</f>
        <v>32845.549999999988</v>
      </c>
      <c r="M17" s="9">
        <f>SUMIFS(tblData[Amount],
                   tblData[Rpt Date],"="&amp;K17,
                   tblData[ScenarioGroup],"="&amp;J17,
                   tblData[PrentGroup],"="&amp;I17)</f>
        <v>32845.549999999988</v>
      </c>
      <c r="O17" s="7" t="s">
        <v>43</v>
      </c>
      <c r="P17" s="7" t="str">
        <f t="shared" si="9"/>
        <v>31 to 60</v>
      </c>
      <c r="Q17" s="8">
        <f t="shared" si="4"/>
        <v>43005</v>
      </c>
      <c r="R17" s="9">
        <f>SUMIFS(tblData[Amount],
                   tblData[Rpt Date],"="&amp;Q17,
                   tblData[ScenarioGroup],"="&amp;P17,
                   tblData[PrentGroup],"="&amp;O17)</f>
        <v>7028.97</v>
      </c>
      <c r="S17" s="9">
        <f>SUMIFS(tblData[Amount],
                   tblData[Rpt Date],"="&amp;Q17,
                   tblData[ScenarioGroup],"="&amp;P17,
                   tblData[PrentGroup],"="&amp;O17)</f>
        <v>7028.97</v>
      </c>
      <c r="U17" s="7" t="s">
        <v>69</v>
      </c>
      <c r="V17" s="7" t="str">
        <f t="shared" si="10"/>
        <v>31 to 60</v>
      </c>
      <c r="W17" s="8">
        <f t="shared" si="5"/>
        <v>43005</v>
      </c>
      <c r="X17" s="9">
        <f>SUMIFS(tblData[Amount],
                   tblData[Rpt Date],"="&amp;W17,
                   tblData[ScenarioGroup],"="&amp;V17,
                   tblData[PrentGroup],"="&amp;U17)</f>
        <v>1136.3399999999999</v>
      </c>
      <c r="Y17" s="9">
        <f>SUMIFS(tblData[Amount],
                   tblData[Rpt Date],"="&amp;W17,
                   tblData[ScenarioGroup],"="&amp;V17,
                   tblData[PrentGroup],"="&amp;U17)</f>
        <v>1136.3399999999999</v>
      </c>
      <c r="AA17" s="7" t="s">
        <v>41</v>
      </c>
      <c r="AB17" s="7" t="str">
        <f t="shared" si="11"/>
        <v>31 to 60</v>
      </c>
      <c r="AC17" s="8">
        <f t="shared" si="6"/>
        <v>43005</v>
      </c>
      <c r="AD17" s="9">
        <f>SUMIFS(tblData[Amount],
                   tblData[Rpt Date],"="&amp;AC17,
                   tblData[ScenarioGroup],"="&amp;AB17,
                   tblData[PrentGroup],"="&amp;AA17)</f>
        <v>1480.42</v>
      </c>
      <c r="AE17" s="9">
        <f>SUMIFS(tblData[Amount],
                   tblData[Rpt Date],"="&amp;AC17,
                   tblData[ScenarioGroup],"="&amp;AB17,
                   tblData[PrentGroup],"="&amp;AA17)</f>
        <v>1480.42</v>
      </c>
    </row>
    <row r="18" spans="2:31" x14ac:dyDescent="0.25">
      <c r="B18">
        <f t="shared" si="0"/>
        <v>12</v>
      </c>
      <c r="C18" s="7" t="s">
        <v>67</v>
      </c>
      <c r="D18" s="7" t="str">
        <f t="shared" si="7"/>
        <v>31 to 60</v>
      </c>
      <c r="E18" s="8">
        <f t="shared" si="1"/>
        <v>43012</v>
      </c>
      <c r="F18" s="9">
        <f>SUMIFS(tblData[Amount],
                   tblData[Rpt Date],"="&amp;$E18,
                   tblData[ScenarioGroup],"="&amp;$D18)</f>
        <v>70069.560000000056</v>
      </c>
      <c r="G18" s="9">
        <f t="shared" si="2"/>
        <v>70069.560000000056</v>
      </c>
      <c r="I18" s="7" t="s">
        <v>42</v>
      </c>
      <c r="J18" s="7" t="str">
        <f t="shared" si="8"/>
        <v>31 to 60</v>
      </c>
      <c r="K18" s="8">
        <f t="shared" si="3"/>
        <v>43012</v>
      </c>
      <c r="L18" s="9">
        <f>SUMIFS(tblData[Amount],
                   tblData[Rpt Date],"="&amp;K18,
                   tblData[ScenarioGroup],"="&amp;J18,
                   tblData[PrentGroup],"="&amp;I18)</f>
        <v>60113.110000000037</v>
      </c>
      <c r="M18" s="9">
        <f>SUMIFS(tblData[Amount],
                   tblData[Rpt Date],"="&amp;K18,
                   tblData[ScenarioGroup],"="&amp;J18,
                   tblData[PrentGroup],"="&amp;I18)</f>
        <v>60113.110000000037</v>
      </c>
      <c r="O18" s="7" t="s">
        <v>43</v>
      </c>
      <c r="P18" s="7" t="str">
        <f t="shared" si="9"/>
        <v>31 to 60</v>
      </c>
      <c r="Q18" s="8">
        <f t="shared" si="4"/>
        <v>43012</v>
      </c>
      <c r="R18" s="9">
        <f>SUMIFS(tblData[Amount],
                   tblData[Rpt Date],"="&amp;Q18,
                   tblData[ScenarioGroup],"="&amp;P18,
                   tblData[PrentGroup],"="&amp;O18)</f>
        <v>7196.13</v>
      </c>
      <c r="S18" s="9">
        <f>SUMIFS(tblData[Amount],
                   tblData[Rpt Date],"="&amp;Q18,
                   tblData[ScenarioGroup],"="&amp;P18,
                   tblData[PrentGroup],"="&amp;O18)</f>
        <v>7196.13</v>
      </c>
      <c r="U18" s="7" t="s">
        <v>69</v>
      </c>
      <c r="V18" s="7" t="str">
        <f t="shared" si="10"/>
        <v>31 to 60</v>
      </c>
      <c r="W18" s="8">
        <f t="shared" si="5"/>
        <v>43012</v>
      </c>
      <c r="X18" s="9">
        <f>SUMIFS(tblData[Amount],
                   tblData[Rpt Date],"="&amp;W18,
                   tblData[ScenarioGroup],"="&amp;V18,
                   tblData[PrentGroup],"="&amp;U18)</f>
        <v>1136.3399999999999</v>
      </c>
      <c r="Y18" s="9">
        <f>SUMIFS(tblData[Amount],
                   tblData[Rpt Date],"="&amp;W18,
                   tblData[ScenarioGroup],"="&amp;V18,
                   tblData[PrentGroup],"="&amp;U18)</f>
        <v>1136.3399999999999</v>
      </c>
      <c r="AA18" s="7" t="s">
        <v>41</v>
      </c>
      <c r="AB18" s="7" t="str">
        <f t="shared" si="11"/>
        <v>31 to 60</v>
      </c>
      <c r="AC18" s="8">
        <f t="shared" si="6"/>
        <v>43012</v>
      </c>
      <c r="AD18" s="9">
        <f>SUMIFS(tblData[Amount],
                   tblData[Rpt Date],"="&amp;AC18,
                   tblData[ScenarioGroup],"="&amp;AB18,
                   tblData[PrentGroup],"="&amp;AA18)</f>
        <v>1623.98</v>
      </c>
      <c r="AE18" s="9">
        <f>SUMIFS(tblData[Amount],
                   tblData[Rpt Date],"="&amp;AC18,
                   tblData[ScenarioGroup],"="&amp;AB18,
                   tblData[PrentGroup],"="&amp;AA18)</f>
        <v>1623.98</v>
      </c>
    </row>
    <row r="19" spans="2:31" x14ac:dyDescent="0.25">
      <c r="B19">
        <f t="shared" si="0"/>
        <v>13</v>
      </c>
      <c r="C19" s="7" t="s">
        <v>67</v>
      </c>
      <c r="D19" s="7" t="str">
        <f t="shared" si="7"/>
        <v>31 to 60</v>
      </c>
      <c r="E19" s="8">
        <f t="shared" si="1"/>
        <v>43019</v>
      </c>
      <c r="F19" s="9">
        <f>SUMIFS(tblData[Amount],
                   tblData[Rpt Date],"="&amp;$E19,
                   tblData[ScenarioGroup],"="&amp;$D19)</f>
        <v>78012.540000000008</v>
      </c>
      <c r="G19" s="9">
        <f t="shared" si="2"/>
        <v>78012.540000000008</v>
      </c>
      <c r="I19" s="7" t="s">
        <v>42</v>
      </c>
      <c r="J19" s="7" t="str">
        <f t="shared" si="8"/>
        <v>31 to 60</v>
      </c>
      <c r="K19" s="8">
        <f t="shared" si="3"/>
        <v>43019</v>
      </c>
      <c r="L19" s="9">
        <f>SUMIFS(tblData[Amount],
                   tblData[Rpt Date],"="&amp;K19,
                   tblData[ScenarioGroup],"="&amp;J19,
                   tblData[PrentGroup],"="&amp;I19)</f>
        <v>68065.51999999999</v>
      </c>
      <c r="M19" s="9">
        <f>SUMIFS(tblData[Amount],
                   tblData[Rpt Date],"="&amp;K19,
                   tblData[ScenarioGroup],"="&amp;J19,
                   tblData[PrentGroup],"="&amp;I19)</f>
        <v>68065.51999999999</v>
      </c>
      <c r="O19" s="7" t="s">
        <v>43</v>
      </c>
      <c r="P19" s="7" t="str">
        <f t="shared" si="9"/>
        <v>31 to 60</v>
      </c>
      <c r="Q19" s="8">
        <f t="shared" si="4"/>
        <v>43019</v>
      </c>
      <c r="R19" s="9">
        <f>SUMIFS(tblData[Amount],
                   tblData[Rpt Date],"="&amp;Q19,
                   tblData[ScenarioGroup],"="&amp;P19,
                   tblData[PrentGroup],"="&amp;O19)</f>
        <v>7845.16</v>
      </c>
      <c r="S19" s="9">
        <f>SUMIFS(tblData[Amount],
                   tblData[Rpt Date],"="&amp;Q19,
                   tblData[ScenarioGroup],"="&amp;P19,
                   tblData[PrentGroup],"="&amp;O19)</f>
        <v>7845.16</v>
      </c>
      <c r="U19" s="7" t="s">
        <v>69</v>
      </c>
      <c r="V19" s="7" t="str">
        <f t="shared" si="10"/>
        <v>31 to 60</v>
      </c>
      <c r="W19" s="8">
        <f t="shared" si="5"/>
        <v>43019</v>
      </c>
      <c r="X19" s="9">
        <f>SUMIFS(tblData[Amount],
                   tblData[Rpt Date],"="&amp;W19,
                   tblData[ScenarioGroup],"="&amp;V19,
                   tblData[PrentGroup],"="&amp;U19)</f>
        <v>854</v>
      </c>
      <c r="Y19" s="9">
        <f>SUMIFS(tblData[Amount],
                   tblData[Rpt Date],"="&amp;W19,
                   tblData[ScenarioGroup],"="&amp;V19,
                   tblData[PrentGroup],"="&amp;U19)</f>
        <v>854</v>
      </c>
      <c r="AA19" s="7" t="s">
        <v>41</v>
      </c>
      <c r="AB19" s="7" t="str">
        <f t="shared" si="11"/>
        <v>31 to 60</v>
      </c>
      <c r="AC19" s="8">
        <f t="shared" si="6"/>
        <v>43019</v>
      </c>
      <c r="AD19" s="9">
        <f>SUMIFS(tblData[Amount],
                   tblData[Rpt Date],"="&amp;AC19,
                   tblData[ScenarioGroup],"="&amp;AB19,
                   tblData[PrentGroup],"="&amp;AA19)</f>
        <v>1247.8600000000001</v>
      </c>
      <c r="AE19" s="9">
        <f>SUMIFS(tblData[Amount],
                   tblData[Rpt Date],"="&amp;AC19,
                   tblData[ScenarioGroup],"="&amp;AB19,
                   tblData[PrentGroup],"="&amp;AA19)</f>
        <v>1247.8600000000001</v>
      </c>
    </row>
    <row r="20" spans="2:31" x14ac:dyDescent="0.25">
      <c r="B20">
        <f t="shared" si="0"/>
        <v>14</v>
      </c>
      <c r="C20" s="7" t="s">
        <v>67</v>
      </c>
      <c r="D20" s="7" t="str">
        <f t="shared" si="7"/>
        <v>31 to 60</v>
      </c>
      <c r="E20" s="8">
        <f t="shared" si="1"/>
        <v>43026</v>
      </c>
      <c r="F20" s="9">
        <f>SUMIFS(tblData[Amount],
                   tblData[Rpt Date],"="&amp;$E20,
                   tblData[ScenarioGroup],"="&amp;$D20)</f>
        <v>78430.920000000027</v>
      </c>
      <c r="G20" s="9">
        <f t="shared" si="2"/>
        <v>78430.920000000027</v>
      </c>
      <c r="I20" s="7" t="s">
        <v>42</v>
      </c>
      <c r="J20" s="7" t="str">
        <f t="shared" si="8"/>
        <v>31 to 60</v>
      </c>
      <c r="K20" s="8">
        <f t="shared" si="3"/>
        <v>43026</v>
      </c>
      <c r="L20" s="9">
        <f>SUMIFS(tblData[Amount],
                   tblData[Rpt Date],"="&amp;K20,
                   tblData[ScenarioGroup],"="&amp;J20,
                   tblData[PrentGroup],"="&amp;I20)</f>
        <v>66396.040000000008</v>
      </c>
      <c r="M20" s="9">
        <f>SUMIFS(tblData[Amount],
                   tblData[Rpt Date],"="&amp;K20,
                   tblData[ScenarioGroup],"="&amp;J20,
                   tblData[PrentGroup],"="&amp;I20)</f>
        <v>66396.040000000008</v>
      </c>
      <c r="O20" s="7" t="s">
        <v>43</v>
      </c>
      <c r="P20" s="7" t="str">
        <f t="shared" si="9"/>
        <v>31 to 60</v>
      </c>
      <c r="Q20" s="8">
        <f t="shared" si="4"/>
        <v>43026</v>
      </c>
      <c r="R20" s="9">
        <f>SUMIFS(tblData[Amount],
                   tblData[Rpt Date],"="&amp;Q20,
                   tblData[ScenarioGroup],"="&amp;P20,
                   tblData[PrentGroup],"="&amp;O20)</f>
        <v>7210.6200000000008</v>
      </c>
      <c r="S20" s="9">
        <f>SUMIFS(tblData[Amount],
                   tblData[Rpt Date],"="&amp;Q20,
                   tblData[ScenarioGroup],"="&amp;P20,
                   tblData[PrentGroup],"="&amp;O20)</f>
        <v>7210.6200000000008</v>
      </c>
      <c r="U20" s="7" t="s">
        <v>69</v>
      </c>
      <c r="V20" s="7" t="str">
        <f t="shared" si="10"/>
        <v>31 to 60</v>
      </c>
      <c r="W20" s="8">
        <f t="shared" si="5"/>
        <v>43026</v>
      </c>
      <c r="X20" s="9">
        <f>SUMIFS(tblData[Amount],
                   tblData[Rpt Date],"="&amp;W20,
                   tblData[ScenarioGroup],"="&amp;V20,
                   tblData[PrentGroup],"="&amp;U20)</f>
        <v>2707.96</v>
      </c>
      <c r="Y20" s="9">
        <f>SUMIFS(tblData[Amount],
                   tblData[Rpt Date],"="&amp;W20,
                   tblData[ScenarioGroup],"="&amp;V20,
                   tblData[PrentGroup],"="&amp;U20)</f>
        <v>2707.96</v>
      </c>
      <c r="AA20" s="7" t="s">
        <v>41</v>
      </c>
      <c r="AB20" s="7" t="str">
        <f t="shared" si="11"/>
        <v>31 to 60</v>
      </c>
      <c r="AC20" s="8">
        <f t="shared" si="6"/>
        <v>43026</v>
      </c>
      <c r="AD20" s="9">
        <f>SUMIFS(tblData[Amount],
                   tblData[Rpt Date],"="&amp;AC20,
                   tblData[ScenarioGroup],"="&amp;AB20,
                   tblData[PrentGroup],"="&amp;AA20)</f>
        <v>2116.2999999999997</v>
      </c>
      <c r="AE20" s="9">
        <f>SUMIFS(tblData[Amount],
                   tblData[Rpt Date],"="&amp;AC20,
                   tblData[ScenarioGroup],"="&amp;AB20,
                   tblData[PrentGroup],"="&amp;AA20)</f>
        <v>2116.2999999999997</v>
      </c>
    </row>
    <row r="21" spans="2:31" x14ac:dyDescent="0.25">
      <c r="B21">
        <f t="shared" si="0"/>
        <v>15</v>
      </c>
      <c r="C21" s="7" t="s">
        <v>67</v>
      </c>
      <c r="D21" s="7" t="str">
        <f t="shared" si="7"/>
        <v>31 to 60</v>
      </c>
      <c r="E21" s="8">
        <f t="shared" si="1"/>
        <v>43033</v>
      </c>
      <c r="F21" s="9">
        <f>SUMIFS(tblData[Amount],
                   tblData[Rpt Date],"="&amp;$E21,
                   tblData[ScenarioGroup],"="&amp;$D21)</f>
        <v>92930.34000000004</v>
      </c>
      <c r="G21" s="9">
        <f t="shared" si="2"/>
        <v>92930.34000000004</v>
      </c>
      <c r="I21" s="7" t="s">
        <v>42</v>
      </c>
      <c r="J21" s="7" t="str">
        <f t="shared" si="8"/>
        <v>31 to 60</v>
      </c>
      <c r="K21" s="8">
        <f t="shared" si="3"/>
        <v>43033</v>
      </c>
      <c r="L21" s="9">
        <f>SUMIFS(tblData[Amount],
                   tblData[Rpt Date],"="&amp;K21,
                   tblData[ScenarioGroup],"="&amp;J21,
                   tblData[PrentGroup],"="&amp;I21)</f>
        <v>57367.360000000037</v>
      </c>
      <c r="M21" s="9">
        <f>SUMIFS(tblData[Amount],
                   tblData[Rpt Date],"="&amp;K21,
                   tblData[ScenarioGroup],"="&amp;J21,
                   tblData[PrentGroup],"="&amp;I21)</f>
        <v>57367.360000000037</v>
      </c>
      <c r="O21" s="7" t="s">
        <v>43</v>
      </c>
      <c r="P21" s="7" t="str">
        <f t="shared" si="9"/>
        <v>31 to 60</v>
      </c>
      <c r="Q21" s="8">
        <f t="shared" si="4"/>
        <v>43033</v>
      </c>
      <c r="R21" s="9">
        <f>SUMIFS(tblData[Amount],
                   tblData[Rpt Date],"="&amp;Q21,
                   tblData[ScenarioGroup],"="&amp;P21,
                   tblData[PrentGroup],"="&amp;O21)</f>
        <v>29930.940000000002</v>
      </c>
      <c r="S21" s="9">
        <f>SUMIFS(tblData[Amount],
                   tblData[Rpt Date],"="&amp;Q21,
                   tblData[ScenarioGroup],"="&amp;P21,
                   tblData[PrentGroup],"="&amp;O21)</f>
        <v>29930.940000000002</v>
      </c>
      <c r="U21" s="7" t="s">
        <v>69</v>
      </c>
      <c r="V21" s="7" t="str">
        <f t="shared" si="10"/>
        <v>31 to 60</v>
      </c>
      <c r="W21" s="8">
        <f t="shared" si="5"/>
        <v>43033</v>
      </c>
      <c r="X21" s="9">
        <f>SUMIFS(tblData[Amount],
                   tblData[Rpt Date],"="&amp;W21,
                   tblData[ScenarioGroup],"="&amp;V21,
                   tblData[PrentGroup],"="&amp;U21)</f>
        <v>3267.9999999999995</v>
      </c>
      <c r="Y21" s="9">
        <f>SUMIFS(tblData[Amount],
                   tblData[Rpt Date],"="&amp;W21,
                   tblData[ScenarioGroup],"="&amp;V21,
                   tblData[PrentGroup],"="&amp;U21)</f>
        <v>3267.9999999999995</v>
      </c>
      <c r="AA21" s="7" t="s">
        <v>41</v>
      </c>
      <c r="AB21" s="7" t="str">
        <f t="shared" si="11"/>
        <v>31 to 60</v>
      </c>
      <c r="AC21" s="8">
        <f t="shared" si="6"/>
        <v>43033</v>
      </c>
      <c r="AD21" s="9">
        <f>SUMIFS(tblData[Amount],
                   tblData[Rpt Date],"="&amp;AC21,
                   tblData[ScenarioGroup],"="&amp;AB21,
                   tblData[PrentGroup],"="&amp;AA21)</f>
        <v>2364.0399999999995</v>
      </c>
      <c r="AE21" s="9">
        <f>SUMIFS(tblData[Amount],
                   tblData[Rpt Date],"="&amp;AC21,
                   tblData[ScenarioGroup],"="&amp;AB21,
                   tblData[PrentGroup],"="&amp;AA21)</f>
        <v>2364.0399999999995</v>
      </c>
    </row>
    <row r="22" spans="2:31" x14ac:dyDescent="0.25">
      <c r="B22">
        <f t="shared" si="0"/>
        <v>16</v>
      </c>
      <c r="C22" s="7" t="s">
        <v>67</v>
      </c>
      <c r="D22" s="7" t="str">
        <f t="shared" si="7"/>
        <v>31 to 60</v>
      </c>
      <c r="E22" s="8">
        <f t="shared" si="1"/>
        <v>43040</v>
      </c>
      <c r="F22" s="9">
        <f>SUMIFS(tblData[Amount],
                   tblData[Rpt Date],"="&amp;$E22,
                   tblData[ScenarioGroup],"="&amp;$D22)</f>
        <v>50224.970000000008</v>
      </c>
      <c r="G22" s="9">
        <f t="shared" si="2"/>
        <v>50224.970000000008</v>
      </c>
      <c r="I22" s="7" t="s">
        <v>42</v>
      </c>
      <c r="J22" s="7" t="str">
        <f t="shared" si="8"/>
        <v>31 to 60</v>
      </c>
      <c r="K22" s="8">
        <f t="shared" si="3"/>
        <v>43040</v>
      </c>
      <c r="L22" s="9">
        <f>SUMIFS(tblData[Amount],
                   tblData[Rpt Date],"="&amp;K22,
                   tblData[ScenarioGroup],"="&amp;J22,
                   tblData[PrentGroup],"="&amp;I22)</f>
        <v>38818.290000000008</v>
      </c>
      <c r="M22" s="9">
        <f>SUMIFS(tblData[Amount],
                   tblData[Rpt Date],"="&amp;K22,
                   tblData[ScenarioGroup],"="&amp;J22,
                   tblData[PrentGroup],"="&amp;I22)</f>
        <v>38818.290000000008</v>
      </c>
      <c r="O22" s="7" t="s">
        <v>43</v>
      </c>
      <c r="P22" s="7" t="str">
        <f t="shared" si="9"/>
        <v>31 to 60</v>
      </c>
      <c r="Q22" s="8">
        <f t="shared" si="4"/>
        <v>43040</v>
      </c>
      <c r="R22" s="9">
        <f>SUMIFS(tblData[Amount],
                   tblData[Rpt Date],"="&amp;Q22,
                   tblData[ScenarioGroup],"="&amp;P22,
                   tblData[PrentGroup],"="&amp;O22)</f>
        <v>7919.5499999999993</v>
      </c>
      <c r="S22" s="9">
        <f>SUMIFS(tblData[Amount],
                   tblData[Rpt Date],"="&amp;Q22,
                   tblData[ScenarioGroup],"="&amp;P22,
                   tblData[PrentGroup],"="&amp;O22)</f>
        <v>7919.5499999999993</v>
      </c>
      <c r="U22" s="7" t="s">
        <v>69</v>
      </c>
      <c r="V22" s="7" t="str">
        <f t="shared" si="10"/>
        <v>31 to 60</v>
      </c>
      <c r="W22" s="8">
        <f t="shared" si="5"/>
        <v>43040</v>
      </c>
      <c r="X22" s="9">
        <f>SUMIFS(tblData[Amount],
                   tblData[Rpt Date],"="&amp;W22,
                   tblData[ScenarioGroup],"="&amp;V22,
                   tblData[PrentGroup],"="&amp;U22)</f>
        <v>1864.37</v>
      </c>
      <c r="Y22" s="9">
        <f>SUMIFS(tblData[Amount],
                   tblData[Rpt Date],"="&amp;W22,
                   tblData[ScenarioGroup],"="&amp;V22,
                   tblData[PrentGroup],"="&amp;U22)</f>
        <v>1864.37</v>
      </c>
      <c r="AA22" s="7" t="s">
        <v>41</v>
      </c>
      <c r="AB22" s="7" t="str">
        <f t="shared" si="11"/>
        <v>31 to 60</v>
      </c>
      <c r="AC22" s="8">
        <f t="shared" si="6"/>
        <v>43040</v>
      </c>
      <c r="AD22" s="9">
        <f>SUMIFS(tblData[Amount],
                   tblData[Rpt Date],"="&amp;AC22,
                   tblData[ScenarioGroup],"="&amp;AB22,
                   tblData[PrentGroup],"="&amp;AA22)</f>
        <v>1622.76</v>
      </c>
      <c r="AE22" s="9">
        <f>SUMIFS(tblData[Amount],
                   tblData[Rpt Date],"="&amp;AC22,
                   tblData[ScenarioGroup],"="&amp;AB22,
                   tblData[PrentGroup],"="&amp;AA22)</f>
        <v>1622.76</v>
      </c>
    </row>
    <row r="23" spans="2:31" x14ac:dyDescent="0.25">
      <c r="B23">
        <f t="shared" si="0"/>
        <v>17</v>
      </c>
      <c r="C23" s="7" t="s">
        <v>67</v>
      </c>
      <c r="D23" s="7" t="str">
        <f t="shared" si="7"/>
        <v>31 to 60</v>
      </c>
      <c r="E23" s="8">
        <f t="shared" si="1"/>
        <v>43047</v>
      </c>
      <c r="F23" s="9">
        <f>SUMIFS(tblData[Amount],
                   tblData[Rpt Date],"="&amp;$E23,
                   tblData[ScenarioGroup],"="&amp;$D23)</f>
        <v>46545.560000000005</v>
      </c>
      <c r="G23" s="9">
        <f t="shared" si="2"/>
        <v>46545.560000000005</v>
      </c>
      <c r="I23" s="7" t="s">
        <v>42</v>
      </c>
      <c r="J23" s="7" t="str">
        <f t="shared" si="8"/>
        <v>31 to 60</v>
      </c>
      <c r="K23" s="8">
        <f t="shared" si="3"/>
        <v>43047</v>
      </c>
      <c r="L23" s="9">
        <f>SUMIFS(tblData[Amount],
                   tblData[Rpt Date],"="&amp;K23,
                   tblData[ScenarioGroup],"="&amp;J23,
                   tblData[PrentGroup],"="&amp;I23)</f>
        <v>30008.750000000004</v>
      </c>
      <c r="M23" s="9">
        <f>SUMIFS(tblData[Amount],
                   tblData[Rpt Date],"="&amp;K23,
                   tblData[ScenarioGroup],"="&amp;J23,
                   tblData[PrentGroup],"="&amp;I23)</f>
        <v>30008.750000000004</v>
      </c>
      <c r="O23" s="7" t="s">
        <v>43</v>
      </c>
      <c r="P23" s="7" t="str">
        <f t="shared" si="9"/>
        <v>31 to 60</v>
      </c>
      <c r="Q23" s="8">
        <f t="shared" si="4"/>
        <v>43047</v>
      </c>
      <c r="R23" s="9">
        <f>SUMIFS(tblData[Amount],
                   tblData[Rpt Date],"="&amp;Q23,
                   tblData[ScenarioGroup],"="&amp;P23,
                   tblData[PrentGroup],"="&amp;O23)</f>
        <v>11467.439999999999</v>
      </c>
      <c r="S23" s="9">
        <f>SUMIFS(tblData[Amount],
                   tblData[Rpt Date],"="&amp;Q23,
                   tblData[ScenarioGroup],"="&amp;P23,
                   tblData[PrentGroup],"="&amp;O23)</f>
        <v>11467.439999999999</v>
      </c>
      <c r="U23" s="7" t="s">
        <v>69</v>
      </c>
      <c r="V23" s="7" t="str">
        <f t="shared" si="10"/>
        <v>31 to 60</v>
      </c>
      <c r="W23" s="8">
        <f t="shared" si="5"/>
        <v>43047</v>
      </c>
      <c r="X23" s="9">
        <f>SUMIFS(tblData[Amount],
                   tblData[Rpt Date],"="&amp;W23,
                   tblData[ScenarioGroup],"="&amp;V23,
                   tblData[PrentGroup],"="&amp;U23)</f>
        <v>1864.37</v>
      </c>
      <c r="Y23" s="9">
        <f>SUMIFS(tblData[Amount],
                   tblData[Rpt Date],"="&amp;W23,
                   tblData[ScenarioGroup],"="&amp;V23,
                   tblData[PrentGroup],"="&amp;U23)</f>
        <v>1864.37</v>
      </c>
      <c r="AA23" s="7" t="s">
        <v>41</v>
      </c>
      <c r="AB23" s="7" t="str">
        <f t="shared" si="11"/>
        <v>31 to 60</v>
      </c>
      <c r="AC23" s="8">
        <f t="shared" si="6"/>
        <v>43047</v>
      </c>
      <c r="AD23" s="9">
        <f>SUMIFS(tblData[Amount],
                   tblData[Rpt Date],"="&amp;AC23,
                   tblData[ScenarioGroup],"="&amp;AB23,
                   tblData[PrentGroup],"="&amp;AA23)</f>
        <v>3205</v>
      </c>
      <c r="AE23" s="9">
        <f>SUMIFS(tblData[Amount],
                   tblData[Rpt Date],"="&amp;AC23,
                   tblData[ScenarioGroup],"="&amp;AB23,
                   tblData[PrentGroup],"="&amp;AA23)</f>
        <v>3205</v>
      </c>
    </row>
    <row r="24" spans="2:31" x14ac:dyDescent="0.25">
      <c r="B24">
        <f t="shared" si="0"/>
        <v>18</v>
      </c>
      <c r="C24" s="7" t="s">
        <v>67</v>
      </c>
      <c r="D24" s="7" t="str">
        <f t="shared" si="7"/>
        <v>31 to 60</v>
      </c>
      <c r="E24" s="8">
        <f t="shared" si="1"/>
        <v>43054</v>
      </c>
      <c r="F24" s="9">
        <f>SUMIFS(tblData[Amount],
                   tblData[Rpt Date],"="&amp;$E24,
                   tblData[ScenarioGroup],"="&amp;$D24)</f>
        <v>49133.640000000007</v>
      </c>
      <c r="G24" s="9">
        <f t="shared" si="2"/>
        <v>49133.640000000007</v>
      </c>
      <c r="I24" s="7" t="s">
        <v>42</v>
      </c>
      <c r="J24" s="7" t="str">
        <f t="shared" si="8"/>
        <v>31 to 60</v>
      </c>
      <c r="K24" s="8">
        <f t="shared" si="3"/>
        <v>43054</v>
      </c>
      <c r="L24" s="9">
        <f>SUMIFS(tblData[Amount],
                   tblData[Rpt Date],"="&amp;K24,
                   tblData[ScenarioGroup],"="&amp;J24,
                   tblData[PrentGroup],"="&amp;I24)</f>
        <v>29916.899999999998</v>
      </c>
      <c r="M24" s="9">
        <f>SUMIFS(tblData[Amount],
                   tblData[Rpt Date],"="&amp;K24,
                   tblData[ScenarioGroup],"="&amp;J24,
                   tblData[PrentGroup],"="&amp;I24)</f>
        <v>29916.899999999998</v>
      </c>
      <c r="O24" s="7" t="s">
        <v>43</v>
      </c>
      <c r="P24" s="7" t="str">
        <f t="shared" si="9"/>
        <v>31 to 60</v>
      </c>
      <c r="Q24" s="8">
        <f t="shared" si="4"/>
        <v>43054</v>
      </c>
      <c r="R24" s="9">
        <f>SUMIFS(tblData[Amount],
                   tblData[Rpt Date],"="&amp;Q24,
                   tblData[ScenarioGroup],"="&amp;P24,
                   tblData[PrentGroup],"="&amp;O24)</f>
        <v>14956.369999999999</v>
      </c>
      <c r="S24" s="9">
        <f>SUMIFS(tblData[Amount],
                   tblData[Rpt Date],"="&amp;Q24,
                   tblData[ScenarioGroup],"="&amp;P24,
                   tblData[PrentGroup],"="&amp;O24)</f>
        <v>14956.369999999999</v>
      </c>
      <c r="U24" s="7" t="s">
        <v>69</v>
      </c>
      <c r="V24" s="7" t="str">
        <f t="shared" si="10"/>
        <v>31 to 60</v>
      </c>
      <c r="W24" s="8">
        <f t="shared" si="5"/>
        <v>43054</v>
      </c>
      <c r="X24" s="9">
        <f>SUMIFS(tblData[Amount],
                   tblData[Rpt Date],"="&amp;W24,
                   tblData[ScenarioGroup],"="&amp;V24,
                   tblData[PrentGroup],"="&amp;U24)</f>
        <v>1590.09</v>
      </c>
      <c r="Y24" s="9">
        <f>SUMIFS(tblData[Amount],
                   tblData[Rpt Date],"="&amp;W24,
                   tblData[ScenarioGroup],"="&amp;V24,
                   tblData[PrentGroup],"="&amp;U24)</f>
        <v>1590.09</v>
      </c>
      <c r="AA24" s="7" t="s">
        <v>41</v>
      </c>
      <c r="AB24" s="7" t="str">
        <f t="shared" si="11"/>
        <v>31 to 60</v>
      </c>
      <c r="AC24" s="8">
        <f t="shared" si="6"/>
        <v>43054</v>
      </c>
      <c r="AD24" s="9">
        <f>SUMIFS(tblData[Amount],
                   tblData[Rpt Date],"="&amp;AC24,
                   tblData[ScenarioGroup],"="&amp;AB24,
                   tblData[PrentGroup],"="&amp;AA24)</f>
        <v>2670.2799999999997</v>
      </c>
      <c r="AE24" s="9">
        <f>SUMIFS(tblData[Amount],
                   tblData[Rpt Date],"="&amp;AC24,
                   tblData[ScenarioGroup],"="&amp;AB24,
                   tblData[PrentGroup],"="&amp;AA24)</f>
        <v>2670.2799999999997</v>
      </c>
    </row>
    <row r="25" spans="2:31" x14ac:dyDescent="0.25">
      <c r="B25">
        <f t="shared" si="0"/>
        <v>19</v>
      </c>
      <c r="C25" s="7" t="s">
        <v>67</v>
      </c>
      <c r="D25" s="7" t="str">
        <f t="shared" si="7"/>
        <v>31 to 60</v>
      </c>
      <c r="E25" s="8">
        <f t="shared" si="1"/>
        <v>43061</v>
      </c>
      <c r="F25" s="9">
        <f>SUMIFS(tblData[Amount],
                   tblData[Rpt Date],"="&amp;$E25,
                   tblData[ScenarioGroup],"="&amp;$D25)</f>
        <v>49133.640000000007</v>
      </c>
      <c r="G25" s="9">
        <f t="shared" si="2"/>
        <v>49133.640000000007</v>
      </c>
      <c r="I25" s="7" t="s">
        <v>42</v>
      </c>
      <c r="J25" s="7" t="str">
        <f t="shared" si="8"/>
        <v>31 to 60</v>
      </c>
      <c r="K25" s="8">
        <f t="shared" si="3"/>
        <v>43061</v>
      </c>
      <c r="L25" s="9">
        <f>SUMIFS(tblData[Amount],
                   tblData[Rpt Date],"="&amp;K25,
                   tblData[ScenarioGroup],"="&amp;J25,
                   tblData[PrentGroup],"="&amp;I25)</f>
        <v>29916.899999999998</v>
      </c>
      <c r="M25" s="9">
        <f>SUMIFS(tblData[Amount],
                   tblData[Rpt Date],"="&amp;K25,
                   tblData[ScenarioGroup],"="&amp;J25,
                   tblData[PrentGroup],"="&amp;I25)</f>
        <v>29916.899999999998</v>
      </c>
      <c r="O25" s="7" t="s">
        <v>43</v>
      </c>
      <c r="P25" s="7" t="str">
        <f t="shared" si="9"/>
        <v>31 to 60</v>
      </c>
      <c r="Q25" s="8">
        <f t="shared" si="4"/>
        <v>43061</v>
      </c>
      <c r="R25" s="9">
        <f>SUMIFS(tblData[Amount],
                   tblData[Rpt Date],"="&amp;Q25,
                   tblData[ScenarioGroup],"="&amp;P25,
                   tblData[PrentGroup],"="&amp;O25)</f>
        <v>14956.369999999999</v>
      </c>
      <c r="S25" s="9">
        <f>SUMIFS(tblData[Amount],
                   tblData[Rpt Date],"="&amp;Q25,
                   tblData[ScenarioGroup],"="&amp;P25,
                   tblData[PrentGroup],"="&amp;O25)</f>
        <v>14956.369999999999</v>
      </c>
      <c r="U25" s="7" t="s">
        <v>69</v>
      </c>
      <c r="V25" s="7" t="str">
        <f t="shared" si="10"/>
        <v>31 to 60</v>
      </c>
      <c r="W25" s="8">
        <f t="shared" si="5"/>
        <v>43061</v>
      </c>
      <c r="X25" s="9">
        <f>SUMIFS(tblData[Amount],
                   tblData[Rpt Date],"="&amp;W25,
                   tblData[ScenarioGroup],"="&amp;V25,
                   tblData[PrentGroup],"="&amp;U25)</f>
        <v>1590.09</v>
      </c>
      <c r="Y25" s="9">
        <f>SUMIFS(tblData[Amount],
                   tblData[Rpt Date],"="&amp;W25,
                   tblData[ScenarioGroup],"="&amp;V25,
                   tblData[PrentGroup],"="&amp;U25)</f>
        <v>1590.09</v>
      </c>
      <c r="AA25" s="7" t="s">
        <v>41</v>
      </c>
      <c r="AB25" s="7" t="str">
        <f t="shared" si="11"/>
        <v>31 to 60</v>
      </c>
      <c r="AC25" s="8">
        <f t="shared" si="6"/>
        <v>43061</v>
      </c>
      <c r="AD25" s="9">
        <f>SUMIFS(tblData[Amount],
                   tblData[Rpt Date],"="&amp;AC25,
                   tblData[ScenarioGroup],"="&amp;AB25,
                   tblData[PrentGroup],"="&amp;AA25)</f>
        <v>2670.2799999999997</v>
      </c>
      <c r="AE25" s="9">
        <f>SUMIFS(tblData[Amount],
                   tblData[Rpt Date],"="&amp;AC25,
                   tblData[ScenarioGroup],"="&amp;AB25,
                   tblData[PrentGroup],"="&amp;AA25)</f>
        <v>2670.2799999999997</v>
      </c>
    </row>
    <row r="26" spans="2:31" x14ac:dyDescent="0.25">
      <c r="B26">
        <f t="shared" si="0"/>
        <v>20</v>
      </c>
      <c r="C26" s="7" t="s">
        <v>67</v>
      </c>
      <c r="D26" s="7" t="str">
        <f t="shared" si="7"/>
        <v>31 to 60</v>
      </c>
      <c r="E26" s="8">
        <f t="shared" si="1"/>
        <v>43068</v>
      </c>
      <c r="F26" s="9">
        <f>SUMIFS(tblData[Amount],
                   tblData[Rpt Date],"="&amp;$E26,
                   tblData[ScenarioGroup],"="&amp;$D26)</f>
        <v>55087.630000000005</v>
      </c>
      <c r="G26" s="9">
        <f t="shared" si="2"/>
        <v>55087.630000000005</v>
      </c>
      <c r="I26" s="7" t="s">
        <v>42</v>
      </c>
      <c r="J26" s="7" t="str">
        <f t="shared" si="8"/>
        <v>31 to 60</v>
      </c>
      <c r="K26" s="8">
        <f t="shared" si="3"/>
        <v>43068</v>
      </c>
      <c r="L26" s="9">
        <f>SUMIFS(tblData[Amount],
                   tblData[Rpt Date],"="&amp;K26,
                   tblData[ScenarioGroup],"="&amp;J26,
                   tblData[PrentGroup],"="&amp;I26)</f>
        <v>29036.52</v>
      </c>
      <c r="M26" s="9">
        <f>SUMIFS(tblData[Amount],
                   tblData[Rpt Date],"="&amp;K26,
                   tblData[ScenarioGroup],"="&amp;J26,
                   tblData[PrentGroup],"="&amp;I26)</f>
        <v>29036.52</v>
      </c>
      <c r="O26" s="7" t="s">
        <v>43</v>
      </c>
      <c r="P26" s="7" t="str">
        <f t="shared" si="9"/>
        <v>31 to 60</v>
      </c>
      <c r="Q26" s="8">
        <f t="shared" si="4"/>
        <v>43068</v>
      </c>
      <c r="R26" s="9">
        <f>SUMIFS(tblData[Amount],
                   tblData[Rpt Date],"="&amp;Q26,
                   tblData[ScenarioGroup],"="&amp;P26,
                   tblData[PrentGroup],"="&amp;O26)</f>
        <v>22275.08</v>
      </c>
      <c r="S26" s="9">
        <f>SUMIFS(tblData[Amount],
                   tblData[Rpt Date],"="&amp;Q26,
                   tblData[ScenarioGroup],"="&amp;P26,
                   tblData[PrentGroup],"="&amp;O26)</f>
        <v>22275.08</v>
      </c>
      <c r="U26" s="7" t="s">
        <v>69</v>
      </c>
      <c r="V26" s="7" t="str">
        <f t="shared" si="10"/>
        <v>31 to 60</v>
      </c>
      <c r="W26" s="8">
        <f t="shared" si="5"/>
        <v>43068</v>
      </c>
      <c r="X26" s="9">
        <f>SUMIFS(tblData[Amount],
                   tblData[Rpt Date],"="&amp;W26,
                   tblData[ScenarioGroup],"="&amp;V26,
                   tblData[PrentGroup],"="&amp;U26)</f>
        <v>1241.8499999999999</v>
      </c>
      <c r="Y26" s="9">
        <f>SUMIFS(tblData[Amount],
                   tblData[Rpt Date],"="&amp;W26,
                   tblData[ScenarioGroup],"="&amp;V26,
                   tblData[PrentGroup],"="&amp;U26)</f>
        <v>1241.8499999999999</v>
      </c>
      <c r="AA26" s="7" t="s">
        <v>41</v>
      </c>
      <c r="AB26" s="7" t="str">
        <f t="shared" si="11"/>
        <v>31 to 60</v>
      </c>
      <c r="AC26" s="8">
        <f t="shared" si="6"/>
        <v>43068</v>
      </c>
      <c r="AD26" s="9">
        <f>SUMIFS(tblData[Amount],
                   tblData[Rpt Date],"="&amp;AC26,
                   tblData[ScenarioGroup],"="&amp;AB26,
                   tblData[PrentGroup],"="&amp;AA26)</f>
        <v>2534.1800000000003</v>
      </c>
      <c r="AE26" s="9">
        <f>SUMIFS(tblData[Amount],
                   tblData[Rpt Date],"="&amp;AC26,
                   tblData[ScenarioGroup],"="&amp;AB26,
                   tblData[PrentGroup],"="&amp;AA26)</f>
        <v>2534.1800000000003</v>
      </c>
    </row>
    <row r="27" spans="2:31" x14ac:dyDescent="0.25">
      <c r="B27">
        <f t="shared" si="0"/>
        <v>21</v>
      </c>
      <c r="C27" s="7" t="s">
        <v>67</v>
      </c>
      <c r="D27" s="7" t="str">
        <f t="shared" si="7"/>
        <v>31 to 60</v>
      </c>
      <c r="E27" s="8">
        <f t="shared" si="1"/>
        <v>43075</v>
      </c>
      <c r="F27" s="9">
        <f>SUMIFS(tblData[Amount],
                   tblData[Rpt Date],"="&amp;$E27,
                   tblData[ScenarioGroup],"="&amp;$D27)</f>
        <v>63633.860000000008</v>
      </c>
      <c r="G27" s="9">
        <f t="shared" si="2"/>
        <v>63633.860000000008</v>
      </c>
      <c r="I27" s="7" t="s">
        <v>42</v>
      </c>
      <c r="J27" s="7" t="str">
        <f t="shared" si="8"/>
        <v>31 to 60</v>
      </c>
      <c r="K27" s="8">
        <f t="shared" si="3"/>
        <v>43075</v>
      </c>
      <c r="L27" s="9">
        <f>SUMIFS(tblData[Amount],
                   tblData[Rpt Date],"="&amp;K27,
                   tblData[ScenarioGroup],"="&amp;J27,
                   tblData[PrentGroup],"="&amp;I27)</f>
        <v>32281.810000000005</v>
      </c>
      <c r="M27" s="9">
        <f>SUMIFS(tblData[Amount],
                   tblData[Rpt Date],"="&amp;K27,
                   tblData[ScenarioGroup],"="&amp;J27,
                   tblData[PrentGroup],"="&amp;I27)</f>
        <v>32281.810000000005</v>
      </c>
      <c r="O27" s="7" t="s">
        <v>43</v>
      </c>
      <c r="P27" s="7" t="str">
        <f t="shared" si="9"/>
        <v>31 to 60</v>
      </c>
      <c r="Q27" s="8">
        <f t="shared" si="4"/>
        <v>43075</v>
      </c>
      <c r="R27" s="9">
        <f>SUMIFS(tblData[Amount],
                   tblData[Rpt Date],"="&amp;Q27,
                   tblData[ScenarioGroup],"="&amp;P27,
                   tblData[PrentGroup],"="&amp;O27)</f>
        <v>27429.060000000005</v>
      </c>
      <c r="S27" s="9">
        <f>SUMIFS(tblData[Amount],
                   tblData[Rpt Date],"="&amp;Q27,
                   tblData[ScenarioGroup],"="&amp;P27,
                   tblData[PrentGroup],"="&amp;O27)</f>
        <v>27429.060000000005</v>
      </c>
      <c r="U27" s="7" t="s">
        <v>69</v>
      </c>
      <c r="V27" s="7" t="str">
        <f t="shared" si="10"/>
        <v>31 to 60</v>
      </c>
      <c r="W27" s="8">
        <f t="shared" si="5"/>
        <v>43075</v>
      </c>
      <c r="X27" s="9">
        <f>SUMIFS(tblData[Amount],
                   tblData[Rpt Date],"="&amp;W27,
                   tblData[ScenarioGroup],"="&amp;V27,
                   tblData[PrentGroup],"="&amp;U27)</f>
        <v>2561.56</v>
      </c>
      <c r="Y27" s="9">
        <f>SUMIFS(tblData[Amount],
                   tblData[Rpt Date],"="&amp;W27,
                   tblData[ScenarioGroup],"="&amp;V27,
                   tblData[PrentGroup],"="&amp;U27)</f>
        <v>2561.56</v>
      </c>
      <c r="AA27" s="7" t="s">
        <v>41</v>
      </c>
      <c r="AB27" s="7" t="str">
        <f t="shared" si="11"/>
        <v>31 to 60</v>
      </c>
      <c r="AC27" s="8">
        <f t="shared" si="6"/>
        <v>43075</v>
      </c>
      <c r="AD27" s="9">
        <f>SUMIFS(tblData[Amount],
                   tblData[Rpt Date],"="&amp;AC27,
                   tblData[ScenarioGroup],"="&amp;AB27,
                   tblData[PrentGroup],"="&amp;AA27)</f>
        <v>1361.4299999999998</v>
      </c>
      <c r="AE27" s="9">
        <f>SUMIFS(tblData[Amount],
                   tblData[Rpt Date],"="&amp;AC27,
                   tblData[ScenarioGroup],"="&amp;AB27,
                   tblData[PrentGroup],"="&amp;AA27)</f>
        <v>1361.4299999999998</v>
      </c>
    </row>
    <row r="28" spans="2:31" x14ac:dyDescent="0.25">
      <c r="B28">
        <f t="shared" si="0"/>
        <v>22</v>
      </c>
      <c r="C28" s="7" t="s">
        <v>67</v>
      </c>
      <c r="D28" s="7" t="str">
        <f t="shared" si="7"/>
        <v>31 to 60</v>
      </c>
      <c r="E28" s="8">
        <f t="shared" si="1"/>
        <v>43082</v>
      </c>
      <c r="F28" s="9">
        <f>SUMIFS(tblData[Amount],
                   tblData[Rpt Date],"="&amp;$E28,
                   tblData[ScenarioGroup],"="&amp;$D28)</f>
        <v>87479.559999999983</v>
      </c>
      <c r="G28" s="9">
        <f t="shared" si="2"/>
        <v>87479.559999999983</v>
      </c>
      <c r="I28" s="7" t="s">
        <v>42</v>
      </c>
      <c r="J28" s="7" t="str">
        <f t="shared" si="8"/>
        <v>31 to 60</v>
      </c>
      <c r="K28" s="8">
        <f t="shared" si="3"/>
        <v>43082</v>
      </c>
      <c r="L28" s="9">
        <f>SUMIFS(tblData[Amount],
                   tblData[Rpt Date],"="&amp;K28,
                   tblData[ScenarioGroup],"="&amp;J28,
                   tblData[PrentGroup],"="&amp;I28)</f>
        <v>50554.38</v>
      </c>
      <c r="M28" s="9">
        <f>SUMIFS(tblData[Amount],
                   tblData[Rpt Date],"="&amp;K28,
                   tblData[ScenarioGroup],"="&amp;J28,
                   tblData[PrentGroup],"="&amp;I28)</f>
        <v>50554.38</v>
      </c>
      <c r="O28" s="7" t="s">
        <v>43</v>
      </c>
      <c r="P28" s="7" t="str">
        <f t="shared" si="9"/>
        <v>31 to 60</v>
      </c>
      <c r="Q28" s="8">
        <f t="shared" si="4"/>
        <v>43082</v>
      </c>
      <c r="R28" s="9">
        <f>SUMIFS(tblData[Amount],
                   tblData[Rpt Date],"="&amp;Q28,
                   tblData[ScenarioGroup],"="&amp;P28,
                   tblData[PrentGroup],"="&amp;O28)</f>
        <v>31364.51</v>
      </c>
      <c r="S28" s="9">
        <f>SUMIFS(tblData[Amount],
                   tblData[Rpt Date],"="&amp;Q28,
                   tblData[ScenarioGroup],"="&amp;P28,
                   tblData[PrentGroup],"="&amp;O28)</f>
        <v>31364.51</v>
      </c>
      <c r="U28" s="7" t="s">
        <v>69</v>
      </c>
      <c r="V28" s="7" t="str">
        <f t="shared" si="10"/>
        <v>31 to 60</v>
      </c>
      <c r="W28" s="8">
        <f t="shared" si="5"/>
        <v>43082</v>
      </c>
      <c r="X28" s="9">
        <f>SUMIFS(tblData[Amount],
                   tblData[Rpt Date],"="&amp;W28,
                   tblData[ScenarioGroup],"="&amp;V28,
                   tblData[PrentGroup],"="&amp;U28)</f>
        <v>4266.8999999999996</v>
      </c>
      <c r="Y28" s="9">
        <f>SUMIFS(tblData[Amount],
                   tblData[Rpt Date],"="&amp;W28,
                   tblData[ScenarioGroup],"="&amp;V28,
                   tblData[PrentGroup],"="&amp;U28)</f>
        <v>4266.8999999999996</v>
      </c>
      <c r="AA28" s="7" t="s">
        <v>41</v>
      </c>
      <c r="AB28" s="7" t="str">
        <f t="shared" si="11"/>
        <v>31 to 60</v>
      </c>
      <c r="AC28" s="8">
        <f t="shared" si="6"/>
        <v>43082</v>
      </c>
      <c r="AD28" s="9">
        <f>SUMIFS(tblData[Amount],
                   tblData[Rpt Date],"="&amp;AC28,
                   tblData[ScenarioGroup],"="&amp;AB28,
                   tblData[PrentGroup],"="&amp;AA28)</f>
        <v>1293.77</v>
      </c>
      <c r="AE28" s="9">
        <f>SUMIFS(tblData[Amount],
                   tblData[Rpt Date],"="&amp;AC28,
                   tblData[ScenarioGroup],"="&amp;AB28,
                   tblData[PrentGroup],"="&amp;AA28)</f>
        <v>1293.77</v>
      </c>
    </row>
    <row r="29" spans="2:31" x14ac:dyDescent="0.25">
      <c r="B29">
        <f t="shared" si="0"/>
        <v>23</v>
      </c>
      <c r="C29" s="7" t="s">
        <v>67</v>
      </c>
      <c r="D29" s="7" t="str">
        <f t="shared" si="7"/>
        <v>31 to 60</v>
      </c>
      <c r="E29" s="8">
        <f t="shared" si="1"/>
        <v>43089</v>
      </c>
      <c r="F29" s="9">
        <f>SUMIFS(tblData[Amount],
                   tblData[Rpt Date],"="&amp;$E29,
                   tblData[ScenarioGroup],"="&amp;$D29)</f>
        <v>108280.28</v>
      </c>
      <c r="G29" s="9">
        <f t="shared" si="2"/>
        <v>108280.28</v>
      </c>
      <c r="I29" s="7" t="s">
        <v>42</v>
      </c>
      <c r="J29" s="7" t="str">
        <f t="shared" si="8"/>
        <v>31 to 60</v>
      </c>
      <c r="K29" s="8">
        <f t="shared" si="3"/>
        <v>43089</v>
      </c>
      <c r="L29" s="9">
        <f>SUMIFS(tblData[Amount],
                   tblData[Rpt Date],"="&amp;K29,
                   tblData[ScenarioGroup],"="&amp;J29,
                   tblData[PrentGroup],"="&amp;I29)</f>
        <v>62075.07</v>
      </c>
      <c r="M29" s="9">
        <f>SUMIFS(tblData[Amount],
                   tblData[Rpt Date],"="&amp;K29,
                   tblData[ScenarioGroup],"="&amp;J29,
                   tblData[PrentGroup],"="&amp;I29)</f>
        <v>62075.07</v>
      </c>
      <c r="O29" s="7" t="s">
        <v>43</v>
      </c>
      <c r="P29" s="7" t="str">
        <f t="shared" si="9"/>
        <v>31 to 60</v>
      </c>
      <c r="Q29" s="8">
        <f t="shared" si="4"/>
        <v>43089</v>
      </c>
      <c r="R29" s="9">
        <f>SUMIFS(tblData[Amount],
                   tblData[Rpt Date],"="&amp;Q29,
                   tblData[ScenarioGroup],"="&amp;P29,
                   tblData[PrentGroup],"="&amp;O29)</f>
        <v>37288.880000000005</v>
      </c>
      <c r="S29" s="9">
        <f>SUMIFS(tblData[Amount],
                   tblData[Rpt Date],"="&amp;Q29,
                   tblData[ScenarioGroup],"="&amp;P29,
                   tblData[PrentGroup],"="&amp;O29)</f>
        <v>37288.880000000005</v>
      </c>
      <c r="U29" s="7" t="s">
        <v>69</v>
      </c>
      <c r="V29" s="7" t="str">
        <f t="shared" si="10"/>
        <v>31 to 60</v>
      </c>
      <c r="W29" s="8">
        <f t="shared" si="5"/>
        <v>43089</v>
      </c>
      <c r="X29" s="9">
        <f>SUMIFS(tblData[Amount],
                   tblData[Rpt Date],"="&amp;W29,
                   tblData[ScenarioGroup],"="&amp;V29,
                   tblData[PrentGroup],"="&amp;U29)</f>
        <v>7098.8099999999995</v>
      </c>
      <c r="Y29" s="9">
        <f>SUMIFS(tblData[Amount],
                   tblData[Rpt Date],"="&amp;W29,
                   tblData[ScenarioGroup],"="&amp;V29,
                   tblData[PrentGroup],"="&amp;U29)</f>
        <v>7098.8099999999995</v>
      </c>
      <c r="AA29" s="7" t="s">
        <v>41</v>
      </c>
      <c r="AB29" s="7" t="str">
        <f t="shared" si="11"/>
        <v>31 to 60</v>
      </c>
      <c r="AC29" s="8">
        <f t="shared" si="6"/>
        <v>43089</v>
      </c>
      <c r="AD29" s="9">
        <f>SUMIFS(tblData[Amount],
                   tblData[Rpt Date],"="&amp;AC29,
                   tblData[ScenarioGroup],"="&amp;AB29,
                   tblData[PrentGroup],"="&amp;AA29)</f>
        <v>1817.5199999999998</v>
      </c>
      <c r="AE29" s="9">
        <f>SUMIFS(tblData[Amount],
                   tblData[Rpt Date],"="&amp;AC29,
                   tblData[ScenarioGroup],"="&amp;AB29,
                   tblData[PrentGroup],"="&amp;AA29)</f>
        <v>1817.5199999999998</v>
      </c>
    </row>
    <row r="30" spans="2:31" x14ac:dyDescent="0.25">
      <c r="B30">
        <f t="shared" si="0"/>
        <v>24</v>
      </c>
      <c r="C30" s="7" t="s">
        <v>67</v>
      </c>
      <c r="D30" s="7" t="str">
        <f t="shared" si="7"/>
        <v>31 to 60</v>
      </c>
      <c r="E30" s="8">
        <f t="shared" si="1"/>
        <v>43096</v>
      </c>
      <c r="F30" s="9">
        <f>SUMIFS(tblData[Amount],
                   tblData[Rpt Date],"="&amp;$E30,
                   tblData[ScenarioGroup],"="&amp;$D30)</f>
        <v>108280.28</v>
      </c>
      <c r="G30" s="9">
        <f t="shared" si="2"/>
        <v>108280.28</v>
      </c>
      <c r="I30" s="7" t="s">
        <v>42</v>
      </c>
      <c r="J30" s="7" t="str">
        <f t="shared" si="8"/>
        <v>31 to 60</v>
      </c>
      <c r="K30" s="8">
        <f t="shared" si="3"/>
        <v>43096</v>
      </c>
      <c r="L30" s="9">
        <f>SUMIFS(tblData[Amount],
                   tblData[Rpt Date],"="&amp;K30,
                   tblData[ScenarioGroup],"="&amp;J30,
                   tblData[PrentGroup],"="&amp;I30)</f>
        <v>62075.07</v>
      </c>
      <c r="M30" s="9">
        <f>SUMIFS(tblData[Amount],
                   tblData[Rpt Date],"="&amp;K30,
                   tblData[ScenarioGroup],"="&amp;J30,
                   tblData[PrentGroup],"="&amp;I30)</f>
        <v>62075.07</v>
      </c>
      <c r="O30" s="7" t="s">
        <v>43</v>
      </c>
      <c r="P30" s="7" t="str">
        <f t="shared" si="9"/>
        <v>31 to 60</v>
      </c>
      <c r="Q30" s="8">
        <f t="shared" si="4"/>
        <v>43096</v>
      </c>
      <c r="R30" s="9">
        <f>SUMIFS(tblData[Amount],
                   tblData[Rpt Date],"="&amp;Q30,
                   tblData[ScenarioGroup],"="&amp;P30,
                   tblData[PrentGroup],"="&amp;O30)</f>
        <v>37288.880000000005</v>
      </c>
      <c r="S30" s="9">
        <f>SUMIFS(tblData[Amount],
                   tblData[Rpt Date],"="&amp;Q30,
                   tblData[ScenarioGroup],"="&amp;P30,
                   tblData[PrentGroup],"="&amp;O30)</f>
        <v>37288.880000000005</v>
      </c>
      <c r="U30" s="7" t="s">
        <v>69</v>
      </c>
      <c r="V30" s="7" t="str">
        <f t="shared" si="10"/>
        <v>31 to 60</v>
      </c>
      <c r="W30" s="8">
        <f t="shared" si="5"/>
        <v>43096</v>
      </c>
      <c r="X30" s="9">
        <f>SUMIFS(tblData[Amount],
                   tblData[Rpt Date],"="&amp;W30,
                   tblData[ScenarioGroup],"="&amp;V30,
                   tblData[PrentGroup],"="&amp;U30)</f>
        <v>7098.8099999999995</v>
      </c>
      <c r="Y30" s="9">
        <f>SUMIFS(tblData[Amount],
                   tblData[Rpt Date],"="&amp;W30,
                   tblData[ScenarioGroup],"="&amp;V30,
                   tblData[PrentGroup],"="&amp;U30)</f>
        <v>7098.8099999999995</v>
      </c>
      <c r="AA30" s="7" t="s">
        <v>41</v>
      </c>
      <c r="AB30" s="7" t="str">
        <f t="shared" si="11"/>
        <v>31 to 60</v>
      </c>
      <c r="AC30" s="8">
        <f t="shared" si="6"/>
        <v>43096</v>
      </c>
      <c r="AD30" s="9">
        <f>SUMIFS(tblData[Amount],
                   tblData[Rpt Date],"="&amp;AC30,
                   tblData[ScenarioGroup],"="&amp;AB30,
                   tblData[PrentGroup],"="&amp;AA30)</f>
        <v>1817.5199999999998</v>
      </c>
      <c r="AE30" s="9">
        <f>SUMIFS(tblData[Amount],
                   tblData[Rpt Date],"="&amp;AC30,
                   tblData[ScenarioGroup],"="&amp;AB30,
                   tblData[PrentGroup],"="&amp;AA30)</f>
        <v>1817.5199999999998</v>
      </c>
    </row>
    <row r="31" spans="2:31" x14ac:dyDescent="0.25">
      <c r="B31">
        <f t="shared" si="0"/>
        <v>25</v>
      </c>
      <c r="C31" s="7" t="s">
        <v>67</v>
      </c>
      <c r="D31" s="7" t="str">
        <f t="shared" si="7"/>
        <v>31 to 60</v>
      </c>
      <c r="E31" s="8">
        <f t="shared" si="1"/>
        <v>43103</v>
      </c>
      <c r="F31" s="9">
        <f>SUMIFS(tblData[Amount],
                   tblData[Rpt Date],"="&amp;$E31,
                   tblData[ScenarioGroup],"="&amp;$D31)</f>
        <v>162317.90000000002</v>
      </c>
      <c r="G31" s="9">
        <f t="shared" si="2"/>
        <v>162317.90000000002</v>
      </c>
      <c r="I31" s="7" t="s">
        <v>42</v>
      </c>
      <c r="J31" s="7" t="str">
        <f t="shared" si="8"/>
        <v>31 to 60</v>
      </c>
      <c r="K31" s="8">
        <f t="shared" si="3"/>
        <v>43103</v>
      </c>
      <c r="L31" s="9">
        <f>SUMIFS(tblData[Amount],
                   tblData[Rpt Date],"="&amp;K31,
                   tblData[ScenarioGroup],"="&amp;J31,
                   tblData[PrentGroup],"="&amp;I31)</f>
        <v>66504.280000000013</v>
      </c>
      <c r="M31" s="9">
        <f>SUMIFS(tblData[Amount],
                   tblData[Rpt Date],"="&amp;K31,
                   tblData[ScenarioGroup],"="&amp;J31,
                   tblData[PrentGroup],"="&amp;I31)</f>
        <v>66504.280000000013</v>
      </c>
      <c r="O31" s="7" t="s">
        <v>43</v>
      </c>
      <c r="P31" s="7" t="str">
        <f t="shared" si="9"/>
        <v>31 to 60</v>
      </c>
      <c r="Q31" s="8">
        <f t="shared" si="4"/>
        <v>43103</v>
      </c>
      <c r="R31" s="9">
        <f>SUMIFS(tblData[Amount],
                   tblData[Rpt Date],"="&amp;Q31,
                   tblData[ScenarioGroup],"="&amp;P31,
                   tblData[PrentGroup],"="&amp;O31)</f>
        <v>82164.789999999994</v>
      </c>
      <c r="S31" s="9">
        <f>SUMIFS(tblData[Amount],
                   tblData[Rpt Date],"="&amp;Q31,
                   tblData[ScenarioGroup],"="&amp;P31,
                   tblData[PrentGroup],"="&amp;O31)</f>
        <v>82164.789999999994</v>
      </c>
      <c r="U31" s="7" t="s">
        <v>69</v>
      </c>
      <c r="V31" s="7" t="str">
        <f t="shared" si="10"/>
        <v>31 to 60</v>
      </c>
      <c r="W31" s="8">
        <f t="shared" si="5"/>
        <v>43103</v>
      </c>
      <c r="X31" s="9">
        <f>SUMIFS(tblData[Amount],
                   tblData[Rpt Date],"="&amp;W31,
                   tblData[ScenarioGroup],"="&amp;V31,
                   tblData[PrentGroup],"="&amp;U31)</f>
        <v>12067.089999999998</v>
      </c>
      <c r="Y31" s="9">
        <f>SUMIFS(tblData[Amount],
                   tblData[Rpt Date],"="&amp;W31,
                   tblData[ScenarioGroup],"="&amp;V31,
                   tblData[PrentGroup],"="&amp;U31)</f>
        <v>12067.089999999998</v>
      </c>
      <c r="AA31" s="7" t="s">
        <v>41</v>
      </c>
      <c r="AB31" s="7" t="str">
        <f t="shared" si="11"/>
        <v>31 to 60</v>
      </c>
      <c r="AC31" s="8">
        <f t="shared" si="6"/>
        <v>43103</v>
      </c>
      <c r="AD31" s="9">
        <f>SUMIFS(tblData[Amount],
                   tblData[Rpt Date],"="&amp;AC31,
                   tblData[ScenarioGroup],"="&amp;AB31,
                   tblData[PrentGroup],"="&amp;AA31)</f>
        <v>1581.7399999999998</v>
      </c>
      <c r="AE31" s="9">
        <f>SUMIFS(tblData[Amount],
                   tblData[Rpt Date],"="&amp;AC31,
                   tblData[ScenarioGroup],"="&amp;AB31,
                   tblData[PrentGroup],"="&amp;AA31)</f>
        <v>1581.7399999999998</v>
      </c>
    </row>
    <row r="32" spans="2:31" x14ac:dyDescent="0.25">
      <c r="B32">
        <f t="shared" si="0"/>
        <v>26</v>
      </c>
      <c r="C32" s="7" t="s">
        <v>67</v>
      </c>
      <c r="D32" s="7" t="str">
        <f t="shared" si="7"/>
        <v>31 to 60</v>
      </c>
      <c r="E32" s="8">
        <f t="shared" si="1"/>
        <v>43110</v>
      </c>
      <c r="F32" s="9">
        <f>SUMIFS(tblData[Amount],
                   tblData[Rpt Date],"="&amp;$E32,
                   tblData[ScenarioGroup],"="&amp;$D32)</f>
        <v>191830.09999999995</v>
      </c>
      <c r="G32" s="9">
        <f t="shared" si="2"/>
        <v>191830.09999999995</v>
      </c>
      <c r="I32" s="7" t="s">
        <v>42</v>
      </c>
      <c r="J32" s="7" t="str">
        <f t="shared" si="8"/>
        <v>31 to 60</v>
      </c>
      <c r="K32" s="8">
        <f t="shared" si="3"/>
        <v>43110</v>
      </c>
      <c r="L32" s="9">
        <f>SUMIFS(tblData[Amount],
                   tblData[Rpt Date],"="&amp;K32,
                   tblData[ScenarioGroup],"="&amp;J32,
                   tblData[PrentGroup],"="&amp;I32)</f>
        <v>88188.79</v>
      </c>
      <c r="M32" s="9">
        <f>SUMIFS(tblData[Amount],
                   tblData[Rpt Date],"="&amp;K32,
                   tblData[ScenarioGroup],"="&amp;J32,
                   tblData[PrentGroup],"="&amp;I32)</f>
        <v>88188.79</v>
      </c>
      <c r="O32" s="7" t="s">
        <v>43</v>
      </c>
      <c r="P32" s="7" t="str">
        <f t="shared" si="9"/>
        <v>31 to 60</v>
      </c>
      <c r="Q32" s="8">
        <f t="shared" si="4"/>
        <v>43110</v>
      </c>
      <c r="R32" s="9">
        <f>SUMIFS(tblData[Amount],
                   tblData[Rpt Date],"="&amp;Q32,
                   tblData[ScenarioGroup],"="&amp;P32,
                   tblData[PrentGroup],"="&amp;O32)</f>
        <v>87444.239999999991</v>
      </c>
      <c r="S32" s="9">
        <f>SUMIFS(tblData[Amount],
                   tblData[Rpt Date],"="&amp;Q32,
                   tblData[ScenarioGroup],"="&amp;P32,
                   tblData[PrentGroup],"="&amp;O32)</f>
        <v>87444.239999999991</v>
      </c>
      <c r="U32" s="7" t="s">
        <v>69</v>
      </c>
      <c r="V32" s="7" t="str">
        <f t="shared" si="10"/>
        <v>31 to 60</v>
      </c>
      <c r="W32" s="8">
        <f t="shared" si="5"/>
        <v>43110</v>
      </c>
      <c r="X32" s="9">
        <f>SUMIFS(tblData[Amount],
                   tblData[Rpt Date],"="&amp;W32,
                   tblData[ScenarioGroup],"="&amp;V32,
                   tblData[PrentGroup],"="&amp;U32)</f>
        <v>11595.43</v>
      </c>
      <c r="Y32" s="9">
        <f>SUMIFS(tblData[Amount],
                   tblData[Rpt Date],"="&amp;W32,
                   tblData[ScenarioGroup],"="&amp;V32,
                   tblData[PrentGroup],"="&amp;U32)</f>
        <v>11595.43</v>
      </c>
      <c r="AA32" s="7" t="s">
        <v>41</v>
      </c>
      <c r="AB32" s="7" t="str">
        <f t="shared" si="11"/>
        <v>31 to 60</v>
      </c>
      <c r="AC32" s="8">
        <f t="shared" si="6"/>
        <v>43110</v>
      </c>
      <c r="AD32" s="9">
        <f>SUMIFS(tblData[Amount],
                   tblData[Rpt Date],"="&amp;AC32,
                   tblData[ScenarioGroup],"="&amp;AB32,
                   tblData[PrentGroup],"="&amp;AA32)</f>
        <v>4601.6399999999994</v>
      </c>
      <c r="AE32" s="9">
        <f>SUMIFS(tblData[Amount],
                   tblData[Rpt Date],"="&amp;AC32,
                   tblData[ScenarioGroup],"="&amp;AB32,
                   tblData[PrentGroup],"="&amp;AA32)</f>
        <v>4601.6399999999994</v>
      </c>
    </row>
    <row r="33" spans="2:31" x14ac:dyDescent="0.25">
      <c r="B33">
        <f t="shared" si="0"/>
        <v>27</v>
      </c>
      <c r="C33" s="7" t="s">
        <v>67</v>
      </c>
      <c r="D33" s="7" t="str">
        <f t="shared" si="7"/>
        <v>31 to 60</v>
      </c>
      <c r="E33" s="8">
        <f t="shared" si="1"/>
        <v>43117</v>
      </c>
      <c r="F33" s="9">
        <f>SUMIFS(tblData[Amount],
                   tblData[Rpt Date],"="&amp;$E33,
                   tblData[ScenarioGroup],"="&amp;$D33)</f>
        <v>177214.05</v>
      </c>
      <c r="G33" s="9">
        <f t="shared" si="2"/>
        <v>177214.05</v>
      </c>
      <c r="I33" s="7" t="s">
        <v>42</v>
      </c>
      <c r="J33" s="7" t="str">
        <f t="shared" si="8"/>
        <v>31 to 60</v>
      </c>
      <c r="K33" s="8">
        <f t="shared" si="3"/>
        <v>43117</v>
      </c>
      <c r="L33" s="9">
        <f>SUMIFS(tblData[Amount],
                   tblData[Rpt Date],"="&amp;K33,
                   tblData[ScenarioGroup],"="&amp;J33,
                   tblData[PrentGroup],"="&amp;I33)</f>
        <v>62180.610000000008</v>
      </c>
      <c r="M33" s="9">
        <f>SUMIFS(tblData[Amount],
                   tblData[Rpt Date],"="&amp;K33,
                   tblData[ScenarioGroup],"="&amp;J33,
                   tblData[PrentGroup],"="&amp;I33)</f>
        <v>62180.610000000008</v>
      </c>
      <c r="O33" s="7" t="s">
        <v>43</v>
      </c>
      <c r="P33" s="7" t="str">
        <f t="shared" si="9"/>
        <v>31 to 60</v>
      </c>
      <c r="Q33" s="8">
        <f t="shared" si="4"/>
        <v>43117</v>
      </c>
      <c r="R33" s="9">
        <f>SUMIFS(tblData[Amount],
                   tblData[Rpt Date],"="&amp;Q33,
                   tblData[ScenarioGroup],"="&amp;P33,
                   tblData[PrentGroup],"="&amp;O33)</f>
        <v>98875.229999999981</v>
      </c>
      <c r="S33" s="9">
        <f>SUMIFS(tblData[Amount],
                   tblData[Rpt Date],"="&amp;Q33,
                   tblData[ScenarioGroup],"="&amp;P33,
                   tblData[PrentGroup],"="&amp;O33)</f>
        <v>98875.229999999981</v>
      </c>
      <c r="U33" s="7" t="s">
        <v>69</v>
      </c>
      <c r="V33" s="7" t="str">
        <f t="shared" si="10"/>
        <v>31 to 60</v>
      </c>
      <c r="W33" s="8">
        <f t="shared" si="5"/>
        <v>43117</v>
      </c>
      <c r="X33" s="9">
        <f>SUMIFS(tblData[Amount],
                   tblData[Rpt Date],"="&amp;W33,
                   tblData[ScenarioGroup],"="&amp;V33,
                   tblData[PrentGroup],"="&amp;U33)</f>
        <v>10823.98</v>
      </c>
      <c r="Y33" s="9">
        <f>SUMIFS(tblData[Amount],
                   tblData[Rpt Date],"="&amp;W33,
                   tblData[ScenarioGroup],"="&amp;V33,
                   tblData[PrentGroup],"="&amp;U33)</f>
        <v>10823.98</v>
      </c>
      <c r="AA33" s="7" t="s">
        <v>41</v>
      </c>
      <c r="AB33" s="7" t="str">
        <f t="shared" si="11"/>
        <v>31 to 60</v>
      </c>
      <c r="AC33" s="8">
        <f t="shared" si="6"/>
        <v>43117</v>
      </c>
      <c r="AD33" s="9">
        <f>SUMIFS(tblData[Amount],
                   tblData[Rpt Date],"="&amp;AC33,
                   tblData[ScenarioGroup],"="&amp;AB33,
                   tblData[PrentGroup],"="&amp;AA33)</f>
        <v>5334.23</v>
      </c>
      <c r="AE33" s="9">
        <f>SUMIFS(tblData[Amount],
                   tblData[Rpt Date],"="&amp;AC33,
                   tblData[ScenarioGroup],"="&amp;AB33,
                   tblData[PrentGroup],"="&amp;AA33)</f>
        <v>5334.23</v>
      </c>
    </row>
    <row r="34" spans="2:31" x14ac:dyDescent="0.25">
      <c r="B34">
        <f t="shared" si="0"/>
        <v>28</v>
      </c>
      <c r="C34" s="7" t="s">
        <v>67</v>
      </c>
      <c r="D34" s="7" t="str">
        <f t="shared" si="7"/>
        <v>31 to 60</v>
      </c>
      <c r="E34" s="8">
        <f t="shared" si="1"/>
        <v>43124</v>
      </c>
      <c r="F34" s="9">
        <f>SUMIFS(tblData[Amount],
                   tblData[Rpt Date],"="&amp;$E34,
                   tblData[ScenarioGroup],"="&amp;$D34)</f>
        <v>132467.81</v>
      </c>
      <c r="G34" s="9">
        <f t="shared" si="2"/>
        <v>132467.81</v>
      </c>
      <c r="I34" s="7" t="s">
        <v>42</v>
      </c>
      <c r="J34" s="7" t="str">
        <f t="shared" si="8"/>
        <v>31 to 60</v>
      </c>
      <c r="K34" s="8">
        <f t="shared" si="3"/>
        <v>43124</v>
      </c>
      <c r="L34" s="9">
        <f>SUMIFS(tblData[Amount],
                   tblData[Rpt Date],"="&amp;K34,
                   tblData[ScenarioGroup],"="&amp;J34,
                   tblData[PrentGroup],"="&amp;I34)</f>
        <v>53309.19</v>
      </c>
      <c r="M34" s="9">
        <f>SUMIFS(tblData[Amount],
                   tblData[Rpt Date],"="&amp;K34,
                   tblData[ScenarioGroup],"="&amp;J34,
                   tblData[PrentGroup],"="&amp;I34)</f>
        <v>53309.19</v>
      </c>
      <c r="O34" s="7" t="s">
        <v>43</v>
      </c>
      <c r="P34" s="7" t="str">
        <f t="shared" si="9"/>
        <v>31 to 60</v>
      </c>
      <c r="Q34" s="8">
        <f t="shared" si="4"/>
        <v>43124</v>
      </c>
      <c r="R34" s="9">
        <f>SUMIFS(tblData[Amount],
                   tblData[Rpt Date],"="&amp;Q34,
                   tblData[ScenarioGroup],"="&amp;P34,
                   tblData[PrentGroup],"="&amp;O34)</f>
        <v>67627.63</v>
      </c>
      <c r="S34" s="9">
        <f>SUMIFS(tblData[Amount],
                   tblData[Rpt Date],"="&amp;Q34,
                   tblData[ScenarioGroup],"="&amp;P34,
                   tblData[PrentGroup],"="&amp;O34)</f>
        <v>67627.63</v>
      </c>
      <c r="U34" s="7" t="s">
        <v>69</v>
      </c>
      <c r="V34" s="7" t="str">
        <f t="shared" si="10"/>
        <v>31 to 60</v>
      </c>
      <c r="W34" s="8">
        <f t="shared" si="5"/>
        <v>43124</v>
      </c>
      <c r="X34" s="9">
        <f>SUMIFS(tblData[Amount],
                   tblData[Rpt Date],"="&amp;W34,
                   tblData[ScenarioGroup],"="&amp;V34,
                   tblData[PrentGroup],"="&amp;U34)</f>
        <v>10332.09</v>
      </c>
      <c r="Y34" s="9">
        <f>SUMIFS(tblData[Amount],
                   tblData[Rpt Date],"="&amp;W34,
                   tblData[ScenarioGroup],"="&amp;V34,
                   tblData[PrentGroup],"="&amp;U34)</f>
        <v>10332.09</v>
      </c>
      <c r="AA34" s="7" t="s">
        <v>41</v>
      </c>
      <c r="AB34" s="7" t="str">
        <f t="shared" si="11"/>
        <v>31 to 60</v>
      </c>
      <c r="AC34" s="8">
        <f t="shared" si="6"/>
        <v>43124</v>
      </c>
      <c r="AD34" s="9">
        <f>SUMIFS(tblData[Amount],
                   tblData[Rpt Date],"="&amp;AC34,
                   tblData[ScenarioGroup],"="&amp;AB34,
                   tblData[PrentGroup],"="&amp;AA34)</f>
        <v>1198.9000000000001</v>
      </c>
      <c r="AE34" s="9">
        <f>SUMIFS(tblData[Amount],
                   tblData[Rpt Date],"="&amp;AC34,
                   tblData[ScenarioGroup],"="&amp;AB34,
                   tblData[PrentGroup],"="&amp;AA34)</f>
        <v>1198.9000000000001</v>
      </c>
    </row>
    <row r="35" spans="2:31" x14ac:dyDescent="0.25">
      <c r="B35">
        <f t="shared" si="0"/>
        <v>29</v>
      </c>
      <c r="C35" s="7" t="s">
        <v>67</v>
      </c>
      <c r="D35" s="7" t="str">
        <f t="shared" si="7"/>
        <v>31 to 60</v>
      </c>
      <c r="E35" s="8">
        <f t="shared" si="1"/>
        <v>43131</v>
      </c>
      <c r="F35" s="9">
        <f>SUMIFS(tblData[Amount],
                   tblData[Rpt Date],"="&amp;$E35,
                   tblData[ScenarioGroup],"="&amp;$D35)</f>
        <v>106375.05000000002</v>
      </c>
      <c r="G35" s="9">
        <f t="shared" si="2"/>
        <v>106375.05000000002</v>
      </c>
      <c r="I35" s="7" t="s">
        <v>42</v>
      </c>
      <c r="J35" s="7" t="str">
        <f t="shared" si="8"/>
        <v>31 to 60</v>
      </c>
      <c r="K35" s="8">
        <f t="shared" si="3"/>
        <v>43131</v>
      </c>
      <c r="L35" s="9">
        <f>SUMIFS(tblData[Amount],
                   tblData[Rpt Date],"="&amp;K35,
                   tblData[ScenarioGroup],"="&amp;J35,
                   tblData[PrentGroup],"="&amp;I35)</f>
        <v>61961.330000000024</v>
      </c>
      <c r="M35" s="9">
        <f>SUMIFS(tblData[Amount],
                   tblData[Rpt Date],"="&amp;K35,
                   tblData[ScenarioGroup],"="&amp;J35,
                   tblData[PrentGroup],"="&amp;I35)</f>
        <v>61961.330000000024</v>
      </c>
      <c r="O35" s="7" t="s">
        <v>43</v>
      </c>
      <c r="P35" s="7" t="str">
        <f t="shared" si="9"/>
        <v>31 to 60</v>
      </c>
      <c r="Q35" s="8">
        <f t="shared" si="4"/>
        <v>43131</v>
      </c>
      <c r="R35" s="9">
        <f>SUMIFS(tblData[Amount],
                   tblData[Rpt Date],"="&amp;Q35,
                   tblData[ScenarioGroup],"="&amp;P35,
                   tblData[PrentGroup],"="&amp;O35)</f>
        <v>37677.490000000005</v>
      </c>
      <c r="S35" s="9">
        <f>SUMIFS(tblData[Amount],
                   tblData[Rpt Date],"="&amp;Q35,
                   tblData[ScenarioGroup],"="&amp;P35,
                   tblData[PrentGroup],"="&amp;O35)</f>
        <v>37677.490000000005</v>
      </c>
      <c r="U35" s="7" t="s">
        <v>69</v>
      </c>
      <c r="V35" s="7" t="str">
        <f t="shared" si="10"/>
        <v>31 to 60</v>
      </c>
      <c r="W35" s="8">
        <f t="shared" si="5"/>
        <v>43131</v>
      </c>
      <c r="X35" s="9">
        <f>SUMIFS(tblData[Amount],
                   tblData[Rpt Date],"="&amp;W35,
                   tblData[ScenarioGroup],"="&amp;V35,
                   tblData[PrentGroup],"="&amp;U35)</f>
        <v>5474.98</v>
      </c>
      <c r="Y35" s="9">
        <f>SUMIFS(tblData[Amount],
                   tblData[Rpt Date],"="&amp;W35,
                   tblData[ScenarioGroup],"="&amp;V35,
                   tblData[PrentGroup],"="&amp;U35)</f>
        <v>5474.98</v>
      </c>
      <c r="AA35" s="7" t="s">
        <v>41</v>
      </c>
      <c r="AB35" s="7" t="str">
        <f t="shared" si="11"/>
        <v>31 to 60</v>
      </c>
      <c r="AC35" s="8">
        <f t="shared" si="6"/>
        <v>43131</v>
      </c>
      <c r="AD35" s="9">
        <f>SUMIFS(tblData[Amount],
                   tblData[Rpt Date],"="&amp;AC35,
                   tblData[ScenarioGroup],"="&amp;AB35,
                   tblData[PrentGroup],"="&amp;AA35)</f>
        <v>1261.25</v>
      </c>
      <c r="AE35" s="9">
        <f>SUMIFS(tblData[Amount],
                   tblData[Rpt Date],"="&amp;AC35,
                   tblData[ScenarioGroup],"="&amp;AB35,
                   tblData[PrentGroup],"="&amp;AA35)</f>
        <v>1261.25</v>
      </c>
    </row>
    <row r="36" spans="2:31" x14ac:dyDescent="0.25">
      <c r="B36">
        <f t="shared" si="0"/>
        <v>30</v>
      </c>
      <c r="C36" s="7" t="s">
        <v>67</v>
      </c>
      <c r="D36" s="7" t="str">
        <f t="shared" si="7"/>
        <v>31 to 60</v>
      </c>
      <c r="E36" s="8">
        <f t="shared" si="1"/>
        <v>43138</v>
      </c>
      <c r="F36" s="9">
        <f>SUMIFS(tblData[Amount],
                   tblData[Rpt Date],"="&amp;$E36,
                   tblData[ScenarioGroup],"="&amp;$D36)</f>
        <v>115912.05999999998</v>
      </c>
      <c r="G36" s="9">
        <f t="shared" si="2"/>
        <v>115912.05999999998</v>
      </c>
      <c r="I36" s="7" t="s">
        <v>42</v>
      </c>
      <c r="J36" s="7" t="str">
        <f t="shared" si="8"/>
        <v>31 to 60</v>
      </c>
      <c r="K36" s="8">
        <f t="shared" si="3"/>
        <v>43138</v>
      </c>
      <c r="L36" s="9">
        <f>SUMIFS(tblData[Amount],
                   tblData[Rpt Date],"="&amp;K36,
                   tblData[ScenarioGroup],"="&amp;J36,
                   tblData[PrentGroup],"="&amp;I36)</f>
        <v>68958.39</v>
      </c>
      <c r="M36" s="9">
        <f>SUMIFS(tblData[Amount],
                   tblData[Rpt Date],"="&amp;K36,
                   tblData[ScenarioGroup],"="&amp;J36,
                   tblData[PrentGroup],"="&amp;I36)</f>
        <v>68958.39</v>
      </c>
      <c r="O36" s="7" t="s">
        <v>43</v>
      </c>
      <c r="P36" s="7" t="str">
        <f t="shared" si="9"/>
        <v>31 to 60</v>
      </c>
      <c r="Q36" s="8">
        <f t="shared" si="4"/>
        <v>43138</v>
      </c>
      <c r="R36" s="9">
        <f>SUMIFS(tblData[Amount],
                   tblData[Rpt Date],"="&amp;Q36,
                   tblData[ScenarioGroup],"="&amp;P36,
                   tblData[PrentGroup],"="&amp;O36)</f>
        <v>40159.909999999996</v>
      </c>
      <c r="S36" s="9">
        <f>SUMIFS(tblData[Amount],
                   tblData[Rpt Date],"="&amp;Q36,
                   tblData[ScenarioGroup],"="&amp;P36,
                   tblData[PrentGroup],"="&amp;O36)</f>
        <v>40159.909999999996</v>
      </c>
      <c r="U36" s="7" t="s">
        <v>69</v>
      </c>
      <c r="V36" s="7" t="str">
        <f t="shared" si="10"/>
        <v>31 to 60</v>
      </c>
      <c r="W36" s="8">
        <f t="shared" si="5"/>
        <v>43138</v>
      </c>
      <c r="X36" s="9">
        <f>SUMIFS(tblData[Amount],
                   tblData[Rpt Date],"="&amp;W36,
                   tblData[ScenarioGroup],"="&amp;V36,
                   tblData[PrentGroup],"="&amp;U36)</f>
        <v>4750.8100000000013</v>
      </c>
      <c r="Y36" s="9">
        <f>SUMIFS(tblData[Amount],
                   tblData[Rpt Date],"="&amp;W36,
                   tblData[ScenarioGroup],"="&amp;V36,
                   tblData[PrentGroup],"="&amp;U36)</f>
        <v>4750.8100000000013</v>
      </c>
      <c r="AA36" s="7" t="s">
        <v>41</v>
      </c>
      <c r="AB36" s="7" t="str">
        <f t="shared" si="11"/>
        <v>31 to 60</v>
      </c>
      <c r="AC36" s="8">
        <f t="shared" si="6"/>
        <v>43138</v>
      </c>
      <c r="AD36" s="9">
        <f>SUMIFS(tblData[Amount],
                   tblData[Rpt Date],"="&amp;AC36,
                   tblData[ScenarioGroup],"="&amp;AB36,
                   tblData[PrentGroup],"="&amp;AA36)</f>
        <v>2042.9499999999998</v>
      </c>
      <c r="AE36" s="9">
        <f>SUMIFS(tblData[Amount],
                   tblData[Rpt Date],"="&amp;AC36,
                   tblData[ScenarioGroup],"="&amp;AB36,
                   tblData[PrentGroup],"="&amp;AA36)</f>
        <v>2042.9499999999998</v>
      </c>
    </row>
    <row r="37" spans="2:31" x14ac:dyDescent="0.25">
      <c r="B37">
        <f t="shared" si="0"/>
        <v>31</v>
      </c>
      <c r="C37" s="7" t="s">
        <v>67</v>
      </c>
      <c r="D37" s="7" t="str">
        <f t="shared" si="7"/>
        <v>31 to 60</v>
      </c>
      <c r="E37" s="8">
        <f t="shared" si="1"/>
        <v>43145</v>
      </c>
      <c r="F37" s="9">
        <f>SUMIFS(tblData[Amount],
                   tblData[Rpt Date],"="&amp;$E37,
                   tblData[ScenarioGroup],"="&amp;$D37)</f>
        <v>92211.53</v>
      </c>
      <c r="G37" s="9">
        <f t="shared" si="2"/>
        <v>92211.53</v>
      </c>
      <c r="I37" s="7" t="s">
        <v>42</v>
      </c>
      <c r="J37" s="7" t="str">
        <f t="shared" si="8"/>
        <v>31 to 60</v>
      </c>
      <c r="K37" s="8">
        <f t="shared" si="3"/>
        <v>43145</v>
      </c>
      <c r="L37" s="9">
        <f>SUMIFS(tblData[Amount],
                   tblData[Rpt Date],"="&amp;K37,
                   tblData[ScenarioGroup],"="&amp;J37,
                   tblData[PrentGroup],"="&amp;I37)</f>
        <v>47879.280000000006</v>
      </c>
      <c r="M37" s="9">
        <f>SUMIFS(tblData[Amount],
                   tblData[Rpt Date],"="&amp;K37,
                   tblData[ScenarioGroup],"="&amp;J37,
                   tblData[PrentGroup],"="&amp;I37)</f>
        <v>47879.280000000006</v>
      </c>
      <c r="O37" s="7" t="s">
        <v>43</v>
      </c>
      <c r="P37" s="7" t="str">
        <f t="shared" si="9"/>
        <v>31 to 60</v>
      </c>
      <c r="Q37" s="8">
        <f t="shared" si="4"/>
        <v>43145</v>
      </c>
      <c r="R37" s="9">
        <f>SUMIFS(tblData[Amount],
                   tblData[Rpt Date],"="&amp;Q37,
                   tblData[ScenarioGroup],"="&amp;P37,
                   tblData[PrentGroup],"="&amp;O37)</f>
        <v>38197.939999999995</v>
      </c>
      <c r="S37" s="9">
        <f>SUMIFS(tblData[Amount],
                   tblData[Rpt Date],"="&amp;Q37,
                   tblData[ScenarioGroup],"="&amp;P37,
                   tblData[PrentGroup],"="&amp;O37)</f>
        <v>38197.939999999995</v>
      </c>
      <c r="U37" s="7" t="s">
        <v>69</v>
      </c>
      <c r="V37" s="7" t="str">
        <f t="shared" si="10"/>
        <v>31 to 60</v>
      </c>
      <c r="W37" s="8">
        <f t="shared" si="5"/>
        <v>43145</v>
      </c>
      <c r="X37" s="9">
        <f>SUMIFS(tblData[Amount],
                   tblData[Rpt Date],"="&amp;W37,
                   tblData[ScenarioGroup],"="&amp;V37,
                   tblData[PrentGroup],"="&amp;U37)</f>
        <v>4403.92</v>
      </c>
      <c r="Y37" s="9">
        <f>SUMIFS(tblData[Amount],
                   tblData[Rpt Date],"="&amp;W37,
                   tblData[ScenarioGroup],"="&amp;V37,
                   tblData[PrentGroup],"="&amp;U37)</f>
        <v>4403.92</v>
      </c>
      <c r="AA37" s="7" t="s">
        <v>41</v>
      </c>
      <c r="AB37" s="7" t="str">
        <f t="shared" si="11"/>
        <v>31 to 60</v>
      </c>
      <c r="AC37" s="8">
        <f t="shared" si="6"/>
        <v>43145</v>
      </c>
      <c r="AD37" s="9">
        <f>SUMIFS(tblData[Amount],
                   tblData[Rpt Date],"="&amp;AC37,
                   tblData[ScenarioGroup],"="&amp;AB37,
                   tblData[PrentGroup],"="&amp;AA37)</f>
        <v>1730.3899999999999</v>
      </c>
      <c r="AE37" s="9">
        <f>SUMIFS(tblData[Amount],
                   tblData[Rpt Date],"="&amp;AC37,
                   tblData[ScenarioGroup],"="&amp;AB37,
                   tblData[PrentGroup],"="&amp;AA37)</f>
        <v>1730.3899999999999</v>
      </c>
    </row>
    <row r="38" spans="2:31" x14ac:dyDescent="0.25">
      <c r="B38">
        <f t="shared" si="0"/>
        <v>32</v>
      </c>
      <c r="C38" s="7" t="s">
        <v>67</v>
      </c>
      <c r="D38" s="7" t="str">
        <f t="shared" si="7"/>
        <v>31 to 60</v>
      </c>
      <c r="E38" s="8">
        <f t="shared" si="1"/>
        <v>43152</v>
      </c>
      <c r="F38" s="9">
        <f>SUMIFS(tblData[Amount],
                   tblData[Rpt Date],"="&amp;$E38,
                   tblData[ScenarioGroup],"="&amp;$D38)</f>
        <v>97410.080000000016</v>
      </c>
      <c r="G38" s="9">
        <f t="shared" si="2"/>
        <v>97410.080000000016</v>
      </c>
      <c r="I38" s="7" t="s">
        <v>42</v>
      </c>
      <c r="J38" s="7" t="str">
        <f t="shared" si="8"/>
        <v>31 to 60</v>
      </c>
      <c r="K38" s="8">
        <f t="shared" si="3"/>
        <v>43152</v>
      </c>
      <c r="L38" s="9">
        <f>SUMIFS(tblData[Amount],
                   tblData[Rpt Date],"="&amp;K38,
                   tblData[ScenarioGroup],"="&amp;J38,
                   tblData[PrentGroup],"="&amp;I38)</f>
        <v>61527.500000000022</v>
      </c>
      <c r="M38" s="9">
        <f>SUMIFS(tblData[Amount],
                   tblData[Rpt Date],"="&amp;K38,
                   tblData[ScenarioGroup],"="&amp;J38,
                   tblData[PrentGroup],"="&amp;I38)</f>
        <v>61527.500000000022</v>
      </c>
      <c r="O38" s="7" t="s">
        <v>43</v>
      </c>
      <c r="P38" s="7" t="str">
        <f t="shared" si="9"/>
        <v>31 to 60</v>
      </c>
      <c r="Q38" s="8">
        <f t="shared" si="4"/>
        <v>43152</v>
      </c>
      <c r="R38" s="9">
        <f>SUMIFS(tblData[Amount],
                   tblData[Rpt Date],"="&amp;Q38,
                   tblData[ScenarioGroup],"="&amp;P38,
                   tblData[PrentGroup],"="&amp;O38)</f>
        <v>28239.679999999993</v>
      </c>
      <c r="S38" s="9">
        <f>SUMIFS(tblData[Amount],
                   tblData[Rpt Date],"="&amp;Q38,
                   tblData[ScenarioGroup],"="&amp;P38,
                   tblData[PrentGroup],"="&amp;O38)</f>
        <v>28239.679999999993</v>
      </c>
      <c r="U38" s="7" t="s">
        <v>69</v>
      </c>
      <c r="V38" s="7" t="str">
        <f t="shared" si="10"/>
        <v>31 to 60</v>
      </c>
      <c r="W38" s="8">
        <f t="shared" si="5"/>
        <v>43152</v>
      </c>
      <c r="X38" s="9">
        <f>SUMIFS(tblData[Amount],
                   tblData[Rpt Date],"="&amp;W38,
                   tblData[ScenarioGroup],"="&amp;V38,
                   tblData[PrentGroup],"="&amp;U38)</f>
        <v>5141.2700000000004</v>
      </c>
      <c r="Y38" s="9">
        <f>SUMIFS(tblData[Amount],
                   tblData[Rpt Date],"="&amp;W38,
                   tblData[ScenarioGroup],"="&amp;V38,
                   tblData[PrentGroup],"="&amp;U38)</f>
        <v>5141.2700000000004</v>
      </c>
      <c r="AA38" s="7" t="s">
        <v>41</v>
      </c>
      <c r="AB38" s="7" t="str">
        <f t="shared" si="11"/>
        <v>31 to 60</v>
      </c>
      <c r="AC38" s="8">
        <f t="shared" si="6"/>
        <v>43152</v>
      </c>
      <c r="AD38" s="9">
        <f>SUMIFS(tblData[Amount],
                   tblData[Rpt Date],"="&amp;AC38,
                   tblData[ScenarioGroup],"="&amp;AB38,
                   tblData[PrentGroup],"="&amp;AA38)</f>
        <v>2501.63</v>
      </c>
      <c r="AE38" s="9">
        <f>SUMIFS(tblData[Amount],
                   tblData[Rpt Date],"="&amp;AC38,
                   tblData[ScenarioGroup],"="&amp;AB38,
                   tblData[PrentGroup],"="&amp;AA38)</f>
        <v>2501.63</v>
      </c>
    </row>
    <row r="39" spans="2:31" x14ac:dyDescent="0.25">
      <c r="B39">
        <f t="shared" si="0"/>
        <v>33</v>
      </c>
      <c r="C39" s="7" t="s">
        <v>67</v>
      </c>
      <c r="D39" s="7" t="str">
        <f t="shared" si="7"/>
        <v>31 to 60</v>
      </c>
      <c r="E39" s="8">
        <f t="shared" si="1"/>
        <v>43159</v>
      </c>
      <c r="F39" s="9">
        <f>SUMIFS(tblData[Amount],
                   tblData[Rpt Date],"="&amp;$E39,
                   tblData[ScenarioGroup],"="&amp;$D39)</f>
        <v>95325.939999999988</v>
      </c>
      <c r="G39" s="9">
        <f t="shared" si="2"/>
        <v>95325.939999999988</v>
      </c>
      <c r="I39" s="7" t="s">
        <v>42</v>
      </c>
      <c r="J39" s="7" t="str">
        <f t="shared" si="8"/>
        <v>31 to 60</v>
      </c>
      <c r="K39" s="8">
        <f t="shared" si="3"/>
        <v>43159</v>
      </c>
      <c r="L39" s="9">
        <f>SUMIFS(tblData[Amount],
                   tblData[Rpt Date],"="&amp;K39,
                   tblData[ScenarioGroup],"="&amp;J39,
                   tblData[PrentGroup],"="&amp;I39)</f>
        <v>56901.1</v>
      </c>
      <c r="M39" s="9">
        <f>SUMIFS(tblData[Amount],
                   tblData[Rpt Date],"="&amp;K39,
                   tblData[ScenarioGroup],"="&amp;J39,
                   tblData[PrentGroup],"="&amp;I39)</f>
        <v>56901.1</v>
      </c>
      <c r="O39" s="7" t="s">
        <v>43</v>
      </c>
      <c r="P39" s="7" t="str">
        <f t="shared" si="9"/>
        <v>31 to 60</v>
      </c>
      <c r="Q39" s="8">
        <f t="shared" si="4"/>
        <v>43159</v>
      </c>
      <c r="R39" s="9">
        <f>SUMIFS(tblData[Amount],
                   tblData[Rpt Date],"="&amp;Q39,
                   tblData[ScenarioGroup],"="&amp;P39,
                   tblData[PrentGroup],"="&amp;O39)</f>
        <v>28606.379999999994</v>
      </c>
      <c r="S39" s="9">
        <f>SUMIFS(tblData[Amount],
                   tblData[Rpt Date],"="&amp;Q39,
                   tblData[ScenarioGroup],"="&amp;P39,
                   tblData[PrentGroup],"="&amp;O39)</f>
        <v>28606.379999999994</v>
      </c>
      <c r="U39" s="7" t="s">
        <v>69</v>
      </c>
      <c r="V39" s="7" t="str">
        <f t="shared" si="10"/>
        <v>31 to 60</v>
      </c>
      <c r="W39" s="8">
        <f t="shared" si="5"/>
        <v>43159</v>
      </c>
      <c r="X39" s="9">
        <f>SUMIFS(tblData[Amount],
                   tblData[Rpt Date],"="&amp;W39,
                   tblData[ScenarioGroup],"="&amp;V39,
                   tblData[PrentGroup],"="&amp;U39)</f>
        <v>7744.2899999999991</v>
      </c>
      <c r="Y39" s="9">
        <f>SUMIFS(tblData[Amount],
                   tblData[Rpt Date],"="&amp;W39,
                   tblData[ScenarioGroup],"="&amp;V39,
                   tblData[PrentGroup],"="&amp;U39)</f>
        <v>7744.2899999999991</v>
      </c>
      <c r="AA39" s="7" t="s">
        <v>41</v>
      </c>
      <c r="AB39" s="7" t="str">
        <f t="shared" si="11"/>
        <v>31 to 60</v>
      </c>
      <c r="AC39" s="8">
        <f t="shared" si="6"/>
        <v>43159</v>
      </c>
      <c r="AD39" s="9">
        <f>SUMIFS(tblData[Amount],
                   tblData[Rpt Date],"="&amp;AC39,
                   tblData[ScenarioGroup],"="&amp;AB39,
                   tblData[PrentGroup],"="&amp;AA39)</f>
        <v>2074.17</v>
      </c>
      <c r="AE39" s="9">
        <f>SUMIFS(tblData[Amount],
                   tblData[Rpt Date],"="&amp;AC39,
                   tblData[ScenarioGroup],"="&amp;AB39,
                   tblData[PrentGroup],"="&amp;AA39)</f>
        <v>2074.17</v>
      </c>
    </row>
    <row r="40" spans="2:31" x14ac:dyDescent="0.25">
      <c r="B40">
        <f t="shared" si="0"/>
        <v>34</v>
      </c>
      <c r="C40" s="7" t="s">
        <v>67</v>
      </c>
      <c r="D40" s="7" t="str">
        <f t="shared" si="7"/>
        <v>31 to 60</v>
      </c>
      <c r="E40" s="8">
        <f t="shared" si="1"/>
        <v>43166</v>
      </c>
      <c r="F40" s="9">
        <f>SUMIFS(tblData[Amount],
                   tblData[Rpt Date],"="&amp;$E40,
                   tblData[ScenarioGroup],"="&amp;$D40)</f>
        <v>94885.359999999986</v>
      </c>
      <c r="G40" s="9">
        <f t="shared" si="2"/>
        <v>94885.359999999986</v>
      </c>
      <c r="I40" s="7" t="s">
        <v>42</v>
      </c>
      <c r="J40" s="7" t="str">
        <f t="shared" si="8"/>
        <v>31 to 60</v>
      </c>
      <c r="K40" s="8">
        <f t="shared" si="3"/>
        <v>43166</v>
      </c>
      <c r="L40" s="9">
        <f>SUMIFS(tblData[Amount],
                   tblData[Rpt Date],"="&amp;K40,
                   tblData[ScenarioGroup],"="&amp;J40,
                   tblData[PrentGroup],"="&amp;I40)</f>
        <v>61010.71</v>
      </c>
      <c r="M40" s="9">
        <f>SUMIFS(tblData[Amount],
                   tblData[Rpt Date],"="&amp;K40,
                   tblData[ScenarioGroup],"="&amp;J40,
                   tblData[PrentGroup],"="&amp;I40)</f>
        <v>61010.71</v>
      </c>
      <c r="O40" s="7" t="s">
        <v>43</v>
      </c>
      <c r="P40" s="7" t="str">
        <f t="shared" si="9"/>
        <v>31 to 60</v>
      </c>
      <c r="Q40" s="8">
        <f t="shared" si="4"/>
        <v>43166</v>
      </c>
      <c r="R40" s="9">
        <f>SUMIFS(tblData[Amount],
                   tblData[Rpt Date],"="&amp;Q40,
                   tblData[ScenarioGroup],"="&amp;P40,
                   tblData[PrentGroup],"="&amp;O40)</f>
        <v>23818.799999999996</v>
      </c>
      <c r="S40" s="9">
        <f>SUMIFS(tblData[Amount],
                   tblData[Rpt Date],"="&amp;Q40,
                   tblData[ScenarioGroup],"="&amp;P40,
                   tblData[PrentGroup],"="&amp;O40)</f>
        <v>23818.799999999996</v>
      </c>
      <c r="U40" s="7" t="s">
        <v>69</v>
      </c>
      <c r="V40" s="7" t="str">
        <f t="shared" si="10"/>
        <v>31 to 60</v>
      </c>
      <c r="W40" s="8">
        <f t="shared" si="5"/>
        <v>43166</v>
      </c>
      <c r="X40" s="9">
        <f>SUMIFS(tblData[Amount],
                   tblData[Rpt Date],"="&amp;W40,
                   tblData[ScenarioGroup],"="&amp;V40,
                   tblData[PrentGroup],"="&amp;U40)</f>
        <v>8014.2699999999986</v>
      </c>
      <c r="Y40" s="9">
        <f>SUMIFS(tblData[Amount],
                   tblData[Rpt Date],"="&amp;W40,
                   tblData[ScenarioGroup],"="&amp;V40,
                   tblData[PrentGroup],"="&amp;U40)</f>
        <v>8014.2699999999986</v>
      </c>
      <c r="AA40" s="7" t="s">
        <v>41</v>
      </c>
      <c r="AB40" s="7" t="str">
        <f t="shared" si="11"/>
        <v>31 to 60</v>
      </c>
      <c r="AC40" s="8">
        <f t="shared" si="6"/>
        <v>43166</v>
      </c>
      <c r="AD40" s="9">
        <f>SUMIFS(tblData[Amount],
                   tblData[Rpt Date],"="&amp;AC40,
                   tblData[ScenarioGroup],"="&amp;AB40,
                   tblData[PrentGroup],"="&amp;AA40)</f>
        <v>2041.58</v>
      </c>
      <c r="AE40" s="9">
        <f>SUMIFS(tblData[Amount],
                   tblData[Rpt Date],"="&amp;AC40,
                   tblData[ScenarioGroup],"="&amp;AB40,
                   tblData[PrentGroup],"="&amp;AA40)</f>
        <v>2041.58</v>
      </c>
    </row>
    <row r="41" spans="2:31" x14ac:dyDescent="0.25">
      <c r="B41">
        <f t="shared" si="0"/>
        <v>35</v>
      </c>
      <c r="C41" s="7" t="s">
        <v>67</v>
      </c>
      <c r="D41" s="7" t="str">
        <f t="shared" si="7"/>
        <v>31 to 60</v>
      </c>
      <c r="E41" s="8">
        <f t="shared" si="1"/>
        <v>43173</v>
      </c>
      <c r="F41" s="9">
        <f>SUMIFS(tblData[Amount],
                   tblData[Rpt Date],"="&amp;$E41,
                   tblData[ScenarioGroup],"="&amp;$D41)</f>
        <v>77497.14</v>
      </c>
      <c r="G41" s="9">
        <f t="shared" si="2"/>
        <v>77497.14</v>
      </c>
      <c r="I41" s="7" t="s">
        <v>42</v>
      </c>
      <c r="J41" s="7" t="str">
        <f t="shared" si="8"/>
        <v>31 to 60</v>
      </c>
      <c r="K41" s="8">
        <f t="shared" si="3"/>
        <v>43173</v>
      </c>
      <c r="L41" s="9">
        <f>SUMIFS(tblData[Amount],
                   tblData[Rpt Date],"="&amp;K41,
                   tblData[ScenarioGroup],"="&amp;J41,
                   tblData[PrentGroup],"="&amp;I41)</f>
        <v>48184.030000000006</v>
      </c>
      <c r="M41" s="9">
        <f>SUMIFS(tblData[Amount],
                   tblData[Rpt Date],"="&amp;K41,
                   tblData[ScenarioGroup],"="&amp;J41,
                   tblData[PrentGroup],"="&amp;I41)</f>
        <v>48184.030000000006</v>
      </c>
      <c r="O41" s="7" t="s">
        <v>43</v>
      </c>
      <c r="P41" s="7" t="str">
        <f t="shared" si="9"/>
        <v>31 to 60</v>
      </c>
      <c r="Q41" s="8">
        <f t="shared" si="4"/>
        <v>43173</v>
      </c>
      <c r="R41" s="9">
        <f>SUMIFS(tblData[Amount],
                   tblData[Rpt Date],"="&amp;Q41,
                   tblData[ScenarioGroup],"="&amp;P41,
                   tblData[PrentGroup],"="&amp;O41)</f>
        <v>19407.53</v>
      </c>
      <c r="S41" s="9">
        <f>SUMIFS(tblData[Amount],
                   tblData[Rpt Date],"="&amp;Q41,
                   tblData[ScenarioGroup],"="&amp;P41,
                   tblData[PrentGroup],"="&amp;O41)</f>
        <v>19407.53</v>
      </c>
      <c r="U41" s="7" t="s">
        <v>69</v>
      </c>
      <c r="V41" s="7" t="str">
        <f t="shared" si="10"/>
        <v>31 to 60</v>
      </c>
      <c r="W41" s="8">
        <f t="shared" si="5"/>
        <v>43173</v>
      </c>
      <c r="X41" s="9">
        <f>SUMIFS(tblData[Amount],
                   tblData[Rpt Date],"="&amp;W41,
                   tblData[ScenarioGroup],"="&amp;V41,
                   tblData[PrentGroup],"="&amp;U41)</f>
        <v>8909.4299999999985</v>
      </c>
      <c r="Y41" s="9">
        <f>SUMIFS(tblData[Amount],
                   tblData[Rpt Date],"="&amp;W41,
                   tblData[ScenarioGroup],"="&amp;V41,
                   tblData[PrentGroup],"="&amp;U41)</f>
        <v>8909.4299999999985</v>
      </c>
      <c r="AA41" s="7" t="s">
        <v>41</v>
      </c>
      <c r="AB41" s="7" t="str">
        <f t="shared" si="11"/>
        <v>31 to 60</v>
      </c>
      <c r="AC41" s="8">
        <f t="shared" si="6"/>
        <v>43173</v>
      </c>
      <c r="AD41" s="9">
        <f>SUMIFS(tblData[Amount],
                   tblData[Rpt Date],"="&amp;AC41,
                   tblData[ScenarioGroup],"="&amp;AB41,
                   tblData[PrentGroup],"="&amp;AA41)</f>
        <v>996.15000000000009</v>
      </c>
      <c r="AE41" s="9">
        <f>SUMIFS(tblData[Amount],
                   tblData[Rpt Date],"="&amp;AC41,
                   tblData[ScenarioGroup],"="&amp;AB41,
                   tblData[PrentGroup],"="&amp;AA41)</f>
        <v>996.15000000000009</v>
      </c>
    </row>
    <row r="42" spans="2:31" x14ac:dyDescent="0.25">
      <c r="B42">
        <f t="shared" si="0"/>
        <v>36</v>
      </c>
      <c r="C42" s="7" t="s">
        <v>67</v>
      </c>
      <c r="D42" s="7" t="str">
        <f t="shared" si="7"/>
        <v>31 to 60</v>
      </c>
      <c r="E42" s="8">
        <f t="shared" si="1"/>
        <v>43180</v>
      </c>
      <c r="F42" s="9">
        <f>SUMIFS(tblData[Amount],
                   tblData[Rpt Date],"="&amp;$E42,
                   tblData[ScenarioGroup],"="&amp;$D42)</f>
        <v>89165.099999999991</v>
      </c>
      <c r="G42" s="9">
        <f t="shared" si="2"/>
        <v>89165.099999999991</v>
      </c>
      <c r="I42" s="7" t="s">
        <v>42</v>
      </c>
      <c r="J42" s="7" t="str">
        <f t="shared" si="8"/>
        <v>31 to 60</v>
      </c>
      <c r="K42" s="8">
        <f t="shared" si="3"/>
        <v>43180</v>
      </c>
      <c r="L42" s="9">
        <f>SUMIFS(tblData[Amount],
                   tblData[Rpt Date],"="&amp;K42,
                   tblData[ScenarioGroup],"="&amp;J42,
                   tblData[PrentGroup],"="&amp;I42)</f>
        <v>56329.06</v>
      </c>
      <c r="M42" s="9">
        <f>SUMIFS(tblData[Amount],
                   tblData[Rpt Date],"="&amp;K42,
                   tblData[ScenarioGroup],"="&amp;J42,
                   tblData[PrentGroup],"="&amp;I42)</f>
        <v>56329.06</v>
      </c>
      <c r="O42" s="7" t="s">
        <v>43</v>
      </c>
      <c r="P42" s="7" t="str">
        <f t="shared" si="9"/>
        <v>31 to 60</v>
      </c>
      <c r="Q42" s="8">
        <f t="shared" si="4"/>
        <v>43180</v>
      </c>
      <c r="R42" s="9">
        <f>SUMIFS(tblData[Amount],
                   tblData[Rpt Date],"="&amp;Q42,
                   tblData[ScenarioGroup],"="&amp;P42,
                   tblData[PrentGroup],"="&amp;O42)</f>
        <v>23779.32</v>
      </c>
      <c r="S42" s="9">
        <f>SUMIFS(tblData[Amount],
                   tblData[Rpt Date],"="&amp;Q42,
                   tblData[ScenarioGroup],"="&amp;P42,
                   tblData[PrentGroup],"="&amp;O42)</f>
        <v>23779.32</v>
      </c>
      <c r="U42" s="7" t="s">
        <v>69</v>
      </c>
      <c r="V42" s="7" t="str">
        <f t="shared" si="10"/>
        <v>31 to 60</v>
      </c>
      <c r="W42" s="8">
        <f t="shared" si="5"/>
        <v>43180</v>
      </c>
      <c r="X42" s="9">
        <f>SUMIFS(tblData[Amount],
                   tblData[Rpt Date],"="&amp;W42,
                   tblData[ScenarioGroup],"="&amp;V42,
                   tblData[PrentGroup],"="&amp;U42)</f>
        <v>7563.5199999999986</v>
      </c>
      <c r="Y42" s="9">
        <f>SUMIFS(tblData[Amount],
                   tblData[Rpt Date],"="&amp;W42,
                   tblData[ScenarioGroup],"="&amp;V42,
                   tblData[PrentGroup],"="&amp;U42)</f>
        <v>7563.5199999999986</v>
      </c>
      <c r="AA42" s="7" t="s">
        <v>41</v>
      </c>
      <c r="AB42" s="7" t="str">
        <f t="shared" si="11"/>
        <v>31 to 60</v>
      </c>
      <c r="AC42" s="8">
        <f t="shared" si="6"/>
        <v>43180</v>
      </c>
      <c r="AD42" s="9">
        <f>SUMIFS(tblData[Amount],
                   tblData[Rpt Date],"="&amp;AC42,
                   tblData[ScenarioGroup],"="&amp;AB42,
                   tblData[PrentGroup],"="&amp;AA42)</f>
        <v>1493.2000000000003</v>
      </c>
      <c r="AE42" s="9">
        <f>SUMIFS(tblData[Amount],
                   tblData[Rpt Date],"="&amp;AC42,
                   tblData[ScenarioGroup],"="&amp;AB42,
                   tblData[PrentGroup],"="&amp;AA42)</f>
        <v>1493.2000000000003</v>
      </c>
    </row>
    <row r="43" spans="2:31" x14ac:dyDescent="0.25">
      <c r="B43">
        <f t="shared" si="0"/>
        <v>37</v>
      </c>
      <c r="C43" s="7" t="s">
        <v>67</v>
      </c>
      <c r="D43" s="7" t="str">
        <f t="shared" si="7"/>
        <v>31 to 60</v>
      </c>
      <c r="E43" s="8">
        <f t="shared" si="1"/>
        <v>43187</v>
      </c>
      <c r="F43" s="9">
        <f>SUMIFS(tblData[Amount],
                   tblData[Rpt Date],"="&amp;$E43,
                   tblData[ScenarioGroup],"="&amp;$D43)</f>
        <v>89958.870000000039</v>
      </c>
      <c r="G43" s="9">
        <f t="shared" si="2"/>
        <v>89958.870000000039</v>
      </c>
      <c r="I43" s="7" t="s">
        <v>42</v>
      </c>
      <c r="J43" s="7" t="str">
        <f t="shared" si="8"/>
        <v>31 to 60</v>
      </c>
      <c r="K43" s="8">
        <f t="shared" si="3"/>
        <v>43187</v>
      </c>
      <c r="L43" s="9">
        <f>SUMIFS(tblData[Amount],
                   tblData[Rpt Date],"="&amp;K43,
                   tblData[ScenarioGroup],"="&amp;J43,
                   tblData[PrentGroup],"="&amp;I43)</f>
        <v>54915.99000000002</v>
      </c>
      <c r="M43" s="9">
        <f>SUMIFS(tblData[Amount],
                   tblData[Rpt Date],"="&amp;K43,
                   tblData[ScenarioGroup],"="&amp;J43,
                   tblData[PrentGroup],"="&amp;I43)</f>
        <v>54915.99000000002</v>
      </c>
      <c r="O43" s="7" t="s">
        <v>43</v>
      </c>
      <c r="P43" s="7" t="str">
        <f t="shared" si="9"/>
        <v>31 to 60</v>
      </c>
      <c r="Q43" s="8">
        <f t="shared" si="4"/>
        <v>43187</v>
      </c>
      <c r="R43" s="9">
        <f>SUMIFS(tblData[Amount],
                   tblData[Rpt Date],"="&amp;Q43,
                   tblData[ScenarioGroup],"="&amp;P43,
                   tblData[PrentGroup],"="&amp;O43)</f>
        <v>25967.75</v>
      </c>
      <c r="S43" s="9">
        <f>SUMIFS(tblData[Amount],
                   tblData[Rpt Date],"="&amp;Q43,
                   tblData[ScenarioGroup],"="&amp;P43,
                   tblData[PrentGroup],"="&amp;O43)</f>
        <v>25967.75</v>
      </c>
      <c r="U43" s="7" t="s">
        <v>69</v>
      </c>
      <c r="V43" s="7" t="str">
        <f t="shared" si="10"/>
        <v>31 to 60</v>
      </c>
      <c r="W43" s="8">
        <f t="shared" si="5"/>
        <v>43187</v>
      </c>
      <c r="X43" s="9">
        <f>SUMIFS(tblData[Amount],
                   tblData[Rpt Date],"="&amp;W43,
                   tblData[ScenarioGroup],"="&amp;V43,
                   tblData[PrentGroup],"="&amp;U43)</f>
        <v>7840.13</v>
      </c>
      <c r="Y43" s="9">
        <f>SUMIFS(tblData[Amount],
                   tblData[Rpt Date],"="&amp;W43,
                   tblData[ScenarioGroup],"="&amp;V43,
                   tblData[PrentGroup],"="&amp;U43)</f>
        <v>7840.13</v>
      </c>
      <c r="AA43" s="7" t="s">
        <v>41</v>
      </c>
      <c r="AB43" s="7" t="str">
        <f t="shared" si="11"/>
        <v>31 to 60</v>
      </c>
      <c r="AC43" s="8">
        <f t="shared" si="6"/>
        <v>43187</v>
      </c>
      <c r="AD43" s="9">
        <f>SUMIFS(tblData[Amount],
                   tblData[Rpt Date],"="&amp;AC43,
                   tblData[ScenarioGroup],"="&amp;AB43,
                   tblData[PrentGroup],"="&amp;AA43)</f>
        <v>1235</v>
      </c>
      <c r="AE43" s="9">
        <f>SUMIFS(tblData[Amount],
                   tblData[Rpt Date],"="&amp;AC43,
                   tblData[ScenarioGroup],"="&amp;AB43,
                   tblData[PrentGroup],"="&amp;AA43)</f>
        <v>1235</v>
      </c>
    </row>
    <row r="44" spans="2:31" x14ac:dyDescent="0.25">
      <c r="B44">
        <f t="shared" si="0"/>
        <v>38</v>
      </c>
      <c r="C44" s="7" t="s">
        <v>67</v>
      </c>
      <c r="D44" s="7" t="str">
        <f t="shared" si="7"/>
        <v>31 to 60</v>
      </c>
      <c r="E44" s="8">
        <f t="shared" si="1"/>
        <v>43194</v>
      </c>
      <c r="F44" s="9">
        <f>SUMIFS(tblData[Amount],
                   tblData[Rpt Date],"="&amp;$E44,
                   tblData[ScenarioGroup],"="&amp;$D44)</f>
        <v>190267.25</v>
      </c>
      <c r="G44" s="9">
        <f t="shared" si="2"/>
        <v>190267.25</v>
      </c>
      <c r="I44" s="7" t="s">
        <v>42</v>
      </c>
      <c r="J44" s="7" t="str">
        <f t="shared" si="8"/>
        <v>31 to 60</v>
      </c>
      <c r="K44" s="8">
        <f t="shared" si="3"/>
        <v>43194</v>
      </c>
      <c r="L44" s="9">
        <f>SUMIFS(tblData[Amount],
                   tblData[Rpt Date],"="&amp;K44,
                   tblData[ScenarioGroup],"="&amp;J44,
                   tblData[PrentGroup],"="&amp;I44)</f>
        <v>152919.46</v>
      </c>
      <c r="M44" s="9">
        <f>SUMIFS(tblData[Amount],
                   tblData[Rpt Date],"="&amp;K44,
                   tblData[ScenarioGroup],"="&amp;J44,
                   tblData[PrentGroup],"="&amp;I44)</f>
        <v>152919.46</v>
      </c>
      <c r="O44" s="7" t="s">
        <v>43</v>
      </c>
      <c r="P44" s="7" t="str">
        <f t="shared" si="9"/>
        <v>31 to 60</v>
      </c>
      <c r="Q44" s="8">
        <f t="shared" si="4"/>
        <v>43194</v>
      </c>
      <c r="R44" s="9">
        <f>SUMIFS(tblData[Amount],
                   tblData[Rpt Date],"="&amp;Q44,
                   tblData[ScenarioGroup],"="&amp;P44,
                   tblData[PrentGroup],"="&amp;O44)</f>
        <v>30525.22</v>
      </c>
      <c r="S44" s="9">
        <f>SUMIFS(tblData[Amount],
                   tblData[Rpt Date],"="&amp;Q44,
                   tblData[ScenarioGroup],"="&amp;P44,
                   tblData[PrentGroup],"="&amp;O44)</f>
        <v>30525.22</v>
      </c>
      <c r="U44" s="7" t="s">
        <v>69</v>
      </c>
      <c r="V44" s="7" t="str">
        <f t="shared" si="10"/>
        <v>31 to 60</v>
      </c>
      <c r="W44" s="8">
        <f t="shared" si="5"/>
        <v>43194</v>
      </c>
      <c r="X44" s="9">
        <f>SUMIFS(tblData[Amount],
                   tblData[Rpt Date],"="&amp;W44,
                   tblData[ScenarioGroup],"="&amp;V44,
                   tblData[PrentGroup],"="&amp;U44)</f>
        <v>5441.9299999999994</v>
      </c>
      <c r="Y44" s="9">
        <f>SUMIFS(tblData[Amount],
                   tblData[Rpt Date],"="&amp;W44,
                   tblData[ScenarioGroup],"="&amp;V44,
                   tblData[PrentGroup],"="&amp;U44)</f>
        <v>5441.9299999999994</v>
      </c>
      <c r="AA44" s="7" t="s">
        <v>41</v>
      </c>
      <c r="AB44" s="7" t="str">
        <f t="shared" si="11"/>
        <v>31 to 60</v>
      </c>
      <c r="AC44" s="8">
        <f t="shared" si="6"/>
        <v>43194</v>
      </c>
      <c r="AD44" s="9">
        <f>SUMIFS(tblData[Amount],
                   tblData[Rpt Date],"="&amp;AC44,
                   tblData[ScenarioGroup],"="&amp;AB44,
                   tblData[PrentGroup],"="&amp;AA44)</f>
        <v>1380.6399999999999</v>
      </c>
      <c r="AE44" s="9">
        <f>SUMIFS(tblData[Amount],
                   tblData[Rpt Date],"="&amp;AC44,
                   tblData[ScenarioGroup],"="&amp;AB44,
                   tblData[PrentGroup],"="&amp;AA44)</f>
        <v>1380.6399999999999</v>
      </c>
    </row>
    <row r="45" spans="2:31" x14ac:dyDescent="0.25">
      <c r="B45">
        <f t="shared" si="0"/>
        <v>39</v>
      </c>
      <c r="C45" s="7" t="s">
        <v>67</v>
      </c>
      <c r="D45" s="7" t="str">
        <f t="shared" si="7"/>
        <v>31 to 60</v>
      </c>
      <c r="E45" s="8">
        <f t="shared" si="1"/>
        <v>43201</v>
      </c>
      <c r="F45" s="9">
        <f>SUMIFS(tblData[Amount],
                   tblData[Rpt Date],"="&amp;$E45,
                   tblData[ScenarioGroup],"="&amp;$D45)</f>
        <v>188946.4</v>
      </c>
      <c r="G45" s="9">
        <f t="shared" si="2"/>
        <v>188946.4</v>
      </c>
      <c r="I45" s="7" t="s">
        <v>42</v>
      </c>
      <c r="J45" s="7" t="str">
        <f t="shared" si="8"/>
        <v>31 to 60</v>
      </c>
      <c r="K45" s="8">
        <f t="shared" si="3"/>
        <v>43201</v>
      </c>
      <c r="L45" s="9">
        <f>SUMIFS(tblData[Amount],
                   tblData[Rpt Date],"="&amp;K45,
                   tblData[ScenarioGroup],"="&amp;J45,
                   tblData[PrentGroup],"="&amp;I45)</f>
        <v>147612.47000000003</v>
      </c>
      <c r="M45" s="9">
        <f>SUMIFS(tblData[Amount],
                   tblData[Rpt Date],"="&amp;K45,
                   tblData[ScenarioGroup],"="&amp;J45,
                   tblData[PrentGroup],"="&amp;I45)</f>
        <v>147612.47000000003</v>
      </c>
      <c r="O45" s="7" t="s">
        <v>43</v>
      </c>
      <c r="P45" s="7" t="str">
        <f t="shared" si="9"/>
        <v>31 to 60</v>
      </c>
      <c r="Q45" s="8">
        <f t="shared" si="4"/>
        <v>43201</v>
      </c>
      <c r="R45" s="9">
        <f>SUMIFS(tblData[Amount],
                   tblData[Rpt Date],"="&amp;Q45,
                   tblData[ScenarioGroup],"="&amp;P45,
                   tblData[PrentGroup],"="&amp;O45)</f>
        <v>22655.32</v>
      </c>
      <c r="S45" s="9">
        <f>SUMIFS(tblData[Amount],
                   tblData[Rpt Date],"="&amp;Q45,
                   tblData[ScenarioGroup],"="&amp;P45,
                   tblData[PrentGroup],"="&amp;O45)</f>
        <v>22655.32</v>
      </c>
      <c r="U45" s="7" t="s">
        <v>69</v>
      </c>
      <c r="V45" s="7" t="str">
        <f t="shared" si="10"/>
        <v>31 to 60</v>
      </c>
      <c r="W45" s="8">
        <f t="shared" si="5"/>
        <v>43201</v>
      </c>
      <c r="X45" s="9">
        <f>SUMIFS(tblData[Amount],
                   tblData[Rpt Date],"="&amp;W45,
                   tblData[ScenarioGroup],"="&amp;V45,
                   tblData[PrentGroup],"="&amp;U45)</f>
        <v>15445.54</v>
      </c>
      <c r="Y45" s="9">
        <f>SUMIFS(tblData[Amount],
                   tblData[Rpt Date],"="&amp;W45,
                   tblData[ScenarioGroup],"="&amp;V45,
                   tblData[PrentGroup],"="&amp;U45)</f>
        <v>15445.54</v>
      </c>
      <c r="AA45" s="7" t="s">
        <v>41</v>
      </c>
      <c r="AB45" s="7" t="str">
        <f t="shared" si="11"/>
        <v>31 to 60</v>
      </c>
      <c r="AC45" s="8">
        <f t="shared" si="6"/>
        <v>43201</v>
      </c>
      <c r="AD45" s="9">
        <f>SUMIFS(tblData[Amount],
                   tblData[Rpt Date],"="&amp;AC45,
                   tblData[ScenarioGroup],"="&amp;AB45,
                   tblData[PrentGroup],"="&amp;AA45)</f>
        <v>3233.07</v>
      </c>
      <c r="AE45" s="9">
        <f>SUMIFS(tblData[Amount],
                   tblData[Rpt Date],"="&amp;AC45,
                   tblData[ScenarioGroup],"="&amp;AB45,
                   tblData[PrentGroup],"="&amp;AA45)</f>
        <v>3233.07</v>
      </c>
    </row>
    <row r="46" spans="2:31" x14ac:dyDescent="0.25">
      <c r="B46">
        <f t="shared" si="0"/>
        <v>40</v>
      </c>
      <c r="C46" s="7" t="s">
        <v>67</v>
      </c>
      <c r="D46" s="7" t="str">
        <f t="shared" si="7"/>
        <v>31 to 60</v>
      </c>
      <c r="E46" s="8">
        <f t="shared" si="1"/>
        <v>43208</v>
      </c>
      <c r="F46" s="9">
        <f>SUMIFS(tblData[Amount],
                   tblData[Rpt Date],"="&amp;$E46,
                   tblData[ScenarioGroup],"="&amp;$D46)</f>
        <v>261951.03999999998</v>
      </c>
      <c r="G46" s="9">
        <f t="shared" si="2"/>
        <v>261951.03999999998</v>
      </c>
      <c r="I46" s="7" t="s">
        <v>42</v>
      </c>
      <c r="J46" s="7" t="str">
        <f t="shared" si="8"/>
        <v>31 to 60</v>
      </c>
      <c r="K46" s="8">
        <f t="shared" si="3"/>
        <v>43208</v>
      </c>
      <c r="L46" s="9">
        <f>SUMIFS(tblData[Amount],
                   tblData[Rpt Date],"="&amp;K46,
                   tblData[ScenarioGroup],"="&amp;J46,
                   tblData[PrentGroup],"="&amp;I46)</f>
        <v>218239.15</v>
      </c>
      <c r="M46" s="9">
        <f>SUMIFS(tblData[Amount],
                   tblData[Rpt Date],"="&amp;K46,
                   tblData[ScenarioGroup],"="&amp;J46,
                   tblData[PrentGroup],"="&amp;I46)</f>
        <v>218239.15</v>
      </c>
      <c r="O46" s="7" t="s">
        <v>43</v>
      </c>
      <c r="P46" s="7" t="str">
        <f t="shared" si="9"/>
        <v>31 to 60</v>
      </c>
      <c r="Q46" s="8">
        <f t="shared" si="4"/>
        <v>43208</v>
      </c>
      <c r="R46" s="9">
        <f>SUMIFS(tblData[Amount],
                   tblData[Rpt Date],"="&amp;Q46,
                   tblData[ScenarioGroup],"="&amp;P46,
                   tblData[PrentGroup],"="&amp;O46)</f>
        <v>20936.950000000004</v>
      </c>
      <c r="S46" s="9">
        <f>SUMIFS(tblData[Amount],
                   tblData[Rpt Date],"="&amp;Q46,
                   tblData[ScenarioGroup],"="&amp;P46,
                   tblData[PrentGroup],"="&amp;O46)</f>
        <v>20936.950000000004</v>
      </c>
      <c r="U46" s="7" t="s">
        <v>69</v>
      </c>
      <c r="V46" s="7" t="str">
        <f t="shared" si="10"/>
        <v>31 to 60</v>
      </c>
      <c r="W46" s="8">
        <f t="shared" si="5"/>
        <v>43208</v>
      </c>
      <c r="X46" s="9">
        <f>SUMIFS(tblData[Amount],
                   tblData[Rpt Date],"="&amp;W46,
                   tblData[ScenarioGroup],"="&amp;V46,
                   tblData[PrentGroup],"="&amp;U46)</f>
        <v>19049.660000000003</v>
      </c>
      <c r="Y46" s="9">
        <f>SUMIFS(tblData[Amount],
                   tblData[Rpt Date],"="&amp;W46,
                   tblData[ScenarioGroup],"="&amp;V46,
                   tblData[PrentGroup],"="&amp;U46)</f>
        <v>19049.660000000003</v>
      </c>
      <c r="AA46" s="7" t="s">
        <v>41</v>
      </c>
      <c r="AB46" s="7" t="str">
        <f t="shared" si="11"/>
        <v>31 to 60</v>
      </c>
      <c r="AC46" s="8">
        <f t="shared" si="6"/>
        <v>43208</v>
      </c>
      <c r="AD46" s="9">
        <f>SUMIFS(tblData[Amount],
                   tblData[Rpt Date],"="&amp;AC46,
                   tblData[ScenarioGroup],"="&amp;AB46,
                   tblData[PrentGroup],"="&amp;AA46)</f>
        <v>3725.2799999999997</v>
      </c>
      <c r="AE46" s="9">
        <f>SUMIFS(tblData[Amount],
                   tblData[Rpt Date],"="&amp;AC46,
                   tblData[ScenarioGroup],"="&amp;AB46,
                   tblData[PrentGroup],"="&amp;AA46)</f>
        <v>3725.2799999999997</v>
      </c>
    </row>
    <row r="47" spans="2:31" x14ac:dyDescent="0.25">
      <c r="B47">
        <f t="shared" si="0"/>
        <v>41</v>
      </c>
      <c r="C47" s="7" t="s">
        <v>67</v>
      </c>
      <c r="D47" s="7" t="str">
        <f t="shared" si="7"/>
        <v>31 to 60</v>
      </c>
      <c r="E47" s="8">
        <f t="shared" si="1"/>
        <v>43215</v>
      </c>
      <c r="F47" s="9">
        <f>SUMIFS(tblData[Amount],
                   tblData[Rpt Date],"="&amp;$E47,
                   tblData[ScenarioGroup],"="&amp;$D47)</f>
        <v>274969.67999999982</v>
      </c>
      <c r="G47" s="9">
        <f t="shared" si="2"/>
        <v>274969.67999999982</v>
      </c>
      <c r="I47" s="7" t="s">
        <v>42</v>
      </c>
      <c r="J47" s="7" t="str">
        <f t="shared" si="8"/>
        <v>31 to 60</v>
      </c>
      <c r="K47" s="8">
        <f t="shared" si="3"/>
        <v>43215</v>
      </c>
      <c r="L47" s="9">
        <f>SUMIFS(tblData[Amount],
                   tblData[Rpt Date],"="&amp;K47,
                   tblData[ScenarioGroup],"="&amp;J47,
                   tblData[PrentGroup],"="&amp;I47)</f>
        <v>217493.28999999983</v>
      </c>
      <c r="M47" s="9">
        <f>SUMIFS(tblData[Amount],
                   tblData[Rpt Date],"="&amp;K47,
                   tblData[ScenarioGroup],"="&amp;J47,
                   tblData[PrentGroup],"="&amp;I47)</f>
        <v>217493.28999999983</v>
      </c>
      <c r="O47" s="7" t="s">
        <v>43</v>
      </c>
      <c r="P47" s="7" t="str">
        <f t="shared" si="9"/>
        <v>31 to 60</v>
      </c>
      <c r="Q47" s="8">
        <f t="shared" si="4"/>
        <v>43215</v>
      </c>
      <c r="R47" s="9">
        <f>SUMIFS(tblData[Amount],
                   tblData[Rpt Date],"="&amp;Q47,
                   tblData[ScenarioGroup],"="&amp;P47,
                   tblData[PrentGroup],"="&amp;O47)</f>
        <v>30077.629999999997</v>
      </c>
      <c r="S47" s="9">
        <f>SUMIFS(tblData[Amount],
                   tblData[Rpt Date],"="&amp;Q47,
                   tblData[ScenarioGroup],"="&amp;P47,
                   tblData[PrentGroup],"="&amp;O47)</f>
        <v>30077.629999999997</v>
      </c>
      <c r="U47" s="7" t="s">
        <v>69</v>
      </c>
      <c r="V47" s="7" t="str">
        <f t="shared" si="10"/>
        <v>31 to 60</v>
      </c>
      <c r="W47" s="8">
        <f t="shared" si="5"/>
        <v>43215</v>
      </c>
      <c r="X47" s="9">
        <f>SUMIFS(tblData[Amount],
                   tblData[Rpt Date],"="&amp;W47,
                   tblData[ScenarioGroup],"="&amp;V47,
                   tblData[PrentGroup],"="&amp;U47)</f>
        <v>24464.79</v>
      </c>
      <c r="Y47" s="9">
        <f>SUMIFS(tblData[Amount],
                   tblData[Rpt Date],"="&amp;W47,
                   tblData[ScenarioGroup],"="&amp;V47,
                   tblData[PrentGroup],"="&amp;U47)</f>
        <v>24464.79</v>
      </c>
      <c r="AA47" s="7" t="s">
        <v>41</v>
      </c>
      <c r="AB47" s="7" t="str">
        <f t="shared" si="11"/>
        <v>31 to 60</v>
      </c>
      <c r="AC47" s="8">
        <f t="shared" si="6"/>
        <v>43215</v>
      </c>
      <c r="AD47" s="9">
        <f>SUMIFS(tblData[Amount],
                   tblData[Rpt Date],"="&amp;AC47,
                   tblData[ScenarioGroup],"="&amp;AB47,
                   tblData[PrentGroup],"="&amp;AA47)</f>
        <v>2933.97</v>
      </c>
      <c r="AE47" s="9">
        <f>SUMIFS(tblData[Amount],
                   tblData[Rpt Date],"="&amp;AC47,
                   tblData[ScenarioGroup],"="&amp;AB47,
                   tblData[PrentGroup],"="&amp;AA47)</f>
        <v>2933.97</v>
      </c>
    </row>
    <row r="48" spans="2:31" x14ac:dyDescent="0.25">
      <c r="B48">
        <f t="shared" si="0"/>
        <v>42</v>
      </c>
      <c r="C48" s="7" t="s">
        <v>67</v>
      </c>
      <c r="D48" s="7" t="str">
        <f t="shared" si="7"/>
        <v>31 to 60</v>
      </c>
      <c r="E48" s="8">
        <f t="shared" si="1"/>
        <v>43222</v>
      </c>
      <c r="F48" s="9">
        <f>SUMIFS(tblData[Amount],
                   tblData[Rpt Date],"="&amp;$E48,
                   tblData[ScenarioGroup],"="&amp;$D48)</f>
        <v>0</v>
      </c>
      <c r="G48" s="9">
        <f t="shared" si="2"/>
        <v>0</v>
      </c>
      <c r="I48" s="7" t="s">
        <v>42</v>
      </c>
      <c r="J48" s="7" t="str">
        <f t="shared" si="8"/>
        <v>31 to 60</v>
      </c>
      <c r="K48" s="8">
        <f t="shared" si="3"/>
        <v>43222</v>
      </c>
      <c r="L48" s="9">
        <f>SUMIFS(tblData[Amount],
                   tblData[Rpt Date],"="&amp;K48,
                   tblData[ScenarioGroup],"="&amp;J48,
                   tblData[PrentGroup],"="&amp;I48)</f>
        <v>0</v>
      </c>
      <c r="M48" s="9">
        <f>SUMIFS(tblData[Amount],
                   tblData[Rpt Date],"="&amp;K48,
                   tblData[ScenarioGroup],"="&amp;J48,
                   tblData[PrentGroup],"="&amp;I48)</f>
        <v>0</v>
      </c>
      <c r="O48" s="7" t="s">
        <v>43</v>
      </c>
      <c r="P48" s="7" t="str">
        <f t="shared" si="9"/>
        <v>31 to 60</v>
      </c>
      <c r="Q48" s="8">
        <f t="shared" si="4"/>
        <v>43222</v>
      </c>
      <c r="R48" s="9">
        <f>SUMIFS(tblData[Amount],
                   tblData[Rpt Date],"="&amp;Q48,
                   tblData[ScenarioGroup],"="&amp;P48,
                   tblData[PrentGroup],"="&amp;O48)</f>
        <v>0</v>
      </c>
      <c r="S48" s="9">
        <f>SUMIFS(tblData[Amount],
                   tblData[Rpt Date],"="&amp;Q48,
                   tblData[ScenarioGroup],"="&amp;P48,
                   tblData[PrentGroup],"="&amp;O48)</f>
        <v>0</v>
      </c>
      <c r="U48" s="7" t="s">
        <v>69</v>
      </c>
      <c r="V48" s="7" t="str">
        <f t="shared" si="10"/>
        <v>31 to 60</v>
      </c>
      <c r="W48" s="8">
        <f t="shared" si="5"/>
        <v>43222</v>
      </c>
      <c r="X48" s="9">
        <f>SUMIFS(tblData[Amount],
                   tblData[Rpt Date],"="&amp;W48,
                   tblData[ScenarioGroup],"="&amp;V48,
                   tblData[PrentGroup],"="&amp;U48)</f>
        <v>0</v>
      </c>
      <c r="Y48" s="9">
        <f>SUMIFS(tblData[Amount],
                   tblData[Rpt Date],"="&amp;W48,
                   tblData[ScenarioGroup],"="&amp;V48,
                   tblData[PrentGroup],"="&amp;U48)</f>
        <v>0</v>
      </c>
      <c r="AA48" s="7" t="s">
        <v>41</v>
      </c>
      <c r="AB48" s="7" t="str">
        <f t="shared" si="11"/>
        <v>31 to 60</v>
      </c>
      <c r="AC48" s="8">
        <f t="shared" si="6"/>
        <v>43222</v>
      </c>
      <c r="AD48" s="9">
        <f>SUMIFS(tblData[Amount],
                   tblData[Rpt Date],"="&amp;AC48,
                   tblData[ScenarioGroup],"="&amp;AB48,
                   tblData[PrentGroup],"="&amp;AA48)</f>
        <v>0</v>
      </c>
      <c r="AE48" s="9">
        <f>SUMIFS(tblData[Amount],
                   tblData[Rpt Date],"="&amp;AC48,
                   tblData[ScenarioGroup],"="&amp;AB48,
                   tblData[PrentGroup],"="&amp;AA48)</f>
        <v>0</v>
      </c>
    </row>
    <row r="49" spans="2:31" x14ac:dyDescent="0.25">
      <c r="B49">
        <f t="shared" si="0"/>
        <v>43</v>
      </c>
      <c r="C49" s="7" t="s">
        <v>67</v>
      </c>
      <c r="D49" s="7" t="str">
        <f t="shared" si="7"/>
        <v>31 to 60</v>
      </c>
      <c r="E49" s="8">
        <f t="shared" si="1"/>
        <v>43229</v>
      </c>
      <c r="F49" s="9">
        <f>SUMIFS(tblData[Amount],
                   tblData[Rpt Date],"="&amp;$E49,
                   tblData[ScenarioGroup],"="&amp;$D49)</f>
        <v>0</v>
      </c>
      <c r="G49" s="9">
        <f t="shared" si="2"/>
        <v>0</v>
      </c>
      <c r="I49" s="7" t="s">
        <v>42</v>
      </c>
      <c r="J49" s="7" t="str">
        <f t="shared" si="8"/>
        <v>31 to 60</v>
      </c>
      <c r="K49" s="8">
        <f t="shared" si="3"/>
        <v>43229</v>
      </c>
      <c r="L49" s="9">
        <f>SUMIFS(tblData[Amount],
                   tblData[Rpt Date],"="&amp;K49,
                   tblData[ScenarioGroup],"="&amp;J49,
                   tblData[PrentGroup],"="&amp;I49)</f>
        <v>0</v>
      </c>
      <c r="M49" s="9">
        <f>SUMIFS(tblData[Amount],
                   tblData[Rpt Date],"="&amp;K49,
                   tblData[ScenarioGroup],"="&amp;J49,
                   tblData[PrentGroup],"="&amp;I49)</f>
        <v>0</v>
      </c>
      <c r="O49" s="7" t="s">
        <v>43</v>
      </c>
      <c r="P49" s="7" t="str">
        <f t="shared" si="9"/>
        <v>31 to 60</v>
      </c>
      <c r="Q49" s="8">
        <f t="shared" si="4"/>
        <v>43229</v>
      </c>
      <c r="R49" s="9">
        <f>SUMIFS(tblData[Amount],
                   tblData[Rpt Date],"="&amp;Q49,
                   tblData[ScenarioGroup],"="&amp;P49,
                   tblData[PrentGroup],"="&amp;O49)</f>
        <v>0</v>
      </c>
      <c r="S49" s="9">
        <f>SUMIFS(tblData[Amount],
                   tblData[Rpt Date],"="&amp;Q49,
                   tblData[ScenarioGroup],"="&amp;P49,
                   tblData[PrentGroup],"="&amp;O49)</f>
        <v>0</v>
      </c>
      <c r="U49" s="7" t="s">
        <v>69</v>
      </c>
      <c r="V49" s="7" t="str">
        <f t="shared" si="10"/>
        <v>31 to 60</v>
      </c>
      <c r="W49" s="8">
        <f t="shared" si="5"/>
        <v>43229</v>
      </c>
      <c r="X49" s="9">
        <f>SUMIFS(tblData[Amount],
                   tblData[Rpt Date],"="&amp;W49,
                   tblData[ScenarioGroup],"="&amp;V49,
                   tblData[PrentGroup],"="&amp;U49)</f>
        <v>0</v>
      </c>
      <c r="Y49" s="9">
        <f>SUMIFS(tblData[Amount],
                   tblData[Rpt Date],"="&amp;W49,
                   tblData[ScenarioGroup],"="&amp;V49,
                   tblData[PrentGroup],"="&amp;U49)</f>
        <v>0</v>
      </c>
      <c r="AA49" s="7" t="s">
        <v>41</v>
      </c>
      <c r="AB49" s="7" t="str">
        <f t="shared" si="11"/>
        <v>31 to 60</v>
      </c>
      <c r="AC49" s="8">
        <f t="shared" si="6"/>
        <v>43229</v>
      </c>
      <c r="AD49" s="9">
        <f>SUMIFS(tblData[Amount],
                   tblData[Rpt Date],"="&amp;AC49,
                   tblData[ScenarioGroup],"="&amp;AB49,
                   tblData[PrentGroup],"="&amp;AA49)</f>
        <v>0</v>
      </c>
      <c r="AE49" s="9">
        <f>SUMIFS(tblData[Amount],
                   tblData[Rpt Date],"="&amp;AC49,
                   tblData[ScenarioGroup],"="&amp;AB49,
                   tblData[PrentGroup],"="&amp;AA49)</f>
        <v>0</v>
      </c>
    </row>
    <row r="50" spans="2:31" x14ac:dyDescent="0.25">
      <c r="B50">
        <f t="shared" si="0"/>
        <v>44</v>
      </c>
      <c r="C50" s="7" t="s">
        <v>67</v>
      </c>
      <c r="D50" s="7" t="str">
        <f t="shared" si="7"/>
        <v>31 to 60</v>
      </c>
      <c r="E50" s="8">
        <f t="shared" si="1"/>
        <v>43236</v>
      </c>
      <c r="F50" s="9">
        <f>SUMIFS(tblData[Amount],
                   tblData[Rpt Date],"="&amp;$E50,
                   tblData[ScenarioGroup],"="&amp;$D50)</f>
        <v>0</v>
      </c>
      <c r="G50" s="9">
        <f t="shared" si="2"/>
        <v>0</v>
      </c>
      <c r="I50" s="7" t="s">
        <v>42</v>
      </c>
      <c r="J50" s="7" t="str">
        <f t="shared" si="8"/>
        <v>31 to 60</v>
      </c>
      <c r="K50" s="8">
        <f t="shared" si="3"/>
        <v>43236</v>
      </c>
      <c r="L50" s="9">
        <f>SUMIFS(tblData[Amount],
                   tblData[Rpt Date],"="&amp;K50,
                   tblData[ScenarioGroup],"="&amp;J50,
                   tblData[PrentGroup],"="&amp;I50)</f>
        <v>0</v>
      </c>
      <c r="M50" s="9">
        <f>SUMIFS(tblData[Amount],
                   tblData[Rpt Date],"="&amp;K50,
                   tblData[ScenarioGroup],"="&amp;J50,
                   tblData[PrentGroup],"="&amp;I50)</f>
        <v>0</v>
      </c>
      <c r="O50" s="7" t="s">
        <v>43</v>
      </c>
      <c r="P50" s="7" t="str">
        <f t="shared" si="9"/>
        <v>31 to 60</v>
      </c>
      <c r="Q50" s="8">
        <f t="shared" si="4"/>
        <v>43236</v>
      </c>
      <c r="R50" s="9">
        <f>SUMIFS(tblData[Amount],
                   tblData[Rpt Date],"="&amp;Q50,
                   tblData[ScenarioGroup],"="&amp;P50,
                   tblData[PrentGroup],"="&amp;O50)</f>
        <v>0</v>
      </c>
      <c r="S50" s="9">
        <f>SUMIFS(tblData[Amount],
                   tblData[Rpt Date],"="&amp;Q50,
                   tblData[ScenarioGroup],"="&amp;P50,
                   tblData[PrentGroup],"="&amp;O50)</f>
        <v>0</v>
      </c>
      <c r="U50" s="7" t="s">
        <v>69</v>
      </c>
      <c r="V50" s="7" t="str">
        <f t="shared" si="10"/>
        <v>31 to 60</v>
      </c>
      <c r="W50" s="8">
        <f t="shared" si="5"/>
        <v>43236</v>
      </c>
      <c r="X50" s="9">
        <f>SUMIFS(tblData[Amount],
                   tblData[Rpt Date],"="&amp;W50,
                   tblData[ScenarioGroup],"="&amp;V50,
                   tblData[PrentGroup],"="&amp;U50)</f>
        <v>0</v>
      </c>
      <c r="Y50" s="9">
        <f>SUMIFS(tblData[Amount],
                   tblData[Rpt Date],"="&amp;W50,
                   tblData[ScenarioGroup],"="&amp;V50,
                   tblData[PrentGroup],"="&amp;U50)</f>
        <v>0</v>
      </c>
      <c r="AA50" s="7" t="s">
        <v>41</v>
      </c>
      <c r="AB50" s="7" t="str">
        <f t="shared" si="11"/>
        <v>31 to 60</v>
      </c>
      <c r="AC50" s="8">
        <f t="shared" si="6"/>
        <v>43236</v>
      </c>
      <c r="AD50" s="9">
        <f>SUMIFS(tblData[Amount],
                   tblData[Rpt Date],"="&amp;AC50,
                   tblData[ScenarioGroup],"="&amp;AB50,
                   tblData[PrentGroup],"="&amp;AA50)</f>
        <v>0</v>
      </c>
      <c r="AE50" s="9">
        <f>SUMIFS(tblData[Amount],
                   tblData[Rpt Date],"="&amp;AC50,
                   tblData[ScenarioGroup],"="&amp;AB50,
                   tblData[PrentGroup],"="&amp;AA50)</f>
        <v>0</v>
      </c>
    </row>
    <row r="51" spans="2:31" x14ac:dyDescent="0.25">
      <c r="B51">
        <f t="shared" si="0"/>
        <v>45</v>
      </c>
      <c r="C51" s="7" t="s">
        <v>67</v>
      </c>
      <c r="D51" s="7" t="str">
        <f t="shared" si="7"/>
        <v>31 to 60</v>
      </c>
      <c r="E51" s="8">
        <f t="shared" si="1"/>
        <v>43243</v>
      </c>
      <c r="F51" s="9">
        <f>SUMIFS(tblData[Amount],
                   tblData[Rpt Date],"="&amp;$E51,
                   tblData[ScenarioGroup],"="&amp;$D51)</f>
        <v>0</v>
      </c>
      <c r="G51" s="9">
        <f t="shared" si="2"/>
        <v>0</v>
      </c>
      <c r="I51" s="7" t="s">
        <v>42</v>
      </c>
      <c r="J51" s="7" t="str">
        <f t="shared" si="8"/>
        <v>31 to 60</v>
      </c>
      <c r="K51" s="8">
        <f t="shared" si="3"/>
        <v>43243</v>
      </c>
      <c r="L51" s="9">
        <f>SUMIFS(tblData[Amount],
                   tblData[Rpt Date],"="&amp;K51,
                   tblData[ScenarioGroup],"="&amp;J51,
                   tblData[PrentGroup],"="&amp;I51)</f>
        <v>0</v>
      </c>
      <c r="M51" s="9">
        <f>SUMIFS(tblData[Amount],
                   tblData[Rpt Date],"="&amp;K51,
                   tblData[ScenarioGroup],"="&amp;J51,
                   tblData[PrentGroup],"="&amp;I51)</f>
        <v>0</v>
      </c>
      <c r="O51" s="7" t="s">
        <v>43</v>
      </c>
      <c r="P51" s="7" t="str">
        <f t="shared" si="9"/>
        <v>31 to 60</v>
      </c>
      <c r="Q51" s="8">
        <f t="shared" si="4"/>
        <v>43243</v>
      </c>
      <c r="R51" s="9">
        <f>SUMIFS(tblData[Amount],
                   tblData[Rpt Date],"="&amp;Q51,
                   tblData[ScenarioGroup],"="&amp;P51,
                   tblData[PrentGroup],"="&amp;O51)</f>
        <v>0</v>
      </c>
      <c r="S51" s="9">
        <f>SUMIFS(tblData[Amount],
                   tblData[Rpt Date],"="&amp;Q51,
                   tblData[ScenarioGroup],"="&amp;P51,
                   tblData[PrentGroup],"="&amp;O51)</f>
        <v>0</v>
      </c>
      <c r="U51" s="7" t="s">
        <v>69</v>
      </c>
      <c r="V51" s="7" t="str">
        <f t="shared" si="10"/>
        <v>31 to 60</v>
      </c>
      <c r="W51" s="8">
        <f t="shared" si="5"/>
        <v>43243</v>
      </c>
      <c r="X51" s="9">
        <f>SUMIFS(tblData[Amount],
                   tblData[Rpt Date],"="&amp;W51,
                   tblData[ScenarioGroup],"="&amp;V51,
                   tblData[PrentGroup],"="&amp;U51)</f>
        <v>0</v>
      </c>
      <c r="Y51" s="9">
        <f>SUMIFS(tblData[Amount],
                   tblData[Rpt Date],"="&amp;W51,
                   tblData[ScenarioGroup],"="&amp;V51,
                   tblData[PrentGroup],"="&amp;U51)</f>
        <v>0</v>
      </c>
      <c r="AA51" s="7" t="s">
        <v>41</v>
      </c>
      <c r="AB51" s="7" t="str">
        <f t="shared" si="11"/>
        <v>31 to 60</v>
      </c>
      <c r="AC51" s="8">
        <f t="shared" si="6"/>
        <v>43243</v>
      </c>
      <c r="AD51" s="9">
        <f>SUMIFS(tblData[Amount],
                   tblData[Rpt Date],"="&amp;AC51,
                   tblData[ScenarioGroup],"="&amp;AB51,
                   tblData[PrentGroup],"="&amp;AA51)</f>
        <v>0</v>
      </c>
      <c r="AE51" s="9">
        <f>SUMIFS(tblData[Amount],
                   tblData[Rpt Date],"="&amp;AC51,
                   tblData[ScenarioGroup],"="&amp;AB51,
                   tblData[PrentGroup],"="&amp;AA51)</f>
        <v>0</v>
      </c>
    </row>
    <row r="52" spans="2:31" x14ac:dyDescent="0.25">
      <c r="B52">
        <f t="shared" si="0"/>
        <v>46</v>
      </c>
      <c r="C52" s="7" t="s">
        <v>67</v>
      </c>
      <c r="D52" s="7" t="str">
        <f t="shared" si="7"/>
        <v>31 to 60</v>
      </c>
      <c r="E52" s="8">
        <f t="shared" si="1"/>
        <v>43250</v>
      </c>
      <c r="F52" s="9">
        <f>SUMIFS(tblData[Amount],
                   tblData[Rpt Date],"="&amp;$E52,
                   tblData[ScenarioGroup],"="&amp;$D52)</f>
        <v>0</v>
      </c>
      <c r="G52" s="9">
        <f t="shared" si="2"/>
        <v>0</v>
      </c>
      <c r="I52" s="7" t="s">
        <v>42</v>
      </c>
      <c r="J52" s="7" t="str">
        <f t="shared" si="8"/>
        <v>31 to 60</v>
      </c>
      <c r="K52" s="8">
        <f t="shared" si="3"/>
        <v>43250</v>
      </c>
      <c r="L52" s="9">
        <f>SUMIFS(tblData[Amount],
                   tblData[Rpt Date],"="&amp;K52,
                   tblData[ScenarioGroup],"="&amp;J52,
                   tblData[PrentGroup],"="&amp;I52)</f>
        <v>0</v>
      </c>
      <c r="M52" s="9">
        <f>SUMIFS(tblData[Amount],
                   tblData[Rpt Date],"="&amp;K52,
                   tblData[ScenarioGroup],"="&amp;J52,
                   tblData[PrentGroup],"="&amp;I52)</f>
        <v>0</v>
      </c>
      <c r="O52" s="7" t="s">
        <v>43</v>
      </c>
      <c r="P52" s="7" t="str">
        <f t="shared" si="9"/>
        <v>31 to 60</v>
      </c>
      <c r="Q52" s="8">
        <f t="shared" si="4"/>
        <v>43250</v>
      </c>
      <c r="R52" s="9">
        <f>SUMIFS(tblData[Amount],
                   tblData[Rpt Date],"="&amp;Q52,
                   tblData[ScenarioGroup],"="&amp;P52,
                   tblData[PrentGroup],"="&amp;O52)</f>
        <v>0</v>
      </c>
      <c r="S52" s="9">
        <f>SUMIFS(tblData[Amount],
                   tblData[Rpt Date],"="&amp;Q52,
                   tblData[ScenarioGroup],"="&amp;P52,
                   tblData[PrentGroup],"="&amp;O52)</f>
        <v>0</v>
      </c>
      <c r="U52" s="7" t="s">
        <v>69</v>
      </c>
      <c r="V52" s="7" t="str">
        <f t="shared" si="10"/>
        <v>31 to 60</v>
      </c>
      <c r="W52" s="8">
        <f t="shared" si="5"/>
        <v>43250</v>
      </c>
      <c r="X52" s="9">
        <f>SUMIFS(tblData[Amount],
                   tblData[Rpt Date],"="&amp;W52,
                   tblData[ScenarioGroup],"="&amp;V52,
                   tblData[PrentGroup],"="&amp;U52)</f>
        <v>0</v>
      </c>
      <c r="Y52" s="9">
        <f>SUMIFS(tblData[Amount],
                   tblData[Rpt Date],"="&amp;W52,
                   tblData[ScenarioGroup],"="&amp;V52,
                   tblData[PrentGroup],"="&amp;U52)</f>
        <v>0</v>
      </c>
      <c r="AA52" s="7" t="s">
        <v>41</v>
      </c>
      <c r="AB52" s="7" t="str">
        <f t="shared" si="11"/>
        <v>31 to 60</v>
      </c>
      <c r="AC52" s="8">
        <f t="shared" si="6"/>
        <v>43250</v>
      </c>
      <c r="AD52" s="9">
        <f>SUMIFS(tblData[Amount],
                   tblData[Rpt Date],"="&amp;AC52,
                   tblData[ScenarioGroup],"="&amp;AB52,
                   tblData[PrentGroup],"="&amp;AA52)</f>
        <v>0</v>
      </c>
      <c r="AE52" s="9">
        <f>SUMIFS(tblData[Amount],
                   tblData[Rpt Date],"="&amp;AC52,
                   tblData[ScenarioGroup],"="&amp;AB52,
                   tblData[PrentGroup],"="&amp;AA52)</f>
        <v>0</v>
      </c>
    </row>
    <row r="53" spans="2:31" x14ac:dyDescent="0.25">
      <c r="B53">
        <f t="shared" si="0"/>
        <v>47</v>
      </c>
      <c r="C53" s="7" t="s">
        <v>67</v>
      </c>
      <c r="D53" s="7" t="str">
        <f t="shared" si="7"/>
        <v>31 to 60</v>
      </c>
      <c r="E53" s="8">
        <f t="shared" si="1"/>
        <v>43257</v>
      </c>
      <c r="F53" s="9">
        <f>SUMIFS(tblData[Amount],
                   tblData[Rpt Date],"="&amp;$E53,
                   tblData[ScenarioGroup],"="&amp;$D53)</f>
        <v>0</v>
      </c>
      <c r="G53" s="9">
        <f t="shared" si="2"/>
        <v>0</v>
      </c>
      <c r="I53" s="7" t="s">
        <v>42</v>
      </c>
      <c r="J53" s="7" t="str">
        <f t="shared" si="8"/>
        <v>31 to 60</v>
      </c>
      <c r="K53" s="8">
        <f t="shared" si="3"/>
        <v>43257</v>
      </c>
      <c r="L53" s="9">
        <f>SUMIFS(tblData[Amount],
                   tblData[Rpt Date],"="&amp;K53,
                   tblData[ScenarioGroup],"="&amp;J53,
                   tblData[PrentGroup],"="&amp;I53)</f>
        <v>0</v>
      </c>
      <c r="M53" s="9">
        <f>SUMIFS(tblData[Amount],
                   tblData[Rpt Date],"="&amp;K53,
                   tblData[ScenarioGroup],"="&amp;J53,
                   tblData[PrentGroup],"="&amp;I53)</f>
        <v>0</v>
      </c>
      <c r="O53" s="7" t="s">
        <v>43</v>
      </c>
      <c r="P53" s="7" t="str">
        <f t="shared" si="9"/>
        <v>31 to 60</v>
      </c>
      <c r="Q53" s="8">
        <f t="shared" si="4"/>
        <v>43257</v>
      </c>
      <c r="R53" s="9">
        <f>SUMIFS(tblData[Amount],
                   tblData[Rpt Date],"="&amp;Q53,
                   tblData[ScenarioGroup],"="&amp;P53,
                   tblData[PrentGroup],"="&amp;O53)</f>
        <v>0</v>
      </c>
      <c r="S53" s="9">
        <f>SUMIFS(tblData[Amount],
                   tblData[Rpt Date],"="&amp;Q53,
                   tblData[ScenarioGroup],"="&amp;P53,
                   tblData[PrentGroup],"="&amp;O53)</f>
        <v>0</v>
      </c>
      <c r="U53" s="7" t="s">
        <v>69</v>
      </c>
      <c r="V53" s="7" t="str">
        <f t="shared" si="10"/>
        <v>31 to 60</v>
      </c>
      <c r="W53" s="8">
        <f t="shared" si="5"/>
        <v>43257</v>
      </c>
      <c r="X53" s="9">
        <f>SUMIFS(tblData[Amount],
                   tblData[Rpt Date],"="&amp;W53,
                   tblData[ScenarioGroup],"="&amp;V53,
                   tblData[PrentGroup],"="&amp;U53)</f>
        <v>0</v>
      </c>
      <c r="Y53" s="9">
        <f>SUMIFS(tblData[Amount],
                   tblData[Rpt Date],"="&amp;W53,
                   tblData[ScenarioGroup],"="&amp;V53,
                   tblData[PrentGroup],"="&amp;U53)</f>
        <v>0</v>
      </c>
      <c r="AA53" s="7" t="s">
        <v>41</v>
      </c>
      <c r="AB53" s="7" t="str">
        <f t="shared" si="11"/>
        <v>31 to 60</v>
      </c>
      <c r="AC53" s="8">
        <f t="shared" si="6"/>
        <v>43257</v>
      </c>
      <c r="AD53" s="9">
        <f>SUMIFS(tblData[Amount],
                   tblData[Rpt Date],"="&amp;AC53,
                   tblData[ScenarioGroup],"="&amp;AB53,
                   tblData[PrentGroup],"="&amp;AA53)</f>
        <v>0</v>
      </c>
      <c r="AE53" s="9">
        <f>SUMIFS(tblData[Amount],
                   tblData[Rpt Date],"="&amp;AC53,
                   tblData[ScenarioGroup],"="&amp;AB53,
                   tblData[PrentGroup],"="&amp;AA53)</f>
        <v>0</v>
      </c>
    </row>
    <row r="54" spans="2:31" x14ac:dyDescent="0.25">
      <c r="B54">
        <f t="shared" si="0"/>
        <v>48</v>
      </c>
      <c r="C54" s="7" t="s">
        <v>67</v>
      </c>
      <c r="D54" s="7" t="str">
        <f t="shared" si="7"/>
        <v>31 to 60</v>
      </c>
      <c r="E54" s="8">
        <f t="shared" si="1"/>
        <v>43264</v>
      </c>
      <c r="F54" s="9">
        <f>SUMIFS(tblData[Amount],
                   tblData[Rpt Date],"="&amp;$E54,
                   tblData[ScenarioGroup],"="&amp;$D54)</f>
        <v>0</v>
      </c>
      <c r="G54" s="9">
        <f t="shared" si="2"/>
        <v>0</v>
      </c>
      <c r="I54" s="7" t="s">
        <v>42</v>
      </c>
      <c r="J54" s="7" t="str">
        <f t="shared" si="8"/>
        <v>31 to 60</v>
      </c>
      <c r="K54" s="8">
        <f t="shared" si="3"/>
        <v>43264</v>
      </c>
      <c r="L54" s="9">
        <f>SUMIFS(tblData[Amount],
                   tblData[Rpt Date],"="&amp;K54,
                   tblData[ScenarioGroup],"="&amp;J54,
                   tblData[PrentGroup],"="&amp;I54)</f>
        <v>0</v>
      </c>
      <c r="M54" s="9">
        <f>SUMIFS(tblData[Amount],
                   tblData[Rpt Date],"="&amp;K54,
                   tblData[ScenarioGroup],"="&amp;J54,
                   tblData[PrentGroup],"="&amp;I54)</f>
        <v>0</v>
      </c>
      <c r="O54" s="7" t="s">
        <v>43</v>
      </c>
      <c r="P54" s="7" t="str">
        <f t="shared" si="9"/>
        <v>31 to 60</v>
      </c>
      <c r="Q54" s="8">
        <f t="shared" si="4"/>
        <v>43264</v>
      </c>
      <c r="R54" s="9">
        <f>SUMIFS(tblData[Amount],
                   tblData[Rpt Date],"="&amp;Q54,
                   tblData[ScenarioGroup],"="&amp;P54,
                   tblData[PrentGroup],"="&amp;O54)</f>
        <v>0</v>
      </c>
      <c r="S54" s="9">
        <f>SUMIFS(tblData[Amount],
                   tblData[Rpt Date],"="&amp;Q54,
                   tblData[ScenarioGroup],"="&amp;P54,
                   tblData[PrentGroup],"="&amp;O54)</f>
        <v>0</v>
      </c>
      <c r="U54" s="7" t="s">
        <v>69</v>
      </c>
      <c r="V54" s="7" t="str">
        <f t="shared" si="10"/>
        <v>31 to 60</v>
      </c>
      <c r="W54" s="8">
        <f t="shared" si="5"/>
        <v>43264</v>
      </c>
      <c r="X54" s="9">
        <f>SUMIFS(tblData[Amount],
                   tblData[Rpt Date],"="&amp;W54,
                   tblData[ScenarioGroup],"="&amp;V54,
                   tblData[PrentGroup],"="&amp;U54)</f>
        <v>0</v>
      </c>
      <c r="Y54" s="9">
        <f>SUMIFS(tblData[Amount],
                   tblData[Rpt Date],"="&amp;W54,
                   tblData[ScenarioGroup],"="&amp;V54,
                   tblData[PrentGroup],"="&amp;U54)</f>
        <v>0</v>
      </c>
      <c r="AA54" s="7" t="s">
        <v>41</v>
      </c>
      <c r="AB54" s="7" t="str">
        <f t="shared" si="11"/>
        <v>31 to 60</v>
      </c>
      <c r="AC54" s="8">
        <f t="shared" si="6"/>
        <v>43264</v>
      </c>
      <c r="AD54" s="9">
        <f>SUMIFS(tblData[Amount],
                   tblData[Rpt Date],"="&amp;AC54,
                   tblData[ScenarioGroup],"="&amp;AB54,
                   tblData[PrentGroup],"="&amp;AA54)</f>
        <v>0</v>
      </c>
      <c r="AE54" s="9">
        <f>SUMIFS(tblData[Amount],
                   tblData[Rpt Date],"="&amp;AC54,
                   tblData[ScenarioGroup],"="&amp;AB54,
                   tblData[PrentGroup],"="&amp;AA54)</f>
        <v>0</v>
      </c>
    </row>
    <row r="55" spans="2:31" x14ac:dyDescent="0.25">
      <c r="B55">
        <f t="shared" si="0"/>
        <v>49</v>
      </c>
      <c r="C55" s="7" t="s">
        <v>67</v>
      </c>
      <c r="D55" s="7" t="str">
        <f t="shared" si="7"/>
        <v>31 to 60</v>
      </c>
      <c r="E55" s="8">
        <f t="shared" si="1"/>
        <v>43271</v>
      </c>
      <c r="F55" s="9">
        <f>SUMIFS(tblData[Amount],
                   tblData[Rpt Date],"="&amp;$E55,
                   tblData[ScenarioGroup],"="&amp;$D55)</f>
        <v>0</v>
      </c>
      <c r="G55" s="9">
        <f t="shared" si="2"/>
        <v>0</v>
      </c>
      <c r="I55" s="7" t="s">
        <v>42</v>
      </c>
      <c r="J55" s="7" t="str">
        <f t="shared" si="8"/>
        <v>31 to 60</v>
      </c>
      <c r="K55" s="8">
        <f t="shared" si="3"/>
        <v>43271</v>
      </c>
      <c r="L55" s="9">
        <f>SUMIFS(tblData[Amount],
                   tblData[Rpt Date],"="&amp;K55,
                   tblData[ScenarioGroup],"="&amp;J55,
                   tblData[PrentGroup],"="&amp;I55)</f>
        <v>0</v>
      </c>
      <c r="M55" s="9">
        <f>SUMIFS(tblData[Amount],
                   tblData[Rpt Date],"="&amp;K55,
                   tblData[ScenarioGroup],"="&amp;J55,
                   tblData[PrentGroup],"="&amp;I55)</f>
        <v>0</v>
      </c>
      <c r="O55" s="7" t="s">
        <v>43</v>
      </c>
      <c r="P55" s="7" t="str">
        <f t="shared" si="9"/>
        <v>31 to 60</v>
      </c>
      <c r="Q55" s="8">
        <f t="shared" si="4"/>
        <v>43271</v>
      </c>
      <c r="R55" s="9">
        <f>SUMIFS(tblData[Amount],
                   tblData[Rpt Date],"="&amp;Q55,
                   tblData[ScenarioGroup],"="&amp;P55,
                   tblData[PrentGroup],"="&amp;O55)</f>
        <v>0</v>
      </c>
      <c r="S55" s="9">
        <f>SUMIFS(tblData[Amount],
                   tblData[Rpt Date],"="&amp;Q55,
                   tblData[ScenarioGroup],"="&amp;P55,
                   tblData[PrentGroup],"="&amp;O55)</f>
        <v>0</v>
      </c>
      <c r="U55" s="7" t="s">
        <v>69</v>
      </c>
      <c r="V55" s="7" t="str">
        <f t="shared" si="10"/>
        <v>31 to 60</v>
      </c>
      <c r="W55" s="8">
        <f t="shared" si="5"/>
        <v>43271</v>
      </c>
      <c r="X55" s="9">
        <f>SUMIFS(tblData[Amount],
                   tblData[Rpt Date],"="&amp;W55,
                   tblData[ScenarioGroup],"="&amp;V55,
                   tblData[PrentGroup],"="&amp;U55)</f>
        <v>0</v>
      </c>
      <c r="Y55" s="9">
        <f>SUMIFS(tblData[Amount],
                   tblData[Rpt Date],"="&amp;W55,
                   tblData[ScenarioGroup],"="&amp;V55,
                   tblData[PrentGroup],"="&amp;U55)</f>
        <v>0</v>
      </c>
      <c r="AA55" s="7" t="s">
        <v>41</v>
      </c>
      <c r="AB55" s="7" t="str">
        <f t="shared" si="11"/>
        <v>31 to 60</v>
      </c>
      <c r="AC55" s="8">
        <f t="shared" si="6"/>
        <v>43271</v>
      </c>
      <c r="AD55" s="9">
        <f>SUMIFS(tblData[Amount],
                   tblData[Rpt Date],"="&amp;AC55,
                   tblData[ScenarioGroup],"="&amp;AB55,
                   tblData[PrentGroup],"="&amp;AA55)</f>
        <v>0</v>
      </c>
      <c r="AE55" s="9">
        <f>SUMIFS(tblData[Amount],
                   tblData[Rpt Date],"="&amp;AC55,
                   tblData[ScenarioGroup],"="&amp;AB55,
                   tblData[PrentGroup],"="&amp;AA55)</f>
        <v>0</v>
      </c>
    </row>
    <row r="56" spans="2:31" x14ac:dyDescent="0.25">
      <c r="B56">
        <f t="shared" si="0"/>
        <v>50</v>
      </c>
      <c r="C56" s="7" t="s">
        <v>67</v>
      </c>
      <c r="D56" s="7" t="str">
        <f t="shared" si="7"/>
        <v>31 to 60</v>
      </c>
      <c r="E56" s="8">
        <f t="shared" si="1"/>
        <v>43278</v>
      </c>
      <c r="F56" s="9">
        <f>SUMIFS(tblData[Amount],
                   tblData[Rpt Date],"="&amp;$E56,
                   tblData[ScenarioGroup],"="&amp;$D56)</f>
        <v>0</v>
      </c>
      <c r="G56" s="9">
        <f t="shared" si="2"/>
        <v>0</v>
      </c>
      <c r="I56" s="7" t="s">
        <v>42</v>
      </c>
      <c r="J56" s="7" t="str">
        <f t="shared" si="8"/>
        <v>31 to 60</v>
      </c>
      <c r="K56" s="8">
        <f t="shared" si="3"/>
        <v>43278</v>
      </c>
      <c r="L56" s="9">
        <f>SUMIFS(tblData[Amount],
                   tblData[Rpt Date],"="&amp;K56,
                   tblData[ScenarioGroup],"="&amp;J56,
                   tblData[PrentGroup],"="&amp;I56)</f>
        <v>0</v>
      </c>
      <c r="M56" s="9">
        <f>SUMIFS(tblData[Amount],
                   tblData[Rpt Date],"="&amp;K56,
                   tblData[ScenarioGroup],"="&amp;J56,
                   tblData[PrentGroup],"="&amp;I56)</f>
        <v>0</v>
      </c>
      <c r="O56" s="7" t="s">
        <v>43</v>
      </c>
      <c r="P56" s="7" t="str">
        <f t="shared" si="9"/>
        <v>31 to 60</v>
      </c>
      <c r="Q56" s="8">
        <f t="shared" si="4"/>
        <v>43278</v>
      </c>
      <c r="R56" s="9">
        <f>SUMIFS(tblData[Amount],
                   tblData[Rpt Date],"="&amp;Q56,
                   tblData[ScenarioGroup],"="&amp;P56,
                   tblData[PrentGroup],"="&amp;O56)</f>
        <v>0</v>
      </c>
      <c r="S56" s="9">
        <f>SUMIFS(tblData[Amount],
                   tblData[Rpt Date],"="&amp;Q56,
                   tblData[ScenarioGroup],"="&amp;P56,
                   tblData[PrentGroup],"="&amp;O56)</f>
        <v>0</v>
      </c>
      <c r="U56" s="7" t="s">
        <v>69</v>
      </c>
      <c r="V56" s="7" t="str">
        <f t="shared" si="10"/>
        <v>31 to 60</v>
      </c>
      <c r="W56" s="8">
        <f t="shared" si="5"/>
        <v>43278</v>
      </c>
      <c r="X56" s="9">
        <f>SUMIFS(tblData[Amount],
                   tblData[Rpt Date],"="&amp;W56,
                   tblData[ScenarioGroup],"="&amp;V56,
                   tblData[PrentGroup],"="&amp;U56)</f>
        <v>0</v>
      </c>
      <c r="Y56" s="9">
        <f>SUMIFS(tblData[Amount],
                   tblData[Rpt Date],"="&amp;W56,
                   tblData[ScenarioGroup],"="&amp;V56,
                   tblData[PrentGroup],"="&amp;U56)</f>
        <v>0</v>
      </c>
      <c r="AA56" s="7" t="s">
        <v>41</v>
      </c>
      <c r="AB56" s="7" t="str">
        <f t="shared" si="11"/>
        <v>31 to 60</v>
      </c>
      <c r="AC56" s="8">
        <f t="shared" si="6"/>
        <v>43278</v>
      </c>
      <c r="AD56" s="9">
        <f>SUMIFS(tblData[Amount],
                   tblData[Rpt Date],"="&amp;AC56,
                   tblData[ScenarioGroup],"="&amp;AB56,
                   tblData[PrentGroup],"="&amp;AA56)</f>
        <v>0</v>
      </c>
      <c r="AE56" s="9">
        <f>SUMIFS(tblData[Amount],
                   tblData[Rpt Date],"="&amp;AC56,
                   tblData[ScenarioGroup],"="&amp;AB56,
                   tblData[PrentGroup],"="&amp;AA56)</f>
        <v>0</v>
      </c>
    </row>
    <row r="57" spans="2:31" x14ac:dyDescent="0.25">
      <c r="B57">
        <f>+B58-1</f>
        <v>51</v>
      </c>
      <c r="C57" s="7" t="s">
        <v>67</v>
      </c>
      <c r="D57" s="7" t="str">
        <f t="shared" si="7"/>
        <v>31 to 60</v>
      </c>
      <c r="E57" s="8">
        <f>E58-7</f>
        <v>43285</v>
      </c>
      <c r="F57" s="9">
        <f>SUMIFS(tblData[Amount],
                   tblData[Rpt Date],"="&amp;$E57,
                   tblData[ScenarioGroup],"="&amp;$D57)</f>
        <v>0</v>
      </c>
      <c r="G57" s="9">
        <f t="shared" si="2"/>
        <v>0</v>
      </c>
      <c r="I57" s="7" t="s">
        <v>42</v>
      </c>
      <c r="J57" s="7" t="str">
        <f t="shared" si="8"/>
        <v>31 to 60</v>
      </c>
      <c r="K57" s="8">
        <f>K58-7</f>
        <v>43285</v>
      </c>
      <c r="L57" s="9">
        <f>SUMIFS(tblData[Amount],
                   tblData[Rpt Date],"="&amp;K57,
                   tblData[ScenarioGroup],"="&amp;J57,
                   tblData[PrentGroup],"="&amp;I57)</f>
        <v>0</v>
      </c>
      <c r="M57" s="9">
        <f>SUMIFS(tblData[Amount],
                   tblData[Rpt Date],"="&amp;K57,
                   tblData[ScenarioGroup],"="&amp;J57,
                   tblData[PrentGroup],"="&amp;I57)</f>
        <v>0</v>
      </c>
      <c r="O57" s="7" t="s">
        <v>43</v>
      </c>
      <c r="P57" s="7" t="str">
        <f t="shared" si="9"/>
        <v>31 to 60</v>
      </c>
      <c r="Q57" s="8">
        <f>Q58-7</f>
        <v>43285</v>
      </c>
      <c r="R57" s="9">
        <f>SUMIFS(tblData[Amount],
                   tblData[Rpt Date],"="&amp;Q57,
                   tblData[ScenarioGroup],"="&amp;P57,
                   tblData[PrentGroup],"="&amp;O57)</f>
        <v>0</v>
      </c>
      <c r="S57" s="9">
        <f>SUMIFS(tblData[Amount],
                   tblData[Rpt Date],"="&amp;Q57,
                   tblData[ScenarioGroup],"="&amp;P57,
                   tblData[PrentGroup],"="&amp;O57)</f>
        <v>0</v>
      </c>
      <c r="U57" s="7" t="s">
        <v>69</v>
      </c>
      <c r="V57" s="7" t="str">
        <f t="shared" si="10"/>
        <v>31 to 60</v>
      </c>
      <c r="W57" s="8">
        <f>W58-7</f>
        <v>43285</v>
      </c>
      <c r="X57" s="9">
        <f>SUMIFS(tblData[Amount],
                   tblData[Rpt Date],"="&amp;W57,
                   tblData[ScenarioGroup],"="&amp;V57,
                   tblData[PrentGroup],"="&amp;U57)</f>
        <v>0</v>
      </c>
      <c r="Y57" s="9">
        <f>SUMIFS(tblData[Amount],
                   tblData[Rpt Date],"="&amp;W57,
                   tblData[ScenarioGroup],"="&amp;V57,
                   tblData[PrentGroup],"="&amp;U57)</f>
        <v>0</v>
      </c>
      <c r="AA57" s="7" t="s">
        <v>41</v>
      </c>
      <c r="AB57" s="7" t="str">
        <f t="shared" si="11"/>
        <v>31 to 60</v>
      </c>
      <c r="AC57" s="8">
        <f>AC58-7</f>
        <v>43285</v>
      </c>
      <c r="AD57" s="9">
        <f>SUMIFS(tblData[Amount],
                   tblData[Rpt Date],"="&amp;AC57,
                   tblData[ScenarioGroup],"="&amp;AB57,
                   tblData[PrentGroup],"="&amp;AA57)</f>
        <v>0</v>
      </c>
      <c r="AE57" s="9">
        <f>SUMIFS(tblData[Amount],
                   tblData[Rpt Date],"="&amp;AC57,
                   tblData[ScenarioGroup],"="&amp;AB57,
                   tblData[PrentGroup],"="&amp;AA57)</f>
        <v>0</v>
      </c>
    </row>
    <row r="58" spans="2:31" x14ac:dyDescent="0.25">
      <c r="B58">
        <v>52</v>
      </c>
      <c r="C58" s="7" t="s">
        <v>67</v>
      </c>
      <c r="D58" s="7" t="str">
        <f t="shared" si="7"/>
        <v>31 to 60</v>
      </c>
      <c r="E58" s="14">
        <f>Start_Date</f>
        <v>43292</v>
      </c>
      <c r="F58" s="9">
        <f>SUMIFS(tblData[Amount],
                   tblData[Rpt Date],"="&amp;$E58,
                   tblData[ScenarioGroup],"="&amp;$D58)</f>
        <v>137258.22000000006</v>
      </c>
      <c r="G58" s="9">
        <f t="shared" si="2"/>
        <v>137258.22000000006</v>
      </c>
      <c r="I58" s="7" t="s">
        <v>42</v>
      </c>
      <c r="J58" s="7" t="str">
        <f t="shared" si="8"/>
        <v>31 to 60</v>
      </c>
      <c r="K58" s="14">
        <f>Start_Date</f>
        <v>43292</v>
      </c>
      <c r="L58" s="9">
        <f>SUMIFS(tblData[Amount],
                   tblData[Rpt Date],"="&amp;K58,
                   tblData[ScenarioGroup],"="&amp;J58,
                   tblData[PrentGroup],"="&amp;I58)</f>
        <v>105306.13000000003</v>
      </c>
      <c r="M58" s="9">
        <f>SUMIFS(tblData[Amount],
                   tblData[Rpt Date],"="&amp;K58,
                   tblData[ScenarioGroup],"="&amp;J58,
                   tblData[PrentGroup],"="&amp;I58)</f>
        <v>105306.13000000003</v>
      </c>
      <c r="O58" s="7" t="s">
        <v>43</v>
      </c>
      <c r="P58" s="7" t="str">
        <f t="shared" si="9"/>
        <v>31 to 60</v>
      </c>
      <c r="Q58" s="14">
        <f>Start_Date</f>
        <v>43292</v>
      </c>
      <c r="R58" s="9">
        <f>SUMIFS(tblData[Amount],
                   tblData[Rpt Date],"="&amp;Q58,
                   tblData[ScenarioGroup],"="&amp;P58,
                   tblData[PrentGroup],"="&amp;O58)</f>
        <v>5548.07</v>
      </c>
      <c r="S58" s="9">
        <f>SUMIFS(tblData[Amount],
                   tblData[Rpt Date],"="&amp;Q58,
                   tblData[ScenarioGroup],"="&amp;P58,
                   tblData[PrentGroup],"="&amp;O58)</f>
        <v>5548.07</v>
      </c>
      <c r="U58" s="7" t="s">
        <v>69</v>
      </c>
      <c r="V58" s="7" t="str">
        <f t="shared" si="10"/>
        <v>31 to 60</v>
      </c>
      <c r="W58" s="14">
        <f>Start_Date</f>
        <v>43292</v>
      </c>
      <c r="X58" s="9">
        <f>SUMIFS(tblData[Amount],
                   tblData[Rpt Date],"="&amp;W58,
                   tblData[ScenarioGroup],"="&amp;V58,
                   tblData[PrentGroup],"="&amp;U58)</f>
        <v>18274.84</v>
      </c>
      <c r="Y58" s="9">
        <f>SUMIFS(tblData[Amount],
                   tblData[Rpt Date],"="&amp;W58,
                   tblData[ScenarioGroup],"="&amp;V58,
                   tblData[PrentGroup],"="&amp;U58)</f>
        <v>18274.84</v>
      </c>
      <c r="AA58" s="7" t="s">
        <v>41</v>
      </c>
      <c r="AB58" s="7" t="str">
        <f t="shared" si="11"/>
        <v>31 to 60</v>
      </c>
      <c r="AC58" s="14">
        <f>Start_Date</f>
        <v>43292</v>
      </c>
      <c r="AD58" s="9">
        <f>SUMIFS(tblData[Amount],
                   tblData[Rpt Date],"="&amp;AC58,
                   tblData[ScenarioGroup],"="&amp;AB58,
                   tblData[PrentGroup],"="&amp;AA58)</f>
        <v>8129.18</v>
      </c>
      <c r="AE58" s="9">
        <f>SUMIFS(tblData[Amount],
                   tblData[Rpt Date],"="&amp;AC58,
                   tblData[ScenarioGroup],"="&amp;AB58,
                   tblData[PrentGroup],"="&amp;AA58)</f>
        <v>8129.18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AE58"/>
  <sheetViews>
    <sheetView workbookViewId="0"/>
  </sheetViews>
  <sheetFormatPr defaultRowHeight="15" x14ac:dyDescent="0.25"/>
  <cols>
    <col min="3" max="5" width="12.7109375" customWidth="1"/>
    <col min="6" max="7" width="15.7109375" customWidth="1"/>
    <col min="8" max="8" width="0.85546875" customWidth="1"/>
    <col min="9" max="11" width="12.7109375" customWidth="1"/>
    <col min="12" max="13" width="15.7109375" customWidth="1"/>
    <col min="14" max="14" width="0.85546875" customWidth="1"/>
    <col min="15" max="15" width="14.85546875" customWidth="1"/>
    <col min="16" max="16" width="16.85546875" customWidth="1"/>
    <col min="17" max="17" width="12.7109375" customWidth="1"/>
    <col min="18" max="19" width="15.7109375" customWidth="1"/>
    <col min="20" max="20" width="0.85546875" customWidth="1"/>
    <col min="21" max="21" width="14.85546875" customWidth="1"/>
    <col min="22" max="22" width="16.85546875" customWidth="1"/>
    <col min="23" max="23" width="12.7109375" customWidth="1"/>
    <col min="24" max="25" width="15.7109375" customWidth="1"/>
    <col min="26" max="26" width="0.85546875" customWidth="1"/>
    <col min="27" max="27" width="14.85546875" customWidth="1"/>
    <col min="28" max="28" width="16.85546875" customWidth="1"/>
    <col min="29" max="29" width="12.7109375" customWidth="1"/>
    <col min="30" max="31" width="15.7109375" customWidth="1"/>
  </cols>
  <sheetData>
    <row r="2" spans="2:31" x14ac:dyDescent="0.25">
      <c r="C2" s="7" t="s">
        <v>55</v>
      </c>
      <c r="D2" s="10" t="s">
        <v>36</v>
      </c>
    </row>
    <row r="4" spans="2:31" x14ac:dyDescent="0.25">
      <c r="C4" s="11" t="s">
        <v>71</v>
      </c>
      <c r="D4" s="3"/>
      <c r="E4" s="3"/>
      <c r="F4" s="3"/>
      <c r="G4" s="3"/>
      <c r="I4" s="11" t="s">
        <v>72</v>
      </c>
      <c r="J4" s="3"/>
      <c r="K4" s="3"/>
      <c r="L4" s="3"/>
      <c r="M4" s="3"/>
      <c r="O4" s="11" t="s">
        <v>43</v>
      </c>
      <c r="P4" s="3"/>
      <c r="Q4" s="3"/>
      <c r="R4" s="3"/>
      <c r="S4" s="3"/>
      <c r="U4" s="11" t="s">
        <v>69</v>
      </c>
      <c r="V4" s="3"/>
      <c r="W4" s="3"/>
      <c r="X4" s="3"/>
      <c r="Y4" s="3"/>
      <c r="AA4" s="11" t="s">
        <v>41</v>
      </c>
      <c r="AB4" s="3"/>
      <c r="AC4" s="3"/>
      <c r="AD4" s="3"/>
      <c r="AE4" s="3"/>
    </row>
    <row r="5" spans="2:31" ht="3.95" customHeight="1" x14ac:dyDescent="0.25"/>
    <row r="6" spans="2:31" x14ac:dyDescent="0.25">
      <c r="C6" s="10" t="s">
        <v>66</v>
      </c>
      <c r="D6" s="10" t="s">
        <v>36</v>
      </c>
      <c r="E6" s="10" t="s">
        <v>68</v>
      </c>
      <c r="F6" s="10" t="s">
        <v>37</v>
      </c>
      <c r="G6" s="10" t="s">
        <v>70</v>
      </c>
      <c r="I6" s="10" t="s">
        <v>66</v>
      </c>
      <c r="J6" s="10" t="s">
        <v>36</v>
      </c>
      <c r="K6" s="10" t="s">
        <v>68</v>
      </c>
      <c r="L6" s="10" t="s">
        <v>37</v>
      </c>
      <c r="M6" s="10" t="s">
        <v>70</v>
      </c>
      <c r="O6" s="10" t="s">
        <v>66</v>
      </c>
      <c r="P6" s="10" t="s">
        <v>36</v>
      </c>
      <c r="Q6" s="10" t="s">
        <v>68</v>
      </c>
      <c r="R6" s="10" t="s">
        <v>37</v>
      </c>
      <c r="S6" s="10" t="s">
        <v>70</v>
      </c>
      <c r="U6" s="10" t="s">
        <v>66</v>
      </c>
      <c r="V6" s="10" t="s">
        <v>36</v>
      </c>
      <c r="W6" s="10" t="s">
        <v>68</v>
      </c>
      <c r="X6" s="10" t="s">
        <v>37</v>
      </c>
      <c r="Y6" s="10" t="s">
        <v>70</v>
      </c>
      <c r="AA6" s="10" t="s">
        <v>66</v>
      </c>
      <c r="AB6" s="10" t="s">
        <v>36</v>
      </c>
      <c r="AC6" s="10" t="s">
        <v>68</v>
      </c>
      <c r="AD6" s="10" t="s">
        <v>37</v>
      </c>
      <c r="AE6" s="10" t="s">
        <v>70</v>
      </c>
    </row>
    <row r="7" spans="2:31" x14ac:dyDescent="0.25">
      <c r="B7">
        <f t="shared" ref="B7:B56" si="0">+B8-1</f>
        <v>1</v>
      </c>
      <c r="C7" s="7" t="s">
        <v>67</v>
      </c>
      <c r="D7" s="7" t="str">
        <f>$C$2</f>
        <v>Current</v>
      </c>
      <c r="E7" s="8">
        <f t="shared" ref="E7:E56" si="1">E8-7</f>
        <v>42935</v>
      </c>
      <c r="F7" s="9">
        <f>SUMIFS(tblData[Amount],
                   tblData[Rpt Date],"="&amp;$E7,
                   tblData[ScenarioGroup],"="&amp;$D7)</f>
        <v>4922991.03</v>
      </c>
      <c r="G7" s="9">
        <f t="shared" ref="G7:G58" si="2">F7</f>
        <v>4922991.03</v>
      </c>
      <c r="I7" s="7" t="s">
        <v>42</v>
      </c>
      <c r="J7" s="7" t="str">
        <f>$C$2</f>
        <v>Current</v>
      </c>
      <c r="K7" s="8">
        <f t="shared" ref="K7:K56" si="3">K8-7</f>
        <v>42935</v>
      </c>
      <c r="L7" s="9">
        <f>SUMIFS(tblData[Amount],
                   tblData[Rpt Date],"="&amp;K7,
                   tblData[ScenarioGroup],"="&amp;J7,
                   tblData[PrentGroup],"="&amp;I7)</f>
        <v>4339277.17</v>
      </c>
      <c r="M7" s="9">
        <f>SUMIFS(tblData[Amount],
                   tblData[Rpt Date],"="&amp;K7,
                   tblData[ScenarioGroup],"="&amp;J7,
                   tblData[PrentGroup],"="&amp;I7)</f>
        <v>4339277.17</v>
      </c>
      <c r="O7" s="7" t="s">
        <v>43</v>
      </c>
      <c r="P7" s="7" t="str">
        <f>$C$2</f>
        <v>Current</v>
      </c>
      <c r="Q7" s="8">
        <f t="shared" ref="Q7:Q56" si="4">Q8-7</f>
        <v>42935</v>
      </c>
      <c r="R7" s="9">
        <f>SUMIFS(tblData[Amount],
                   tblData[Rpt Date],"="&amp;Q7,
                   tblData[ScenarioGroup],"="&amp;P7,
                   tblData[PrentGroup],"="&amp;O7)</f>
        <v>409032.94999999966</v>
      </c>
      <c r="S7" s="9">
        <f>SUMIFS(tblData[Amount],
                   tblData[Rpt Date],"="&amp;Q7,
                   tblData[ScenarioGroup],"="&amp;P7,
                   tblData[PrentGroup],"="&amp;O7)</f>
        <v>409032.94999999966</v>
      </c>
      <c r="U7" s="7" t="s">
        <v>69</v>
      </c>
      <c r="V7" s="7" t="str">
        <f>$C$2</f>
        <v>Current</v>
      </c>
      <c r="W7" s="8">
        <f t="shared" ref="W7:W56" si="5">W8-7</f>
        <v>42935</v>
      </c>
      <c r="X7" s="9">
        <f>SUMIFS(tblData[Amount],
                   tblData[Rpt Date],"="&amp;W7,
                   tblData[ScenarioGroup],"="&amp;V7,
                   tblData[PrentGroup],"="&amp;U7)</f>
        <v>153133.73999999985</v>
      </c>
      <c r="Y7" s="9">
        <f>SUMIFS(tblData[Amount],
                   tblData[Rpt Date],"="&amp;W7,
                   tblData[ScenarioGroup],"="&amp;V7,
                   tblData[PrentGroup],"="&amp;U7)</f>
        <v>153133.73999999985</v>
      </c>
      <c r="AA7" s="7" t="s">
        <v>41</v>
      </c>
      <c r="AB7" s="7" t="str">
        <f>$C$2</f>
        <v>Current</v>
      </c>
      <c r="AC7" s="8">
        <f t="shared" ref="AC7:AC56" si="6">AC8-7</f>
        <v>42935</v>
      </c>
      <c r="AD7" s="9">
        <f>SUMIFS(tblData[Amount],
                   tblData[Rpt Date],"="&amp;AC7,
                   tblData[ScenarioGroup],"="&amp;AB7,
                   tblData[PrentGroup],"="&amp;AA7)</f>
        <v>21547.170000000009</v>
      </c>
      <c r="AE7" s="9">
        <f>SUMIFS(tblData[Amount],
                   tblData[Rpt Date],"="&amp;AC7,
                   tblData[ScenarioGroup],"="&amp;AB7,
                   tblData[PrentGroup],"="&amp;AA7)</f>
        <v>21547.170000000009</v>
      </c>
    </row>
    <row r="8" spans="2:31" x14ac:dyDescent="0.25">
      <c r="B8">
        <f t="shared" si="0"/>
        <v>2</v>
      </c>
      <c r="C8" s="7" t="s">
        <v>67</v>
      </c>
      <c r="D8" s="7" t="str">
        <f t="shared" ref="D8:D58" si="7">$C$2</f>
        <v>Current</v>
      </c>
      <c r="E8" s="8">
        <f t="shared" si="1"/>
        <v>42942</v>
      </c>
      <c r="F8" s="9">
        <f>SUMIFS(tblData[Amount],
                   tblData[Rpt Date],"="&amp;$E8,
                   tblData[ScenarioGroup],"="&amp;$D8)</f>
        <v>5120300.0400000019</v>
      </c>
      <c r="G8" s="9">
        <f t="shared" si="2"/>
        <v>5120300.0400000019</v>
      </c>
      <c r="I8" s="7" t="s">
        <v>42</v>
      </c>
      <c r="J8" s="7" t="str">
        <f t="shared" ref="J8:J58" si="8">$C$2</f>
        <v>Current</v>
      </c>
      <c r="K8" s="8">
        <f t="shared" si="3"/>
        <v>42942</v>
      </c>
      <c r="L8" s="9">
        <f>SUMIFS(tblData[Amount],
                   tblData[Rpt Date],"="&amp;K8,
                   tblData[ScenarioGroup],"="&amp;J8,
                   tblData[PrentGroup],"="&amp;I8)</f>
        <v>4478613.9300000016</v>
      </c>
      <c r="M8" s="9">
        <f>SUMIFS(tblData[Amount],
                   tblData[Rpt Date],"="&amp;K8,
                   tblData[ScenarioGroup],"="&amp;J8,
                   tblData[PrentGroup],"="&amp;I8)</f>
        <v>4478613.9300000016</v>
      </c>
      <c r="O8" s="7" t="s">
        <v>43</v>
      </c>
      <c r="P8" s="7" t="str">
        <f t="shared" ref="P8:P58" si="9">$C$2</f>
        <v>Current</v>
      </c>
      <c r="Q8" s="8">
        <f t="shared" si="4"/>
        <v>42942</v>
      </c>
      <c r="R8" s="9">
        <f>SUMIFS(tblData[Amount],
                   tblData[Rpt Date],"="&amp;Q8,
                   tblData[ScenarioGroup],"="&amp;P8,
                   tblData[PrentGroup],"="&amp;O8)</f>
        <v>441502.3000000008</v>
      </c>
      <c r="S8" s="9">
        <f>SUMIFS(tblData[Amount],
                   tblData[Rpt Date],"="&amp;Q8,
                   tblData[ScenarioGroup],"="&amp;P8,
                   tblData[PrentGroup],"="&amp;O8)</f>
        <v>441502.3000000008</v>
      </c>
      <c r="U8" s="7" t="s">
        <v>69</v>
      </c>
      <c r="V8" s="7" t="str">
        <f t="shared" ref="V8:V58" si="10">$C$2</f>
        <v>Current</v>
      </c>
      <c r="W8" s="8">
        <f t="shared" si="5"/>
        <v>42942</v>
      </c>
      <c r="X8" s="9">
        <f>SUMIFS(tblData[Amount],
                   tblData[Rpt Date],"="&amp;W8,
                   tblData[ScenarioGroup],"="&amp;V8,
                   tblData[PrentGroup],"="&amp;U8)</f>
        <v>178879.93000000005</v>
      </c>
      <c r="Y8" s="9">
        <f>SUMIFS(tblData[Amount],
                   tblData[Rpt Date],"="&amp;W8,
                   tblData[ScenarioGroup],"="&amp;V8,
                   tblData[PrentGroup],"="&amp;U8)</f>
        <v>178879.93000000005</v>
      </c>
      <c r="AA8" s="7" t="s">
        <v>41</v>
      </c>
      <c r="AB8" s="7" t="str">
        <f t="shared" ref="AB8:AB58" si="11">$C$2</f>
        <v>Current</v>
      </c>
      <c r="AC8" s="8">
        <f t="shared" si="6"/>
        <v>42942</v>
      </c>
      <c r="AD8" s="9">
        <f>SUMIFS(tblData[Amount],
                   tblData[Rpt Date],"="&amp;AC8,
                   tblData[ScenarioGroup],"="&amp;AB8,
                   tblData[PrentGroup],"="&amp;AA8)</f>
        <v>21303.879999999994</v>
      </c>
      <c r="AE8" s="9">
        <f>SUMIFS(tblData[Amount],
                   tblData[Rpt Date],"="&amp;AC8,
                   tblData[ScenarioGroup],"="&amp;AB8,
                   tblData[PrentGroup],"="&amp;AA8)</f>
        <v>21303.879999999994</v>
      </c>
    </row>
    <row r="9" spans="2:31" x14ac:dyDescent="0.25">
      <c r="B9">
        <f t="shared" si="0"/>
        <v>3</v>
      </c>
      <c r="C9" s="7" t="s">
        <v>67</v>
      </c>
      <c r="D9" s="7" t="str">
        <f t="shared" si="7"/>
        <v>Current</v>
      </c>
      <c r="E9" s="8">
        <f t="shared" si="1"/>
        <v>42949</v>
      </c>
      <c r="F9" s="9">
        <f>SUMIFS(tblData[Amount],
                   tblData[Rpt Date],"="&amp;$E9,
                   tblData[ScenarioGroup],"="&amp;$D9)</f>
        <v>5188258.7300000545</v>
      </c>
      <c r="G9" s="9">
        <f t="shared" si="2"/>
        <v>5188258.7300000545</v>
      </c>
      <c r="I9" s="7" t="s">
        <v>42</v>
      </c>
      <c r="J9" s="7" t="str">
        <f t="shared" si="8"/>
        <v>Current</v>
      </c>
      <c r="K9" s="8">
        <f t="shared" si="3"/>
        <v>42949</v>
      </c>
      <c r="L9" s="9">
        <f>SUMIFS(tblData[Amount],
                   tblData[Rpt Date],"="&amp;K9,
                   tblData[ScenarioGroup],"="&amp;J9,
                   tblData[PrentGroup],"="&amp;I9)</f>
        <v>4571324.170000053</v>
      </c>
      <c r="M9" s="9">
        <f>SUMIFS(tblData[Amount],
                   tblData[Rpt Date],"="&amp;K9,
                   tblData[ScenarioGroup],"="&amp;J9,
                   tblData[PrentGroup],"="&amp;I9)</f>
        <v>4571324.170000053</v>
      </c>
      <c r="O9" s="7" t="s">
        <v>43</v>
      </c>
      <c r="P9" s="7" t="str">
        <f t="shared" si="9"/>
        <v>Current</v>
      </c>
      <c r="Q9" s="8">
        <f t="shared" si="4"/>
        <v>42949</v>
      </c>
      <c r="R9" s="9">
        <f>SUMIFS(tblData[Amount],
                   tblData[Rpt Date],"="&amp;Q9,
                   tblData[ScenarioGroup],"="&amp;P9,
                   tblData[PrentGroup],"="&amp;O9)</f>
        <v>406492.99000000075</v>
      </c>
      <c r="S9" s="9">
        <f>SUMIFS(tblData[Amount],
                   tblData[Rpt Date],"="&amp;Q9,
                   tblData[ScenarioGroup],"="&amp;P9,
                   tblData[PrentGroup],"="&amp;O9)</f>
        <v>406492.99000000075</v>
      </c>
      <c r="U9" s="7" t="s">
        <v>69</v>
      </c>
      <c r="V9" s="7" t="str">
        <f t="shared" si="10"/>
        <v>Current</v>
      </c>
      <c r="W9" s="8">
        <f t="shared" si="5"/>
        <v>42949</v>
      </c>
      <c r="X9" s="9">
        <f>SUMIFS(tblData[Amount],
                   tblData[Rpt Date],"="&amp;W9,
                   tblData[ScenarioGroup],"="&amp;V9,
                   tblData[PrentGroup],"="&amp;U9)</f>
        <v>185484.2399999999</v>
      </c>
      <c r="Y9" s="9">
        <f>SUMIFS(tblData[Amount],
                   tblData[Rpt Date],"="&amp;W9,
                   tblData[ScenarioGroup],"="&amp;V9,
                   tblData[PrentGroup],"="&amp;U9)</f>
        <v>185484.2399999999</v>
      </c>
      <c r="AA9" s="7" t="s">
        <v>41</v>
      </c>
      <c r="AB9" s="7" t="str">
        <f t="shared" si="11"/>
        <v>Current</v>
      </c>
      <c r="AC9" s="8">
        <f t="shared" si="6"/>
        <v>42949</v>
      </c>
      <c r="AD9" s="9">
        <f>SUMIFS(tblData[Amount],
                   tblData[Rpt Date],"="&amp;AC9,
                   tblData[ScenarioGroup],"="&amp;AB9,
                   tblData[PrentGroup],"="&amp;AA9)</f>
        <v>24957.329999999994</v>
      </c>
      <c r="AE9" s="9">
        <f>SUMIFS(tblData[Amount],
                   tblData[Rpt Date],"="&amp;AC9,
                   tblData[ScenarioGroup],"="&amp;AB9,
                   tblData[PrentGroup],"="&amp;AA9)</f>
        <v>24957.329999999994</v>
      </c>
    </row>
    <row r="10" spans="2:31" x14ac:dyDescent="0.25">
      <c r="B10">
        <f t="shared" si="0"/>
        <v>4</v>
      </c>
      <c r="C10" s="7" t="s">
        <v>67</v>
      </c>
      <c r="D10" s="7" t="str">
        <f t="shared" si="7"/>
        <v>Current</v>
      </c>
      <c r="E10" s="8">
        <f t="shared" si="1"/>
        <v>42956</v>
      </c>
      <c r="F10" s="9">
        <f>SUMIFS(tblData[Amount],
                   tblData[Rpt Date],"="&amp;$E10,
                   tblData[ScenarioGroup],"="&amp;$D10)</f>
        <v>5514055.3500000071</v>
      </c>
      <c r="G10" s="9">
        <f t="shared" si="2"/>
        <v>5514055.3500000071</v>
      </c>
      <c r="I10" s="7" t="s">
        <v>42</v>
      </c>
      <c r="J10" s="7" t="str">
        <f t="shared" si="8"/>
        <v>Current</v>
      </c>
      <c r="K10" s="8">
        <f t="shared" si="3"/>
        <v>42956</v>
      </c>
      <c r="L10" s="9">
        <f>SUMIFS(tblData[Amount],
                   tblData[Rpt Date],"="&amp;K10,
                   tblData[ScenarioGroup],"="&amp;J10,
                   tblData[PrentGroup],"="&amp;I10)</f>
        <v>4862104.560000007</v>
      </c>
      <c r="M10" s="9">
        <f>SUMIFS(tblData[Amount],
                   tblData[Rpt Date],"="&amp;K10,
                   tblData[ScenarioGroup],"="&amp;J10,
                   tblData[PrentGroup],"="&amp;I10)</f>
        <v>4862104.560000007</v>
      </c>
      <c r="O10" s="7" t="s">
        <v>43</v>
      </c>
      <c r="P10" s="7" t="str">
        <f t="shared" si="9"/>
        <v>Current</v>
      </c>
      <c r="Q10" s="8">
        <f t="shared" si="4"/>
        <v>42956</v>
      </c>
      <c r="R10" s="9">
        <f>SUMIFS(tblData[Amount],
                   tblData[Rpt Date],"="&amp;Q10,
                   tblData[ScenarioGroup],"="&amp;P10,
                   tblData[PrentGroup],"="&amp;O10)</f>
        <v>467747.89999999997</v>
      </c>
      <c r="S10" s="9">
        <f>SUMIFS(tblData[Amount],
                   tblData[Rpt Date],"="&amp;Q10,
                   tblData[ScenarioGroup],"="&amp;P10,
                   tblData[PrentGroup],"="&amp;O10)</f>
        <v>467747.89999999997</v>
      </c>
      <c r="U10" s="7" t="s">
        <v>69</v>
      </c>
      <c r="V10" s="7" t="str">
        <f t="shared" si="10"/>
        <v>Current</v>
      </c>
      <c r="W10" s="8">
        <f t="shared" si="5"/>
        <v>42956</v>
      </c>
      <c r="X10" s="9">
        <f>SUMIFS(tblData[Amount],
                   tblData[Rpt Date],"="&amp;W10,
                   tblData[ScenarioGroup],"="&amp;V10,
                   tblData[PrentGroup],"="&amp;U10)</f>
        <v>168804.21</v>
      </c>
      <c r="Y10" s="9">
        <f>SUMIFS(tblData[Amount],
                   tblData[Rpt Date],"="&amp;W10,
                   tblData[ScenarioGroup],"="&amp;V10,
                   tblData[PrentGroup],"="&amp;U10)</f>
        <v>168804.21</v>
      </c>
      <c r="AA10" s="7" t="s">
        <v>41</v>
      </c>
      <c r="AB10" s="7" t="str">
        <f t="shared" si="11"/>
        <v>Current</v>
      </c>
      <c r="AC10" s="8">
        <f t="shared" si="6"/>
        <v>42956</v>
      </c>
      <c r="AD10" s="9">
        <f>SUMIFS(tblData[Amount],
                   tblData[Rpt Date],"="&amp;AC10,
                   tblData[ScenarioGroup],"="&amp;AB10,
                   tblData[PrentGroup],"="&amp;AA10)</f>
        <v>15398.680000000002</v>
      </c>
      <c r="AE10" s="9">
        <f>SUMIFS(tblData[Amount],
                   tblData[Rpt Date],"="&amp;AC10,
                   tblData[ScenarioGroup],"="&amp;AB10,
                   tblData[PrentGroup],"="&amp;AA10)</f>
        <v>15398.680000000002</v>
      </c>
    </row>
    <row r="11" spans="2:31" x14ac:dyDescent="0.25">
      <c r="B11">
        <f t="shared" si="0"/>
        <v>5</v>
      </c>
      <c r="C11" s="7" t="s">
        <v>67</v>
      </c>
      <c r="D11" s="7" t="str">
        <f t="shared" si="7"/>
        <v>Current</v>
      </c>
      <c r="E11" s="8">
        <f t="shared" si="1"/>
        <v>42963</v>
      </c>
      <c r="F11" s="9">
        <f>SUMIFS(tblData[Amount],
                   tblData[Rpt Date],"="&amp;$E11,
                   tblData[ScenarioGroup],"="&amp;$D11)</f>
        <v>4996687.1399999587</v>
      </c>
      <c r="G11" s="9">
        <f t="shared" si="2"/>
        <v>4996687.1399999587</v>
      </c>
      <c r="I11" s="7" t="s">
        <v>42</v>
      </c>
      <c r="J11" s="7" t="str">
        <f t="shared" si="8"/>
        <v>Current</v>
      </c>
      <c r="K11" s="8">
        <f t="shared" si="3"/>
        <v>42963</v>
      </c>
      <c r="L11" s="9">
        <f>SUMIFS(tblData[Amount],
                   tblData[Rpt Date],"="&amp;K11,
                   tblData[ScenarioGroup],"="&amp;J11,
                   tblData[PrentGroup],"="&amp;I11)</f>
        <v>4435995.1599999582</v>
      </c>
      <c r="M11" s="9">
        <f>SUMIFS(tblData[Amount],
                   tblData[Rpt Date],"="&amp;K11,
                   tblData[ScenarioGroup],"="&amp;J11,
                   tblData[PrentGroup],"="&amp;I11)</f>
        <v>4435995.1599999582</v>
      </c>
      <c r="O11" s="7" t="s">
        <v>43</v>
      </c>
      <c r="P11" s="7" t="str">
        <f t="shared" si="9"/>
        <v>Current</v>
      </c>
      <c r="Q11" s="8">
        <f t="shared" si="4"/>
        <v>42963</v>
      </c>
      <c r="R11" s="9">
        <f>SUMIFS(tblData[Amount],
                   tblData[Rpt Date],"="&amp;Q11,
                   tblData[ScenarioGroup],"="&amp;P11,
                   tblData[PrentGroup],"="&amp;O11)</f>
        <v>369659.77000000008</v>
      </c>
      <c r="S11" s="9">
        <f>SUMIFS(tblData[Amount],
                   tblData[Rpt Date],"="&amp;Q11,
                   tblData[ScenarioGroup],"="&amp;P11,
                   tblData[PrentGroup],"="&amp;O11)</f>
        <v>369659.77000000008</v>
      </c>
      <c r="U11" s="7" t="s">
        <v>69</v>
      </c>
      <c r="V11" s="7" t="str">
        <f t="shared" si="10"/>
        <v>Current</v>
      </c>
      <c r="W11" s="8">
        <f t="shared" si="5"/>
        <v>42963</v>
      </c>
      <c r="X11" s="9">
        <f>SUMIFS(tblData[Amount],
                   tblData[Rpt Date],"="&amp;W11,
                   tblData[ScenarioGroup],"="&amp;V11,
                   tblData[PrentGroup],"="&amp;U11)</f>
        <v>165814.75000000006</v>
      </c>
      <c r="Y11" s="9">
        <f>SUMIFS(tblData[Amount],
                   tblData[Rpt Date],"="&amp;W11,
                   tblData[ScenarioGroup],"="&amp;V11,
                   tblData[PrentGroup],"="&amp;U11)</f>
        <v>165814.75000000006</v>
      </c>
      <c r="AA11" s="7" t="s">
        <v>41</v>
      </c>
      <c r="AB11" s="7" t="str">
        <f t="shared" si="11"/>
        <v>Current</v>
      </c>
      <c r="AC11" s="8">
        <f t="shared" si="6"/>
        <v>42963</v>
      </c>
      <c r="AD11" s="9">
        <f>SUMIFS(tblData[Amount],
                   tblData[Rpt Date],"="&amp;AC11,
                   tblData[ScenarioGroup],"="&amp;AB11,
                   tblData[PrentGroup],"="&amp;AA11)</f>
        <v>25217.46</v>
      </c>
      <c r="AE11" s="9">
        <f>SUMIFS(tblData[Amount],
                   tblData[Rpt Date],"="&amp;AC11,
                   tblData[ScenarioGroup],"="&amp;AB11,
                   tblData[PrentGroup],"="&amp;AA11)</f>
        <v>25217.46</v>
      </c>
    </row>
    <row r="12" spans="2:31" x14ac:dyDescent="0.25">
      <c r="B12">
        <f t="shared" si="0"/>
        <v>6</v>
      </c>
      <c r="C12" s="7" t="s">
        <v>67</v>
      </c>
      <c r="D12" s="7" t="str">
        <f t="shared" si="7"/>
        <v>Current</v>
      </c>
      <c r="E12" s="8">
        <f t="shared" si="1"/>
        <v>42970</v>
      </c>
      <c r="F12" s="9">
        <f>SUMIFS(tblData[Amount],
                   tblData[Rpt Date],"="&amp;$E12,
                   tblData[ScenarioGroup],"="&amp;$D12)</f>
        <v>5890070.7599998917</v>
      </c>
      <c r="G12" s="9">
        <f t="shared" si="2"/>
        <v>5890070.7599998917</v>
      </c>
      <c r="I12" s="7" t="s">
        <v>42</v>
      </c>
      <c r="J12" s="7" t="str">
        <f t="shared" si="8"/>
        <v>Current</v>
      </c>
      <c r="K12" s="8">
        <f t="shared" si="3"/>
        <v>42970</v>
      </c>
      <c r="L12" s="9">
        <f>SUMIFS(tblData[Amount],
                   tblData[Rpt Date],"="&amp;K12,
                   tblData[ScenarioGroup],"="&amp;J12,
                   tblData[PrentGroup],"="&amp;I12)</f>
        <v>5198229.4199998919</v>
      </c>
      <c r="M12" s="9">
        <f>SUMIFS(tblData[Amount],
                   tblData[Rpt Date],"="&amp;K12,
                   tblData[ScenarioGroup],"="&amp;J12,
                   tblData[PrentGroup],"="&amp;I12)</f>
        <v>5198229.4199998919</v>
      </c>
      <c r="O12" s="7" t="s">
        <v>43</v>
      </c>
      <c r="P12" s="7" t="str">
        <f t="shared" si="9"/>
        <v>Current</v>
      </c>
      <c r="Q12" s="8">
        <f t="shared" si="4"/>
        <v>42970</v>
      </c>
      <c r="R12" s="9">
        <f>SUMIFS(tblData[Amount],
                   tblData[Rpt Date],"="&amp;Q12,
                   tblData[ScenarioGroup],"="&amp;P12,
                   tblData[PrentGroup],"="&amp;O12)</f>
        <v>522097.4200000001</v>
      </c>
      <c r="S12" s="9">
        <f>SUMIFS(tblData[Amount],
                   tblData[Rpt Date],"="&amp;Q12,
                   tblData[ScenarioGroup],"="&amp;P12,
                   tblData[PrentGroup],"="&amp;O12)</f>
        <v>522097.4200000001</v>
      </c>
      <c r="U12" s="7" t="s">
        <v>69</v>
      </c>
      <c r="V12" s="7" t="str">
        <f t="shared" si="10"/>
        <v>Current</v>
      </c>
      <c r="W12" s="8">
        <f t="shared" si="5"/>
        <v>42970</v>
      </c>
      <c r="X12" s="9">
        <f>SUMIFS(tblData[Amount],
                   tblData[Rpt Date],"="&amp;W12,
                   tblData[ScenarioGroup],"="&amp;V12,
                   tblData[PrentGroup],"="&amp;U12)</f>
        <v>140370.2699999999</v>
      </c>
      <c r="Y12" s="9">
        <f>SUMIFS(tblData[Amount],
                   tblData[Rpt Date],"="&amp;W12,
                   tblData[ScenarioGroup],"="&amp;V12,
                   tblData[PrentGroup],"="&amp;U12)</f>
        <v>140370.2699999999</v>
      </c>
      <c r="AA12" s="7" t="s">
        <v>41</v>
      </c>
      <c r="AB12" s="7" t="str">
        <f t="shared" si="11"/>
        <v>Current</v>
      </c>
      <c r="AC12" s="8">
        <f t="shared" si="6"/>
        <v>42970</v>
      </c>
      <c r="AD12" s="9">
        <f>SUMIFS(tblData[Amount],
                   tblData[Rpt Date],"="&amp;AC12,
                   tblData[ScenarioGroup],"="&amp;AB12,
                   tblData[PrentGroup],"="&amp;AA12)</f>
        <v>29373.649999999994</v>
      </c>
      <c r="AE12" s="9">
        <f>SUMIFS(tblData[Amount],
                   tblData[Rpt Date],"="&amp;AC12,
                   tblData[ScenarioGroup],"="&amp;AB12,
                   tblData[PrentGroup],"="&amp;AA12)</f>
        <v>29373.649999999994</v>
      </c>
    </row>
    <row r="13" spans="2:31" x14ac:dyDescent="0.25">
      <c r="B13">
        <f t="shared" si="0"/>
        <v>7</v>
      </c>
      <c r="C13" s="7" t="s">
        <v>67</v>
      </c>
      <c r="D13" s="7" t="str">
        <f t="shared" si="7"/>
        <v>Current</v>
      </c>
      <c r="E13" s="8">
        <f t="shared" si="1"/>
        <v>42977</v>
      </c>
      <c r="F13" s="9">
        <f>SUMIFS(tblData[Amount],
                   tblData[Rpt Date],"="&amp;$E13,
                   tblData[ScenarioGroup],"="&amp;$D13)</f>
        <v>5848240.7999998834</v>
      </c>
      <c r="G13" s="9">
        <f t="shared" si="2"/>
        <v>5848240.7999998834</v>
      </c>
      <c r="I13" s="7" t="s">
        <v>42</v>
      </c>
      <c r="J13" s="7" t="str">
        <f t="shared" si="8"/>
        <v>Current</v>
      </c>
      <c r="K13" s="8">
        <f t="shared" si="3"/>
        <v>42977</v>
      </c>
      <c r="L13" s="9">
        <f>SUMIFS(tblData[Amount],
                   tblData[Rpt Date],"="&amp;K13,
                   tblData[ScenarioGroup],"="&amp;J13,
                   tblData[PrentGroup],"="&amp;I13)</f>
        <v>5210743.3599998839</v>
      </c>
      <c r="M13" s="9">
        <f>SUMIFS(tblData[Amount],
                   tblData[Rpt Date],"="&amp;K13,
                   tblData[ScenarioGroup],"="&amp;J13,
                   tblData[PrentGroup],"="&amp;I13)</f>
        <v>5210743.3599998839</v>
      </c>
      <c r="O13" s="7" t="s">
        <v>43</v>
      </c>
      <c r="P13" s="7" t="str">
        <f t="shared" si="9"/>
        <v>Current</v>
      </c>
      <c r="Q13" s="8">
        <f t="shared" si="4"/>
        <v>42977</v>
      </c>
      <c r="R13" s="9">
        <f>SUMIFS(tblData[Amount],
                   tblData[Rpt Date],"="&amp;Q13,
                   tblData[ScenarioGroup],"="&amp;P13,
                   tblData[PrentGroup],"="&amp;O13)</f>
        <v>475852.73000000039</v>
      </c>
      <c r="S13" s="9">
        <f>SUMIFS(tblData[Amount],
                   tblData[Rpt Date],"="&amp;Q13,
                   tblData[ScenarioGroup],"="&amp;P13,
                   tblData[PrentGroup],"="&amp;O13)</f>
        <v>475852.73000000039</v>
      </c>
      <c r="U13" s="7" t="s">
        <v>69</v>
      </c>
      <c r="V13" s="7" t="str">
        <f t="shared" si="10"/>
        <v>Current</v>
      </c>
      <c r="W13" s="8">
        <f t="shared" si="5"/>
        <v>42977</v>
      </c>
      <c r="X13" s="9">
        <f>SUMIFS(tblData[Amount],
                   tblData[Rpt Date],"="&amp;W13,
                   tblData[ScenarioGroup],"="&amp;V13,
                   tblData[PrentGroup],"="&amp;U13)</f>
        <v>136974.86999999985</v>
      </c>
      <c r="Y13" s="9">
        <f>SUMIFS(tblData[Amount],
                   tblData[Rpt Date],"="&amp;W13,
                   tblData[ScenarioGroup],"="&amp;V13,
                   tblData[PrentGroup],"="&amp;U13)</f>
        <v>136974.86999999985</v>
      </c>
      <c r="AA13" s="7" t="s">
        <v>41</v>
      </c>
      <c r="AB13" s="7" t="str">
        <f t="shared" si="11"/>
        <v>Current</v>
      </c>
      <c r="AC13" s="8">
        <f t="shared" si="6"/>
        <v>42977</v>
      </c>
      <c r="AD13" s="9">
        <f>SUMIFS(tblData[Amount],
                   tblData[Rpt Date],"="&amp;AC13,
                   tblData[ScenarioGroup],"="&amp;AB13,
                   tblData[PrentGroup],"="&amp;AA13)</f>
        <v>24669.84</v>
      </c>
      <c r="AE13" s="9">
        <f>SUMIFS(tblData[Amount],
                   tblData[Rpt Date],"="&amp;AC13,
                   tblData[ScenarioGroup],"="&amp;AB13,
                   tblData[PrentGroup],"="&amp;AA13)</f>
        <v>24669.84</v>
      </c>
    </row>
    <row r="14" spans="2:31" x14ac:dyDescent="0.25">
      <c r="B14">
        <f t="shared" si="0"/>
        <v>8</v>
      </c>
      <c r="C14" s="7" t="s">
        <v>67</v>
      </c>
      <c r="D14" s="7" t="str">
        <f t="shared" si="7"/>
        <v>Current</v>
      </c>
      <c r="E14" s="8">
        <f t="shared" si="1"/>
        <v>42984</v>
      </c>
      <c r="F14" s="9">
        <f>SUMIFS(tblData[Amount],
                   tblData[Rpt Date],"="&amp;$E14,
                   tblData[ScenarioGroup],"="&amp;$D14)</f>
        <v>5850269.2299998812</v>
      </c>
      <c r="G14" s="9">
        <f t="shared" si="2"/>
        <v>5850269.2299998812</v>
      </c>
      <c r="I14" s="7" t="s">
        <v>42</v>
      </c>
      <c r="J14" s="7" t="str">
        <f t="shared" si="8"/>
        <v>Current</v>
      </c>
      <c r="K14" s="8">
        <f t="shared" si="3"/>
        <v>42984</v>
      </c>
      <c r="L14" s="9">
        <f>SUMIFS(tblData[Amount],
                   tblData[Rpt Date],"="&amp;K14,
                   tblData[ScenarioGroup],"="&amp;J14,
                   tblData[PrentGroup],"="&amp;I14)</f>
        <v>5260538.7999998825</v>
      </c>
      <c r="M14" s="9">
        <f>SUMIFS(tblData[Amount],
                   tblData[Rpt Date],"="&amp;K14,
                   tblData[ScenarioGroup],"="&amp;J14,
                   tblData[PrentGroup],"="&amp;I14)</f>
        <v>5260538.7999998825</v>
      </c>
      <c r="O14" s="7" t="s">
        <v>43</v>
      </c>
      <c r="P14" s="7" t="str">
        <f t="shared" si="9"/>
        <v>Current</v>
      </c>
      <c r="Q14" s="8">
        <f t="shared" si="4"/>
        <v>42984</v>
      </c>
      <c r="R14" s="9">
        <f>SUMIFS(tblData[Amount],
                   tblData[Rpt Date],"="&amp;Q14,
                   tblData[ScenarioGroup],"="&amp;P14,
                   tblData[PrentGroup],"="&amp;O14)</f>
        <v>481996.21000000014</v>
      </c>
      <c r="S14" s="9">
        <f>SUMIFS(tblData[Amount],
                   tblData[Rpt Date],"="&amp;Q14,
                   tblData[ScenarioGroup],"="&amp;P14,
                   tblData[PrentGroup],"="&amp;O14)</f>
        <v>481996.21000000014</v>
      </c>
      <c r="U14" s="7" t="s">
        <v>69</v>
      </c>
      <c r="V14" s="7" t="str">
        <f t="shared" si="10"/>
        <v>Current</v>
      </c>
      <c r="W14" s="8">
        <f t="shared" si="5"/>
        <v>42984</v>
      </c>
      <c r="X14" s="9">
        <f>SUMIFS(tblData[Amount],
                   tblData[Rpt Date],"="&amp;W14,
                   tblData[ScenarioGroup],"="&amp;V14,
                   tblData[PrentGroup],"="&amp;U14)</f>
        <v>88688.109999999971</v>
      </c>
      <c r="Y14" s="9">
        <f>SUMIFS(tblData[Amount],
                   tblData[Rpt Date],"="&amp;W14,
                   tblData[ScenarioGroup],"="&amp;V14,
                   tblData[PrentGroup],"="&amp;U14)</f>
        <v>88688.109999999971</v>
      </c>
      <c r="AA14" s="7" t="s">
        <v>41</v>
      </c>
      <c r="AB14" s="7" t="str">
        <f t="shared" si="11"/>
        <v>Current</v>
      </c>
      <c r="AC14" s="8">
        <f t="shared" si="6"/>
        <v>42984</v>
      </c>
      <c r="AD14" s="9">
        <f>SUMIFS(tblData[Amount],
                   tblData[Rpt Date],"="&amp;AC14,
                   tblData[ScenarioGroup],"="&amp;AB14,
                   tblData[PrentGroup],"="&amp;AA14)</f>
        <v>19046.109999999997</v>
      </c>
      <c r="AE14" s="9">
        <f>SUMIFS(tblData[Amount],
                   tblData[Rpt Date],"="&amp;AC14,
                   tblData[ScenarioGroup],"="&amp;AB14,
                   tblData[PrentGroup],"="&amp;AA14)</f>
        <v>19046.109999999997</v>
      </c>
    </row>
    <row r="15" spans="2:31" x14ac:dyDescent="0.25">
      <c r="B15">
        <f t="shared" si="0"/>
        <v>9</v>
      </c>
      <c r="C15" s="7" t="s">
        <v>67</v>
      </c>
      <c r="D15" s="7" t="str">
        <f t="shared" si="7"/>
        <v>Current</v>
      </c>
      <c r="E15" s="8">
        <f t="shared" si="1"/>
        <v>42991</v>
      </c>
      <c r="F15" s="9">
        <f>SUMIFS(tblData[Amount],
                   tblData[Rpt Date],"="&amp;$E15,
                   tblData[ScenarioGroup],"="&amp;$D15)</f>
        <v>7789244.1999996947</v>
      </c>
      <c r="G15" s="9">
        <f t="shared" si="2"/>
        <v>7789244.1999996947</v>
      </c>
      <c r="I15" s="7" t="s">
        <v>42</v>
      </c>
      <c r="J15" s="7" t="str">
        <f t="shared" si="8"/>
        <v>Current</v>
      </c>
      <c r="K15" s="8">
        <f t="shared" si="3"/>
        <v>42991</v>
      </c>
      <c r="L15" s="9">
        <f>SUMIFS(tblData[Amount],
                   tblData[Rpt Date],"="&amp;K15,
                   tblData[ScenarioGroup],"="&amp;J15,
                   tblData[PrentGroup],"="&amp;I15)</f>
        <v>6801093.1499996949</v>
      </c>
      <c r="M15" s="9">
        <f>SUMIFS(tblData[Amount],
                   tblData[Rpt Date],"="&amp;K15,
                   tblData[ScenarioGroup],"="&amp;J15,
                   tblData[PrentGroup],"="&amp;I15)</f>
        <v>6801093.1499996949</v>
      </c>
      <c r="O15" s="7" t="s">
        <v>43</v>
      </c>
      <c r="P15" s="7" t="str">
        <f t="shared" si="9"/>
        <v>Current</v>
      </c>
      <c r="Q15" s="8">
        <f t="shared" si="4"/>
        <v>42991</v>
      </c>
      <c r="R15" s="9">
        <f>SUMIFS(tblData[Amount],
                   tblData[Rpt Date],"="&amp;Q15,
                   tblData[ScenarioGroup],"="&amp;P15,
                   tblData[PrentGroup],"="&amp;O15)</f>
        <v>853437.33999999973</v>
      </c>
      <c r="S15" s="9">
        <f>SUMIFS(tblData[Amount],
                   tblData[Rpt Date],"="&amp;Q15,
                   tblData[ScenarioGroup],"="&amp;P15,
                   tblData[PrentGroup],"="&amp;O15)</f>
        <v>853437.33999999973</v>
      </c>
      <c r="U15" s="7" t="s">
        <v>69</v>
      </c>
      <c r="V15" s="7" t="str">
        <f t="shared" si="10"/>
        <v>Current</v>
      </c>
      <c r="W15" s="8">
        <f t="shared" si="5"/>
        <v>42991</v>
      </c>
      <c r="X15" s="9">
        <f>SUMIFS(tblData[Amount],
                   tblData[Rpt Date],"="&amp;W15,
                   tblData[ScenarioGroup],"="&amp;V15,
                   tblData[PrentGroup],"="&amp;U15)</f>
        <v>116343.21000000002</v>
      </c>
      <c r="Y15" s="9">
        <f>SUMIFS(tblData[Amount],
                   tblData[Rpt Date],"="&amp;W15,
                   tblData[ScenarioGroup],"="&amp;V15,
                   tblData[PrentGroup],"="&amp;U15)</f>
        <v>116343.21000000002</v>
      </c>
      <c r="AA15" s="7" t="s">
        <v>41</v>
      </c>
      <c r="AB15" s="7" t="str">
        <f t="shared" si="11"/>
        <v>Current</v>
      </c>
      <c r="AC15" s="8">
        <f t="shared" si="6"/>
        <v>42991</v>
      </c>
      <c r="AD15" s="9">
        <f>SUMIFS(tblData[Amount],
                   tblData[Rpt Date],"="&amp;AC15,
                   tblData[ScenarioGroup],"="&amp;AB15,
                   tblData[PrentGroup],"="&amp;AA15)</f>
        <v>18370.5</v>
      </c>
      <c r="AE15" s="9">
        <f>SUMIFS(tblData[Amount],
                   tblData[Rpt Date],"="&amp;AC15,
                   tblData[ScenarioGroup],"="&amp;AB15,
                   tblData[PrentGroup],"="&amp;AA15)</f>
        <v>18370.5</v>
      </c>
    </row>
    <row r="16" spans="2:31" x14ac:dyDescent="0.25">
      <c r="B16">
        <f t="shared" si="0"/>
        <v>10</v>
      </c>
      <c r="C16" s="7" t="s">
        <v>67</v>
      </c>
      <c r="D16" s="7" t="str">
        <f t="shared" si="7"/>
        <v>Current</v>
      </c>
      <c r="E16" s="8">
        <f t="shared" si="1"/>
        <v>42998</v>
      </c>
      <c r="F16" s="9">
        <f>SUMIFS(tblData[Amount],
                   tblData[Rpt Date],"="&amp;$E16,
                   tblData[ScenarioGroup],"="&amp;$D16)</f>
        <v>7522962.2399996677</v>
      </c>
      <c r="G16" s="9">
        <f t="shared" si="2"/>
        <v>7522962.2399996677</v>
      </c>
      <c r="I16" s="7" t="s">
        <v>42</v>
      </c>
      <c r="J16" s="7" t="str">
        <f t="shared" si="8"/>
        <v>Current</v>
      </c>
      <c r="K16" s="8">
        <f t="shared" si="3"/>
        <v>42998</v>
      </c>
      <c r="L16" s="9">
        <f>SUMIFS(tblData[Amount],
                   tblData[Rpt Date],"="&amp;K16,
                   tblData[ScenarioGroup],"="&amp;J16,
                   tblData[PrentGroup],"="&amp;I16)</f>
        <v>6461197.1699996684</v>
      </c>
      <c r="M16" s="9">
        <f>SUMIFS(tblData[Amount],
                   tblData[Rpt Date],"="&amp;K16,
                   tblData[ScenarioGroup],"="&amp;J16,
                   tblData[PrentGroup],"="&amp;I16)</f>
        <v>6461197.1699996684</v>
      </c>
      <c r="O16" s="7" t="s">
        <v>43</v>
      </c>
      <c r="P16" s="7" t="str">
        <f t="shared" si="9"/>
        <v>Current</v>
      </c>
      <c r="Q16" s="8">
        <f t="shared" si="4"/>
        <v>42998</v>
      </c>
      <c r="R16" s="9">
        <f>SUMIFS(tblData[Amount],
                   tblData[Rpt Date],"="&amp;Q16,
                   tblData[ScenarioGroup],"="&amp;P16,
                   tblData[PrentGroup],"="&amp;O16)</f>
        <v>932463.4800000001</v>
      </c>
      <c r="S16" s="9">
        <f>SUMIFS(tblData[Amount],
                   tblData[Rpt Date],"="&amp;Q16,
                   tblData[ScenarioGroup],"="&amp;P16,
                   tblData[PrentGroup],"="&amp;O16)</f>
        <v>932463.4800000001</v>
      </c>
      <c r="U16" s="7" t="s">
        <v>69</v>
      </c>
      <c r="V16" s="7" t="str">
        <f t="shared" si="10"/>
        <v>Current</v>
      </c>
      <c r="W16" s="8">
        <f t="shared" si="5"/>
        <v>42998</v>
      </c>
      <c r="X16" s="9">
        <f>SUMIFS(tblData[Amount],
                   tblData[Rpt Date],"="&amp;W16,
                   tblData[ScenarioGroup],"="&amp;V16,
                   tblData[PrentGroup],"="&amp;U16)</f>
        <v>106814.84999999998</v>
      </c>
      <c r="Y16" s="9">
        <f>SUMIFS(tblData[Amount],
                   tblData[Rpt Date],"="&amp;W16,
                   tblData[ScenarioGroup],"="&amp;V16,
                   tblData[PrentGroup],"="&amp;U16)</f>
        <v>106814.84999999998</v>
      </c>
      <c r="AA16" s="7" t="s">
        <v>41</v>
      </c>
      <c r="AB16" s="7" t="str">
        <f t="shared" si="11"/>
        <v>Current</v>
      </c>
      <c r="AC16" s="8">
        <f t="shared" si="6"/>
        <v>42998</v>
      </c>
      <c r="AD16" s="9">
        <f>SUMIFS(tblData[Amount],
                   tblData[Rpt Date],"="&amp;AC16,
                   tblData[ScenarioGroup],"="&amp;AB16,
                   tblData[PrentGroup],"="&amp;AA16)</f>
        <v>22486.739999999998</v>
      </c>
      <c r="AE16" s="9">
        <f>SUMIFS(tblData[Amount],
                   tblData[Rpt Date],"="&amp;AC16,
                   tblData[ScenarioGroup],"="&amp;AB16,
                   tblData[PrentGroup],"="&amp;AA16)</f>
        <v>22486.739999999998</v>
      </c>
    </row>
    <row r="17" spans="2:31" x14ac:dyDescent="0.25">
      <c r="B17">
        <f t="shared" si="0"/>
        <v>11</v>
      </c>
      <c r="C17" s="7" t="s">
        <v>67</v>
      </c>
      <c r="D17" s="7" t="str">
        <f t="shared" si="7"/>
        <v>Current</v>
      </c>
      <c r="E17" s="8">
        <f t="shared" si="1"/>
        <v>43005</v>
      </c>
      <c r="F17" s="9">
        <f>SUMIFS(tblData[Amount],
                   tblData[Rpt Date],"="&amp;$E17,
                   tblData[ScenarioGroup],"="&amp;$D17)</f>
        <v>7202899.7599997874</v>
      </c>
      <c r="G17" s="9">
        <f t="shared" si="2"/>
        <v>7202899.7599997874</v>
      </c>
      <c r="I17" s="7" t="s">
        <v>42</v>
      </c>
      <c r="J17" s="7" t="str">
        <f t="shared" si="8"/>
        <v>Current</v>
      </c>
      <c r="K17" s="8">
        <f t="shared" si="3"/>
        <v>43005</v>
      </c>
      <c r="L17" s="9">
        <f>SUMIFS(tblData[Amount],
                   tblData[Rpt Date],"="&amp;K17,
                   tblData[ScenarioGroup],"="&amp;J17,
                   tblData[PrentGroup],"="&amp;I17)</f>
        <v>6236534.199999786</v>
      </c>
      <c r="M17" s="9">
        <f>SUMIFS(tblData[Amount],
                   tblData[Rpt Date],"="&amp;K17,
                   tblData[ScenarioGroup],"="&amp;J17,
                   tblData[PrentGroup],"="&amp;I17)</f>
        <v>6236534.199999786</v>
      </c>
      <c r="O17" s="7" t="s">
        <v>43</v>
      </c>
      <c r="P17" s="7" t="str">
        <f t="shared" si="9"/>
        <v>Current</v>
      </c>
      <c r="Q17" s="8">
        <f t="shared" si="4"/>
        <v>43005</v>
      </c>
      <c r="R17" s="9">
        <f>SUMIFS(tblData[Amount],
                   tblData[Rpt Date],"="&amp;Q17,
                   tblData[ScenarioGroup],"="&amp;P17,
                   tblData[PrentGroup],"="&amp;O17)</f>
        <v>836935.64000000025</v>
      </c>
      <c r="S17" s="9">
        <f>SUMIFS(tblData[Amount],
                   tblData[Rpt Date],"="&amp;Q17,
                   tblData[ScenarioGroup],"="&amp;P17,
                   tblData[PrentGroup],"="&amp;O17)</f>
        <v>836935.64000000025</v>
      </c>
      <c r="U17" s="7" t="s">
        <v>69</v>
      </c>
      <c r="V17" s="7" t="str">
        <f t="shared" si="10"/>
        <v>Current</v>
      </c>
      <c r="W17" s="8">
        <f t="shared" si="5"/>
        <v>43005</v>
      </c>
      <c r="X17" s="9">
        <f>SUMIFS(tblData[Amount],
                   tblData[Rpt Date],"="&amp;W17,
                   tblData[ScenarioGroup],"="&amp;V17,
                   tblData[PrentGroup],"="&amp;U17)</f>
        <v>106588.46999999991</v>
      </c>
      <c r="Y17" s="9">
        <f>SUMIFS(tblData[Amount],
                   tblData[Rpt Date],"="&amp;W17,
                   tblData[ScenarioGroup],"="&amp;V17,
                   tblData[PrentGroup],"="&amp;U17)</f>
        <v>106588.46999999991</v>
      </c>
      <c r="AA17" s="7" t="s">
        <v>41</v>
      </c>
      <c r="AB17" s="7" t="str">
        <f t="shared" si="11"/>
        <v>Current</v>
      </c>
      <c r="AC17" s="8">
        <f t="shared" si="6"/>
        <v>43005</v>
      </c>
      <c r="AD17" s="9">
        <f>SUMIFS(tblData[Amount],
                   tblData[Rpt Date],"="&amp;AC17,
                   tblData[ScenarioGroup],"="&amp;AB17,
                   tblData[PrentGroup],"="&amp;AA17)</f>
        <v>22841.449999999997</v>
      </c>
      <c r="AE17" s="9">
        <f>SUMIFS(tblData[Amount],
                   tblData[Rpt Date],"="&amp;AC17,
                   tblData[ScenarioGroup],"="&amp;AB17,
                   tblData[PrentGroup],"="&amp;AA17)</f>
        <v>22841.449999999997</v>
      </c>
    </row>
    <row r="18" spans="2:31" x14ac:dyDescent="0.25">
      <c r="B18">
        <f t="shared" si="0"/>
        <v>12</v>
      </c>
      <c r="C18" s="7" t="s">
        <v>67</v>
      </c>
      <c r="D18" s="7" t="str">
        <f t="shared" si="7"/>
        <v>Current</v>
      </c>
      <c r="E18" s="8">
        <f t="shared" si="1"/>
        <v>43012</v>
      </c>
      <c r="F18" s="9">
        <f>SUMIFS(tblData[Amount],
                   tblData[Rpt Date],"="&amp;$E18,
                   tblData[ScenarioGroup],"="&amp;$D18)</f>
        <v>7631097.3399996907</v>
      </c>
      <c r="G18" s="9">
        <f t="shared" si="2"/>
        <v>7631097.3399996907</v>
      </c>
      <c r="I18" s="7" t="s">
        <v>42</v>
      </c>
      <c r="J18" s="7" t="str">
        <f t="shared" si="8"/>
        <v>Current</v>
      </c>
      <c r="K18" s="8">
        <f t="shared" si="3"/>
        <v>43012</v>
      </c>
      <c r="L18" s="9">
        <f>SUMIFS(tblData[Amount],
                   tblData[Rpt Date],"="&amp;K18,
                   tblData[ScenarioGroup],"="&amp;J18,
                   tblData[PrentGroup],"="&amp;I18)</f>
        <v>6654651.9699996905</v>
      </c>
      <c r="M18" s="9">
        <f>SUMIFS(tblData[Amount],
                   tblData[Rpt Date],"="&amp;K18,
                   tblData[ScenarioGroup],"="&amp;J18,
                   tblData[PrentGroup],"="&amp;I18)</f>
        <v>6654651.9699996905</v>
      </c>
      <c r="O18" s="7" t="s">
        <v>43</v>
      </c>
      <c r="P18" s="7" t="str">
        <f t="shared" si="9"/>
        <v>Current</v>
      </c>
      <c r="Q18" s="8">
        <f t="shared" si="4"/>
        <v>43012</v>
      </c>
      <c r="R18" s="9">
        <f>SUMIFS(tblData[Amount],
                   tblData[Rpt Date],"="&amp;Q18,
                   tblData[ScenarioGroup],"="&amp;P18,
                   tblData[PrentGroup],"="&amp;O18)</f>
        <v>856927.05999999994</v>
      </c>
      <c r="S18" s="9">
        <f>SUMIFS(tblData[Amount],
                   tblData[Rpt Date],"="&amp;Q18,
                   tblData[ScenarioGroup],"="&amp;P18,
                   tblData[PrentGroup],"="&amp;O18)</f>
        <v>856927.05999999994</v>
      </c>
      <c r="U18" s="7" t="s">
        <v>69</v>
      </c>
      <c r="V18" s="7" t="str">
        <f t="shared" si="10"/>
        <v>Current</v>
      </c>
      <c r="W18" s="8">
        <f t="shared" si="5"/>
        <v>43012</v>
      </c>
      <c r="X18" s="9">
        <f>SUMIFS(tblData[Amount],
                   tblData[Rpt Date],"="&amp;W18,
                   tblData[ScenarioGroup],"="&amp;V18,
                   tblData[PrentGroup],"="&amp;U18)</f>
        <v>97647.41999999994</v>
      </c>
      <c r="Y18" s="9">
        <f>SUMIFS(tblData[Amount],
                   tblData[Rpt Date],"="&amp;W18,
                   tblData[ScenarioGroup],"="&amp;V18,
                   tblData[PrentGroup],"="&amp;U18)</f>
        <v>97647.41999999994</v>
      </c>
      <c r="AA18" s="7" t="s">
        <v>41</v>
      </c>
      <c r="AB18" s="7" t="str">
        <f t="shared" si="11"/>
        <v>Current</v>
      </c>
      <c r="AC18" s="8">
        <f t="shared" si="6"/>
        <v>43012</v>
      </c>
      <c r="AD18" s="9">
        <f>SUMIFS(tblData[Amount],
                   tblData[Rpt Date],"="&amp;AC18,
                   tblData[ScenarioGroup],"="&amp;AB18,
                   tblData[PrentGroup],"="&amp;AA18)</f>
        <v>21870.889999999996</v>
      </c>
      <c r="AE18" s="9">
        <f>SUMIFS(tblData[Amount],
                   tblData[Rpt Date],"="&amp;AC18,
                   tblData[ScenarioGroup],"="&amp;AB18,
                   tblData[PrentGroup],"="&amp;AA18)</f>
        <v>21870.889999999996</v>
      </c>
    </row>
    <row r="19" spans="2:31" x14ac:dyDescent="0.25">
      <c r="B19">
        <f t="shared" si="0"/>
        <v>13</v>
      </c>
      <c r="C19" s="7" t="s">
        <v>67</v>
      </c>
      <c r="D19" s="7" t="str">
        <f t="shared" si="7"/>
        <v>Current</v>
      </c>
      <c r="E19" s="8">
        <f t="shared" si="1"/>
        <v>43019</v>
      </c>
      <c r="F19" s="9">
        <f>SUMIFS(tblData[Amount],
                   tblData[Rpt Date],"="&amp;$E19,
                   tblData[ScenarioGroup],"="&amp;$D19)</f>
        <v>8014889.679999792</v>
      </c>
      <c r="G19" s="9">
        <f t="shared" si="2"/>
        <v>8014889.679999792</v>
      </c>
      <c r="I19" s="7" t="s">
        <v>42</v>
      </c>
      <c r="J19" s="7" t="str">
        <f t="shared" si="8"/>
        <v>Current</v>
      </c>
      <c r="K19" s="8">
        <f t="shared" si="3"/>
        <v>43019</v>
      </c>
      <c r="L19" s="9">
        <f>SUMIFS(tblData[Amount],
                   tblData[Rpt Date],"="&amp;K19,
                   tblData[ScenarioGroup],"="&amp;J19,
                   tblData[PrentGroup],"="&amp;I19)</f>
        <v>7044404.4699997939</v>
      </c>
      <c r="M19" s="9">
        <f>SUMIFS(tblData[Amount],
                   tblData[Rpt Date],"="&amp;K19,
                   tblData[ScenarioGroup],"="&amp;J19,
                   tblData[PrentGroup],"="&amp;I19)</f>
        <v>7044404.4699997939</v>
      </c>
      <c r="O19" s="7" t="s">
        <v>43</v>
      </c>
      <c r="P19" s="7" t="str">
        <f t="shared" si="9"/>
        <v>Current</v>
      </c>
      <c r="Q19" s="8">
        <f t="shared" si="4"/>
        <v>43019</v>
      </c>
      <c r="R19" s="9">
        <f>SUMIFS(tblData[Amount],
                   tblData[Rpt Date],"="&amp;Q19,
                   tblData[ScenarioGroup],"="&amp;P19,
                   tblData[PrentGroup],"="&amp;O19)</f>
        <v>841262.26999999944</v>
      </c>
      <c r="S19" s="9">
        <f>SUMIFS(tblData[Amount],
                   tblData[Rpt Date],"="&amp;Q19,
                   tblData[ScenarioGroup],"="&amp;P19,
                   tblData[PrentGroup],"="&amp;O19)</f>
        <v>841262.26999999944</v>
      </c>
      <c r="U19" s="7" t="s">
        <v>69</v>
      </c>
      <c r="V19" s="7" t="str">
        <f t="shared" si="10"/>
        <v>Current</v>
      </c>
      <c r="W19" s="8">
        <f t="shared" si="5"/>
        <v>43019</v>
      </c>
      <c r="X19" s="9">
        <f>SUMIFS(tblData[Amount],
                   tblData[Rpt Date],"="&amp;W19,
                   tblData[ScenarioGroup],"="&amp;V19,
                   tblData[PrentGroup],"="&amp;U19)</f>
        <v>106114.9099999999</v>
      </c>
      <c r="Y19" s="9">
        <f>SUMIFS(tblData[Amount],
                   tblData[Rpt Date],"="&amp;W19,
                   tblData[ScenarioGroup],"="&amp;V19,
                   tblData[PrentGroup],"="&amp;U19)</f>
        <v>106114.9099999999</v>
      </c>
      <c r="AA19" s="7" t="s">
        <v>41</v>
      </c>
      <c r="AB19" s="7" t="str">
        <f t="shared" si="11"/>
        <v>Current</v>
      </c>
      <c r="AC19" s="8">
        <f t="shared" si="6"/>
        <v>43019</v>
      </c>
      <c r="AD19" s="9">
        <f>SUMIFS(tblData[Amount],
                   tblData[Rpt Date],"="&amp;AC19,
                   tblData[ScenarioGroup],"="&amp;AB19,
                   tblData[PrentGroup],"="&amp;AA19)</f>
        <v>23108.03</v>
      </c>
      <c r="AE19" s="9">
        <f>SUMIFS(tblData[Amount],
                   tblData[Rpt Date],"="&amp;AC19,
                   tblData[ScenarioGroup],"="&amp;AB19,
                   tblData[PrentGroup],"="&amp;AA19)</f>
        <v>23108.03</v>
      </c>
    </row>
    <row r="20" spans="2:31" x14ac:dyDescent="0.25">
      <c r="B20">
        <f t="shared" si="0"/>
        <v>14</v>
      </c>
      <c r="C20" s="7" t="s">
        <v>67</v>
      </c>
      <c r="D20" s="7" t="str">
        <f t="shared" si="7"/>
        <v>Current</v>
      </c>
      <c r="E20" s="8">
        <f t="shared" si="1"/>
        <v>43026</v>
      </c>
      <c r="F20" s="9">
        <f>SUMIFS(tblData[Amount],
                   tblData[Rpt Date],"="&amp;$E20,
                   tblData[ScenarioGroup],"="&amp;$D20)</f>
        <v>7643590.9099997263</v>
      </c>
      <c r="G20" s="9">
        <f t="shared" si="2"/>
        <v>7643590.9099997263</v>
      </c>
      <c r="I20" s="7" t="s">
        <v>42</v>
      </c>
      <c r="J20" s="7" t="str">
        <f t="shared" si="8"/>
        <v>Current</v>
      </c>
      <c r="K20" s="8">
        <f t="shared" si="3"/>
        <v>43026</v>
      </c>
      <c r="L20" s="9">
        <f>SUMIFS(tblData[Amount],
                   tblData[Rpt Date],"="&amp;K20,
                   tblData[ScenarioGroup],"="&amp;J20,
                   tblData[PrentGroup],"="&amp;I20)</f>
        <v>6677383.879999727</v>
      </c>
      <c r="M20" s="9">
        <f>SUMIFS(tblData[Amount],
                   tblData[Rpt Date],"="&amp;K20,
                   tblData[ScenarioGroup],"="&amp;J20,
                   tblData[PrentGroup],"="&amp;I20)</f>
        <v>6677383.879999727</v>
      </c>
      <c r="O20" s="7" t="s">
        <v>43</v>
      </c>
      <c r="P20" s="7" t="str">
        <f t="shared" si="9"/>
        <v>Current</v>
      </c>
      <c r="Q20" s="8">
        <f t="shared" si="4"/>
        <v>43026</v>
      </c>
      <c r="R20" s="9">
        <f>SUMIFS(tblData[Amount],
                   tblData[Rpt Date],"="&amp;Q20,
                   tblData[ScenarioGroup],"="&amp;P20,
                   tblData[PrentGroup],"="&amp;O20)</f>
        <v>822531.65000000026</v>
      </c>
      <c r="S20" s="9">
        <f>SUMIFS(tblData[Amount],
                   tblData[Rpt Date],"="&amp;Q20,
                   tblData[ScenarioGroup],"="&amp;P20,
                   tblData[PrentGroup],"="&amp;O20)</f>
        <v>822531.65000000026</v>
      </c>
      <c r="U20" s="7" t="s">
        <v>69</v>
      </c>
      <c r="V20" s="7" t="str">
        <f t="shared" si="10"/>
        <v>Current</v>
      </c>
      <c r="W20" s="8">
        <f t="shared" si="5"/>
        <v>43026</v>
      </c>
      <c r="X20" s="9">
        <f>SUMIFS(tblData[Amount],
                   tblData[Rpt Date],"="&amp;W20,
                   tblData[ScenarioGroup],"="&amp;V20,
                   tblData[PrentGroup],"="&amp;U20)</f>
        <v>120124.21999999987</v>
      </c>
      <c r="Y20" s="9">
        <f>SUMIFS(tblData[Amount],
                   tblData[Rpt Date],"="&amp;W20,
                   tblData[ScenarioGroup],"="&amp;V20,
                   tblData[PrentGroup],"="&amp;U20)</f>
        <v>120124.21999999987</v>
      </c>
      <c r="AA20" s="7" t="s">
        <v>41</v>
      </c>
      <c r="AB20" s="7" t="str">
        <f t="shared" si="11"/>
        <v>Current</v>
      </c>
      <c r="AC20" s="8">
        <f t="shared" si="6"/>
        <v>43026</v>
      </c>
      <c r="AD20" s="9">
        <f>SUMIFS(tblData[Amount],
                   tblData[Rpt Date],"="&amp;AC20,
                   tblData[ScenarioGroup],"="&amp;AB20,
                   tblData[PrentGroup],"="&amp;AA20)</f>
        <v>23551.159999999996</v>
      </c>
      <c r="AE20" s="9">
        <f>SUMIFS(tblData[Amount],
                   tblData[Rpt Date],"="&amp;AC20,
                   tblData[ScenarioGroup],"="&amp;AB20,
                   tblData[PrentGroup],"="&amp;AA20)</f>
        <v>23551.159999999996</v>
      </c>
    </row>
    <row r="21" spans="2:31" x14ac:dyDescent="0.25">
      <c r="B21">
        <f t="shared" si="0"/>
        <v>15</v>
      </c>
      <c r="C21" s="7" t="s">
        <v>67</v>
      </c>
      <c r="D21" s="7" t="str">
        <f t="shared" si="7"/>
        <v>Current</v>
      </c>
      <c r="E21" s="8">
        <f t="shared" si="1"/>
        <v>43033</v>
      </c>
      <c r="F21" s="9">
        <f>SUMIFS(tblData[Amount],
                   tblData[Rpt Date],"="&amp;$E21,
                   tblData[ScenarioGroup],"="&amp;$D21)</f>
        <v>7195471.0199998002</v>
      </c>
      <c r="G21" s="9">
        <f t="shared" si="2"/>
        <v>7195471.0199998002</v>
      </c>
      <c r="I21" s="7" t="s">
        <v>42</v>
      </c>
      <c r="J21" s="7" t="str">
        <f t="shared" si="8"/>
        <v>Current</v>
      </c>
      <c r="K21" s="8">
        <f t="shared" si="3"/>
        <v>43033</v>
      </c>
      <c r="L21" s="9">
        <f>SUMIFS(tblData[Amount],
                   tblData[Rpt Date],"="&amp;K21,
                   tblData[ScenarioGroup],"="&amp;J21,
                   tblData[PrentGroup],"="&amp;I21)</f>
        <v>6197258.6899998011</v>
      </c>
      <c r="M21" s="9">
        <f>SUMIFS(tblData[Amount],
                   tblData[Rpt Date],"="&amp;K21,
                   tblData[ScenarioGroup],"="&amp;J21,
                   tblData[PrentGroup],"="&amp;I21)</f>
        <v>6197258.6899998011</v>
      </c>
      <c r="O21" s="7" t="s">
        <v>43</v>
      </c>
      <c r="P21" s="7" t="str">
        <f t="shared" si="9"/>
        <v>Current</v>
      </c>
      <c r="Q21" s="8">
        <f t="shared" si="4"/>
        <v>43033</v>
      </c>
      <c r="R21" s="9">
        <f>SUMIFS(tblData[Amount],
                   tblData[Rpt Date],"="&amp;Q21,
                   tblData[ScenarioGroup],"="&amp;P21,
                   tblData[PrentGroup],"="&amp;O21)</f>
        <v>852154.84999999974</v>
      </c>
      <c r="S21" s="9">
        <f>SUMIFS(tblData[Amount],
                   tblData[Rpt Date],"="&amp;Q21,
                   tblData[ScenarioGroup],"="&amp;P21,
                   tblData[PrentGroup],"="&amp;O21)</f>
        <v>852154.84999999974</v>
      </c>
      <c r="U21" s="7" t="s">
        <v>69</v>
      </c>
      <c r="V21" s="7" t="str">
        <f t="shared" si="10"/>
        <v>Current</v>
      </c>
      <c r="W21" s="8">
        <f t="shared" si="5"/>
        <v>43033</v>
      </c>
      <c r="X21" s="9">
        <f>SUMIFS(tblData[Amount],
                   tblData[Rpt Date],"="&amp;W21,
                   tblData[ScenarioGroup],"="&amp;V21,
                   tblData[PrentGroup],"="&amp;U21)</f>
        <v>120049.99999999997</v>
      </c>
      <c r="Y21" s="9">
        <f>SUMIFS(tblData[Amount],
                   tblData[Rpt Date],"="&amp;W21,
                   tblData[ScenarioGroup],"="&amp;V21,
                   tblData[PrentGroup],"="&amp;U21)</f>
        <v>120049.99999999997</v>
      </c>
      <c r="AA21" s="7" t="s">
        <v>41</v>
      </c>
      <c r="AB21" s="7" t="str">
        <f t="shared" si="11"/>
        <v>Current</v>
      </c>
      <c r="AC21" s="8">
        <f t="shared" si="6"/>
        <v>43033</v>
      </c>
      <c r="AD21" s="9">
        <f>SUMIFS(tblData[Amount],
                   tblData[Rpt Date],"="&amp;AC21,
                   tblData[ScenarioGroup],"="&amp;AB21,
                   tblData[PrentGroup],"="&amp;AA21)</f>
        <v>26007.479999999996</v>
      </c>
      <c r="AE21" s="9">
        <f>SUMIFS(tblData[Amount],
                   tblData[Rpt Date],"="&amp;AC21,
                   tblData[ScenarioGroup],"="&amp;AB21,
                   tblData[PrentGroup],"="&amp;AA21)</f>
        <v>26007.479999999996</v>
      </c>
    </row>
    <row r="22" spans="2:31" x14ac:dyDescent="0.25">
      <c r="B22">
        <f t="shared" si="0"/>
        <v>16</v>
      </c>
      <c r="C22" s="7" t="s">
        <v>67</v>
      </c>
      <c r="D22" s="7" t="str">
        <f t="shared" si="7"/>
        <v>Current</v>
      </c>
      <c r="E22" s="8">
        <f t="shared" si="1"/>
        <v>43040</v>
      </c>
      <c r="F22" s="9">
        <f>SUMIFS(tblData[Amount],
                   tblData[Rpt Date],"="&amp;$E22,
                   tblData[ScenarioGroup],"="&amp;$D22)</f>
        <v>6666472.2199999047</v>
      </c>
      <c r="G22" s="9">
        <f t="shared" si="2"/>
        <v>6666472.2199999047</v>
      </c>
      <c r="I22" s="7" t="s">
        <v>42</v>
      </c>
      <c r="J22" s="7" t="str">
        <f t="shared" si="8"/>
        <v>Current</v>
      </c>
      <c r="K22" s="8">
        <f t="shared" si="3"/>
        <v>43040</v>
      </c>
      <c r="L22" s="9">
        <f>SUMIFS(tblData[Amount],
                   tblData[Rpt Date],"="&amp;K22,
                   tblData[ScenarioGroup],"="&amp;J22,
                   tblData[PrentGroup],"="&amp;I22)</f>
        <v>5646716.3399999049</v>
      </c>
      <c r="M22" s="9">
        <f>SUMIFS(tblData[Amount],
                   tblData[Rpt Date],"="&amp;K22,
                   tblData[ScenarioGroup],"="&amp;J22,
                   tblData[PrentGroup],"="&amp;I22)</f>
        <v>5646716.3399999049</v>
      </c>
      <c r="O22" s="7" t="s">
        <v>43</v>
      </c>
      <c r="P22" s="7" t="str">
        <f t="shared" si="9"/>
        <v>Current</v>
      </c>
      <c r="Q22" s="8">
        <f t="shared" si="4"/>
        <v>43040</v>
      </c>
      <c r="R22" s="9">
        <f>SUMIFS(tblData[Amount],
                   tblData[Rpt Date],"="&amp;Q22,
                   tblData[ScenarioGroup],"="&amp;P22,
                   tblData[PrentGroup],"="&amp;O22)</f>
        <v>872829.92999999959</v>
      </c>
      <c r="S22" s="9">
        <f>SUMIFS(tblData[Amount],
                   tblData[Rpt Date],"="&amp;Q22,
                   tblData[ScenarioGroup],"="&amp;P22,
                   tblData[PrentGroup],"="&amp;O22)</f>
        <v>872829.92999999959</v>
      </c>
      <c r="U22" s="7" t="s">
        <v>69</v>
      </c>
      <c r="V22" s="7" t="str">
        <f t="shared" si="10"/>
        <v>Current</v>
      </c>
      <c r="W22" s="8">
        <f t="shared" si="5"/>
        <v>43040</v>
      </c>
      <c r="X22" s="9">
        <f>SUMIFS(tblData[Amount],
                   tblData[Rpt Date],"="&amp;W22,
                   tblData[ScenarioGroup],"="&amp;V22,
                   tblData[PrentGroup],"="&amp;U22)</f>
        <v>121767.58999999998</v>
      </c>
      <c r="Y22" s="9">
        <f>SUMIFS(tblData[Amount],
                   tblData[Rpt Date],"="&amp;W22,
                   tblData[ScenarioGroup],"="&amp;V22,
                   tblData[PrentGroup],"="&amp;U22)</f>
        <v>121767.58999999998</v>
      </c>
      <c r="AA22" s="7" t="s">
        <v>41</v>
      </c>
      <c r="AB22" s="7" t="str">
        <f t="shared" si="11"/>
        <v>Current</v>
      </c>
      <c r="AC22" s="8">
        <f t="shared" si="6"/>
        <v>43040</v>
      </c>
      <c r="AD22" s="9">
        <f>SUMIFS(tblData[Amount],
                   tblData[Rpt Date],"="&amp;AC22,
                   tblData[ScenarioGroup],"="&amp;AB22,
                   tblData[PrentGroup],"="&amp;AA22)</f>
        <v>25158.36</v>
      </c>
      <c r="AE22" s="9">
        <f>SUMIFS(tblData[Amount],
                   tblData[Rpt Date],"="&amp;AC22,
                   tblData[ScenarioGroup],"="&amp;AB22,
                   tblData[PrentGroup],"="&amp;AA22)</f>
        <v>25158.36</v>
      </c>
    </row>
    <row r="23" spans="2:31" x14ac:dyDescent="0.25">
      <c r="B23">
        <f t="shared" si="0"/>
        <v>17</v>
      </c>
      <c r="C23" s="7" t="s">
        <v>67</v>
      </c>
      <c r="D23" s="7" t="str">
        <f t="shared" si="7"/>
        <v>Current</v>
      </c>
      <c r="E23" s="8">
        <f t="shared" si="1"/>
        <v>43047</v>
      </c>
      <c r="F23" s="9">
        <f>SUMIFS(tblData[Amount],
                   tblData[Rpt Date],"="&amp;$E23,
                   tblData[ScenarioGroup],"="&amp;$D23)</f>
        <v>7740850.8799998537</v>
      </c>
      <c r="G23" s="9">
        <f t="shared" si="2"/>
        <v>7740850.8799998537</v>
      </c>
      <c r="I23" s="7" t="s">
        <v>42</v>
      </c>
      <c r="J23" s="7" t="str">
        <f t="shared" si="8"/>
        <v>Current</v>
      </c>
      <c r="K23" s="8">
        <f t="shared" si="3"/>
        <v>43047</v>
      </c>
      <c r="L23" s="9">
        <f>SUMIFS(tblData[Amount],
                   tblData[Rpt Date],"="&amp;K23,
                   tblData[ScenarioGroup],"="&amp;J23,
                   tblData[PrentGroup],"="&amp;I23)</f>
        <v>6670617.3799998546</v>
      </c>
      <c r="M23" s="9">
        <f>SUMIFS(tblData[Amount],
                   tblData[Rpt Date],"="&amp;K23,
                   tblData[ScenarioGroup],"="&amp;J23,
                   tblData[PrentGroup],"="&amp;I23)</f>
        <v>6670617.3799998546</v>
      </c>
      <c r="O23" s="7" t="s">
        <v>43</v>
      </c>
      <c r="P23" s="7" t="str">
        <f t="shared" si="9"/>
        <v>Current</v>
      </c>
      <c r="Q23" s="8">
        <f t="shared" si="4"/>
        <v>43047</v>
      </c>
      <c r="R23" s="9">
        <f>SUMIFS(tblData[Amount],
                   tblData[Rpt Date],"="&amp;Q23,
                   tblData[ScenarioGroup],"="&amp;P23,
                   tblData[PrentGroup],"="&amp;O23)</f>
        <v>907712.31999999867</v>
      </c>
      <c r="S23" s="9">
        <f>SUMIFS(tblData[Amount],
                   tblData[Rpt Date],"="&amp;Q23,
                   tblData[ScenarioGroup],"="&amp;P23,
                   tblData[PrentGroup],"="&amp;O23)</f>
        <v>907712.31999999867</v>
      </c>
      <c r="U23" s="7" t="s">
        <v>69</v>
      </c>
      <c r="V23" s="7" t="str">
        <f t="shared" si="10"/>
        <v>Current</v>
      </c>
      <c r="W23" s="8">
        <f t="shared" si="5"/>
        <v>43047</v>
      </c>
      <c r="X23" s="9">
        <f>SUMIFS(tblData[Amount],
                   tblData[Rpt Date],"="&amp;W23,
                   tblData[ScenarioGroup],"="&amp;V23,
                   tblData[PrentGroup],"="&amp;U23)</f>
        <v>138628.06999999995</v>
      </c>
      <c r="Y23" s="9">
        <f>SUMIFS(tblData[Amount],
                   tblData[Rpt Date],"="&amp;W23,
                   tblData[ScenarioGroup],"="&amp;V23,
                   tblData[PrentGroup],"="&amp;U23)</f>
        <v>138628.06999999995</v>
      </c>
      <c r="AA23" s="7" t="s">
        <v>41</v>
      </c>
      <c r="AB23" s="7" t="str">
        <f t="shared" si="11"/>
        <v>Current</v>
      </c>
      <c r="AC23" s="8">
        <f t="shared" si="6"/>
        <v>43047</v>
      </c>
      <c r="AD23" s="9">
        <f>SUMIFS(tblData[Amount],
                   tblData[Rpt Date],"="&amp;AC23,
                   tblData[ScenarioGroup],"="&amp;AB23,
                   tblData[PrentGroup],"="&amp;AA23)</f>
        <v>23893.11</v>
      </c>
      <c r="AE23" s="9">
        <f>SUMIFS(tblData[Amount],
                   tblData[Rpt Date],"="&amp;AC23,
                   tblData[ScenarioGroup],"="&amp;AB23,
                   tblData[PrentGroup],"="&amp;AA23)</f>
        <v>23893.11</v>
      </c>
    </row>
    <row r="24" spans="2:31" x14ac:dyDescent="0.25">
      <c r="B24">
        <f t="shared" si="0"/>
        <v>18</v>
      </c>
      <c r="C24" s="7" t="s">
        <v>67</v>
      </c>
      <c r="D24" s="7" t="str">
        <f t="shared" si="7"/>
        <v>Current</v>
      </c>
      <c r="E24" s="8">
        <f t="shared" si="1"/>
        <v>43054</v>
      </c>
      <c r="F24" s="9">
        <f>SUMIFS(tblData[Amount],
                   tblData[Rpt Date],"="&amp;$E24,
                   tblData[ScenarioGroup],"="&amp;$D24)</f>
        <v>7956987.0699998513</v>
      </c>
      <c r="G24" s="9">
        <f t="shared" si="2"/>
        <v>7956987.0699998513</v>
      </c>
      <c r="I24" s="7" t="s">
        <v>42</v>
      </c>
      <c r="J24" s="7" t="str">
        <f t="shared" si="8"/>
        <v>Current</v>
      </c>
      <c r="K24" s="8">
        <f t="shared" si="3"/>
        <v>43054</v>
      </c>
      <c r="L24" s="9">
        <f>SUMIFS(tblData[Amount],
                   tblData[Rpt Date],"="&amp;K24,
                   tblData[ScenarioGroup],"="&amp;J24,
                   tblData[PrentGroup],"="&amp;I24)</f>
        <v>6800897.9699998535</v>
      </c>
      <c r="M24" s="9">
        <f>SUMIFS(tblData[Amount],
                   tblData[Rpt Date],"="&amp;K24,
                   tblData[ScenarioGroup],"="&amp;J24,
                   tblData[PrentGroup],"="&amp;I24)</f>
        <v>6800897.9699998535</v>
      </c>
      <c r="O24" s="7" t="s">
        <v>43</v>
      </c>
      <c r="P24" s="7" t="str">
        <f t="shared" si="9"/>
        <v>Current</v>
      </c>
      <c r="Q24" s="8">
        <f t="shared" si="4"/>
        <v>43054</v>
      </c>
      <c r="R24" s="9">
        <f>SUMIFS(tblData[Amount],
                   tblData[Rpt Date],"="&amp;Q24,
                   tblData[ScenarioGroup],"="&amp;P24,
                   tblData[PrentGroup],"="&amp;O24)</f>
        <v>1002572.9799999981</v>
      </c>
      <c r="S24" s="9">
        <f>SUMIFS(tblData[Amount],
                   tblData[Rpt Date],"="&amp;Q24,
                   tblData[ScenarioGroup],"="&amp;P24,
                   tblData[PrentGroup],"="&amp;O24)</f>
        <v>1002572.9799999981</v>
      </c>
      <c r="U24" s="7" t="s">
        <v>69</v>
      </c>
      <c r="V24" s="7" t="str">
        <f t="shared" si="10"/>
        <v>Current</v>
      </c>
      <c r="W24" s="8">
        <f t="shared" si="5"/>
        <v>43054</v>
      </c>
      <c r="X24" s="9">
        <f>SUMIFS(tblData[Amount],
                   tblData[Rpt Date],"="&amp;W24,
                   tblData[ScenarioGroup],"="&amp;V24,
                   tblData[PrentGroup],"="&amp;U24)</f>
        <v>126863.07999999996</v>
      </c>
      <c r="Y24" s="9">
        <f>SUMIFS(tblData[Amount],
                   tblData[Rpt Date],"="&amp;W24,
                   tblData[ScenarioGroup],"="&amp;V24,
                   tblData[PrentGroup],"="&amp;U24)</f>
        <v>126863.07999999996</v>
      </c>
      <c r="AA24" s="7" t="s">
        <v>41</v>
      </c>
      <c r="AB24" s="7" t="str">
        <f t="shared" si="11"/>
        <v>Current</v>
      </c>
      <c r="AC24" s="8">
        <f t="shared" si="6"/>
        <v>43054</v>
      </c>
      <c r="AD24" s="9">
        <f>SUMIFS(tblData[Amount],
                   tblData[Rpt Date],"="&amp;AC24,
                   tblData[ScenarioGroup],"="&amp;AB24,
                   tblData[PrentGroup],"="&amp;AA24)</f>
        <v>26653.040000000001</v>
      </c>
      <c r="AE24" s="9">
        <f>SUMIFS(tblData[Amount],
                   tblData[Rpt Date],"="&amp;AC24,
                   tblData[ScenarioGroup],"="&amp;AB24,
                   tblData[PrentGroup],"="&amp;AA24)</f>
        <v>26653.040000000001</v>
      </c>
    </row>
    <row r="25" spans="2:31" x14ac:dyDescent="0.25">
      <c r="B25">
        <f t="shared" si="0"/>
        <v>19</v>
      </c>
      <c r="C25" s="7" t="s">
        <v>67</v>
      </c>
      <c r="D25" s="7" t="str">
        <f t="shared" si="7"/>
        <v>Current</v>
      </c>
      <c r="E25" s="8">
        <f t="shared" si="1"/>
        <v>43061</v>
      </c>
      <c r="F25" s="9">
        <f>SUMIFS(tblData[Amount],
                   tblData[Rpt Date],"="&amp;$E25,
                   tblData[ScenarioGroup],"="&amp;$D25)</f>
        <v>7956987.0699998513</v>
      </c>
      <c r="G25" s="9">
        <f t="shared" si="2"/>
        <v>7956987.0699998513</v>
      </c>
      <c r="I25" s="7" t="s">
        <v>42</v>
      </c>
      <c r="J25" s="7" t="str">
        <f t="shared" si="8"/>
        <v>Current</v>
      </c>
      <c r="K25" s="8">
        <f t="shared" si="3"/>
        <v>43061</v>
      </c>
      <c r="L25" s="9">
        <f>SUMIFS(tblData[Amount],
                   tblData[Rpt Date],"="&amp;K25,
                   tblData[ScenarioGroup],"="&amp;J25,
                   tblData[PrentGroup],"="&amp;I25)</f>
        <v>6800897.9699998535</v>
      </c>
      <c r="M25" s="9">
        <f>SUMIFS(tblData[Amount],
                   tblData[Rpt Date],"="&amp;K25,
                   tblData[ScenarioGroup],"="&amp;J25,
                   tblData[PrentGroup],"="&amp;I25)</f>
        <v>6800897.9699998535</v>
      </c>
      <c r="O25" s="7" t="s">
        <v>43</v>
      </c>
      <c r="P25" s="7" t="str">
        <f t="shared" si="9"/>
        <v>Current</v>
      </c>
      <c r="Q25" s="8">
        <f t="shared" si="4"/>
        <v>43061</v>
      </c>
      <c r="R25" s="9">
        <f>SUMIFS(tblData[Amount],
                   tblData[Rpt Date],"="&amp;Q25,
                   tblData[ScenarioGroup],"="&amp;P25,
                   tblData[PrentGroup],"="&amp;O25)</f>
        <v>1002572.9799999981</v>
      </c>
      <c r="S25" s="9">
        <f>SUMIFS(tblData[Amount],
                   tblData[Rpt Date],"="&amp;Q25,
                   tblData[ScenarioGroup],"="&amp;P25,
                   tblData[PrentGroup],"="&amp;O25)</f>
        <v>1002572.9799999981</v>
      </c>
      <c r="U25" s="7" t="s">
        <v>69</v>
      </c>
      <c r="V25" s="7" t="str">
        <f t="shared" si="10"/>
        <v>Current</v>
      </c>
      <c r="W25" s="8">
        <f t="shared" si="5"/>
        <v>43061</v>
      </c>
      <c r="X25" s="9">
        <f>SUMIFS(tblData[Amount],
                   tblData[Rpt Date],"="&amp;W25,
                   tblData[ScenarioGroup],"="&amp;V25,
                   tblData[PrentGroup],"="&amp;U25)</f>
        <v>126863.07999999996</v>
      </c>
      <c r="Y25" s="9">
        <f>SUMIFS(tblData[Amount],
                   tblData[Rpt Date],"="&amp;W25,
                   tblData[ScenarioGroup],"="&amp;V25,
                   tblData[PrentGroup],"="&amp;U25)</f>
        <v>126863.07999999996</v>
      </c>
      <c r="AA25" s="7" t="s">
        <v>41</v>
      </c>
      <c r="AB25" s="7" t="str">
        <f t="shared" si="11"/>
        <v>Current</v>
      </c>
      <c r="AC25" s="8">
        <f t="shared" si="6"/>
        <v>43061</v>
      </c>
      <c r="AD25" s="9">
        <f>SUMIFS(tblData[Amount],
                   tblData[Rpt Date],"="&amp;AC25,
                   tblData[ScenarioGroup],"="&amp;AB25,
                   tblData[PrentGroup],"="&amp;AA25)</f>
        <v>26653.040000000001</v>
      </c>
      <c r="AE25" s="9">
        <f>SUMIFS(tblData[Amount],
                   tblData[Rpt Date],"="&amp;AC25,
                   tblData[ScenarioGroup],"="&amp;AB25,
                   tblData[PrentGroup],"="&amp;AA25)</f>
        <v>26653.040000000001</v>
      </c>
    </row>
    <row r="26" spans="2:31" x14ac:dyDescent="0.25">
      <c r="B26">
        <f t="shared" si="0"/>
        <v>20</v>
      </c>
      <c r="C26" s="7" t="s">
        <v>67</v>
      </c>
      <c r="D26" s="7" t="str">
        <f t="shared" si="7"/>
        <v>Current</v>
      </c>
      <c r="E26" s="8">
        <f t="shared" si="1"/>
        <v>43068</v>
      </c>
      <c r="F26" s="9">
        <f>SUMIFS(tblData[Amount],
                   tblData[Rpt Date],"="&amp;$E26,
                   tblData[ScenarioGroup],"="&amp;$D26)</f>
        <v>7713828.9899999304</v>
      </c>
      <c r="G26" s="9">
        <f t="shared" si="2"/>
        <v>7713828.9899999304</v>
      </c>
      <c r="I26" s="7" t="s">
        <v>42</v>
      </c>
      <c r="J26" s="7" t="str">
        <f t="shared" si="8"/>
        <v>Current</v>
      </c>
      <c r="K26" s="8">
        <f t="shared" si="3"/>
        <v>43068</v>
      </c>
      <c r="L26" s="9">
        <f>SUMIFS(tblData[Amount],
                   tblData[Rpt Date],"="&amp;K26,
                   tblData[ScenarioGroup],"="&amp;J26,
                   tblData[PrentGroup],"="&amp;I26)</f>
        <v>6702699.9299999308</v>
      </c>
      <c r="M26" s="9">
        <f>SUMIFS(tblData[Amount],
                   tblData[Rpt Date],"="&amp;K26,
                   tblData[ScenarioGroup],"="&amp;J26,
                   tblData[PrentGroup],"="&amp;I26)</f>
        <v>6702699.9299999308</v>
      </c>
      <c r="O26" s="7" t="s">
        <v>43</v>
      </c>
      <c r="P26" s="7" t="str">
        <f t="shared" si="9"/>
        <v>Current</v>
      </c>
      <c r="Q26" s="8">
        <f t="shared" si="4"/>
        <v>43068</v>
      </c>
      <c r="R26" s="9">
        <f>SUMIFS(tblData[Amount],
                   tblData[Rpt Date],"="&amp;Q26,
                   tblData[ScenarioGroup],"="&amp;P26,
                   tblData[PrentGroup],"="&amp;O26)</f>
        <v>885293.92999999854</v>
      </c>
      <c r="S26" s="9">
        <f>SUMIFS(tblData[Amount],
                   tblData[Rpt Date],"="&amp;Q26,
                   tblData[ScenarioGroup],"="&amp;P26,
                   tblData[PrentGroup],"="&amp;O26)</f>
        <v>885293.92999999854</v>
      </c>
      <c r="U26" s="7" t="s">
        <v>69</v>
      </c>
      <c r="V26" s="7" t="str">
        <f t="shared" si="10"/>
        <v>Current</v>
      </c>
      <c r="W26" s="8">
        <f t="shared" si="5"/>
        <v>43068</v>
      </c>
      <c r="X26" s="9">
        <f>SUMIFS(tblData[Amount],
                   tblData[Rpt Date],"="&amp;W26,
                   tblData[ScenarioGroup],"="&amp;V26,
                   tblData[PrentGroup],"="&amp;U26)</f>
        <v>106953.16999999997</v>
      </c>
      <c r="Y26" s="9">
        <f>SUMIFS(tblData[Amount],
                   tblData[Rpt Date],"="&amp;W26,
                   tblData[ScenarioGroup],"="&amp;V26,
                   tblData[PrentGroup],"="&amp;U26)</f>
        <v>106953.16999999997</v>
      </c>
      <c r="AA26" s="7" t="s">
        <v>41</v>
      </c>
      <c r="AB26" s="7" t="str">
        <f t="shared" si="11"/>
        <v>Current</v>
      </c>
      <c r="AC26" s="8">
        <f t="shared" si="6"/>
        <v>43068</v>
      </c>
      <c r="AD26" s="9">
        <f>SUMIFS(tblData[Amount],
                   tblData[Rpt Date],"="&amp;AC26,
                   tblData[ScenarioGroup],"="&amp;AB26,
                   tblData[PrentGroup],"="&amp;AA26)</f>
        <v>18881.96</v>
      </c>
      <c r="AE26" s="9">
        <f>SUMIFS(tblData[Amount],
                   tblData[Rpt Date],"="&amp;AC26,
                   tblData[ScenarioGroup],"="&amp;AB26,
                   tblData[PrentGroup],"="&amp;AA26)</f>
        <v>18881.96</v>
      </c>
    </row>
    <row r="27" spans="2:31" x14ac:dyDescent="0.25">
      <c r="B27">
        <f t="shared" si="0"/>
        <v>21</v>
      </c>
      <c r="C27" s="7" t="s">
        <v>67</v>
      </c>
      <c r="D27" s="7" t="str">
        <f t="shared" si="7"/>
        <v>Current</v>
      </c>
      <c r="E27" s="8">
        <f t="shared" si="1"/>
        <v>43075</v>
      </c>
      <c r="F27" s="9">
        <f>SUMIFS(tblData[Amount],
                   tblData[Rpt Date],"="&amp;$E27,
                   tblData[ScenarioGroup],"="&amp;$D27)</f>
        <v>7815864.4100000244</v>
      </c>
      <c r="G27" s="9">
        <f t="shared" si="2"/>
        <v>7815864.4100000244</v>
      </c>
      <c r="I27" s="7" t="s">
        <v>42</v>
      </c>
      <c r="J27" s="7" t="str">
        <f t="shared" si="8"/>
        <v>Current</v>
      </c>
      <c r="K27" s="8">
        <f t="shared" si="3"/>
        <v>43075</v>
      </c>
      <c r="L27" s="9">
        <f>SUMIFS(tblData[Amount],
                   tblData[Rpt Date],"="&amp;K27,
                   tblData[ScenarioGroup],"="&amp;J27,
                   tblData[PrentGroup],"="&amp;I27)</f>
        <v>6872135.5100000249</v>
      </c>
      <c r="M27" s="9">
        <f>SUMIFS(tblData[Amount],
                   tblData[Rpt Date],"="&amp;K27,
                   tblData[ScenarioGroup],"="&amp;J27,
                   tblData[PrentGroup],"="&amp;I27)</f>
        <v>6872135.5100000249</v>
      </c>
      <c r="O27" s="7" t="s">
        <v>43</v>
      </c>
      <c r="P27" s="7" t="str">
        <f t="shared" si="9"/>
        <v>Current</v>
      </c>
      <c r="Q27" s="8">
        <f t="shared" si="4"/>
        <v>43075</v>
      </c>
      <c r="R27" s="9">
        <f>SUMIFS(tblData[Amount],
                   tblData[Rpt Date],"="&amp;Q27,
                   tblData[ScenarioGroup],"="&amp;P27,
                   tblData[PrentGroup],"="&amp;O27)</f>
        <v>837845.76999999932</v>
      </c>
      <c r="S27" s="9">
        <f>SUMIFS(tblData[Amount],
                   tblData[Rpt Date],"="&amp;Q27,
                   tblData[ScenarioGroup],"="&amp;P27,
                   tblData[PrentGroup],"="&amp;O27)</f>
        <v>837845.76999999932</v>
      </c>
      <c r="U27" s="7" t="s">
        <v>69</v>
      </c>
      <c r="V27" s="7" t="str">
        <f t="shared" si="10"/>
        <v>Current</v>
      </c>
      <c r="W27" s="8">
        <f t="shared" si="5"/>
        <v>43075</v>
      </c>
      <c r="X27" s="9">
        <f>SUMIFS(tblData[Amount],
                   tblData[Rpt Date],"="&amp;W27,
                   tblData[ScenarioGroup],"="&amp;V27,
                   tblData[PrentGroup],"="&amp;U27)</f>
        <v>86361.669999999955</v>
      </c>
      <c r="Y27" s="9">
        <f>SUMIFS(tblData[Amount],
                   tblData[Rpt Date],"="&amp;W27,
                   tblData[ScenarioGroup],"="&amp;V27,
                   tblData[PrentGroup],"="&amp;U27)</f>
        <v>86361.669999999955</v>
      </c>
      <c r="AA27" s="7" t="s">
        <v>41</v>
      </c>
      <c r="AB27" s="7" t="str">
        <f t="shared" si="11"/>
        <v>Current</v>
      </c>
      <c r="AC27" s="8">
        <f t="shared" si="6"/>
        <v>43075</v>
      </c>
      <c r="AD27" s="9">
        <f>SUMIFS(tblData[Amount],
                   tblData[Rpt Date],"="&amp;AC27,
                   tblData[ScenarioGroup],"="&amp;AB27,
                   tblData[PrentGroup],"="&amp;AA27)</f>
        <v>19521.459999999995</v>
      </c>
      <c r="AE27" s="9">
        <f>SUMIFS(tblData[Amount],
                   tblData[Rpt Date],"="&amp;AC27,
                   tblData[ScenarioGroup],"="&amp;AB27,
                   tblData[PrentGroup],"="&amp;AA27)</f>
        <v>19521.459999999995</v>
      </c>
    </row>
    <row r="28" spans="2:31" x14ac:dyDescent="0.25">
      <c r="B28">
        <f t="shared" si="0"/>
        <v>22</v>
      </c>
      <c r="C28" s="7" t="s">
        <v>67</v>
      </c>
      <c r="D28" s="7" t="str">
        <f t="shared" si="7"/>
        <v>Current</v>
      </c>
      <c r="E28" s="8">
        <f t="shared" si="1"/>
        <v>43082</v>
      </c>
      <c r="F28" s="9">
        <f>SUMIFS(tblData[Amount],
                   tblData[Rpt Date],"="&amp;$E28,
                   tblData[ScenarioGroup],"="&amp;$D28)</f>
        <v>9724628.4599999245</v>
      </c>
      <c r="G28" s="9">
        <f t="shared" si="2"/>
        <v>9724628.4599999245</v>
      </c>
      <c r="I28" s="7" t="s">
        <v>42</v>
      </c>
      <c r="J28" s="7" t="str">
        <f t="shared" si="8"/>
        <v>Current</v>
      </c>
      <c r="K28" s="8">
        <f t="shared" si="3"/>
        <v>43082</v>
      </c>
      <c r="L28" s="9">
        <f>SUMIFS(tblData[Amount],
                   tblData[Rpt Date],"="&amp;K28,
                   tblData[ScenarioGroup],"="&amp;J28,
                   tblData[PrentGroup],"="&amp;I28)</f>
        <v>8677182.2299999259</v>
      </c>
      <c r="M28" s="9">
        <f>SUMIFS(tblData[Amount],
                   tblData[Rpt Date],"="&amp;K28,
                   tblData[ScenarioGroup],"="&amp;J28,
                   tblData[PrentGroup],"="&amp;I28)</f>
        <v>8677182.2299999259</v>
      </c>
      <c r="O28" s="7" t="s">
        <v>43</v>
      </c>
      <c r="P28" s="7" t="str">
        <f t="shared" si="9"/>
        <v>Current</v>
      </c>
      <c r="Q28" s="8">
        <f t="shared" si="4"/>
        <v>43082</v>
      </c>
      <c r="R28" s="9">
        <f>SUMIFS(tblData[Amount],
                   tblData[Rpt Date],"="&amp;Q28,
                   tblData[ScenarioGroup],"="&amp;P28,
                   tblData[PrentGroup],"="&amp;O28)</f>
        <v>909591.29999999981</v>
      </c>
      <c r="S28" s="9">
        <f>SUMIFS(tblData[Amount],
                   tblData[Rpt Date],"="&amp;Q28,
                   tblData[ScenarioGroup],"="&amp;P28,
                   tblData[PrentGroup],"="&amp;O28)</f>
        <v>909591.29999999981</v>
      </c>
      <c r="U28" s="7" t="s">
        <v>69</v>
      </c>
      <c r="V28" s="7" t="str">
        <f t="shared" si="10"/>
        <v>Current</v>
      </c>
      <c r="W28" s="8">
        <f t="shared" si="5"/>
        <v>43082</v>
      </c>
      <c r="X28" s="9">
        <f>SUMIFS(tblData[Amount],
                   tblData[Rpt Date],"="&amp;W28,
                   tblData[ScenarioGroup],"="&amp;V28,
                   tblData[PrentGroup],"="&amp;U28)</f>
        <v>114304.31000000003</v>
      </c>
      <c r="Y28" s="9">
        <f>SUMIFS(tblData[Amount],
                   tblData[Rpt Date],"="&amp;W28,
                   tblData[ScenarioGroup],"="&amp;V28,
                   tblData[PrentGroup],"="&amp;U28)</f>
        <v>114304.31000000003</v>
      </c>
      <c r="AA28" s="7" t="s">
        <v>41</v>
      </c>
      <c r="AB28" s="7" t="str">
        <f t="shared" si="11"/>
        <v>Current</v>
      </c>
      <c r="AC28" s="8">
        <f t="shared" si="6"/>
        <v>43082</v>
      </c>
      <c r="AD28" s="9">
        <f>SUMIFS(tblData[Amount],
                   tblData[Rpt Date],"="&amp;AC28,
                   tblData[ScenarioGroup],"="&amp;AB28,
                   tblData[PrentGroup],"="&amp;AA28)</f>
        <v>23550.62</v>
      </c>
      <c r="AE28" s="9">
        <f>SUMIFS(tblData[Amount],
                   tblData[Rpt Date],"="&amp;AC28,
                   tblData[ScenarioGroup],"="&amp;AB28,
                   tblData[PrentGroup],"="&amp;AA28)</f>
        <v>23550.62</v>
      </c>
    </row>
    <row r="29" spans="2:31" x14ac:dyDescent="0.25">
      <c r="B29">
        <f t="shared" si="0"/>
        <v>23</v>
      </c>
      <c r="C29" s="7" t="s">
        <v>67</v>
      </c>
      <c r="D29" s="7" t="str">
        <f t="shared" si="7"/>
        <v>Current</v>
      </c>
      <c r="E29" s="8">
        <f t="shared" si="1"/>
        <v>43089</v>
      </c>
      <c r="F29" s="9">
        <f>SUMIFS(tblData[Amount],
                   tblData[Rpt Date],"="&amp;$E29,
                   tblData[ScenarioGroup],"="&amp;$D29)</f>
        <v>10026916.67</v>
      </c>
      <c r="G29" s="9">
        <f t="shared" si="2"/>
        <v>10026916.67</v>
      </c>
      <c r="I29" s="7" t="s">
        <v>42</v>
      </c>
      <c r="J29" s="7" t="str">
        <f t="shared" si="8"/>
        <v>Current</v>
      </c>
      <c r="K29" s="8">
        <f t="shared" si="3"/>
        <v>43089</v>
      </c>
      <c r="L29" s="9">
        <f>SUMIFS(tblData[Amount],
                   tblData[Rpt Date],"="&amp;K29,
                   tblData[ScenarioGroup],"="&amp;J29,
                   tblData[PrentGroup],"="&amp;I29)</f>
        <v>8973545.1000000015</v>
      </c>
      <c r="M29" s="9">
        <f>SUMIFS(tblData[Amount],
                   tblData[Rpt Date],"="&amp;K29,
                   tblData[ScenarioGroup],"="&amp;J29,
                   tblData[PrentGroup],"="&amp;I29)</f>
        <v>8973545.1000000015</v>
      </c>
      <c r="O29" s="7" t="s">
        <v>43</v>
      </c>
      <c r="P29" s="7" t="str">
        <f t="shared" si="9"/>
        <v>Current</v>
      </c>
      <c r="Q29" s="8">
        <f t="shared" si="4"/>
        <v>43089</v>
      </c>
      <c r="R29" s="9">
        <f>SUMIFS(tblData[Amount],
                   tblData[Rpt Date],"="&amp;Q29,
                   tblData[ScenarioGroup],"="&amp;P29,
                   tblData[PrentGroup],"="&amp;O29)</f>
        <v>934192.21999999974</v>
      </c>
      <c r="S29" s="9">
        <f>SUMIFS(tblData[Amount],
                   tblData[Rpt Date],"="&amp;Q29,
                   tblData[ScenarioGroup],"="&amp;P29,
                   tblData[PrentGroup],"="&amp;O29)</f>
        <v>934192.21999999974</v>
      </c>
      <c r="U29" s="7" t="s">
        <v>69</v>
      </c>
      <c r="V29" s="7" t="str">
        <f t="shared" si="10"/>
        <v>Current</v>
      </c>
      <c r="W29" s="8">
        <f t="shared" si="5"/>
        <v>43089</v>
      </c>
      <c r="X29" s="9">
        <f>SUMIFS(tblData[Amount],
                   tblData[Rpt Date],"="&amp;W29,
                   tblData[ScenarioGroup],"="&amp;V29,
                   tblData[PrentGroup],"="&amp;U29)</f>
        <v>90518.239999999976</v>
      </c>
      <c r="Y29" s="9">
        <f>SUMIFS(tblData[Amount],
                   tblData[Rpt Date],"="&amp;W29,
                   tblData[ScenarioGroup],"="&amp;V29,
                   tblData[PrentGroup],"="&amp;U29)</f>
        <v>90518.239999999976</v>
      </c>
      <c r="AA29" s="7" t="s">
        <v>41</v>
      </c>
      <c r="AB29" s="7" t="str">
        <f t="shared" si="11"/>
        <v>Current</v>
      </c>
      <c r="AC29" s="8">
        <f t="shared" si="6"/>
        <v>43089</v>
      </c>
      <c r="AD29" s="9">
        <f>SUMIFS(tblData[Amount],
                   tblData[Rpt Date],"="&amp;AC29,
                   tblData[ScenarioGroup],"="&amp;AB29,
                   tblData[PrentGroup],"="&amp;AA29)</f>
        <v>28661.11</v>
      </c>
      <c r="AE29" s="9">
        <f>SUMIFS(tblData[Amount],
                   tblData[Rpt Date],"="&amp;AC29,
                   tblData[ScenarioGroup],"="&amp;AB29,
                   tblData[PrentGroup],"="&amp;AA29)</f>
        <v>28661.11</v>
      </c>
    </row>
    <row r="30" spans="2:31" x14ac:dyDescent="0.25">
      <c r="B30">
        <f t="shared" si="0"/>
        <v>24</v>
      </c>
      <c r="C30" s="7" t="s">
        <v>67</v>
      </c>
      <c r="D30" s="7" t="str">
        <f t="shared" si="7"/>
        <v>Current</v>
      </c>
      <c r="E30" s="8">
        <f t="shared" si="1"/>
        <v>43096</v>
      </c>
      <c r="F30" s="9">
        <f>SUMIFS(tblData[Amount],
                   tblData[Rpt Date],"="&amp;$E30,
                   tblData[ScenarioGroup],"="&amp;$D30)</f>
        <v>10026916.67</v>
      </c>
      <c r="G30" s="9">
        <f t="shared" si="2"/>
        <v>10026916.67</v>
      </c>
      <c r="I30" s="7" t="s">
        <v>42</v>
      </c>
      <c r="J30" s="7" t="str">
        <f t="shared" si="8"/>
        <v>Current</v>
      </c>
      <c r="K30" s="8">
        <f t="shared" si="3"/>
        <v>43096</v>
      </c>
      <c r="L30" s="9">
        <f>SUMIFS(tblData[Amount],
                   tblData[Rpt Date],"="&amp;K30,
                   tblData[ScenarioGroup],"="&amp;J30,
                   tblData[PrentGroup],"="&amp;I30)</f>
        <v>8973545.1000000015</v>
      </c>
      <c r="M30" s="9">
        <f>SUMIFS(tblData[Amount],
                   tblData[Rpt Date],"="&amp;K30,
                   tblData[ScenarioGroup],"="&amp;J30,
                   tblData[PrentGroup],"="&amp;I30)</f>
        <v>8973545.1000000015</v>
      </c>
      <c r="O30" s="7" t="s">
        <v>43</v>
      </c>
      <c r="P30" s="7" t="str">
        <f t="shared" si="9"/>
        <v>Current</v>
      </c>
      <c r="Q30" s="8">
        <f t="shared" si="4"/>
        <v>43096</v>
      </c>
      <c r="R30" s="9">
        <f>SUMIFS(tblData[Amount],
                   tblData[Rpt Date],"="&amp;Q30,
                   tblData[ScenarioGroup],"="&amp;P30,
                   tblData[PrentGroup],"="&amp;O30)</f>
        <v>934192.21999999974</v>
      </c>
      <c r="S30" s="9">
        <f>SUMIFS(tblData[Amount],
                   tblData[Rpt Date],"="&amp;Q30,
                   tblData[ScenarioGroup],"="&amp;P30,
                   tblData[PrentGroup],"="&amp;O30)</f>
        <v>934192.21999999974</v>
      </c>
      <c r="U30" s="7" t="s">
        <v>69</v>
      </c>
      <c r="V30" s="7" t="str">
        <f t="shared" si="10"/>
        <v>Current</v>
      </c>
      <c r="W30" s="8">
        <f t="shared" si="5"/>
        <v>43096</v>
      </c>
      <c r="X30" s="9">
        <f>SUMIFS(tblData[Amount],
                   tblData[Rpt Date],"="&amp;W30,
                   tblData[ScenarioGroup],"="&amp;V30,
                   tblData[PrentGroup],"="&amp;U30)</f>
        <v>90518.239999999976</v>
      </c>
      <c r="Y30" s="9">
        <f>SUMIFS(tblData[Amount],
                   tblData[Rpt Date],"="&amp;W30,
                   tblData[ScenarioGroup],"="&amp;V30,
                   tblData[PrentGroup],"="&amp;U30)</f>
        <v>90518.239999999976</v>
      </c>
      <c r="AA30" s="7" t="s">
        <v>41</v>
      </c>
      <c r="AB30" s="7" t="str">
        <f t="shared" si="11"/>
        <v>Current</v>
      </c>
      <c r="AC30" s="8">
        <f t="shared" si="6"/>
        <v>43096</v>
      </c>
      <c r="AD30" s="9">
        <f>SUMIFS(tblData[Amount],
                   tblData[Rpt Date],"="&amp;AC30,
                   tblData[ScenarioGroup],"="&amp;AB30,
                   tblData[PrentGroup],"="&amp;AA30)</f>
        <v>28661.11</v>
      </c>
      <c r="AE30" s="9">
        <f>SUMIFS(tblData[Amount],
                   tblData[Rpt Date],"="&amp;AC30,
                   tblData[ScenarioGroup],"="&amp;AB30,
                   tblData[PrentGroup],"="&amp;AA30)</f>
        <v>28661.11</v>
      </c>
    </row>
    <row r="31" spans="2:31" x14ac:dyDescent="0.25">
      <c r="B31">
        <f t="shared" si="0"/>
        <v>25</v>
      </c>
      <c r="C31" s="7" t="s">
        <v>67</v>
      </c>
      <c r="D31" s="7" t="str">
        <f t="shared" si="7"/>
        <v>Current</v>
      </c>
      <c r="E31" s="8">
        <f t="shared" si="1"/>
        <v>43103</v>
      </c>
      <c r="F31" s="9">
        <f>SUMIFS(tblData[Amount],
                   tblData[Rpt Date],"="&amp;$E31,
                   tblData[ScenarioGroup],"="&amp;$D31)</f>
        <v>9520684.4099999145</v>
      </c>
      <c r="G31" s="9">
        <f t="shared" si="2"/>
        <v>9520684.4099999145</v>
      </c>
      <c r="I31" s="7" t="s">
        <v>42</v>
      </c>
      <c r="J31" s="7" t="str">
        <f t="shared" si="8"/>
        <v>Current</v>
      </c>
      <c r="K31" s="8">
        <f t="shared" si="3"/>
        <v>43103</v>
      </c>
      <c r="L31" s="9">
        <f>SUMIFS(tblData[Amount],
                   tblData[Rpt Date],"="&amp;K31,
                   tblData[ScenarioGroup],"="&amp;J31,
                   tblData[PrentGroup],"="&amp;I31)</f>
        <v>8368157.299999916</v>
      </c>
      <c r="M31" s="9">
        <f>SUMIFS(tblData[Amount],
                   tblData[Rpt Date],"="&amp;K31,
                   tblData[ScenarioGroup],"="&amp;J31,
                   tblData[PrentGroup],"="&amp;I31)</f>
        <v>8368157.299999916</v>
      </c>
      <c r="O31" s="7" t="s">
        <v>43</v>
      </c>
      <c r="P31" s="7" t="str">
        <f t="shared" si="9"/>
        <v>Current</v>
      </c>
      <c r="Q31" s="8">
        <f t="shared" si="4"/>
        <v>43103</v>
      </c>
      <c r="R31" s="9">
        <f>SUMIFS(tblData[Amount],
                   tblData[Rpt Date],"="&amp;Q31,
                   tblData[ScenarioGroup],"="&amp;P31,
                   tblData[PrentGroup],"="&amp;O31)</f>
        <v>995499.31999999948</v>
      </c>
      <c r="S31" s="9">
        <f>SUMIFS(tblData[Amount],
                   tblData[Rpt Date],"="&amp;Q31,
                   tblData[ScenarioGroup],"="&amp;P31,
                   tblData[PrentGroup],"="&amp;O31)</f>
        <v>995499.31999999948</v>
      </c>
      <c r="U31" s="7" t="s">
        <v>69</v>
      </c>
      <c r="V31" s="7" t="str">
        <f t="shared" si="10"/>
        <v>Current</v>
      </c>
      <c r="W31" s="8">
        <f t="shared" si="5"/>
        <v>43103</v>
      </c>
      <c r="X31" s="9">
        <f>SUMIFS(tblData[Amount],
                   tblData[Rpt Date],"="&amp;W31,
                   tblData[ScenarioGroup],"="&amp;V31,
                   tblData[PrentGroup],"="&amp;U31)</f>
        <v>123051.89999999994</v>
      </c>
      <c r="Y31" s="9">
        <f>SUMIFS(tblData[Amount],
                   tblData[Rpt Date],"="&amp;W31,
                   tblData[ScenarioGroup],"="&amp;V31,
                   tblData[PrentGroup],"="&amp;U31)</f>
        <v>123051.89999999994</v>
      </c>
      <c r="AA31" s="7" t="s">
        <v>41</v>
      </c>
      <c r="AB31" s="7" t="str">
        <f t="shared" si="11"/>
        <v>Current</v>
      </c>
      <c r="AC31" s="8">
        <f t="shared" si="6"/>
        <v>43103</v>
      </c>
      <c r="AD31" s="9">
        <f>SUMIFS(tblData[Amount],
                   tblData[Rpt Date],"="&amp;AC31,
                   tblData[ScenarioGroup],"="&amp;AB31,
                   tblData[PrentGroup],"="&amp;AA31)</f>
        <v>33975.89</v>
      </c>
      <c r="AE31" s="9">
        <f>SUMIFS(tblData[Amount],
                   tblData[Rpt Date],"="&amp;AC31,
                   tblData[ScenarioGroup],"="&amp;AB31,
                   tblData[PrentGroup],"="&amp;AA31)</f>
        <v>33975.89</v>
      </c>
    </row>
    <row r="32" spans="2:31" x14ac:dyDescent="0.25">
      <c r="B32">
        <f t="shared" si="0"/>
        <v>26</v>
      </c>
      <c r="C32" s="7" t="s">
        <v>67</v>
      </c>
      <c r="D32" s="7" t="str">
        <f t="shared" si="7"/>
        <v>Current</v>
      </c>
      <c r="E32" s="8">
        <f t="shared" si="1"/>
        <v>43110</v>
      </c>
      <c r="F32" s="9">
        <f>SUMIFS(tblData[Amount],
                   tblData[Rpt Date],"="&amp;$E32,
                   tblData[ScenarioGroup],"="&amp;$D32)</f>
        <v>9737516.1599999275</v>
      </c>
      <c r="G32" s="9">
        <f t="shared" si="2"/>
        <v>9737516.1599999275</v>
      </c>
      <c r="I32" s="7" t="s">
        <v>42</v>
      </c>
      <c r="J32" s="7" t="str">
        <f t="shared" si="8"/>
        <v>Current</v>
      </c>
      <c r="K32" s="8">
        <f t="shared" si="3"/>
        <v>43110</v>
      </c>
      <c r="L32" s="9">
        <f>SUMIFS(tblData[Amount],
                   tblData[Rpt Date],"="&amp;K32,
                   tblData[ScenarioGroup],"="&amp;J32,
                   tblData[PrentGroup],"="&amp;I32)</f>
        <v>8603122.1399999298</v>
      </c>
      <c r="M32" s="9">
        <f>SUMIFS(tblData[Amount],
                   tblData[Rpt Date],"="&amp;K32,
                   tblData[ScenarioGroup],"="&amp;J32,
                   tblData[PrentGroup],"="&amp;I32)</f>
        <v>8603122.1399999298</v>
      </c>
      <c r="O32" s="7" t="s">
        <v>43</v>
      </c>
      <c r="P32" s="7" t="str">
        <f t="shared" si="9"/>
        <v>Current</v>
      </c>
      <c r="Q32" s="8">
        <f t="shared" si="4"/>
        <v>43110</v>
      </c>
      <c r="R32" s="9">
        <f>SUMIFS(tblData[Amount],
                   tblData[Rpt Date],"="&amp;Q32,
                   tblData[ScenarioGroup],"="&amp;P32,
                   tblData[PrentGroup],"="&amp;O32)</f>
        <v>986787.83999999822</v>
      </c>
      <c r="S32" s="9">
        <f>SUMIFS(tblData[Amount],
                   tblData[Rpt Date],"="&amp;Q32,
                   tblData[ScenarioGroup],"="&amp;P32,
                   tblData[PrentGroup],"="&amp;O32)</f>
        <v>986787.83999999822</v>
      </c>
      <c r="U32" s="7" t="s">
        <v>69</v>
      </c>
      <c r="V32" s="7" t="str">
        <f t="shared" si="10"/>
        <v>Current</v>
      </c>
      <c r="W32" s="8">
        <f t="shared" si="5"/>
        <v>43110</v>
      </c>
      <c r="X32" s="9">
        <f>SUMIFS(tblData[Amount],
                   tblData[Rpt Date],"="&amp;W32,
                   tblData[ScenarioGroup],"="&amp;V32,
                   tblData[PrentGroup],"="&amp;U32)</f>
        <v>115405.67</v>
      </c>
      <c r="Y32" s="9">
        <f>SUMIFS(tblData[Amount],
                   tblData[Rpt Date],"="&amp;W32,
                   tblData[ScenarioGroup],"="&amp;V32,
                   tblData[PrentGroup],"="&amp;U32)</f>
        <v>115405.67</v>
      </c>
      <c r="AA32" s="7" t="s">
        <v>41</v>
      </c>
      <c r="AB32" s="7" t="str">
        <f t="shared" si="11"/>
        <v>Current</v>
      </c>
      <c r="AC32" s="8">
        <f t="shared" si="6"/>
        <v>43110</v>
      </c>
      <c r="AD32" s="9">
        <f>SUMIFS(tblData[Amount],
                   tblData[Rpt Date],"="&amp;AC32,
                   tblData[ScenarioGroup],"="&amp;AB32,
                   tblData[PrentGroup],"="&amp;AA32)</f>
        <v>32200.509999999995</v>
      </c>
      <c r="AE32" s="9">
        <f>SUMIFS(tblData[Amount],
                   tblData[Rpt Date],"="&amp;AC32,
                   tblData[ScenarioGroup],"="&amp;AB32,
                   tblData[PrentGroup],"="&amp;AA32)</f>
        <v>32200.509999999995</v>
      </c>
    </row>
    <row r="33" spans="2:31" x14ac:dyDescent="0.25">
      <c r="B33">
        <f t="shared" si="0"/>
        <v>27</v>
      </c>
      <c r="C33" s="7" t="s">
        <v>67</v>
      </c>
      <c r="D33" s="7" t="str">
        <f t="shared" si="7"/>
        <v>Current</v>
      </c>
      <c r="E33" s="8">
        <f t="shared" si="1"/>
        <v>43117</v>
      </c>
      <c r="F33" s="9">
        <f>SUMIFS(tblData[Amount],
                   tblData[Rpt Date],"="&amp;$E33,
                   tblData[ScenarioGroup],"="&amp;$D33)</f>
        <v>9884477.8599998653</v>
      </c>
      <c r="G33" s="9">
        <f t="shared" si="2"/>
        <v>9884477.8599998653</v>
      </c>
      <c r="I33" s="7" t="s">
        <v>42</v>
      </c>
      <c r="J33" s="7" t="str">
        <f t="shared" si="8"/>
        <v>Current</v>
      </c>
      <c r="K33" s="8">
        <f t="shared" si="3"/>
        <v>43117</v>
      </c>
      <c r="L33" s="9">
        <f>SUMIFS(tblData[Amount],
                   tblData[Rpt Date],"="&amp;K33,
                   tblData[ScenarioGroup],"="&amp;J33,
                   tblData[PrentGroup],"="&amp;I33)</f>
        <v>8687230.5499998666</v>
      </c>
      <c r="M33" s="9">
        <f>SUMIFS(tblData[Amount],
                   tblData[Rpt Date],"="&amp;K33,
                   tblData[ScenarioGroup],"="&amp;J33,
                   tblData[PrentGroup],"="&amp;I33)</f>
        <v>8687230.5499998666</v>
      </c>
      <c r="O33" s="7" t="s">
        <v>43</v>
      </c>
      <c r="P33" s="7" t="str">
        <f t="shared" si="9"/>
        <v>Current</v>
      </c>
      <c r="Q33" s="8">
        <f t="shared" si="4"/>
        <v>43117</v>
      </c>
      <c r="R33" s="9">
        <f>SUMIFS(tblData[Amount],
                   tblData[Rpt Date],"="&amp;Q33,
                   tblData[ScenarioGroup],"="&amp;P33,
                   tblData[PrentGroup],"="&amp;O33)</f>
        <v>1032607.8499999976</v>
      </c>
      <c r="S33" s="9">
        <f>SUMIFS(tblData[Amount],
                   tblData[Rpt Date],"="&amp;Q33,
                   tblData[ScenarioGroup],"="&amp;P33,
                   tblData[PrentGroup],"="&amp;O33)</f>
        <v>1032607.8499999976</v>
      </c>
      <c r="U33" s="7" t="s">
        <v>69</v>
      </c>
      <c r="V33" s="7" t="str">
        <f t="shared" si="10"/>
        <v>Current</v>
      </c>
      <c r="W33" s="8">
        <f t="shared" si="5"/>
        <v>43117</v>
      </c>
      <c r="X33" s="9">
        <f>SUMIFS(tblData[Amount],
                   tblData[Rpt Date],"="&amp;W33,
                   tblData[ScenarioGroup],"="&amp;V33,
                   tblData[PrentGroup],"="&amp;U33)</f>
        <v>133886.53</v>
      </c>
      <c r="Y33" s="9">
        <f>SUMIFS(tblData[Amount],
                   tblData[Rpt Date],"="&amp;W33,
                   tblData[ScenarioGroup],"="&amp;V33,
                   tblData[PrentGroup],"="&amp;U33)</f>
        <v>133886.53</v>
      </c>
      <c r="AA33" s="7" t="s">
        <v>41</v>
      </c>
      <c r="AB33" s="7" t="str">
        <f t="shared" si="11"/>
        <v>Current</v>
      </c>
      <c r="AC33" s="8">
        <f t="shared" si="6"/>
        <v>43117</v>
      </c>
      <c r="AD33" s="9">
        <f>SUMIFS(tblData[Amount],
                   tblData[Rpt Date],"="&amp;AC33,
                   tblData[ScenarioGroup],"="&amp;AB33,
                   tblData[PrentGroup],"="&amp;AA33)</f>
        <v>30752.929999999997</v>
      </c>
      <c r="AE33" s="9">
        <f>SUMIFS(tblData[Amount],
                   tblData[Rpt Date],"="&amp;AC33,
                   tblData[ScenarioGroup],"="&amp;AB33,
                   tblData[PrentGroup],"="&amp;AA33)</f>
        <v>30752.929999999997</v>
      </c>
    </row>
    <row r="34" spans="2:31" x14ac:dyDescent="0.25">
      <c r="B34">
        <f t="shared" si="0"/>
        <v>28</v>
      </c>
      <c r="C34" s="7" t="s">
        <v>67</v>
      </c>
      <c r="D34" s="7" t="str">
        <f t="shared" si="7"/>
        <v>Current</v>
      </c>
      <c r="E34" s="8">
        <f t="shared" si="1"/>
        <v>43124</v>
      </c>
      <c r="F34" s="9">
        <f>SUMIFS(tblData[Amount],
                   tblData[Rpt Date],"="&amp;$E34,
                   tblData[ScenarioGroup],"="&amp;$D34)</f>
        <v>9164256.3299999032</v>
      </c>
      <c r="G34" s="9">
        <f t="shared" si="2"/>
        <v>9164256.3299999032</v>
      </c>
      <c r="I34" s="7" t="s">
        <v>42</v>
      </c>
      <c r="J34" s="7" t="str">
        <f t="shared" si="8"/>
        <v>Current</v>
      </c>
      <c r="K34" s="8">
        <f t="shared" si="3"/>
        <v>43124</v>
      </c>
      <c r="L34" s="9">
        <f>SUMIFS(tblData[Amount],
                   tblData[Rpt Date],"="&amp;K34,
                   tblData[ScenarioGroup],"="&amp;J34,
                   tblData[PrentGroup],"="&amp;I34)</f>
        <v>7926173.8999999063</v>
      </c>
      <c r="M34" s="9">
        <f>SUMIFS(tblData[Amount],
                   tblData[Rpt Date],"="&amp;K34,
                   tblData[ScenarioGroup],"="&amp;J34,
                   tblData[PrentGroup],"="&amp;I34)</f>
        <v>7926173.8999999063</v>
      </c>
      <c r="O34" s="7" t="s">
        <v>43</v>
      </c>
      <c r="P34" s="7" t="str">
        <f t="shared" si="9"/>
        <v>Current</v>
      </c>
      <c r="Q34" s="8">
        <f t="shared" si="4"/>
        <v>43124</v>
      </c>
      <c r="R34" s="9">
        <f>SUMIFS(tblData[Amount],
                   tblData[Rpt Date],"="&amp;Q34,
                   tblData[ScenarioGroup],"="&amp;P34,
                   tblData[PrentGroup],"="&amp;O34)</f>
        <v>1080208.879999999</v>
      </c>
      <c r="S34" s="9">
        <f>SUMIFS(tblData[Amount],
                   tblData[Rpt Date],"="&amp;Q34,
                   tblData[ScenarioGroup],"="&amp;P34,
                   tblData[PrentGroup],"="&amp;O34)</f>
        <v>1080208.879999999</v>
      </c>
      <c r="U34" s="7" t="s">
        <v>69</v>
      </c>
      <c r="V34" s="7" t="str">
        <f t="shared" si="10"/>
        <v>Current</v>
      </c>
      <c r="W34" s="8">
        <f t="shared" si="5"/>
        <v>43124</v>
      </c>
      <c r="X34" s="9">
        <f>SUMIFS(tblData[Amount],
                   tblData[Rpt Date],"="&amp;W34,
                   tblData[ScenarioGroup],"="&amp;V34,
                   tblData[PrentGroup],"="&amp;U34)</f>
        <v>124147.05999999994</v>
      </c>
      <c r="Y34" s="9">
        <f>SUMIFS(tblData[Amount],
                   tblData[Rpt Date],"="&amp;W34,
                   tblData[ScenarioGroup],"="&amp;V34,
                   tblData[PrentGroup],"="&amp;U34)</f>
        <v>124147.05999999994</v>
      </c>
      <c r="AA34" s="7" t="s">
        <v>41</v>
      </c>
      <c r="AB34" s="7" t="str">
        <f t="shared" si="11"/>
        <v>Current</v>
      </c>
      <c r="AC34" s="8">
        <f t="shared" si="6"/>
        <v>43124</v>
      </c>
      <c r="AD34" s="9">
        <f>SUMIFS(tblData[Amount],
                   tblData[Rpt Date],"="&amp;AC34,
                   tblData[ScenarioGroup],"="&amp;AB34,
                   tblData[PrentGroup],"="&amp;AA34)</f>
        <v>33726.49</v>
      </c>
      <c r="AE34" s="9">
        <f>SUMIFS(tblData[Amount],
                   tblData[Rpt Date],"="&amp;AC34,
                   tblData[ScenarioGroup],"="&amp;AB34,
                   tblData[PrentGroup],"="&amp;AA34)</f>
        <v>33726.49</v>
      </c>
    </row>
    <row r="35" spans="2:31" x14ac:dyDescent="0.25">
      <c r="B35">
        <f t="shared" si="0"/>
        <v>29</v>
      </c>
      <c r="C35" s="7" t="s">
        <v>67</v>
      </c>
      <c r="D35" s="7" t="str">
        <f t="shared" si="7"/>
        <v>Current</v>
      </c>
      <c r="E35" s="8">
        <f t="shared" si="1"/>
        <v>43131</v>
      </c>
      <c r="F35" s="9">
        <f>SUMIFS(tblData[Amount],
                   tblData[Rpt Date],"="&amp;$E35,
                   tblData[ScenarioGroup],"="&amp;$D35)</f>
        <v>7793791.9800000275</v>
      </c>
      <c r="G35" s="9">
        <f t="shared" si="2"/>
        <v>7793791.9800000275</v>
      </c>
      <c r="I35" s="7" t="s">
        <v>42</v>
      </c>
      <c r="J35" s="7" t="str">
        <f t="shared" si="8"/>
        <v>Current</v>
      </c>
      <c r="K35" s="8">
        <f t="shared" si="3"/>
        <v>43131</v>
      </c>
      <c r="L35" s="9">
        <f>SUMIFS(tblData[Amount],
                   tblData[Rpt Date],"="&amp;K35,
                   tblData[ScenarioGroup],"="&amp;J35,
                   tblData[PrentGroup],"="&amp;I35)</f>
        <v>6553732.0100000286</v>
      </c>
      <c r="M35" s="9">
        <f>SUMIFS(tblData[Amount],
                   tblData[Rpt Date],"="&amp;K35,
                   tblData[ScenarioGroup],"="&amp;J35,
                   tblData[PrentGroup],"="&amp;I35)</f>
        <v>6553732.0100000286</v>
      </c>
      <c r="O35" s="7" t="s">
        <v>43</v>
      </c>
      <c r="P35" s="7" t="str">
        <f t="shared" si="9"/>
        <v>Current</v>
      </c>
      <c r="Q35" s="8">
        <f t="shared" si="4"/>
        <v>43131</v>
      </c>
      <c r="R35" s="9">
        <f>SUMIFS(tblData[Amount],
                   tblData[Rpt Date],"="&amp;Q35,
                   tblData[ScenarioGroup],"="&amp;P35,
                   tblData[PrentGroup],"="&amp;O35)</f>
        <v>1078388.7699999993</v>
      </c>
      <c r="S35" s="9">
        <f>SUMIFS(tblData[Amount],
                   tblData[Rpt Date],"="&amp;Q35,
                   tblData[ScenarioGroup],"="&amp;P35,
                   tblData[PrentGroup],"="&amp;O35)</f>
        <v>1078388.7699999993</v>
      </c>
      <c r="U35" s="7" t="s">
        <v>69</v>
      </c>
      <c r="V35" s="7" t="str">
        <f t="shared" si="10"/>
        <v>Current</v>
      </c>
      <c r="W35" s="8">
        <f t="shared" si="5"/>
        <v>43131</v>
      </c>
      <c r="X35" s="9">
        <f>SUMIFS(tblData[Amount],
                   tblData[Rpt Date],"="&amp;W35,
                   tblData[ScenarioGroup],"="&amp;V35,
                   tblData[PrentGroup],"="&amp;U35)</f>
        <v>133659.06999999995</v>
      </c>
      <c r="Y35" s="9">
        <f>SUMIFS(tblData[Amount],
                   tblData[Rpt Date],"="&amp;W35,
                   tblData[ScenarioGroup],"="&amp;V35,
                   tblData[PrentGroup],"="&amp;U35)</f>
        <v>133659.06999999995</v>
      </c>
      <c r="AA35" s="7" t="s">
        <v>41</v>
      </c>
      <c r="AB35" s="7" t="str">
        <f t="shared" si="11"/>
        <v>Current</v>
      </c>
      <c r="AC35" s="8">
        <f t="shared" si="6"/>
        <v>43131</v>
      </c>
      <c r="AD35" s="9">
        <f>SUMIFS(tblData[Amount],
                   tblData[Rpt Date],"="&amp;AC35,
                   tblData[ScenarioGroup],"="&amp;AB35,
                   tblData[PrentGroup],"="&amp;AA35)</f>
        <v>28012.129999999997</v>
      </c>
      <c r="AE35" s="9">
        <f>SUMIFS(tblData[Amount],
                   tblData[Rpt Date],"="&amp;AC35,
                   tblData[ScenarioGroup],"="&amp;AB35,
                   tblData[PrentGroup],"="&amp;AA35)</f>
        <v>28012.129999999997</v>
      </c>
    </row>
    <row r="36" spans="2:31" x14ac:dyDescent="0.25">
      <c r="B36">
        <f t="shared" si="0"/>
        <v>30</v>
      </c>
      <c r="C36" s="7" t="s">
        <v>67</v>
      </c>
      <c r="D36" s="7" t="str">
        <f t="shared" si="7"/>
        <v>Current</v>
      </c>
      <c r="E36" s="8">
        <f t="shared" si="1"/>
        <v>43138</v>
      </c>
      <c r="F36" s="9">
        <f>SUMIFS(tblData[Amount],
                   tblData[Rpt Date],"="&amp;$E36,
                   tblData[ScenarioGroup],"="&amp;$D36)</f>
        <v>7788262.1800000919</v>
      </c>
      <c r="G36" s="9">
        <f t="shared" si="2"/>
        <v>7788262.1800000919</v>
      </c>
      <c r="I36" s="7" t="s">
        <v>42</v>
      </c>
      <c r="J36" s="7" t="str">
        <f t="shared" si="8"/>
        <v>Current</v>
      </c>
      <c r="K36" s="8">
        <f t="shared" si="3"/>
        <v>43138</v>
      </c>
      <c r="L36" s="9">
        <f>SUMIFS(tblData[Amount],
                   tblData[Rpt Date],"="&amp;K36,
                   tblData[ScenarioGroup],"="&amp;J36,
                   tblData[PrentGroup],"="&amp;I36)</f>
        <v>6518882.5800000923</v>
      </c>
      <c r="M36" s="9">
        <f>SUMIFS(tblData[Amount],
                   tblData[Rpt Date],"="&amp;K36,
                   tblData[ScenarioGroup],"="&amp;J36,
                   tblData[PrentGroup],"="&amp;I36)</f>
        <v>6518882.5800000923</v>
      </c>
      <c r="O36" s="7" t="s">
        <v>43</v>
      </c>
      <c r="P36" s="7" t="str">
        <f t="shared" si="9"/>
        <v>Current</v>
      </c>
      <c r="Q36" s="8">
        <f t="shared" si="4"/>
        <v>43138</v>
      </c>
      <c r="R36" s="9">
        <f>SUMIFS(tblData[Amount],
                   tblData[Rpt Date],"="&amp;Q36,
                   tblData[ScenarioGroup],"="&amp;P36,
                   tblData[PrentGroup],"="&amp;O36)</f>
        <v>1100461.939999999</v>
      </c>
      <c r="S36" s="9">
        <f>SUMIFS(tblData[Amount],
                   tblData[Rpt Date],"="&amp;Q36,
                   tblData[ScenarioGroup],"="&amp;P36,
                   tblData[PrentGroup],"="&amp;O36)</f>
        <v>1100461.939999999</v>
      </c>
      <c r="U36" s="7" t="s">
        <v>69</v>
      </c>
      <c r="V36" s="7" t="str">
        <f t="shared" si="10"/>
        <v>Current</v>
      </c>
      <c r="W36" s="8">
        <f t="shared" si="5"/>
        <v>43138</v>
      </c>
      <c r="X36" s="9">
        <f>SUMIFS(tblData[Amount],
                   tblData[Rpt Date],"="&amp;W36,
                   tblData[ScenarioGroup],"="&amp;V36,
                   tblData[PrentGroup],"="&amp;U36)</f>
        <v>140977.06</v>
      </c>
      <c r="Y36" s="9">
        <f>SUMIFS(tblData[Amount],
                   tblData[Rpt Date],"="&amp;W36,
                   tblData[ScenarioGroup],"="&amp;V36,
                   tblData[PrentGroup],"="&amp;U36)</f>
        <v>140977.06</v>
      </c>
      <c r="AA36" s="7" t="s">
        <v>41</v>
      </c>
      <c r="AB36" s="7" t="str">
        <f t="shared" si="11"/>
        <v>Current</v>
      </c>
      <c r="AC36" s="8">
        <f t="shared" si="6"/>
        <v>43138</v>
      </c>
      <c r="AD36" s="9">
        <f>SUMIFS(tblData[Amount],
                   tblData[Rpt Date],"="&amp;AC36,
                   tblData[ScenarioGroup],"="&amp;AB36,
                   tblData[PrentGroup],"="&amp;AA36)</f>
        <v>27940.599999999995</v>
      </c>
      <c r="AE36" s="9">
        <f>SUMIFS(tblData[Amount],
                   tblData[Rpt Date],"="&amp;AC36,
                   tblData[ScenarioGroup],"="&amp;AB36,
                   tblData[PrentGroup],"="&amp;AA36)</f>
        <v>27940.599999999995</v>
      </c>
    </row>
    <row r="37" spans="2:31" x14ac:dyDescent="0.25">
      <c r="B37">
        <f t="shared" si="0"/>
        <v>31</v>
      </c>
      <c r="C37" s="7" t="s">
        <v>67</v>
      </c>
      <c r="D37" s="7" t="str">
        <f t="shared" si="7"/>
        <v>Current</v>
      </c>
      <c r="E37" s="8">
        <f t="shared" si="1"/>
        <v>43145</v>
      </c>
      <c r="F37" s="9">
        <f>SUMIFS(tblData[Amount],
                   tblData[Rpt Date],"="&amp;$E37,
                   tblData[ScenarioGroup],"="&amp;$D37)</f>
        <v>8645624.7800000422</v>
      </c>
      <c r="G37" s="9">
        <f t="shared" si="2"/>
        <v>8645624.7800000422</v>
      </c>
      <c r="I37" s="7" t="s">
        <v>42</v>
      </c>
      <c r="J37" s="7" t="str">
        <f t="shared" si="8"/>
        <v>Current</v>
      </c>
      <c r="K37" s="8">
        <f t="shared" si="3"/>
        <v>43145</v>
      </c>
      <c r="L37" s="9">
        <f>SUMIFS(tblData[Amount],
                   tblData[Rpt Date],"="&amp;K37,
                   tblData[ScenarioGroup],"="&amp;J37,
                   tblData[PrentGroup],"="&amp;I37)</f>
        <v>7326439.4600000437</v>
      </c>
      <c r="M37" s="9">
        <f>SUMIFS(tblData[Amount],
                   tblData[Rpt Date],"="&amp;K37,
                   tblData[ScenarioGroup],"="&amp;J37,
                   tblData[PrentGroup],"="&amp;I37)</f>
        <v>7326439.4600000437</v>
      </c>
      <c r="O37" s="7" t="s">
        <v>43</v>
      </c>
      <c r="P37" s="7" t="str">
        <f t="shared" si="9"/>
        <v>Current</v>
      </c>
      <c r="Q37" s="8">
        <f t="shared" si="4"/>
        <v>43145</v>
      </c>
      <c r="R37" s="9">
        <f>SUMIFS(tblData[Amount],
                   tblData[Rpt Date],"="&amp;Q37,
                   tblData[ScenarioGroup],"="&amp;P37,
                   tblData[PrentGroup],"="&amp;O37)</f>
        <v>1138907.219999999</v>
      </c>
      <c r="S37" s="9">
        <f>SUMIFS(tblData[Amount],
                   tblData[Rpt Date],"="&amp;Q37,
                   tblData[ScenarioGroup],"="&amp;P37,
                   tblData[PrentGroup],"="&amp;O37)</f>
        <v>1138907.219999999</v>
      </c>
      <c r="U37" s="7" t="s">
        <v>69</v>
      </c>
      <c r="V37" s="7" t="str">
        <f t="shared" si="10"/>
        <v>Current</v>
      </c>
      <c r="W37" s="8">
        <f t="shared" si="5"/>
        <v>43145</v>
      </c>
      <c r="X37" s="9">
        <f>SUMIFS(tblData[Amount],
                   tblData[Rpt Date],"="&amp;W37,
                   tblData[ScenarioGroup],"="&amp;V37,
                   tblData[PrentGroup],"="&amp;U37)</f>
        <v>144099.72</v>
      </c>
      <c r="Y37" s="9">
        <f>SUMIFS(tblData[Amount],
                   tblData[Rpt Date],"="&amp;W37,
                   tblData[ScenarioGroup],"="&amp;V37,
                   tblData[PrentGroup],"="&amp;U37)</f>
        <v>144099.72</v>
      </c>
      <c r="AA37" s="7" t="s">
        <v>41</v>
      </c>
      <c r="AB37" s="7" t="str">
        <f t="shared" si="11"/>
        <v>Current</v>
      </c>
      <c r="AC37" s="8">
        <f t="shared" si="6"/>
        <v>43145</v>
      </c>
      <c r="AD37" s="9">
        <f>SUMIFS(tblData[Amount],
                   tblData[Rpt Date],"="&amp;AC37,
                   tblData[ScenarioGroup],"="&amp;AB37,
                   tblData[PrentGroup],"="&amp;AA37)</f>
        <v>36178.379999999997</v>
      </c>
      <c r="AE37" s="9">
        <f>SUMIFS(tblData[Amount],
                   tblData[Rpt Date],"="&amp;AC37,
                   tblData[ScenarioGroup],"="&amp;AB37,
                   tblData[PrentGroup],"="&amp;AA37)</f>
        <v>36178.379999999997</v>
      </c>
    </row>
    <row r="38" spans="2:31" x14ac:dyDescent="0.25">
      <c r="B38">
        <f t="shared" si="0"/>
        <v>32</v>
      </c>
      <c r="C38" s="7" t="s">
        <v>67</v>
      </c>
      <c r="D38" s="7" t="str">
        <f t="shared" si="7"/>
        <v>Current</v>
      </c>
      <c r="E38" s="8">
        <f t="shared" si="1"/>
        <v>43152</v>
      </c>
      <c r="F38" s="9">
        <f>SUMIFS(tblData[Amount],
                   tblData[Rpt Date],"="&amp;$E38,
                   tblData[ScenarioGroup],"="&amp;$D38)</f>
        <v>8583678.3800000325</v>
      </c>
      <c r="G38" s="9">
        <f t="shared" si="2"/>
        <v>8583678.3800000325</v>
      </c>
      <c r="I38" s="7" t="s">
        <v>42</v>
      </c>
      <c r="J38" s="7" t="str">
        <f t="shared" si="8"/>
        <v>Current</v>
      </c>
      <c r="K38" s="8">
        <f t="shared" si="3"/>
        <v>43152</v>
      </c>
      <c r="L38" s="9">
        <f>SUMIFS(tblData[Amount],
                   tblData[Rpt Date],"="&amp;K38,
                   tblData[ScenarioGroup],"="&amp;J38,
                   tblData[PrentGroup],"="&amp;I38)</f>
        <v>7542711.8800000334</v>
      </c>
      <c r="M38" s="9">
        <f>SUMIFS(tblData[Amount],
                   tblData[Rpt Date],"="&amp;K38,
                   tblData[ScenarioGroup],"="&amp;J38,
                   tblData[PrentGroup],"="&amp;I38)</f>
        <v>7542711.8800000334</v>
      </c>
      <c r="O38" s="7" t="s">
        <v>43</v>
      </c>
      <c r="P38" s="7" t="str">
        <f t="shared" si="9"/>
        <v>Current</v>
      </c>
      <c r="Q38" s="8">
        <f t="shared" si="4"/>
        <v>43152</v>
      </c>
      <c r="R38" s="9">
        <f>SUMIFS(tblData[Amount],
                   tblData[Rpt Date],"="&amp;Q38,
                   tblData[ScenarioGroup],"="&amp;P38,
                   tblData[PrentGroup],"="&amp;O38)</f>
        <v>866819.35999999859</v>
      </c>
      <c r="S38" s="9">
        <f>SUMIFS(tblData[Amount],
                   tblData[Rpt Date],"="&amp;Q38,
                   tblData[ScenarioGroup],"="&amp;P38,
                   tblData[PrentGroup],"="&amp;O38)</f>
        <v>866819.35999999859</v>
      </c>
      <c r="U38" s="7" t="s">
        <v>69</v>
      </c>
      <c r="V38" s="7" t="str">
        <f t="shared" si="10"/>
        <v>Current</v>
      </c>
      <c r="W38" s="8">
        <f t="shared" si="5"/>
        <v>43152</v>
      </c>
      <c r="X38" s="9">
        <f>SUMIFS(tblData[Amount],
                   tblData[Rpt Date],"="&amp;W38,
                   tblData[ScenarioGroup],"="&amp;V38,
                   tblData[PrentGroup],"="&amp;U38)</f>
        <v>135626.08000000002</v>
      </c>
      <c r="Y38" s="9">
        <f>SUMIFS(tblData[Amount],
                   tblData[Rpt Date],"="&amp;W38,
                   tblData[ScenarioGroup],"="&amp;V38,
                   tblData[PrentGroup],"="&amp;U38)</f>
        <v>135626.08000000002</v>
      </c>
      <c r="AA38" s="7" t="s">
        <v>41</v>
      </c>
      <c r="AB38" s="7" t="str">
        <f t="shared" si="11"/>
        <v>Current</v>
      </c>
      <c r="AC38" s="8">
        <f t="shared" si="6"/>
        <v>43152</v>
      </c>
      <c r="AD38" s="9">
        <f>SUMIFS(tblData[Amount],
                   tblData[Rpt Date],"="&amp;AC38,
                   tblData[ScenarioGroup],"="&amp;AB38,
                   tblData[PrentGroup],"="&amp;AA38)</f>
        <v>38521.060000000005</v>
      </c>
      <c r="AE38" s="9">
        <f>SUMIFS(tblData[Amount],
                   tblData[Rpt Date],"="&amp;AC38,
                   tblData[ScenarioGroup],"="&amp;AB38,
                   tblData[PrentGroup],"="&amp;AA38)</f>
        <v>38521.060000000005</v>
      </c>
    </row>
    <row r="39" spans="2:31" x14ac:dyDescent="0.25">
      <c r="B39">
        <f t="shared" si="0"/>
        <v>33</v>
      </c>
      <c r="C39" s="7" t="s">
        <v>67</v>
      </c>
      <c r="D39" s="7" t="str">
        <f t="shared" si="7"/>
        <v>Current</v>
      </c>
      <c r="E39" s="8">
        <f t="shared" si="1"/>
        <v>43159</v>
      </c>
      <c r="F39" s="9">
        <f>SUMIFS(tblData[Amount],
                   tblData[Rpt Date],"="&amp;$E39,
                   tblData[ScenarioGroup],"="&amp;$D39)</f>
        <v>9090261.3500000276</v>
      </c>
      <c r="G39" s="9">
        <f t="shared" si="2"/>
        <v>9090261.3500000276</v>
      </c>
      <c r="I39" s="7" t="s">
        <v>42</v>
      </c>
      <c r="J39" s="7" t="str">
        <f t="shared" si="8"/>
        <v>Current</v>
      </c>
      <c r="K39" s="8">
        <f t="shared" si="3"/>
        <v>43159</v>
      </c>
      <c r="L39" s="9">
        <f>SUMIFS(tblData[Amount],
                   tblData[Rpt Date],"="&amp;K39,
                   tblData[ScenarioGroup],"="&amp;J39,
                   tblData[PrentGroup],"="&amp;I39)</f>
        <v>8092259.6600000272</v>
      </c>
      <c r="M39" s="9">
        <f>SUMIFS(tblData[Amount],
                   tblData[Rpt Date],"="&amp;K39,
                   tblData[ScenarioGroup],"="&amp;J39,
                   tblData[PrentGroup],"="&amp;I39)</f>
        <v>8092259.6600000272</v>
      </c>
      <c r="O39" s="7" t="s">
        <v>43</v>
      </c>
      <c r="P39" s="7" t="str">
        <f t="shared" si="9"/>
        <v>Current</v>
      </c>
      <c r="Q39" s="8">
        <f t="shared" si="4"/>
        <v>43159</v>
      </c>
      <c r="R39" s="9">
        <f>SUMIFS(tblData[Amount],
                   tblData[Rpt Date],"="&amp;Q39,
                   tblData[ScenarioGroup],"="&amp;P39,
                   tblData[PrentGroup],"="&amp;O39)</f>
        <v>830889.82</v>
      </c>
      <c r="S39" s="9">
        <f>SUMIFS(tblData[Amount],
                   tblData[Rpt Date],"="&amp;Q39,
                   tblData[ScenarioGroup],"="&amp;P39,
                   tblData[PrentGroup],"="&amp;O39)</f>
        <v>830889.82</v>
      </c>
      <c r="U39" s="7" t="s">
        <v>69</v>
      </c>
      <c r="V39" s="7" t="str">
        <f t="shared" si="10"/>
        <v>Current</v>
      </c>
      <c r="W39" s="8">
        <f t="shared" si="5"/>
        <v>43159</v>
      </c>
      <c r="X39" s="9">
        <f>SUMIFS(tblData[Amount],
                   tblData[Rpt Date],"="&amp;W39,
                   tblData[ScenarioGroup],"="&amp;V39,
                   tblData[PrentGroup],"="&amp;U39)</f>
        <v>126649.69000000006</v>
      </c>
      <c r="Y39" s="9">
        <f>SUMIFS(tblData[Amount],
                   tblData[Rpt Date],"="&amp;W39,
                   tblData[ScenarioGroup],"="&amp;V39,
                   tblData[PrentGroup],"="&amp;U39)</f>
        <v>126649.69000000006</v>
      </c>
      <c r="AA39" s="7" t="s">
        <v>41</v>
      </c>
      <c r="AB39" s="7" t="str">
        <f t="shared" si="11"/>
        <v>Current</v>
      </c>
      <c r="AC39" s="8">
        <f t="shared" si="6"/>
        <v>43159</v>
      </c>
      <c r="AD39" s="9">
        <f>SUMIFS(tblData[Amount],
                   tblData[Rpt Date],"="&amp;AC39,
                   tblData[ScenarioGroup],"="&amp;AB39,
                   tblData[PrentGroup],"="&amp;AA39)</f>
        <v>40462.179999999993</v>
      </c>
      <c r="AE39" s="9">
        <f>SUMIFS(tblData[Amount],
                   tblData[Rpt Date],"="&amp;AC39,
                   tblData[ScenarioGroup],"="&amp;AB39,
                   tblData[PrentGroup],"="&amp;AA39)</f>
        <v>40462.179999999993</v>
      </c>
    </row>
    <row r="40" spans="2:31" x14ac:dyDescent="0.25">
      <c r="B40">
        <f t="shared" si="0"/>
        <v>34</v>
      </c>
      <c r="C40" s="7" t="s">
        <v>67</v>
      </c>
      <c r="D40" s="7" t="str">
        <f t="shared" si="7"/>
        <v>Current</v>
      </c>
      <c r="E40" s="8">
        <f t="shared" si="1"/>
        <v>43166</v>
      </c>
      <c r="F40" s="9">
        <f>SUMIFS(tblData[Amount],
                   tblData[Rpt Date],"="&amp;$E40,
                   tblData[ScenarioGroup],"="&amp;$D40)</f>
        <v>10203043.680000138</v>
      </c>
      <c r="G40" s="9">
        <f t="shared" si="2"/>
        <v>10203043.680000138</v>
      </c>
      <c r="I40" s="7" t="s">
        <v>42</v>
      </c>
      <c r="J40" s="7" t="str">
        <f t="shared" si="8"/>
        <v>Current</v>
      </c>
      <c r="K40" s="8">
        <f t="shared" si="3"/>
        <v>43166</v>
      </c>
      <c r="L40" s="9">
        <f>SUMIFS(tblData[Amount],
                   tblData[Rpt Date],"="&amp;K40,
                   tblData[ScenarioGroup],"="&amp;J40,
                   tblData[PrentGroup],"="&amp;I40)</f>
        <v>9362423.3600001372</v>
      </c>
      <c r="M40" s="9">
        <f>SUMIFS(tblData[Amount],
                   tblData[Rpt Date],"="&amp;K40,
                   tblData[ScenarioGroup],"="&amp;J40,
                   tblData[PrentGroup],"="&amp;I40)</f>
        <v>9362423.3600001372</v>
      </c>
      <c r="O40" s="7" t="s">
        <v>43</v>
      </c>
      <c r="P40" s="7" t="str">
        <f t="shared" si="9"/>
        <v>Current</v>
      </c>
      <c r="Q40" s="8">
        <f t="shared" si="4"/>
        <v>43166</v>
      </c>
      <c r="R40" s="9">
        <f>SUMIFS(tblData[Amount],
                   tblData[Rpt Date],"="&amp;Q40,
                   tblData[ScenarioGroup],"="&amp;P40,
                   tblData[PrentGroup],"="&amp;O40)</f>
        <v>679340.42999999993</v>
      </c>
      <c r="S40" s="9">
        <f>SUMIFS(tblData[Amount],
                   tblData[Rpt Date],"="&amp;Q40,
                   tblData[ScenarioGroup],"="&amp;P40,
                   tblData[PrentGroup],"="&amp;O40)</f>
        <v>679340.42999999993</v>
      </c>
      <c r="U40" s="7" t="s">
        <v>69</v>
      </c>
      <c r="V40" s="7" t="str">
        <f t="shared" si="10"/>
        <v>Current</v>
      </c>
      <c r="W40" s="8">
        <f t="shared" si="5"/>
        <v>43166</v>
      </c>
      <c r="X40" s="9">
        <f>SUMIFS(tblData[Amount],
                   tblData[Rpt Date],"="&amp;W40,
                   tblData[ScenarioGroup],"="&amp;V40,
                   tblData[PrentGroup],"="&amp;U40)</f>
        <v>125451.34000000005</v>
      </c>
      <c r="Y40" s="9">
        <f>SUMIFS(tblData[Amount],
                   tblData[Rpt Date],"="&amp;W40,
                   tblData[ScenarioGroup],"="&amp;V40,
                   tblData[PrentGroup],"="&amp;U40)</f>
        <v>125451.34000000005</v>
      </c>
      <c r="AA40" s="7" t="s">
        <v>41</v>
      </c>
      <c r="AB40" s="7" t="str">
        <f t="shared" si="11"/>
        <v>Current</v>
      </c>
      <c r="AC40" s="8">
        <f t="shared" si="6"/>
        <v>43166</v>
      </c>
      <c r="AD40" s="9">
        <f>SUMIFS(tblData[Amount],
                   tblData[Rpt Date],"="&amp;AC40,
                   tblData[ScenarioGroup],"="&amp;AB40,
                   tblData[PrentGroup],"="&amp;AA40)</f>
        <v>35828.550000000003</v>
      </c>
      <c r="AE40" s="9">
        <f>SUMIFS(tblData[Amount],
                   tblData[Rpt Date],"="&amp;AC40,
                   tblData[ScenarioGroup],"="&amp;AB40,
                   tblData[PrentGroup],"="&amp;AA40)</f>
        <v>35828.550000000003</v>
      </c>
    </row>
    <row r="41" spans="2:31" x14ac:dyDescent="0.25">
      <c r="B41">
        <f t="shared" si="0"/>
        <v>35</v>
      </c>
      <c r="C41" s="7" t="s">
        <v>67</v>
      </c>
      <c r="D41" s="7" t="str">
        <f t="shared" si="7"/>
        <v>Current</v>
      </c>
      <c r="E41" s="8">
        <f t="shared" si="1"/>
        <v>43173</v>
      </c>
      <c r="F41" s="9">
        <f>SUMIFS(tblData[Amount],
                   tblData[Rpt Date],"="&amp;$E41,
                   tblData[ScenarioGroup],"="&amp;$D41)</f>
        <v>10502553.090000074</v>
      </c>
      <c r="G41" s="9">
        <f t="shared" si="2"/>
        <v>10502553.090000074</v>
      </c>
      <c r="I41" s="7" t="s">
        <v>42</v>
      </c>
      <c r="J41" s="7" t="str">
        <f t="shared" si="8"/>
        <v>Current</v>
      </c>
      <c r="K41" s="8">
        <f t="shared" si="3"/>
        <v>43173</v>
      </c>
      <c r="L41" s="9">
        <f>SUMIFS(tblData[Amount],
                   tblData[Rpt Date],"="&amp;K41,
                   tblData[ScenarioGroup],"="&amp;J41,
                   tblData[PrentGroup],"="&amp;I41)</f>
        <v>9690717.7000000738</v>
      </c>
      <c r="M41" s="9">
        <f>SUMIFS(tblData[Amount],
                   tblData[Rpt Date],"="&amp;K41,
                   tblData[ScenarioGroup],"="&amp;J41,
                   tblData[PrentGroup],"="&amp;I41)</f>
        <v>9690717.7000000738</v>
      </c>
      <c r="O41" s="7" t="s">
        <v>43</v>
      </c>
      <c r="P41" s="7" t="str">
        <f t="shared" si="9"/>
        <v>Current</v>
      </c>
      <c r="Q41" s="8">
        <f t="shared" si="4"/>
        <v>43173</v>
      </c>
      <c r="R41" s="9">
        <f>SUMIFS(tblData[Amount],
                   tblData[Rpt Date],"="&amp;Q41,
                   tblData[ScenarioGroup],"="&amp;P41,
                   tblData[PrentGroup],"="&amp;O41)</f>
        <v>658015.17000000027</v>
      </c>
      <c r="S41" s="9">
        <f>SUMIFS(tblData[Amount],
                   tblData[Rpt Date],"="&amp;Q41,
                   tblData[ScenarioGroup],"="&amp;P41,
                   tblData[PrentGroup],"="&amp;O41)</f>
        <v>658015.17000000027</v>
      </c>
      <c r="U41" s="7" t="s">
        <v>69</v>
      </c>
      <c r="V41" s="7" t="str">
        <f t="shared" si="10"/>
        <v>Current</v>
      </c>
      <c r="W41" s="8">
        <f t="shared" si="5"/>
        <v>43173</v>
      </c>
      <c r="X41" s="9">
        <f>SUMIFS(tblData[Amount],
                   tblData[Rpt Date],"="&amp;W41,
                   tblData[ScenarioGroup],"="&amp;V41,
                   tblData[PrentGroup],"="&amp;U41)</f>
        <v>119729.47999999995</v>
      </c>
      <c r="Y41" s="9">
        <f>SUMIFS(tblData[Amount],
                   tblData[Rpt Date],"="&amp;W41,
                   tblData[ScenarioGroup],"="&amp;V41,
                   tblData[PrentGroup],"="&amp;U41)</f>
        <v>119729.47999999995</v>
      </c>
      <c r="AA41" s="7" t="s">
        <v>41</v>
      </c>
      <c r="AB41" s="7" t="str">
        <f t="shared" si="11"/>
        <v>Current</v>
      </c>
      <c r="AC41" s="8">
        <f t="shared" si="6"/>
        <v>43173</v>
      </c>
      <c r="AD41" s="9">
        <f>SUMIFS(tblData[Amount],
                   tblData[Rpt Date],"="&amp;AC41,
                   tblData[ScenarioGroup],"="&amp;AB41,
                   tblData[PrentGroup],"="&amp;AA41)</f>
        <v>34090.74</v>
      </c>
      <c r="AE41" s="9">
        <f>SUMIFS(tblData[Amount],
                   tblData[Rpt Date],"="&amp;AC41,
                   tblData[ScenarioGroup],"="&amp;AB41,
                   tblData[PrentGroup],"="&amp;AA41)</f>
        <v>34090.74</v>
      </c>
    </row>
    <row r="42" spans="2:31" x14ac:dyDescent="0.25">
      <c r="B42">
        <f t="shared" si="0"/>
        <v>36</v>
      </c>
      <c r="C42" s="7" t="s">
        <v>67</v>
      </c>
      <c r="D42" s="7" t="str">
        <f t="shared" si="7"/>
        <v>Current</v>
      </c>
      <c r="E42" s="8">
        <f t="shared" si="1"/>
        <v>43180</v>
      </c>
      <c r="F42" s="9">
        <f>SUMIFS(tblData[Amount],
                   tblData[Rpt Date],"="&amp;$E42,
                   tblData[ScenarioGroup],"="&amp;$D42)</f>
        <v>10203835.920000022</v>
      </c>
      <c r="G42" s="9">
        <f t="shared" si="2"/>
        <v>10203835.920000022</v>
      </c>
      <c r="I42" s="7" t="s">
        <v>42</v>
      </c>
      <c r="J42" s="7" t="str">
        <f t="shared" si="8"/>
        <v>Current</v>
      </c>
      <c r="K42" s="8">
        <f t="shared" si="3"/>
        <v>43180</v>
      </c>
      <c r="L42" s="9">
        <f>SUMIFS(tblData[Amount],
                   tblData[Rpt Date],"="&amp;K42,
                   tblData[ScenarioGroup],"="&amp;J42,
                   tblData[PrentGroup],"="&amp;I42)</f>
        <v>9379766.8800000213</v>
      </c>
      <c r="M42" s="9">
        <f>SUMIFS(tblData[Amount],
                   tblData[Rpt Date],"="&amp;K42,
                   tblData[ScenarioGroup],"="&amp;J42,
                   tblData[PrentGroup],"="&amp;I42)</f>
        <v>9379766.8800000213</v>
      </c>
      <c r="O42" s="7" t="s">
        <v>43</v>
      </c>
      <c r="P42" s="7" t="str">
        <f t="shared" si="9"/>
        <v>Current</v>
      </c>
      <c r="Q42" s="8">
        <f t="shared" si="4"/>
        <v>43180</v>
      </c>
      <c r="R42" s="9">
        <f>SUMIFS(tblData[Amount],
                   tblData[Rpt Date],"="&amp;Q42,
                   tblData[ScenarioGroup],"="&amp;P42,
                   tblData[PrentGroup],"="&amp;O42)</f>
        <v>670860.14999999979</v>
      </c>
      <c r="S42" s="9">
        <f>SUMIFS(tblData[Amount],
                   tblData[Rpt Date],"="&amp;Q42,
                   tblData[ScenarioGroup],"="&amp;P42,
                   tblData[PrentGroup],"="&amp;O42)</f>
        <v>670860.14999999979</v>
      </c>
      <c r="U42" s="7" t="s">
        <v>69</v>
      </c>
      <c r="V42" s="7" t="str">
        <f t="shared" si="10"/>
        <v>Current</v>
      </c>
      <c r="W42" s="8">
        <f t="shared" si="5"/>
        <v>43180</v>
      </c>
      <c r="X42" s="9">
        <f>SUMIFS(tblData[Amount],
                   tblData[Rpt Date],"="&amp;W42,
                   tblData[ScenarioGroup],"="&amp;V42,
                   tblData[PrentGroup],"="&amp;U42)</f>
        <v>114642.68999999999</v>
      </c>
      <c r="Y42" s="9">
        <f>SUMIFS(tblData[Amount],
                   tblData[Rpt Date],"="&amp;W42,
                   tblData[ScenarioGroup],"="&amp;V42,
                   tblData[PrentGroup],"="&amp;U42)</f>
        <v>114642.68999999999</v>
      </c>
      <c r="AA42" s="7" t="s">
        <v>41</v>
      </c>
      <c r="AB42" s="7" t="str">
        <f t="shared" si="11"/>
        <v>Current</v>
      </c>
      <c r="AC42" s="8">
        <f t="shared" si="6"/>
        <v>43180</v>
      </c>
      <c r="AD42" s="9">
        <f>SUMIFS(tblData[Amount],
                   tblData[Rpt Date],"="&amp;AC42,
                   tblData[ScenarioGroup],"="&amp;AB42,
                   tblData[PrentGroup],"="&amp;AA42)</f>
        <v>38566.200000000004</v>
      </c>
      <c r="AE42" s="9">
        <f>SUMIFS(tblData[Amount],
                   tblData[Rpt Date],"="&amp;AC42,
                   tblData[ScenarioGroup],"="&amp;AB42,
                   tblData[PrentGroup],"="&amp;AA42)</f>
        <v>38566.200000000004</v>
      </c>
    </row>
    <row r="43" spans="2:31" x14ac:dyDescent="0.25">
      <c r="B43">
        <f t="shared" si="0"/>
        <v>37</v>
      </c>
      <c r="C43" s="7" t="s">
        <v>67</v>
      </c>
      <c r="D43" s="7" t="str">
        <f t="shared" si="7"/>
        <v>Current</v>
      </c>
      <c r="E43" s="8">
        <f t="shared" si="1"/>
        <v>43187</v>
      </c>
      <c r="F43" s="9">
        <f>SUMIFS(tblData[Amount],
                   tblData[Rpt Date],"="&amp;$E43,
                   tblData[ScenarioGroup],"="&amp;$D43)</f>
        <v>9352468.2699999865</v>
      </c>
      <c r="G43" s="9">
        <f t="shared" si="2"/>
        <v>9352468.2699999865</v>
      </c>
      <c r="I43" s="7" t="s">
        <v>42</v>
      </c>
      <c r="J43" s="7" t="str">
        <f t="shared" si="8"/>
        <v>Current</v>
      </c>
      <c r="K43" s="8">
        <f t="shared" si="3"/>
        <v>43187</v>
      </c>
      <c r="L43" s="9">
        <f>SUMIFS(tblData[Amount],
                   tblData[Rpt Date],"="&amp;K43,
                   tblData[ScenarioGroup],"="&amp;J43,
                   tblData[PrentGroup],"="&amp;I43)</f>
        <v>8557152.2299999855</v>
      </c>
      <c r="M43" s="9">
        <f>SUMIFS(tblData[Amount],
                   tblData[Rpt Date],"="&amp;K43,
                   tblData[ScenarioGroup],"="&amp;J43,
                   tblData[PrentGroup],"="&amp;I43)</f>
        <v>8557152.2299999855</v>
      </c>
      <c r="O43" s="7" t="s">
        <v>43</v>
      </c>
      <c r="P43" s="7" t="str">
        <f t="shared" si="9"/>
        <v>Current</v>
      </c>
      <c r="Q43" s="8">
        <f t="shared" si="4"/>
        <v>43187</v>
      </c>
      <c r="R43" s="9">
        <f>SUMIFS(tblData[Amount],
                   tblData[Rpt Date],"="&amp;Q43,
                   tblData[ScenarioGroup],"="&amp;P43,
                   tblData[PrentGroup],"="&amp;O43)</f>
        <v>637657.26999999979</v>
      </c>
      <c r="S43" s="9">
        <f>SUMIFS(tblData[Amount],
                   tblData[Rpt Date],"="&amp;Q43,
                   tblData[ScenarioGroup],"="&amp;P43,
                   tblData[PrentGroup],"="&amp;O43)</f>
        <v>637657.26999999979</v>
      </c>
      <c r="U43" s="7" t="s">
        <v>69</v>
      </c>
      <c r="V43" s="7" t="str">
        <f t="shared" si="10"/>
        <v>Current</v>
      </c>
      <c r="W43" s="8">
        <f t="shared" si="5"/>
        <v>43187</v>
      </c>
      <c r="X43" s="9">
        <f>SUMIFS(tblData[Amount],
                   tblData[Rpt Date],"="&amp;W43,
                   tblData[ScenarioGroup],"="&amp;V43,
                   tblData[PrentGroup],"="&amp;U43)</f>
        <v>119063.94999999997</v>
      </c>
      <c r="Y43" s="9">
        <f>SUMIFS(tblData[Amount],
                   tblData[Rpt Date],"="&amp;W43,
                   tblData[ScenarioGroup],"="&amp;V43,
                   tblData[PrentGroup],"="&amp;U43)</f>
        <v>119063.94999999997</v>
      </c>
      <c r="AA43" s="7" t="s">
        <v>41</v>
      </c>
      <c r="AB43" s="7" t="str">
        <f t="shared" si="11"/>
        <v>Current</v>
      </c>
      <c r="AC43" s="8">
        <f t="shared" si="6"/>
        <v>43187</v>
      </c>
      <c r="AD43" s="9">
        <f>SUMIFS(tblData[Amount],
                   tblData[Rpt Date],"="&amp;AC43,
                   tblData[ScenarioGroup],"="&amp;AB43,
                   tblData[PrentGroup],"="&amp;AA43)</f>
        <v>38594.820000000014</v>
      </c>
      <c r="AE43" s="9">
        <f>SUMIFS(tblData[Amount],
                   tblData[Rpt Date],"="&amp;AC43,
                   tblData[ScenarioGroup],"="&amp;AB43,
                   tblData[PrentGroup],"="&amp;AA43)</f>
        <v>38594.820000000014</v>
      </c>
    </row>
    <row r="44" spans="2:31" x14ac:dyDescent="0.25">
      <c r="B44">
        <f t="shared" si="0"/>
        <v>38</v>
      </c>
      <c r="C44" s="7" t="s">
        <v>67</v>
      </c>
      <c r="D44" s="7" t="str">
        <f t="shared" si="7"/>
        <v>Current</v>
      </c>
      <c r="E44" s="8">
        <f t="shared" si="1"/>
        <v>43194</v>
      </c>
      <c r="F44" s="9">
        <f>SUMIFS(tblData[Amount],
                   tblData[Rpt Date],"="&amp;$E44,
                   tblData[ScenarioGroup],"="&amp;$D44)</f>
        <v>9185389.7699999511</v>
      </c>
      <c r="G44" s="9">
        <f t="shared" si="2"/>
        <v>9185389.7699999511</v>
      </c>
      <c r="I44" s="7" t="s">
        <v>42</v>
      </c>
      <c r="J44" s="7" t="str">
        <f t="shared" si="8"/>
        <v>Current</v>
      </c>
      <c r="K44" s="8">
        <f t="shared" si="3"/>
        <v>43194</v>
      </c>
      <c r="L44" s="9">
        <f>SUMIFS(tblData[Amount],
                   tblData[Rpt Date],"="&amp;K44,
                   tblData[ScenarioGroup],"="&amp;J44,
                   tblData[PrentGroup],"="&amp;I44)</f>
        <v>8364306.8099999521</v>
      </c>
      <c r="M44" s="9">
        <f>SUMIFS(tblData[Amount],
                   tblData[Rpt Date],"="&amp;K44,
                   tblData[ScenarioGroup],"="&amp;J44,
                   tblData[PrentGroup],"="&amp;I44)</f>
        <v>8364306.8099999521</v>
      </c>
      <c r="O44" s="7" t="s">
        <v>43</v>
      </c>
      <c r="P44" s="7" t="str">
        <f t="shared" si="9"/>
        <v>Current</v>
      </c>
      <c r="Q44" s="8">
        <f t="shared" si="4"/>
        <v>43194</v>
      </c>
      <c r="R44" s="9">
        <f>SUMIFS(tblData[Amount],
                   tblData[Rpt Date],"="&amp;Q44,
                   tblData[ScenarioGroup],"="&amp;P44,
                   tblData[PrentGroup],"="&amp;O44)</f>
        <v>658792.08000000019</v>
      </c>
      <c r="S44" s="9">
        <f>SUMIFS(tblData[Amount],
                   tblData[Rpt Date],"="&amp;Q44,
                   tblData[ScenarioGroup],"="&amp;P44,
                   tblData[PrentGroup],"="&amp;O44)</f>
        <v>658792.08000000019</v>
      </c>
      <c r="U44" s="7" t="s">
        <v>69</v>
      </c>
      <c r="V44" s="7" t="str">
        <f t="shared" si="10"/>
        <v>Current</v>
      </c>
      <c r="W44" s="8">
        <f t="shared" si="5"/>
        <v>43194</v>
      </c>
      <c r="X44" s="9">
        <f>SUMIFS(tblData[Amount],
                   tblData[Rpt Date],"="&amp;W44,
                   tblData[ScenarioGroup],"="&amp;V44,
                   tblData[PrentGroup],"="&amp;U44)</f>
        <v>128322.12999999995</v>
      </c>
      <c r="Y44" s="9">
        <f>SUMIFS(tblData[Amount],
                   tblData[Rpt Date],"="&amp;W44,
                   tblData[ScenarioGroup],"="&amp;V44,
                   tblData[PrentGroup],"="&amp;U44)</f>
        <v>128322.12999999995</v>
      </c>
      <c r="AA44" s="7" t="s">
        <v>41</v>
      </c>
      <c r="AB44" s="7" t="str">
        <f t="shared" si="11"/>
        <v>Current</v>
      </c>
      <c r="AC44" s="8">
        <f t="shared" si="6"/>
        <v>43194</v>
      </c>
      <c r="AD44" s="9">
        <f>SUMIFS(tblData[Amount],
                   tblData[Rpt Date],"="&amp;AC44,
                   tblData[ScenarioGroup],"="&amp;AB44,
                   tblData[PrentGroup],"="&amp;AA44)</f>
        <v>33968.75</v>
      </c>
      <c r="AE44" s="9">
        <f>SUMIFS(tblData[Amount],
                   tblData[Rpt Date],"="&amp;AC44,
                   tblData[ScenarioGroup],"="&amp;AB44,
                   tblData[PrentGroup],"="&amp;AA44)</f>
        <v>33968.75</v>
      </c>
    </row>
    <row r="45" spans="2:31" x14ac:dyDescent="0.25">
      <c r="B45">
        <f t="shared" si="0"/>
        <v>39</v>
      </c>
      <c r="C45" s="7" t="s">
        <v>67</v>
      </c>
      <c r="D45" s="7" t="str">
        <f t="shared" si="7"/>
        <v>Current</v>
      </c>
      <c r="E45" s="8">
        <f t="shared" si="1"/>
        <v>43201</v>
      </c>
      <c r="F45" s="9">
        <f>SUMIFS(tblData[Amount],
                   tblData[Rpt Date],"="&amp;$E45,
                   tblData[ScenarioGroup],"="&amp;$D45)</f>
        <v>8897842.3399999775</v>
      </c>
      <c r="G45" s="9">
        <f t="shared" si="2"/>
        <v>8897842.3399999775</v>
      </c>
      <c r="I45" s="7" t="s">
        <v>42</v>
      </c>
      <c r="J45" s="7" t="str">
        <f t="shared" si="8"/>
        <v>Current</v>
      </c>
      <c r="K45" s="8">
        <f t="shared" si="3"/>
        <v>43201</v>
      </c>
      <c r="L45" s="9">
        <f>SUMIFS(tblData[Amount],
                   tblData[Rpt Date],"="&amp;K45,
                   tblData[ScenarioGroup],"="&amp;J45,
                   tblData[PrentGroup],"="&amp;I45)</f>
        <v>8197588.529999977</v>
      </c>
      <c r="M45" s="9">
        <f>SUMIFS(tblData[Amount],
                   tblData[Rpt Date],"="&amp;K45,
                   tblData[ScenarioGroup],"="&amp;J45,
                   tblData[PrentGroup],"="&amp;I45)</f>
        <v>8197588.529999977</v>
      </c>
      <c r="O45" s="7" t="s">
        <v>43</v>
      </c>
      <c r="P45" s="7" t="str">
        <f t="shared" si="9"/>
        <v>Current</v>
      </c>
      <c r="Q45" s="8">
        <f t="shared" si="4"/>
        <v>43201</v>
      </c>
      <c r="R45" s="9">
        <f>SUMIFS(tblData[Amount],
                   tblData[Rpt Date],"="&amp;Q45,
                   tblData[ScenarioGroup],"="&amp;P45,
                   tblData[PrentGroup],"="&amp;O45)</f>
        <v>575735.25</v>
      </c>
      <c r="S45" s="9">
        <f>SUMIFS(tblData[Amount],
                   tblData[Rpt Date],"="&amp;Q45,
                   tblData[ScenarioGroup],"="&amp;P45,
                   tblData[PrentGroup],"="&amp;O45)</f>
        <v>575735.25</v>
      </c>
      <c r="U45" s="7" t="s">
        <v>69</v>
      </c>
      <c r="V45" s="7" t="str">
        <f t="shared" si="10"/>
        <v>Current</v>
      </c>
      <c r="W45" s="8">
        <f t="shared" si="5"/>
        <v>43201</v>
      </c>
      <c r="X45" s="9">
        <f>SUMIFS(tblData[Amount],
                   tblData[Rpt Date],"="&amp;W45,
                   tblData[ScenarioGroup],"="&amp;V45,
                   tblData[PrentGroup],"="&amp;U45)</f>
        <v>97670.50999999998</v>
      </c>
      <c r="Y45" s="9">
        <f>SUMIFS(tblData[Amount],
                   tblData[Rpt Date],"="&amp;W45,
                   tblData[ScenarioGroup],"="&amp;V45,
                   tblData[PrentGroup],"="&amp;U45)</f>
        <v>97670.50999999998</v>
      </c>
      <c r="AA45" s="7" t="s">
        <v>41</v>
      </c>
      <c r="AB45" s="7" t="str">
        <f t="shared" si="11"/>
        <v>Current</v>
      </c>
      <c r="AC45" s="8">
        <f t="shared" si="6"/>
        <v>43201</v>
      </c>
      <c r="AD45" s="9">
        <f>SUMIFS(tblData[Amount],
                   tblData[Rpt Date],"="&amp;AC45,
                   tblData[ScenarioGroup],"="&amp;AB45,
                   tblData[PrentGroup],"="&amp;AA45)</f>
        <v>26848.05</v>
      </c>
      <c r="AE45" s="9">
        <f>SUMIFS(tblData[Amount],
                   tblData[Rpt Date],"="&amp;AC45,
                   tblData[ScenarioGroup],"="&amp;AB45,
                   tblData[PrentGroup],"="&amp;AA45)</f>
        <v>26848.05</v>
      </c>
    </row>
    <row r="46" spans="2:31" x14ac:dyDescent="0.25">
      <c r="B46">
        <f t="shared" si="0"/>
        <v>40</v>
      </c>
      <c r="C46" s="7" t="s">
        <v>67</v>
      </c>
      <c r="D46" s="7" t="str">
        <f t="shared" si="7"/>
        <v>Current</v>
      </c>
      <c r="E46" s="8">
        <f t="shared" si="1"/>
        <v>43208</v>
      </c>
      <c r="F46" s="9">
        <f>SUMIFS(tblData[Amount],
                   tblData[Rpt Date],"="&amp;$E46,
                   tblData[ScenarioGroup],"="&amp;$D46)</f>
        <v>8266850.3600000599</v>
      </c>
      <c r="G46" s="9">
        <f t="shared" si="2"/>
        <v>8266850.3600000599</v>
      </c>
      <c r="I46" s="7" t="s">
        <v>42</v>
      </c>
      <c r="J46" s="7" t="str">
        <f t="shared" si="8"/>
        <v>Current</v>
      </c>
      <c r="K46" s="8">
        <f t="shared" si="3"/>
        <v>43208</v>
      </c>
      <c r="L46" s="9">
        <f>SUMIFS(tblData[Amount],
                   tblData[Rpt Date],"="&amp;K46,
                   tblData[ScenarioGroup],"="&amp;J46,
                   tblData[PrentGroup],"="&amp;I46)</f>
        <v>7579055.0600000601</v>
      </c>
      <c r="M46" s="9">
        <f>SUMIFS(tblData[Amount],
                   tblData[Rpt Date],"="&amp;K46,
                   tblData[ScenarioGroup],"="&amp;J46,
                   tblData[PrentGroup],"="&amp;I46)</f>
        <v>7579055.0600000601</v>
      </c>
      <c r="O46" s="7" t="s">
        <v>43</v>
      </c>
      <c r="P46" s="7" t="str">
        <f t="shared" si="9"/>
        <v>Current</v>
      </c>
      <c r="Q46" s="8">
        <f t="shared" si="4"/>
        <v>43208</v>
      </c>
      <c r="R46" s="9">
        <f>SUMIFS(tblData[Amount],
                   tblData[Rpt Date],"="&amp;Q46,
                   tblData[ScenarioGroup],"="&amp;P46,
                   tblData[PrentGroup],"="&amp;O46)</f>
        <v>562795.87999999966</v>
      </c>
      <c r="S46" s="9">
        <f>SUMIFS(tblData[Amount],
                   tblData[Rpt Date],"="&amp;Q46,
                   tblData[ScenarioGroup],"="&amp;P46,
                   tblData[PrentGroup],"="&amp;O46)</f>
        <v>562795.87999999966</v>
      </c>
      <c r="U46" s="7" t="s">
        <v>69</v>
      </c>
      <c r="V46" s="7" t="str">
        <f t="shared" si="10"/>
        <v>Current</v>
      </c>
      <c r="W46" s="8">
        <f t="shared" si="5"/>
        <v>43208</v>
      </c>
      <c r="X46" s="9">
        <f>SUMIFS(tblData[Amount],
                   tblData[Rpt Date],"="&amp;W46,
                   tblData[ScenarioGroup],"="&amp;V46,
                   tblData[PrentGroup],"="&amp;U46)</f>
        <v>97899.069999999949</v>
      </c>
      <c r="Y46" s="9">
        <f>SUMIFS(tblData[Amount],
                   tblData[Rpt Date],"="&amp;W46,
                   tblData[ScenarioGroup],"="&amp;V46,
                   tblData[PrentGroup],"="&amp;U46)</f>
        <v>97899.069999999949</v>
      </c>
      <c r="AA46" s="7" t="s">
        <v>41</v>
      </c>
      <c r="AB46" s="7" t="str">
        <f t="shared" si="11"/>
        <v>Current</v>
      </c>
      <c r="AC46" s="8">
        <f t="shared" si="6"/>
        <v>43208</v>
      </c>
      <c r="AD46" s="9">
        <f>SUMIFS(tblData[Amount],
                   tblData[Rpt Date],"="&amp;AC46,
                   tblData[ScenarioGroup],"="&amp;AB46,
                   tblData[PrentGroup],"="&amp;AA46)</f>
        <v>27100.35</v>
      </c>
      <c r="AE46" s="9">
        <f>SUMIFS(tblData[Amount],
                   tblData[Rpt Date],"="&amp;AC46,
                   tblData[ScenarioGroup],"="&amp;AB46,
                   tblData[PrentGroup],"="&amp;AA46)</f>
        <v>27100.35</v>
      </c>
    </row>
    <row r="47" spans="2:31" x14ac:dyDescent="0.25">
      <c r="B47">
        <f t="shared" si="0"/>
        <v>41</v>
      </c>
      <c r="C47" s="7" t="s">
        <v>67</v>
      </c>
      <c r="D47" s="7" t="str">
        <f t="shared" si="7"/>
        <v>Current</v>
      </c>
      <c r="E47" s="8">
        <f t="shared" si="1"/>
        <v>43215</v>
      </c>
      <c r="F47" s="9">
        <f>SUMIFS(tblData[Amount],
                   tblData[Rpt Date],"="&amp;$E47,
                   tblData[ScenarioGroup],"="&amp;$D47)</f>
        <v>8670036.9500001874</v>
      </c>
      <c r="G47" s="9">
        <f t="shared" si="2"/>
        <v>8670036.9500001874</v>
      </c>
      <c r="I47" s="7" t="s">
        <v>42</v>
      </c>
      <c r="J47" s="7" t="str">
        <f t="shared" si="8"/>
        <v>Current</v>
      </c>
      <c r="K47" s="8">
        <f t="shared" si="3"/>
        <v>43215</v>
      </c>
      <c r="L47" s="9">
        <f>SUMIFS(tblData[Amount],
                   tblData[Rpt Date],"="&amp;K47,
                   tblData[ScenarioGroup],"="&amp;J47,
                   tblData[PrentGroup],"="&amp;I47)</f>
        <v>7973810.2700001886</v>
      </c>
      <c r="M47" s="9">
        <f>SUMIFS(tblData[Amount],
                   tblData[Rpt Date],"="&amp;K47,
                   tblData[ScenarioGroup],"="&amp;J47,
                   tblData[PrentGroup],"="&amp;I47)</f>
        <v>7973810.2700001886</v>
      </c>
      <c r="O47" s="7" t="s">
        <v>43</v>
      </c>
      <c r="P47" s="7" t="str">
        <f t="shared" si="9"/>
        <v>Current</v>
      </c>
      <c r="Q47" s="8">
        <f t="shared" si="4"/>
        <v>43215</v>
      </c>
      <c r="R47" s="9">
        <f>SUMIFS(tblData[Amount],
                   tblData[Rpt Date],"="&amp;Q47,
                   tblData[ScenarioGroup],"="&amp;P47,
                   tblData[PrentGroup],"="&amp;O47)</f>
        <v>566324.64</v>
      </c>
      <c r="S47" s="9">
        <f>SUMIFS(tblData[Amount],
                   tblData[Rpt Date],"="&amp;Q47,
                   tblData[ScenarioGroup],"="&amp;P47,
                   tblData[PrentGroup],"="&amp;O47)</f>
        <v>566324.64</v>
      </c>
      <c r="U47" s="7" t="s">
        <v>69</v>
      </c>
      <c r="V47" s="7" t="str">
        <f t="shared" si="10"/>
        <v>Current</v>
      </c>
      <c r="W47" s="8">
        <f t="shared" si="5"/>
        <v>43215</v>
      </c>
      <c r="X47" s="9">
        <f>SUMIFS(tblData[Amount],
                   tblData[Rpt Date],"="&amp;W47,
                   tblData[ScenarioGroup],"="&amp;V47,
                   tblData[PrentGroup],"="&amp;U47)</f>
        <v>100289.17000000001</v>
      </c>
      <c r="Y47" s="9">
        <f>SUMIFS(tblData[Amount],
                   tblData[Rpt Date],"="&amp;W47,
                   tblData[ScenarioGroup],"="&amp;V47,
                   tblData[PrentGroup],"="&amp;U47)</f>
        <v>100289.17000000001</v>
      </c>
      <c r="AA47" s="7" t="s">
        <v>41</v>
      </c>
      <c r="AB47" s="7" t="str">
        <f t="shared" si="11"/>
        <v>Current</v>
      </c>
      <c r="AC47" s="8">
        <f t="shared" si="6"/>
        <v>43215</v>
      </c>
      <c r="AD47" s="9">
        <f>SUMIFS(tblData[Amount],
                   tblData[Rpt Date],"="&amp;AC47,
                   tblData[ScenarioGroup],"="&amp;AB47,
                   tblData[PrentGroup],"="&amp;AA47)</f>
        <v>29612.869999999995</v>
      </c>
      <c r="AE47" s="9">
        <f>SUMIFS(tblData[Amount],
                   tblData[Rpt Date],"="&amp;AC47,
                   tblData[ScenarioGroup],"="&amp;AB47,
                   tblData[PrentGroup],"="&amp;AA47)</f>
        <v>29612.869999999995</v>
      </c>
    </row>
    <row r="48" spans="2:31" x14ac:dyDescent="0.25">
      <c r="B48">
        <f t="shared" si="0"/>
        <v>42</v>
      </c>
      <c r="C48" s="7" t="s">
        <v>67</v>
      </c>
      <c r="D48" s="7" t="str">
        <f t="shared" si="7"/>
        <v>Current</v>
      </c>
      <c r="E48" s="8">
        <f t="shared" si="1"/>
        <v>43222</v>
      </c>
      <c r="F48" s="9">
        <f>SUMIFS(tblData[Amount],
                   tblData[Rpt Date],"="&amp;$E48,
                   tblData[ScenarioGroup],"="&amp;$D48)</f>
        <v>0</v>
      </c>
      <c r="G48" s="9">
        <f t="shared" si="2"/>
        <v>0</v>
      </c>
      <c r="I48" s="7" t="s">
        <v>42</v>
      </c>
      <c r="J48" s="7" t="str">
        <f t="shared" si="8"/>
        <v>Current</v>
      </c>
      <c r="K48" s="8">
        <f t="shared" si="3"/>
        <v>43222</v>
      </c>
      <c r="L48" s="9">
        <f>SUMIFS(tblData[Amount],
                   tblData[Rpt Date],"="&amp;K48,
                   tblData[ScenarioGroup],"="&amp;J48,
                   tblData[PrentGroup],"="&amp;I48)</f>
        <v>0</v>
      </c>
      <c r="M48" s="9">
        <f>SUMIFS(tblData[Amount],
                   tblData[Rpt Date],"="&amp;K48,
                   tblData[ScenarioGroup],"="&amp;J48,
                   tblData[PrentGroup],"="&amp;I48)</f>
        <v>0</v>
      </c>
      <c r="O48" s="7" t="s">
        <v>43</v>
      </c>
      <c r="P48" s="7" t="str">
        <f t="shared" si="9"/>
        <v>Current</v>
      </c>
      <c r="Q48" s="8">
        <f t="shared" si="4"/>
        <v>43222</v>
      </c>
      <c r="R48" s="9">
        <f>SUMIFS(tblData[Amount],
                   tblData[Rpt Date],"="&amp;Q48,
                   tblData[ScenarioGroup],"="&amp;P48,
                   tblData[PrentGroup],"="&amp;O48)</f>
        <v>0</v>
      </c>
      <c r="S48" s="9">
        <f>SUMIFS(tblData[Amount],
                   tblData[Rpt Date],"="&amp;Q48,
                   tblData[ScenarioGroup],"="&amp;P48,
                   tblData[PrentGroup],"="&amp;O48)</f>
        <v>0</v>
      </c>
      <c r="U48" s="7" t="s">
        <v>69</v>
      </c>
      <c r="V48" s="7" t="str">
        <f t="shared" si="10"/>
        <v>Current</v>
      </c>
      <c r="W48" s="8">
        <f t="shared" si="5"/>
        <v>43222</v>
      </c>
      <c r="X48" s="9">
        <f>SUMIFS(tblData[Amount],
                   tblData[Rpt Date],"="&amp;W48,
                   tblData[ScenarioGroup],"="&amp;V48,
                   tblData[PrentGroup],"="&amp;U48)</f>
        <v>0</v>
      </c>
      <c r="Y48" s="9">
        <f>SUMIFS(tblData[Amount],
                   tblData[Rpt Date],"="&amp;W48,
                   tblData[ScenarioGroup],"="&amp;V48,
                   tblData[PrentGroup],"="&amp;U48)</f>
        <v>0</v>
      </c>
      <c r="AA48" s="7" t="s">
        <v>41</v>
      </c>
      <c r="AB48" s="7" t="str">
        <f t="shared" si="11"/>
        <v>Current</v>
      </c>
      <c r="AC48" s="8">
        <f t="shared" si="6"/>
        <v>43222</v>
      </c>
      <c r="AD48" s="9">
        <f>SUMIFS(tblData[Amount],
                   tblData[Rpt Date],"="&amp;AC48,
                   tblData[ScenarioGroup],"="&amp;AB48,
                   tblData[PrentGroup],"="&amp;AA48)</f>
        <v>0</v>
      </c>
      <c r="AE48" s="9">
        <f>SUMIFS(tblData[Amount],
                   tblData[Rpt Date],"="&amp;AC48,
                   tblData[ScenarioGroup],"="&amp;AB48,
                   tblData[PrentGroup],"="&amp;AA48)</f>
        <v>0</v>
      </c>
    </row>
    <row r="49" spans="2:31" x14ac:dyDescent="0.25">
      <c r="B49">
        <f t="shared" si="0"/>
        <v>43</v>
      </c>
      <c r="C49" s="7" t="s">
        <v>67</v>
      </c>
      <c r="D49" s="7" t="str">
        <f t="shared" si="7"/>
        <v>Current</v>
      </c>
      <c r="E49" s="8">
        <f t="shared" si="1"/>
        <v>43229</v>
      </c>
      <c r="F49" s="9">
        <f>SUMIFS(tblData[Amount],
                   tblData[Rpt Date],"="&amp;$E49,
                   tblData[ScenarioGroup],"="&amp;$D49)</f>
        <v>0</v>
      </c>
      <c r="G49" s="9">
        <f t="shared" si="2"/>
        <v>0</v>
      </c>
      <c r="I49" s="7" t="s">
        <v>42</v>
      </c>
      <c r="J49" s="7" t="str">
        <f t="shared" si="8"/>
        <v>Current</v>
      </c>
      <c r="K49" s="8">
        <f t="shared" si="3"/>
        <v>43229</v>
      </c>
      <c r="L49" s="9">
        <f>SUMIFS(tblData[Amount],
                   tblData[Rpt Date],"="&amp;K49,
                   tblData[ScenarioGroup],"="&amp;J49,
                   tblData[PrentGroup],"="&amp;I49)</f>
        <v>0</v>
      </c>
      <c r="M49" s="9">
        <f>SUMIFS(tblData[Amount],
                   tblData[Rpt Date],"="&amp;K49,
                   tblData[ScenarioGroup],"="&amp;J49,
                   tblData[PrentGroup],"="&amp;I49)</f>
        <v>0</v>
      </c>
      <c r="O49" s="7" t="s">
        <v>43</v>
      </c>
      <c r="P49" s="7" t="str">
        <f t="shared" si="9"/>
        <v>Current</v>
      </c>
      <c r="Q49" s="8">
        <f t="shared" si="4"/>
        <v>43229</v>
      </c>
      <c r="R49" s="9">
        <f>SUMIFS(tblData[Amount],
                   tblData[Rpt Date],"="&amp;Q49,
                   tblData[ScenarioGroup],"="&amp;P49,
                   tblData[PrentGroup],"="&amp;O49)</f>
        <v>0</v>
      </c>
      <c r="S49" s="9">
        <f>SUMIFS(tblData[Amount],
                   tblData[Rpt Date],"="&amp;Q49,
                   tblData[ScenarioGroup],"="&amp;P49,
                   tblData[PrentGroup],"="&amp;O49)</f>
        <v>0</v>
      </c>
      <c r="U49" s="7" t="s">
        <v>69</v>
      </c>
      <c r="V49" s="7" t="str">
        <f t="shared" si="10"/>
        <v>Current</v>
      </c>
      <c r="W49" s="8">
        <f t="shared" si="5"/>
        <v>43229</v>
      </c>
      <c r="X49" s="9">
        <f>SUMIFS(tblData[Amount],
                   tblData[Rpt Date],"="&amp;W49,
                   tblData[ScenarioGroup],"="&amp;V49,
                   tblData[PrentGroup],"="&amp;U49)</f>
        <v>0</v>
      </c>
      <c r="Y49" s="9">
        <f>SUMIFS(tblData[Amount],
                   tblData[Rpt Date],"="&amp;W49,
                   tblData[ScenarioGroup],"="&amp;V49,
                   tblData[PrentGroup],"="&amp;U49)</f>
        <v>0</v>
      </c>
      <c r="AA49" s="7" t="s">
        <v>41</v>
      </c>
      <c r="AB49" s="7" t="str">
        <f t="shared" si="11"/>
        <v>Current</v>
      </c>
      <c r="AC49" s="8">
        <f t="shared" si="6"/>
        <v>43229</v>
      </c>
      <c r="AD49" s="9">
        <f>SUMIFS(tblData[Amount],
                   tblData[Rpt Date],"="&amp;AC49,
                   tblData[ScenarioGroup],"="&amp;AB49,
                   tblData[PrentGroup],"="&amp;AA49)</f>
        <v>0</v>
      </c>
      <c r="AE49" s="9">
        <f>SUMIFS(tblData[Amount],
                   tblData[Rpt Date],"="&amp;AC49,
                   tblData[ScenarioGroup],"="&amp;AB49,
                   tblData[PrentGroup],"="&amp;AA49)</f>
        <v>0</v>
      </c>
    </row>
    <row r="50" spans="2:31" x14ac:dyDescent="0.25">
      <c r="B50">
        <f t="shared" si="0"/>
        <v>44</v>
      </c>
      <c r="C50" s="7" t="s">
        <v>67</v>
      </c>
      <c r="D50" s="7" t="str">
        <f t="shared" si="7"/>
        <v>Current</v>
      </c>
      <c r="E50" s="8">
        <f t="shared" si="1"/>
        <v>43236</v>
      </c>
      <c r="F50" s="9">
        <f>SUMIFS(tblData[Amount],
                   tblData[Rpt Date],"="&amp;$E50,
                   tblData[ScenarioGroup],"="&amp;$D50)</f>
        <v>0</v>
      </c>
      <c r="G50" s="9">
        <f t="shared" si="2"/>
        <v>0</v>
      </c>
      <c r="I50" s="7" t="s">
        <v>42</v>
      </c>
      <c r="J50" s="7" t="str">
        <f t="shared" si="8"/>
        <v>Current</v>
      </c>
      <c r="K50" s="8">
        <f t="shared" si="3"/>
        <v>43236</v>
      </c>
      <c r="L50" s="9">
        <f>SUMIFS(tblData[Amount],
                   tblData[Rpt Date],"="&amp;K50,
                   tblData[ScenarioGroup],"="&amp;J50,
                   tblData[PrentGroup],"="&amp;I50)</f>
        <v>0</v>
      </c>
      <c r="M50" s="9">
        <f>SUMIFS(tblData[Amount],
                   tblData[Rpt Date],"="&amp;K50,
                   tblData[ScenarioGroup],"="&amp;J50,
                   tblData[PrentGroup],"="&amp;I50)</f>
        <v>0</v>
      </c>
      <c r="O50" s="7" t="s">
        <v>43</v>
      </c>
      <c r="P50" s="7" t="str">
        <f t="shared" si="9"/>
        <v>Current</v>
      </c>
      <c r="Q50" s="8">
        <f t="shared" si="4"/>
        <v>43236</v>
      </c>
      <c r="R50" s="9">
        <f>SUMIFS(tblData[Amount],
                   tblData[Rpt Date],"="&amp;Q50,
                   tblData[ScenarioGroup],"="&amp;P50,
                   tblData[PrentGroup],"="&amp;O50)</f>
        <v>0</v>
      </c>
      <c r="S50" s="9">
        <f>SUMIFS(tblData[Amount],
                   tblData[Rpt Date],"="&amp;Q50,
                   tblData[ScenarioGroup],"="&amp;P50,
                   tblData[PrentGroup],"="&amp;O50)</f>
        <v>0</v>
      </c>
      <c r="U50" s="7" t="s">
        <v>69</v>
      </c>
      <c r="V50" s="7" t="str">
        <f t="shared" si="10"/>
        <v>Current</v>
      </c>
      <c r="W50" s="8">
        <f t="shared" si="5"/>
        <v>43236</v>
      </c>
      <c r="X50" s="9">
        <f>SUMIFS(tblData[Amount],
                   tblData[Rpt Date],"="&amp;W50,
                   tblData[ScenarioGroup],"="&amp;V50,
                   tblData[PrentGroup],"="&amp;U50)</f>
        <v>0</v>
      </c>
      <c r="Y50" s="9">
        <f>SUMIFS(tblData[Amount],
                   tblData[Rpt Date],"="&amp;W50,
                   tblData[ScenarioGroup],"="&amp;V50,
                   tblData[PrentGroup],"="&amp;U50)</f>
        <v>0</v>
      </c>
      <c r="AA50" s="7" t="s">
        <v>41</v>
      </c>
      <c r="AB50" s="7" t="str">
        <f t="shared" si="11"/>
        <v>Current</v>
      </c>
      <c r="AC50" s="8">
        <f t="shared" si="6"/>
        <v>43236</v>
      </c>
      <c r="AD50" s="9">
        <f>SUMIFS(tblData[Amount],
                   tblData[Rpt Date],"="&amp;AC50,
                   tblData[ScenarioGroup],"="&amp;AB50,
                   tblData[PrentGroup],"="&amp;AA50)</f>
        <v>0</v>
      </c>
      <c r="AE50" s="9">
        <f>SUMIFS(tblData[Amount],
                   tblData[Rpt Date],"="&amp;AC50,
                   tblData[ScenarioGroup],"="&amp;AB50,
                   tblData[PrentGroup],"="&amp;AA50)</f>
        <v>0</v>
      </c>
    </row>
    <row r="51" spans="2:31" x14ac:dyDescent="0.25">
      <c r="B51">
        <f t="shared" si="0"/>
        <v>45</v>
      </c>
      <c r="C51" s="7" t="s">
        <v>67</v>
      </c>
      <c r="D51" s="7" t="str">
        <f t="shared" si="7"/>
        <v>Current</v>
      </c>
      <c r="E51" s="8">
        <f t="shared" si="1"/>
        <v>43243</v>
      </c>
      <c r="F51" s="9">
        <f>SUMIFS(tblData[Amount],
                   tblData[Rpt Date],"="&amp;$E51,
                   tblData[ScenarioGroup],"="&amp;$D51)</f>
        <v>0</v>
      </c>
      <c r="G51" s="9">
        <f t="shared" si="2"/>
        <v>0</v>
      </c>
      <c r="I51" s="7" t="s">
        <v>42</v>
      </c>
      <c r="J51" s="7" t="str">
        <f t="shared" si="8"/>
        <v>Current</v>
      </c>
      <c r="K51" s="8">
        <f t="shared" si="3"/>
        <v>43243</v>
      </c>
      <c r="L51" s="9">
        <f>SUMIFS(tblData[Amount],
                   tblData[Rpt Date],"="&amp;K51,
                   tblData[ScenarioGroup],"="&amp;J51,
                   tblData[PrentGroup],"="&amp;I51)</f>
        <v>0</v>
      </c>
      <c r="M51" s="9">
        <f>SUMIFS(tblData[Amount],
                   tblData[Rpt Date],"="&amp;K51,
                   tblData[ScenarioGroup],"="&amp;J51,
                   tblData[PrentGroup],"="&amp;I51)</f>
        <v>0</v>
      </c>
      <c r="O51" s="7" t="s">
        <v>43</v>
      </c>
      <c r="P51" s="7" t="str">
        <f t="shared" si="9"/>
        <v>Current</v>
      </c>
      <c r="Q51" s="8">
        <f t="shared" si="4"/>
        <v>43243</v>
      </c>
      <c r="R51" s="9">
        <f>SUMIFS(tblData[Amount],
                   tblData[Rpt Date],"="&amp;Q51,
                   tblData[ScenarioGroup],"="&amp;P51,
                   tblData[PrentGroup],"="&amp;O51)</f>
        <v>0</v>
      </c>
      <c r="S51" s="9">
        <f>SUMIFS(tblData[Amount],
                   tblData[Rpt Date],"="&amp;Q51,
                   tblData[ScenarioGroup],"="&amp;P51,
                   tblData[PrentGroup],"="&amp;O51)</f>
        <v>0</v>
      </c>
      <c r="U51" s="7" t="s">
        <v>69</v>
      </c>
      <c r="V51" s="7" t="str">
        <f t="shared" si="10"/>
        <v>Current</v>
      </c>
      <c r="W51" s="8">
        <f t="shared" si="5"/>
        <v>43243</v>
      </c>
      <c r="X51" s="9">
        <f>SUMIFS(tblData[Amount],
                   tblData[Rpt Date],"="&amp;W51,
                   tblData[ScenarioGroup],"="&amp;V51,
                   tblData[PrentGroup],"="&amp;U51)</f>
        <v>0</v>
      </c>
      <c r="Y51" s="9">
        <f>SUMIFS(tblData[Amount],
                   tblData[Rpt Date],"="&amp;W51,
                   tblData[ScenarioGroup],"="&amp;V51,
                   tblData[PrentGroup],"="&amp;U51)</f>
        <v>0</v>
      </c>
      <c r="AA51" s="7" t="s">
        <v>41</v>
      </c>
      <c r="AB51" s="7" t="str">
        <f t="shared" si="11"/>
        <v>Current</v>
      </c>
      <c r="AC51" s="8">
        <f t="shared" si="6"/>
        <v>43243</v>
      </c>
      <c r="AD51" s="9">
        <f>SUMIFS(tblData[Amount],
                   tblData[Rpt Date],"="&amp;AC51,
                   tblData[ScenarioGroup],"="&amp;AB51,
                   tblData[PrentGroup],"="&amp;AA51)</f>
        <v>0</v>
      </c>
      <c r="AE51" s="9">
        <f>SUMIFS(tblData[Amount],
                   tblData[Rpt Date],"="&amp;AC51,
                   tblData[ScenarioGroup],"="&amp;AB51,
                   tblData[PrentGroup],"="&amp;AA51)</f>
        <v>0</v>
      </c>
    </row>
    <row r="52" spans="2:31" x14ac:dyDescent="0.25">
      <c r="B52">
        <f t="shared" si="0"/>
        <v>46</v>
      </c>
      <c r="C52" s="7" t="s">
        <v>67</v>
      </c>
      <c r="D52" s="7" t="str">
        <f t="shared" si="7"/>
        <v>Current</v>
      </c>
      <c r="E52" s="8">
        <f t="shared" si="1"/>
        <v>43250</v>
      </c>
      <c r="F52" s="9">
        <f>SUMIFS(tblData[Amount],
                   tblData[Rpt Date],"="&amp;$E52,
                   tblData[ScenarioGroup],"="&amp;$D52)</f>
        <v>0</v>
      </c>
      <c r="G52" s="9">
        <f t="shared" si="2"/>
        <v>0</v>
      </c>
      <c r="I52" s="7" t="s">
        <v>42</v>
      </c>
      <c r="J52" s="7" t="str">
        <f t="shared" si="8"/>
        <v>Current</v>
      </c>
      <c r="K52" s="8">
        <f t="shared" si="3"/>
        <v>43250</v>
      </c>
      <c r="L52" s="9">
        <f>SUMIFS(tblData[Amount],
                   tblData[Rpt Date],"="&amp;K52,
                   tblData[ScenarioGroup],"="&amp;J52,
                   tblData[PrentGroup],"="&amp;I52)</f>
        <v>0</v>
      </c>
      <c r="M52" s="9">
        <f>SUMIFS(tblData[Amount],
                   tblData[Rpt Date],"="&amp;K52,
                   tblData[ScenarioGroup],"="&amp;J52,
                   tblData[PrentGroup],"="&amp;I52)</f>
        <v>0</v>
      </c>
      <c r="O52" s="7" t="s">
        <v>43</v>
      </c>
      <c r="P52" s="7" t="str">
        <f t="shared" si="9"/>
        <v>Current</v>
      </c>
      <c r="Q52" s="8">
        <f t="shared" si="4"/>
        <v>43250</v>
      </c>
      <c r="R52" s="9">
        <f>SUMIFS(tblData[Amount],
                   tblData[Rpt Date],"="&amp;Q52,
                   tblData[ScenarioGroup],"="&amp;P52,
                   tblData[PrentGroup],"="&amp;O52)</f>
        <v>0</v>
      </c>
      <c r="S52" s="9">
        <f>SUMIFS(tblData[Amount],
                   tblData[Rpt Date],"="&amp;Q52,
                   tblData[ScenarioGroup],"="&amp;P52,
                   tblData[PrentGroup],"="&amp;O52)</f>
        <v>0</v>
      </c>
      <c r="U52" s="7" t="s">
        <v>69</v>
      </c>
      <c r="V52" s="7" t="str">
        <f t="shared" si="10"/>
        <v>Current</v>
      </c>
      <c r="W52" s="8">
        <f t="shared" si="5"/>
        <v>43250</v>
      </c>
      <c r="X52" s="9">
        <f>SUMIFS(tblData[Amount],
                   tblData[Rpt Date],"="&amp;W52,
                   tblData[ScenarioGroup],"="&amp;V52,
                   tblData[PrentGroup],"="&amp;U52)</f>
        <v>0</v>
      </c>
      <c r="Y52" s="9">
        <f>SUMIFS(tblData[Amount],
                   tblData[Rpt Date],"="&amp;W52,
                   tblData[ScenarioGroup],"="&amp;V52,
                   tblData[PrentGroup],"="&amp;U52)</f>
        <v>0</v>
      </c>
      <c r="AA52" s="7" t="s">
        <v>41</v>
      </c>
      <c r="AB52" s="7" t="str">
        <f t="shared" si="11"/>
        <v>Current</v>
      </c>
      <c r="AC52" s="8">
        <f t="shared" si="6"/>
        <v>43250</v>
      </c>
      <c r="AD52" s="9">
        <f>SUMIFS(tblData[Amount],
                   tblData[Rpt Date],"="&amp;AC52,
                   tblData[ScenarioGroup],"="&amp;AB52,
                   tblData[PrentGroup],"="&amp;AA52)</f>
        <v>0</v>
      </c>
      <c r="AE52" s="9">
        <f>SUMIFS(tblData[Amount],
                   tblData[Rpt Date],"="&amp;AC52,
                   tblData[ScenarioGroup],"="&amp;AB52,
                   tblData[PrentGroup],"="&amp;AA52)</f>
        <v>0</v>
      </c>
    </row>
    <row r="53" spans="2:31" x14ac:dyDescent="0.25">
      <c r="B53">
        <f t="shared" si="0"/>
        <v>47</v>
      </c>
      <c r="C53" s="7" t="s">
        <v>67</v>
      </c>
      <c r="D53" s="7" t="str">
        <f t="shared" si="7"/>
        <v>Current</v>
      </c>
      <c r="E53" s="8">
        <f t="shared" si="1"/>
        <v>43257</v>
      </c>
      <c r="F53" s="9">
        <f>SUMIFS(tblData[Amount],
                   tblData[Rpt Date],"="&amp;$E53,
                   tblData[ScenarioGroup],"="&amp;$D53)</f>
        <v>0</v>
      </c>
      <c r="G53" s="9">
        <f t="shared" si="2"/>
        <v>0</v>
      </c>
      <c r="I53" s="7" t="s">
        <v>42</v>
      </c>
      <c r="J53" s="7" t="str">
        <f t="shared" si="8"/>
        <v>Current</v>
      </c>
      <c r="K53" s="8">
        <f t="shared" si="3"/>
        <v>43257</v>
      </c>
      <c r="L53" s="9">
        <f>SUMIFS(tblData[Amount],
                   tblData[Rpt Date],"="&amp;K53,
                   tblData[ScenarioGroup],"="&amp;J53,
                   tblData[PrentGroup],"="&amp;I53)</f>
        <v>0</v>
      </c>
      <c r="M53" s="9">
        <f>SUMIFS(tblData[Amount],
                   tblData[Rpt Date],"="&amp;K53,
                   tblData[ScenarioGroup],"="&amp;J53,
                   tblData[PrentGroup],"="&amp;I53)</f>
        <v>0</v>
      </c>
      <c r="O53" s="7" t="s">
        <v>43</v>
      </c>
      <c r="P53" s="7" t="str">
        <f t="shared" si="9"/>
        <v>Current</v>
      </c>
      <c r="Q53" s="8">
        <f t="shared" si="4"/>
        <v>43257</v>
      </c>
      <c r="R53" s="9">
        <f>SUMIFS(tblData[Amount],
                   tblData[Rpt Date],"="&amp;Q53,
                   tblData[ScenarioGroup],"="&amp;P53,
                   tblData[PrentGroup],"="&amp;O53)</f>
        <v>0</v>
      </c>
      <c r="S53" s="9">
        <f>SUMIFS(tblData[Amount],
                   tblData[Rpt Date],"="&amp;Q53,
                   tblData[ScenarioGroup],"="&amp;P53,
                   tblData[PrentGroup],"="&amp;O53)</f>
        <v>0</v>
      </c>
      <c r="U53" s="7" t="s">
        <v>69</v>
      </c>
      <c r="V53" s="7" t="str">
        <f t="shared" si="10"/>
        <v>Current</v>
      </c>
      <c r="W53" s="8">
        <f t="shared" si="5"/>
        <v>43257</v>
      </c>
      <c r="X53" s="9">
        <f>SUMIFS(tblData[Amount],
                   tblData[Rpt Date],"="&amp;W53,
                   tblData[ScenarioGroup],"="&amp;V53,
                   tblData[PrentGroup],"="&amp;U53)</f>
        <v>0</v>
      </c>
      <c r="Y53" s="9">
        <f>SUMIFS(tblData[Amount],
                   tblData[Rpt Date],"="&amp;W53,
                   tblData[ScenarioGroup],"="&amp;V53,
                   tblData[PrentGroup],"="&amp;U53)</f>
        <v>0</v>
      </c>
      <c r="AA53" s="7" t="s">
        <v>41</v>
      </c>
      <c r="AB53" s="7" t="str">
        <f t="shared" si="11"/>
        <v>Current</v>
      </c>
      <c r="AC53" s="8">
        <f t="shared" si="6"/>
        <v>43257</v>
      </c>
      <c r="AD53" s="9">
        <f>SUMIFS(tblData[Amount],
                   tblData[Rpt Date],"="&amp;AC53,
                   tblData[ScenarioGroup],"="&amp;AB53,
                   tblData[PrentGroup],"="&amp;AA53)</f>
        <v>0</v>
      </c>
      <c r="AE53" s="9">
        <f>SUMIFS(tblData[Amount],
                   tblData[Rpt Date],"="&amp;AC53,
                   tblData[ScenarioGroup],"="&amp;AB53,
                   tblData[PrentGroup],"="&amp;AA53)</f>
        <v>0</v>
      </c>
    </row>
    <row r="54" spans="2:31" x14ac:dyDescent="0.25">
      <c r="B54">
        <f t="shared" si="0"/>
        <v>48</v>
      </c>
      <c r="C54" s="7" t="s">
        <v>67</v>
      </c>
      <c r="D54" s="7" t="str">
        <f t="shared" si="7"/>
        <v>Current</v>
      </c>
      <c r="E54" s="8">
        <f t="shared" si="1"/>
        <v>43264</v>
      </c>
      <c r="F54" s="9">
        <f>SUMIFS(tblData[Amount],
                   tblData[Rpt Date],"="&amp;$E54,
                   tblData[ScenarioGroup],"="&amp;$D54)</f>
        <v>0</v>
      </c>
      <c r="G54" s="9">
        <f t="shared" si="2"/>
        <v>0</v>
      </c>
      <c r="I54" s="7" t="s">
        <v>42</v>
      </c>
      <c r="J54" s="7" t="str">
        <f t="shared" si="8"/>
        <v>Current</v>
      </c>
      <c r="K54" s="8">
        <f t="shared" si="3"/>
        <v>43264</v>
      </c>
      <c r="L54" s="9">
        <f>SUMIFS(tblData[Amount],
                   tblData[Rpt Date],"="&amp;K54,
                   tblData[ScenarioGroup],"="&amp;J54,
                   tblData[PrentGroup],"="&amp;I54)</f>
        <v>0</v>
      </c>
      <c r="M54" s="9">
        <f>SUMIFS(tblData[Amount],
                   tblData[Rpt Date],"="&amp;K54,
                   tblData[ScenarioGroup],"="&amp;J54,
                   tblData[PrentGroup],"="&amp;I54)</f>
        <v>0</v>
      </c>
      <c r="O54" s="7" t="s">
        <v>43</v>
      </c>
      <c r="P54" s="7" t="str">
        <f t="shared" si="9"/>
        <v>Current</v>
      </c>
      <c r="Q54" s="8">
        <f t="shared" si="4"/>
        <v>43264</v>
      </c>
      <c r="R54" s="9">
        <f>SUMIFS(tblData[Amount],
                   tblData[Rpt Date],"="&amp;Q54,
                   tblData[ScenarioGroup],"="&amp;P54,
                   tblData[PrentGroup],"="&amp;O54)</f>
        <v>0</v>
      </c>
      <c r="S54" s="9">
        <f>SUMIFS(tblData[Amount],
                   tblData[Rpt Date],"="&amp;Q54,
                   tblData[ScenarioGroup],"="&amp;P54,
                   tblData[PrentGroup],"="&amp;O54)</f>
        <v>0</v>
      </c>
      <c r="U54" s="7" t="s">
        <v>69</v>
      </c>
      <c r="V54" s="7" t="str">
        <f t="shared" si="10"/>
        <v>Current</v>
      </c>
      <c r="W54" s="8">
        <f t="shared" si="5"/>
        <v>43264</v>
      </c>
      <c r="X54" s="9">
        <f>SUMIFS(tblData[Amount],
                   tblData[Rpt Date],"="&amp;W54,
                   tblData[ScenarioGroup],"="&amp;V54,
                   tblData[PrentGroup],"="&amp;U54)</f>
        <v>0</v>
      </c>
      <c r="Y54" s="9">
        <f>SUMIFS(tblData[Amount],
                   tblData[Rpt Date],"="&amp;W54,
                   tblData[ScenarioGroup],"="&amp;V54,
                   tblData[PrentGroup],"="&amp;U54)</f>
        <v>0</v>
      </c>
      <c r="AA54" s="7" t="s">
        <v>41</v>
      </c>
      <c r="AB54" s="7" t="str">
        <f t="shared" si="11"/>
        <v>Current</v>
      </c>
      <c r="AC54" s="8">
        <f t="shared" si="6"/>
        <v>43264</v>
      </c>
      <c r="AD54" s="9">
        <f>SUMIFS(tblData[Amount],
                   tblData[Rpt Date],"="&amp;AC54,
                   tblData[ScenarioGroup],"="&amp;AB54,
                   tblData[PrentGroup],"="&amp;AA54)</f>
        <v>0</v>
      </c>
      <c r="AE54" s="9">
        <f>SUMIFS(tblData[Amount],
                   tblData[Rpt Date],"="&amp;AC54,
                   tblData[ScenarioGroup],"="&amp;AB54,
                   tblData[PrentGroup],"="&amp;AA54)</f>
        <v>0</v>
      </c>
    </row>
    <row r="55" spans="2:31" x14ac:dyDescent="0.25">
      <c r="B55">
        <f t="shared" si="0"/>
        <v>49</v>
      </c>
      <c r="C55" s="7" t="s">
        <v>67</v>
      </c>
      <c r="D55" s="7" t="str">
        <f t="shared" si="7"/>
        <v>Current</v>
      </c>
      <c r="E55" s="8">
        <f t="shared" si="1"/>
        <v>43271</v>
      </c>
      <c r="F55" s="9">
        <f>SUMIFS(tblData[Amount],
                   tblData[Rpt Date],"="&amp;$E55,
                   tblData[ScenarioGroup],"="&amp;$D55)</f>
        <v>0</v>
      </c>
      <c r="G55" s="9">
        <f t="shared" si="2"/>
        <v>0</v>
      </c>
      <c r="I55" s="7" t="s">
        <v>42</v>
      </c>
      <c r="J55" s="7" t="str">
        <f t="shared" si="8"/>
        <v>Current</v>
      </c>
      <c r="K55" s="8">
        <f t="shared" si="3"/>
        <v>43271</v>
      </c>
      <c r="L55" s="9">
        <f>SUMIFS(tblData[Amount],
                   tblData[Rpt Date],"="&amp;K55,
                   tblData[ScenarioGroup],"="&amp;J55,
                   tblData[PrentGroup],"="&amp;I55)</f>
        <v>0</v>
      </c>
      <c r="M55" s="9">
        <f>SUMIFS(tblData[Amount],
                   tblData[Rpt Date],"="&amp;K55,
                   tblData[ScenarioGroup],"="&amp;J55,
                   tblData[PrentGroup],"="&amp;I55)</f>
        <v>0</v>
      </c>
      <c r="O55" s="7" t="s">
        <v>43</v>
      </c>
      <c r="P55" s="7" t="str">
        <f t="shared" si="9"/>
        <v>Current</v>
      </c>
      <c r="Q55" s="8">
        <f t="shared" si="4"/>
        <v>43271</v>
      </c>
      <c r="R55" s="9">
        <f>SUMIFS(tblData[Amount],
                   tblData[Rpt Date],"="&amp;Q55,
                   tblData[ScenarioGroup],"="&amp;P55,
                   tblData[PrentGroup],"="&amp;O55)</f>
        <v>0</v>
      </c>
      <c r="S55" s="9">
        <f>SUMIFS(tblData[Amount],
                   tblData[Rpt Date],"="&amp;Q55,
                   tblData[ScenarioGroup],"="&amp;P55,
                   tblData[PrentGroup],"="&amp;O55)</f>
        <v>0</v>
      </c>
      <c r="U55" s="7" t="s">
        <v>69</v>
      </c>
      <c r="V55" s="7" t="str">
        <f t="shared" si="10"/>
        <v>Current</v>
      </c>
      <c r="W55" s="8">
        <f t="shared" si="5"/>
        <v>43271</v>
      </c>
      <c r="X55" s="9">
        <f>SUMIFS(tblData[Amount],
                   tblData[Rpt Date],"="&amp;W55,
                   tblData[ScenarioGroup],"="&amp;V55,
                   tblData[PrentGroup],"="&amp;U55)</f>
        <v>0</v>
      </c>
      <c r="Y55" s="9">
        <f>SUMIFS(tblData[Amount],
                   tblData[Rpt Date],"="&amp;W55,
                   tblData[ScenarioGroup],"="&amp;V55,
                   tblData[PrentGroup],"="&amp;U55)</f>
        <v>0</v>
      </c>
      <c r="AA55" s="7" t="s">
        <v>41</v>
      </c>
      <c r="AB55" s="7" t="str">
        <f t="shared" si="11"/>
        <v>Current</v>
      </c>
      <c r="AC55" s="8">
        <f t="shared" si="6"/>
        <v>43271</v>
      </c>
      <c r="AD55" s="9">
        <f>SUMIFS(tblData[Amount],
                   tblData[Rpt Date],"="&amp;AC55,
                   tblData[ScenarioGroup],"="&amp;AB55,
                   tblData[PrentGroup],"="&amp;AA55)</f>
        <v>0</v>
      </c>
      <c r="AE55" s="9">
        <f>SUMIFS(tblData[Amount],
                   tblData[Rpt Date],"="&amp;AC55,
                   tblData[ScenarioGroup],"="&amp;AB55,
                   tblData[PrentGroup],"="&amp;AA55)</f>
        <v>0</v>
      </c>
    </row>
    <row r="56" spans="2:31" x14ac:dyDescent="0.25">
      <c r="B56">
        <f t="shared" si="0"/>
        <v>50</v>
      </c>
      <c r="C56" s="7" t="s">
        <v>67</v>
      </c>
      <c r="D56" s="7" t="str">
        <f t="shared" si="7"/>
        <v>Current</v>
      </c>
      <c r="E56" s="8">
        <f t="shared" si="1"/>
        <v>43278</v>
      </c>
      <c r="F56" s="9">
        <f>SUMIFS(tblData[Amount],
                   tblData[Rpt Date],"="&amp;$E56,
                   tblData[ScenarioGroup],"="&amp;$D56)</f>
        <v>0</v>
      </c>
      <c r="G56" s="9">
        <f t="shared" si="2"/>
        <v>0</v>
      </c>
      <c r="I56" s="7" t="s">
        <v>42</v>
      </c>
      <c r="J56" s="7" t="str">
        <f t="shared" si="8"/>
        <v>Current</v>
      </c>
      <c r="K56" s="8">
        <f t="shared" si="3"/>
        <v>43278</v>
      </c>
      <c r="L56" s="9">
        <f>SUMIFS(tblData[Amount],
                   tblData[Rpt Date],"="&amp;K56,
                   tblData[ScenarioGroup],"="&amp;J56,
                   tblData[PrentGroup],"="&amp;I56)</f>
        <v>0</v>
      </c>
      <c r="M56" s="9">
        <f>SUMIFS(tblData[Amount],
                   tblData[Rpt Date],"="&amp;K56,
                   tblData[ScenarioGroup],"="&amp;J56,
                   tblData[PrentGroup],"="&amp;I56)</f>
        <v>0</v>
      </c>
      <c r="O56" s="7" t="s">
        <v>43</v>
      </c>
      <c r="P56" s="7" t="str">
        <f t="shared" si="9"/>
        <v>Current</v>
      </c>
      <c r="Q56" s="8">
        <f t="shared" si="4"/>
        <v>43278</v>
      </c>
      <c r="R56" s="9">
        <f>SUMIFS(tblData[Amount],
                   tblData[Rpt Date],"="&amp;Q56,
                   tblData[ScenarioGroup],"="&amp;P56,
                   tblData[PrentGroup],"="&amp;O56)</f>
        <v>0</v>
      </c>
      <c r="S56" s="9">
        <f>SUMIFS(tblData[Amount],
                   tblData[Rpt Date],"="&amp;Q56,
                   tblData[ScenarioGroup],"="&amp;P56,
                   tblData[PrentGroup],"="&amp;O56)</f>
        <v>0</v>
      </c>
      <c r="U56" s="7" t="s">
        <v>69</v>
      </c>
      <c r="V56" s="7" t="str">
        <f t="shared" si="10"/>
        <v>Current</v>
      </c>
      <c r="W56" s="8">
        <f t="shared" si="5"/>
        <v>43278</v>
      </c>
      <c r="X56" s="9">
        <f>SUMIFS(tblData[Amount],
                   tblData[Rpt Date],"="&amp;W56,
                   tblData[ScenarioGroup],"="&amp;V56,
                   tblData[PrentGroup],"="&amp;U56)</f>
        <v>0</v>
      </c>
      <c r="Y56" s="9">
        <f>SUMIFS(tblData[Amount],
                   tblData[Rpt Date],"="&amp;W56,
                   tblData[ScenarioGroup],"="&amp;V56,
                   tblData[PrentGroup],"="&amp;U56)</f>
        <v>0</v>
      </c>
      <c r="AA56" s="7" t="s">
        <v>41</v>
      </c>
      <c r="AB56" s="7" t="str">
        <f t="shared" si="11"/>
        <v>Current</v>
      </c>
      <c r="AC56" s="8">
        <f t="shared" si="6"/>
        <v>43278</v>
      </c>
      <c r="AD56" s="9">
        <f>SUMIFS(tblData[Amount],
                   tblData[Rpt Date],"="&amp;AC56,
                   tblData[ScenarioGroup],"="&amp;AB56,
                   tblData[PrentGroup],"="&amp;AA56)</f>
        <v>0</v>
      </c>
      <c r="AE56" s="9">
        <f>SUMIFS(tblData[Amount],
                   tblData[Rpt Date],"="&amp;AC56,
                   tblData[ScenarioGroup],"="&amp;AB56,
                   tblData[PrentGroup],"="&amp;AA56)</f>
        <v>0</v>
      </c>
    </row>
    <row r="57" spans="2:31" x14ac:dyDescent="0.25">
      <c r="B57">
        <f>+B58-1</f>
        <v>51</v>
      </c>
      <c r="C57" s="7" t="s">
        <v>67</v>
      </c>
      <c r="D57" s="7" t="str">
        <f t="shared" si="7"/>
        <v>Current</v>
      </c>
      <c r="E57" s="8">
        <f>E58-7</f>
        <v>43285</v>
      </c>
      <c r="F57" s="9">
        <f>SUMIFS(tblData[Amount],
                   tblData[Rpt Date],"="&amp;$E57,
                   tblData[ScenarioGroup],"="&amp;$D57)</f>
        <v>0</v>
      </c>
      <c r="G57" s="9">
        <f t="shared" si="2"/>
        <v>0</v>
      </c>
      <c r="I57" s="7" t="s">
        <v>42</v>
      </c>
      <c r="J57" s="7" t="str">
        <f t="shared" si="8"/>
        <v>Current</v>
      </c>
      <c r="K57" s="8">
        <f>K58-7</f>
        <v>43285</v>
      </c>
      <c r="L57" s="9">
        <f>SUMIFS(tblData[Amount],
                   tblData[Rpt Date],"="&amp;K57,
                   tblData[ScenarioGroup],"="&amp;J57,
                   tblData[PrentGroup],"="&amp;I57)</f>
        <v>0</v>
      </c>
      <c r="M57" s="9">
        <f>SUMIFS(tblData[Amount],
                   tblData[Rpt Date],"="&amp;K57,
                   tblData[ScenarioGroup],"="&amp;J57,
                   tblData[PrentGroup],"="&amp;I57)</f>
        <v>0</v>
      </c>
      <c r="O57" s="7" t="s">
        <v>43</v>
      </c>
      <c r="P57" s="7" t="str">
        <f t="shared" si="9"/>
        <v>Current</v>
      </c>
      <c r="Q57" s="8">
        <f>Q58-7</f>
        <v>43285</v>
      </c>
      <c r="R57" s="9">
        <f>SUMIFS(tblData[Amount],
                   tblData[Rpt Date],"="&amp;Q57,
                   tblData[ScenarioGroup],"="&amp;P57,
                   tblData[PrentGroup],"="&amp;O57)</f>
        <v>0</v>
      </c>
      <c r="S57" s="9">
        <f>SUMIFS(tblData[Amount],
                   tblData[Rpt Date],"="&amp;Q57,
                   tblData[ScenarioGroup],"="&amp;P57,
                   tblData[PrentGroup],"="&amp;O57)</f>
        <v>0</v>
      </c>
      <c r="U57" s="7" t="s">
        <v>69</v>
      </c>
      <c r="V57" s="7" t="str">
        <f t="shared" si="10"/>
        <v>Current</v>
      </c>
      <c r="W57" s="8">
        <f>W58-7</f>
        <v>43285</v>
      </c>
      <c r="X57" s="9">
        <f>SUMIFS(tblData[Amount],
                   tblData[Rpt Date],"="&amp;W57,
                   tblData[ScenarioGroup],"="&amp;V57,
                   tblData[PrentGroup],"="&amp;U57)</f>
        <v>0</v>
      </c>
      <c r="Y57" s="9">
        <f>SUMIFS(tblData[Amount],
                   tblData[Rpt Date],"="&amp;W57,
                   tblData[ScenarioGroup],"="&amp;V57,
                   tblData[PrentGroup],"="&amp;U57)</f>
        <v>0</v>
      </c>
      <c r="AA57" s="7" t="s">
        <v>41</v>
      </c>
      <c r="AB57" s="7" t="str">
        <f t="shared" si="11"/>
        <v>Current</v>
      </c>
      <c r="AC57" s="8">
        <f>AC58-7</f>
        <v>43285</v>
      </c>
      <c r="AD57" s="9">
        <f>SUMIFS(tblData[Amount],
                   tblData[Rpt Date],"="&amp;AC57,
                   tblData[ScenarioGroup],"="&amp;AB57,
                   tblData[PrentGroup],"="&amp;AA57)</f>
        <v>0</v>
      </c>
      <c r="AE57" s="9">
        <f>SUMIFS(tblData[Amount],
                   tblData[Rpt Date],"="&amp;AC57,
                   tblData[ScenarioGroup],"="&amp;AB57,
                   tblData[PrentGroup],"="&amp;AA57)</f>
        <v>0</v>
      </c>
    </row>
    <row r="58" spans="2:31" x14ac:dyDescent="0.25">
      <c r="B58">
        <v>52</v>
      </c>
      <c r="C58" s="7" t="s">
        <v>67</v>
      </c>
      <c r="D58" s="7" t="str">
        <f t="shared" si="7"/>
        <v>Current</v>
      </c>
      <c r="E58" s="14">
        <f>Start_Date</f>
        <v>43292</v>
      </c>
      <c r="F58" s="9">
        <f>SUMIFS(tblData[Amount],
                   tblData[Rpt Date],"="&amp;$E58,
                   tblData[ScenarioGroup],"="&amp;$D58)</f>
        <v>7958683.9599998351</v>
      </c>
      <c r="G58" s="9">
        <f t="shared" si="2"/>
        <v>7958683.9599998351</v>
      </c>
      <c r="I58" s="7" t="s">
        <v>42</v>
      </c>
      <c r="J58" s="7" t="str">
        <f t="shared" si="8"/>
        <v>Current</v>
      </c>
      <c r="K58" s="14">
        <f>Start_Date</f>
        <v>43292</v>
      </c>
      <c r="L58" s="9">
        <f>SUMIFS(tblData[Amount],
                   tblData[Rpt Date],"="&amp;K58,
                   tblData[ScenarioGroup],"="&amp;J58,
                   tblData[PrentGroup],"="&amp;I58)</f>
        <v>7602418.7599998368</v>
      </c>
      <c r="M58" s="9">
        <f>SUMIFS(tblData[Amount],
                   tblData[Rpt Date],"="&amp;K58,
                   tblData[ScenarioGroup],"="&amp;J58,
                   tblData[PrentGroup],"="&amp;I58)</f>
        <v>7602418.7599998368</v>
      </c>
      <c r="O58" s="7" t="s">
        <v>43</v>
      </c>
      <c r="P58" s="7" t="str">
        <f t="shared" si="9"/>
        <v>Current</v>
      </c>
      <c r="Q58" s="14">
        <f>Start_Date</f>
        <v>43292</v>
      </c>
      <c r="R58" s="9">
        <f>SUMIFS(tblData[Amount],
                   tblData[Rpt Date],"="&amp;Q58,
                   tblData[ScenarioGroup],"="&amp;P58,
                   tblData[PrentGroup],"="&amp;O58)</f>
        <v>209124.57</v>
      </c>
      <c r="S58" s="9">
        <f>SUMIFS(tblData[Amount],
                   tblData[Rpt Date],"="&amp;Q58,
                   tblData[ScenarioGroup],"="&amp;P58,
                   tblData[PrentGroup],"="&amp;O58)</f>
        <v>209124.57</v>
      </c>
      <c r="U58" s="7" t="s">
        <v>69</v>
      </c>
      <c r="V58" s="7" t="str">
        <f t="shared" si="10"/>
        <v>Current</v>
      </c>
      <c r="W58" s="14">
        <f>Start_Date</f>
        <v>43292</v>
      </c>
      <c r="X58" s="9">
        <f>SUMIFS(tblData[Amount],
                   tblData[Rpt Date],"="&amp;W58,
                   tblData[ScenarioGroup],"="&amp;V58,
                   tblData[PrentGroup],"="&amp;U58)</f>
        <v>116043.51999999997</v>
      </c>
      <c r="Y58" s="9">
        <f>SUMIFS(tblData[Amount],
                   tblData[Rpt Date],"="&amp;W58,
                   tblData[ScenarioGroup],"="&amp;V58,
                   tblData[PrentGroup],"="&amp;U58)</f>
        <v>116043.51999999997</v>
      </c>
      <c r="AA58" s="7" t="s">
        <v>41</v>
      </c>
      <c r="AB58" s="7" t="str">
        <f t="shared" si="11"/>
        <v>Current</v>
      </c>
      <c r="AC58" s="14">
        <f>Start_Date</f>
        <v>43292</v>
      </c>
      <c r="AD58" s="9">
        <f>SUMIFS(tblData[Amount],
                   tblData[Rpt Date],"="&amp;AC58,
                   tblData[ScenarioGroup],"="&amp;AB58,
                   tblData[PrentGroup],"="&amp;AA58)</f>
        <v>31097.11</v>
      </c>
      <c r="AE58" s="9">
        <f>SUMIFS(tblData[Amount],
                   tblData[Rpt Date],"="&amp;AC58,
                   tblData[ScenarioGroup],"="&amp;AB58,
                   tblData[PrentGroup],"="&amp;AA58)</f>
        <v>31097.11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382"/>
  <sheetViews>
    <sheetView topLeftCell="A4335" zoomScale="75" zoomScaleNormal="75" workbookViewId="0">
      <selection activeCell="G4382" sqref="G4382"/>
    </sheetView>
  </sheetViews>
  <sheetFormatPr defaultRowHeight="15" x14ac:dyDescent="0.25"/>
  <cols>
    <col min="1" max="1" width="45.5703125" bestFit="1" customWidth="1"/>
    <col min="2" max="2" width="27" customWidth="1"/>
    <col min="3" max="3" width="17.28515625" bestFit="1" customWidth="1"/>
    <col min="4" max="4" width="13.85546875" bestFit="1" customWidth="1"/>
    <col min="5" max="5" width="16.140625" customWidth="1"/>
    <col min="6" max="6" width="12" bestFit="1" customWidth="1"/>
    <col min="7" max="7" width="13.5703125" customWidth="1"/>
    <col min="8" max="8" width="12.140625" bestFit="1" customWidth="1"/>
  </cols>
  <sheetData>
    <row r="1" spans="1:7" x14ac:dyDescent="0.25">
      <c r="A1" t="s">
        <v>0</v>
      </c>
      <c r="B1" t="s">
        <v>35</v>
      </c>
      <c r="C1" t="s">
        <v>36</v>
      </c>
      <c r="D1" s="2" t="s">
        <v>37</v>
      </c>
      <c r="E1" t="s">
        <v>38</v>
      </c>
      <c r="F1" t="s">
        <v>39</v>
      </c>
      <c r="G1" t="s">
        <v>44</v>
      </c>
    </row>
    <row r="2" spans="1:7" x14ac:dyDescent="0.25">
      <c r="A2" t="s">
        <v>10</v>
      </c>
      <c r="B2" s="1">
        <v>42732</v>
      </c>
      <c r="C2" t="s">
        <v>58</v>
      </c>
      <c r="D2">
        <v>155.4</v>
      </c>
      <c r="E2" t="str">
        <f>VLOOKUP(C2,inf!$A$2:$B$7,2,FALSE)</f>
        <v>61 to 90</v>
      </c>
      <c r="F2" t="str">
        <f t="shared" ref="F2" si="0">TEXT(B2,"MM/DD/YYYY")</f>
        <v>12/28/2016</v>
      </c>
      <c r="G2" t="str">
        <f>VLOOKUP(A2,inf!$D$2:$E$76,2,FALSE)</f>
        <v>SAFEWAY</v>
      </c>
    </row>
    <row r="3" spans="1:7" x14ac:dyDescent="0.25">
      <c r="A3" t="s">
        <v>4</v>
      </c>
      <c r="B3" s="1">
        <v>42732</v>
      </c>
      <c r="C3" t="s">
        <v>55</v>
      </c>
      <c r="D3">
        <v>4795.6899999999996</v>
      </c>
      <c r="E3" t="str">
        <f>VLOOKUP(C3,inf!$A$2:$B$7,2,FALSE)</f>
        <v>Current</v>
      </c>
      <c r="F3" t="str">
        <f t="shared" ref="F3:F66" si="1">TEXT(B3,"MM/DD/YYYY")</f>
        <v>12/28/2016</v>
      </c>
      <c r="G3" t="str">
        <f>VLOOKUP(A3,inf!$D$2:$E$76,2,FALSE)</f>
        <v>Other</v>
      </c>
    </row>
    <row r="4" spans="1:7" x14ac:dyDescent="0.25">
      <c r="A4" t="s">
        <v>4</v>
      </c>
      <c r="B4" s="1">
        <v>42732</v>
      </c>
      <c r="C4" t="s">
        <v>56</v>
      </c>
      <c r="D4">
        <v>4498.78</v>
      </c>
      <c r="E4" t="str">
        <f>VLOOKUP(C4,inf!$A$2:$B$7,2,FALSE)</f>
        <v>Current</v>
      </c>
      <c r="F4" t="str">
        <f t="shared" si="1"/>
        <v>12/28/2016</v>
      </c>
      <c r="G4" t="str">
        <f>VLOOKUP(A4,inf!$D$2:$E$76,2,FALSE)</f>
        <v>Other</v>
      </c>
    </row>
    <row r="5" spans="1:7" x14ac:dyDescent="0.25">
      <c r="A5" t="s">
        <v>26</v>
      </c>
      <c r="B5" s="1">
        <v>42732</v>
      </c>
      <c r="C5" t="s">
        <v>59</v>
      </c>
      <c r="D5">
        <v>848.9</v>
      </c>
      <c r="E5" t="str">
        <f>VLOOKUP(C5,inf!$A$2:$B$7,2,FALSE)</f>
        <v>Over 90</v>
      </c>
      <c r="F5" t="str">
        <f t="shared" si="1"/>
        <v>12/28/2016</v>
      </c>
      <c r="G5" t="str">
        <f>VLOOKUP(A5,inf!$D$2:$E$76,2,FALSE)</f>
        <v>Other</v>
      </c>
    </row>
    <row r="6" spans="1:7" x14ac:dyDescent="0.25">
      <c r="A6" t="s">
        <v>26</v>
      </c>
      <c r="B6" s="1">
        <v>42732</v>
      </c>
      <c r="C6" t="s">
        <v>58</v>
      </c>
      <c r="D6">
        <v>640.79999999999995</v>
      </c>
      <c r="E6" t="str">
        <f>VLOOKUP(C6,inf!$A$2:$B$7,2,FALSE)</f>
        <v>61 to 90</v>
      </c>
      <c r="F6" t="str">
        <f t="shared" si="1"/>
        <v>12/28/2016</v>
      </c>
      <c r="G6" t="str">
        <f>VLOOKUP(A6,inf!$D$2:$E$76,2,FALSE)</f>
        <v>Other</v>
      </c>
    </row>
    <row r="7" spans="1:7" x14ac:dyDescent="0.25">
      <c r="A7" t="s">
        <v>2</v>
      </c>
      <c r="B7" s="1">
        <v>42732</v>
      </c>
      <c r="C7" t="s">
        <v>59</v>
      </c>
      <c r="D7">
        <v>3656.920000000001</v>
      </c>
      <c r="E7" t="str">
        <f>VLOOKUP(C7,inf!$A$2:$B$7,2,FALSE)</f>
        <v>Over 90</v>
      </c>
      <c r="F7" t="str">
        <f t="shared" si="1"/>
        <v>12/28/2016</v>
      </c>
      <c r="G7" t="str">
        <f>VLOOKUP(A7,inf!$D$2:$E$76,2,FALSE)</f>
        <v>Other</v>
      </c>
    </row>
    <row r="8" spans="1:7" x14ac:dyDescent="0.25">
      <c r="A8" t="s">
        <v>2</v>
      </c>
      <c r="B8" s="1">
        <v>42732</v>
      </c>
      <c r="C8" t="s">
        <v>60</v>
      </c>
      <c r="D8">
        <v>60.94</v>
      </c>
      <c r="E8" t="str">
        <f>VLOOKUP(C8,inf!$A$2:$B$7,2,FALSE)</f>
        <v>Over 90</v>
      </c>
      <c r="F8" t="str">
        <f t="shared" si="1"/>
        <v>12/28/2016</v>
      </c>
      <c r="G8" t="str">
        <f>VLOOKUP(A8,inf!$D$2:$E$76,2,FALSE)</f>
        <v>Other</v>
      </c>
    </row>
    <row r="9" spans="1:7" x14ac:dyDescent="0.25">
      <c r="A9" t="s">
        <v>32</v>
      </c>
      <c r="B9" s="1">
        <v>42732</v>
      </c>
      <c r="C9" t="s">
        <v>55</v>
      </c>
      <c r="D9">
        <v>126.05</v>
      </c>
      <c r="E9" t="str">
        <f>VLOOKUP(C9,inf!$A$2:$B$7,2,FALSE)</f>
        <v>Current</v>
      </c>
      <c r="F9" t="str">
        <f t="shared" si="1"/>
        <v>12/28/2016</v>
      </c>
      <c r="G9" t="str">
        <f>VLOOKUP(A9,inf!$D$2:$E$76,2,FALSE)</f>
        <v>Other</v>
      </c>
    </row>
    <row r="10" spans="1:7" x14ac:dyDescent="0.25">
      <c r="A10" t="s">
        <v>1</v>
      </c>
      <c r="B10" s="1">
        <v>42732</v>
      </c>
      <c r="C10" t="s">
        <v>56</v>
      </c>
      <c r="D10">
        <v>-850</v>
      </c>
      <c r="E10" t="str">
        <f>VLOOKUP(C10,inf!$A$2:$B$7,2,FALSE)</f>
        <v>Current</v>
      </c>
      <c r="F10" t="str">
        <f t="shared" si="1"/>
        <v>12/28/2016</v>
      </c>
      <c r="G10" t="str">
        <f>VLOOKUP(A10,inf!$D$2:$E$76,2,FALSE)</f>
        <v>Other</v>
      </c>
    </row>
    <row r="11" spans="1:7" x14ac:dyDescent="0.25">
      <c r="A11" t="s">
        <v>1</v>
      </c>
      <c r="B11" s="1">
        <v>42732</v>
      </c>
      <c r="C11" t="s">
        <v>60</v>
      </c>
      <c r="D11">
        <v>-3117.63</v>
      </c>
      <c r="E11" t="str">
        <f>VLOOKUP(C11,inf!$A$2:$B$7,2,FALSE)</f>
        <v>Over 90</v>
      </c>
      <c r="F11" t="str">
        <f t="shared" si="1"/>
        <v>12/28/2016</v>
      </c>
      <c r="G11" t="str">
        <f>VLOOKUP(A11,inf!$D$2:$E$76,2,FALSE)</f>
        <v>Other</v>
      </c>
    </row>
    <row r="12" spans="1:7" x14ac:dyDescent="0.25">
      <c r="A12" t="s">
        <v>11</v>
      </c>
      <c r="B12" s="1">
        <v>42732</v>
      </c>
      <c r="C12" t="s">
        <v>57</v>
      </c>
      <c r="D12">
        <v>448.76</v>
      </c>
      <c r="E12" t="str">
        <f>VLOOKUP(C12,inf!$A$2:$B$7,2,FALSE)</f>
        <v>31 to 60</v>
      </c>
      <c r="F12" t="str">
        <f t="shared" si="1"/>
        <v>12/28/2016</v>
      </c>
      <c r="G12" t="str">
        <f>VLOOKUP(A12,inf!$D$2:$E$76,2,FALSE)</f>
        <v>Other</v>
      </c>
    </row>
    <row r="13" spans="1:7" x14ac:dyDescent="0.25">
      <c r="A13" t="s">
        <v>33</v>
      </c>
      <c r="B13" s="1">
        <v>42732</v>
      </c>
      <c r="C13" t="s">
        <v>56</v>
      </c>
      <c r="D13">
        <v>744.34999999999991</v>
      </c>
      <c r="E13" t="str">
        <f>VLOOKUP(C13,inf!$A$2:$B$7,2,FALSE)</f>
        <v>Current</v>
      </c>
      <c r="F13" t="str">
        <f t="shared" si="1"/>
        <v>12/28/2016</v>
      </c>
      <c r="G13" t="str">
        <f>VLOOKUP(A13,inf!$D$2:$E$76,2,FALSE)</f>
        <v>Other</v>
      </c>
    </row>
    <row r="14" spans="1:7" x14ac:dyDescent="0.25">
      <c r="A14" t="s">
        <v>14</v>
      </c>
      <c r="B14" s="1">
        <v>42732</v>
      </c>
      <c r="C14" t="s">
        <v>58</v>
      </c>
      <c r="D14">
        <v>516.91999999999996</v>
      </c>
      <c r="E14" t="str">
        <f>VLOOKUP(C14,inf!$A$2:$B$7,2,FALSE)</f>
        <v>61 to 90</v>
      </c>
      <c r="F14" t="str">
        <f t="shared" si="1"/>
        <v>12/28/2016</v>
      </c>
      <c r="G14" t="str">
        <f>VLOOKUP(A14,inf!$D$2:$E$76,2,FALSE)</f>
        <v>Other</v>
      </c>
    </row>
    <row r="15" spans="1:7" x14ac:dyDescent="0.25">
      <c r="A15" t="s">
        <v>25</v>
      </c>
      <c r="B15" s="1">
        <v>42732</v>
      </c>
      <c r="C15" t="s">
        <v>55</v>
      </c>
      <c r="D15">
        <v>819.36</v>
      </c>
      <c r="E15" t="str">
        <f>VLOOKUP(C15,inf!$A$2:$B$7,2,FALSE)</f>
        <v>Current</v>
      </c>
      <c r="F15" t="str">
        <f t="shared" si="1"/>
        <v>12/28/2016</v>
      </c>
      <c r="G15" t="str">
        <f>VLOOKUP(A15,inf!$D$2:$E$76,2,FALSE)</f>
        <v>Other</v>
      </c>
    </row>
    <row r="16" spans="1:7" x14ac:dyDescent="0.25">
      <c r="A16" t="s">
        <v>13</v>
      </c>
      <c r="B16" s="1">
        <v>42732</v>
      </c>
      <c r="C16" t="s">
        <v>59</v>
      </c>
      <c r="D16">
        <v>258.42</v>
      </c>
      <c r="E16" t="str">
        <f>VLOOKUP(C16,inf!$A$2:$B$7,2,FALSE)</f>
        <v>Over 90</v>
      </c>
      <c r="F16" t="str">
        <f t="shared" si="1"/>
        <v>12/28/2016</v>
      </c>
      <c r="G16" t="str">
        <f>VLOOKUP(A16,inf!$D$2:$E$76,2,FALSE)</f>
        <v>Other</v>
      </c>
    </row>
    <row r="17" spans="1:7" x14ac:dyDescent="0.25">
      <c r="A17" t="s">
        <v>31</v>
      </c>
      <c r="B17" s="1">
        <v>42732</v>
      </c>
      <c r="C17" t="s">
        <v>55</v>
      </c>
      <c r="D17">
        <v>579.25</v>
      </c>
      <c r="E17" t="str">
        <f>VLOOKUP(C17,inf!$A$2:$B$7,2,FALSE)</f>
        <v>Current</v>
      </c>
      <c r="F17" t="str">
        <f t="shared" si="1"/>
        <v>12/28/2016</v>
      </c>
      <c r="G17" t="str">
        <f>VLOOKUP(A17,inf!$D$2:$E$76,2,FALSE)</f>
        <v>Other</v>
      </c>
    </row>
    <row r="18" spans="1:7" x14ac:dyDescent="0.25">
      <c r="A18" t="s">
        <v>24</v>
      </c>
      <c r="B18" s="1">
        <v>42732</v>
      </c>
      <c r="C18" t="s">
        <v>55</v>
      </c>
      <c r="D18">
        <v>206.62</v>
      </c>
      <c r="E18" t="str">
        <f>VLOOKUP(C18,inf!$A$2:$B$7,2,FALSE)</f>
        <v>Current</v>
      </c>
      <c r="F18" t="str">
        <f t="shared" si="1"/>
        <v>12/28/2016</v>
      </c>
      <c r="G18" t="str">
        <f>VLOOKUP(A18,inf!$D$2:$E$76,2,FALSE)</f>
        <v>Other</v>
      </c>
    </row>
    <row r="19" spans="1:7" x14ac:dyDescent="0.25">
      <c r="A19" t="s">
        <v>27</v>
      </c>
      <c r="B19" s="1">
        <v>42732</v>
      </c>
      <c r="C19" t="s">
        <v>55</v>
      </c>
      <c r="D19">
        <v>122.35</v>
      </c>
      <c r="E19" t="str">
        <f>VLOOKUP(C19,inf!$A$2:$B$7,2,FALSE)</f>
        <v>Current</v>
      </c>
      <c r="F19" t="str">
        <f t="shared" si="1"/>
        <v>12/28/2016</v>
      </c>
      <c r="G19" t="str">
        <f>VLOOKUP(A19,inf!$D$2:$E$76,2,FALSE)</f>
        <v>Other</v>
      </c>
    </row>
    <row r="20" spans="1:7" x14ac:dyDescent="0.25">
      <c r="A20" t="s">
        <v>21</v>
      </c>
      <c r="B20" s="1">
        <v>42732</v>
      </c>
      <c r="C20" t="s">
        <v>55</v>
      </c>
      <c r="D20">
        <v>365.84</v>
      </c>
      <c r="E20" t="str">
        <f>VLOOKUP(C20,inf!$A$2:$B$7,2,FALSE)</f>
        <v>Current</v>
      </c>
      <c r="F20" t="str">
        <f t="shared" si="1"/>
        <v>12/28/2016</v>
      </c>
      <c r="G20" t="str">
        <f>VLOOKUP(A20,inf!$D$2:$E$76,2,FALSE)</f>
        <v>Other</v>
      </c>
    </row>
    <row r="21" spans="1:7" x14ac:dyDescent="0.25">
      <c r="A21" t="s">
        <v>3</v>
      </c>
      <c r="B21" s="1">
        <v>42732</v>
      </c>
      <c r="C21" t="s">
        <v>55</v>
      </c>
      <c r="D21">
        <v>2919.89</v>
      </c>
      <c r="E21" t="str">
        <f>VLOOKUP(C21,inf!$A$2:$B$7,2,FALSE)</f>
        <v>Current</v>
      </c>
      <c r="F21" t="str">
        <f t="shared" si="1"/>
        <v>12/28/2016</v>
      </c>
      <c r="G21" t="str">
        <f>VLOOKUP(A21,inf!$D$2:$E$76,2,FALSE)</f>
        <v>Other</v>
      </c>
    </row>
    <row r="22" spans="1:7" x14ac:dyDescent="0.25">
      <c r="A22" t="s">
        <v>30</v>
      </c>
      <c r="B22" s="1">
        <v>42732</v>
      </c>
      <c r="C22" t="s">
        <v>55</v>
      </c>
      <c r="D22">
        <v>341.9</v>
      </c>
      <c r="E22" t="str">
        <f>VLOOKUP(C22,inf!$A$2:$B$7,2,FALSE)</f>
        <v>Current</v>
      </c>
      <c r="F22" t="str">
        <f t="shared" si="1"/>
        <v>12/28/2016</v>
      </c>
      <c r="G22" t="str">
        <f>VLOOKUP(A22,inf!$D$2:$E$76,2,FALSE)</f>
        <v>Other</v>
      </c>
    </row>
    <row r="23" spans="1:7" x14ac:dyDescent="0.25">
      <c r="A23" t="s">
        <v>12</v>
      </c>
      <c r="B23" s="1">
        <v>42732</v>
      </c>
      <c r="C23" t="s">
        <v>55</v>
      </c>
      <c r="D23">
        <v>1613.56</v>
      </c>
      <c r="E23" t="str">
        <f>VLOOKUP(C23,inf!$A$2:$B$7,2,FALSE)</f>
        <v>Current</v>
      </c>
      <c r="F23" t="str">
        <f t="shared" si="1"/>
        <v>12/28/2016</v>
      </c>
      <c r="G23" t="str">
        <f>VLOOKUP(A23,inf!$D$2:$E$76,2,FALSE)</f>
        <v>Other</v>
      </c>
    </row>
    <row r="24" spans="1:7" x14ac:dyDescent="0.25">
      <c r="A24" t="s">
        <v>12</v>
      </c>
      <c r="B24" s="1">
        <v>42732</v>
      </c>
      <c r="C24" t="s">
        <v>59</v>
      </c>
      <c r="D24">
        <v>535.5</v>
      </c>
      <c r="E24" t="str">
        <f>VLOOKUP(C24,inf!$A$2:$B$7,2,FALSE)</f>
        <v>Over 90</v>
      </c>
      <c r="F24" t="str">
        <f t="shared" si="1"/>
        <v>12/28/2016</v>
      </c>
      <c r="G24" t="str">
        <f>VLOOKUP(A24,inf!$D$2:$E$76,2,FALSE)</f>
        <v>Other</v>
      </c>
    </row>
    <row r="25" spans="1:7" x14ac:dyDescent="0.25">
      <c r="A25" t="s">
        <v>12</v>
      </c>
      <c r="B25" s="1">
        <v>42732</v>
      </c>
      <c r="C25" t="s">
        <v>56</v>
      </c>
      <c r="D25">
        <v>324.76</v>
      </c>
      <c r="E25" t="str">
        <f>VLOOKUP(C25,inf!$A$2:$B$7,2,FALSE)</f>
        <v>Current</v>
      </c>
      <c r="F25" t="str">
        <f t="shared" si="1"/>
        <v>12/28/2016</v>
      </c>
      <c r="G25" t="str">
        <f>VLOOKUP(A25,inf!$D$2:$E$76,2,FALSE)</f>
        <v>Other</v>
      </c>
    </row>
    <row r="26" spans="1:7" x14ac:dyDescent="0.25">
      <c r="A26" t="s">
        <v>12</v>
      </c>
      <c r="B26" s="1">
        <v>42732</v>
      </c>
      <c r="C26" t="s">
        <v>58</v>
      </c>
      <c r="D26">
        <v>170</v>
      </c>
      <c r="E26" t="str">
        <f>VLOOKUP(C26,inf!$A$2:$B$7,2,FALSE)</f>
        <v>61 to 90</v>
      </c>
      <c r="F26" t="str">
        <f t="shared" si="1"/>
        <v>12/28/2016</v>
      </c>
      <c r="G26" t="str">
        <f>VLOOKUP(A26,inf!$D$2:$E$76,2,FALSE)</f>
        <v>Other</v>
      </c>
    </row>
    <row r="27" spans="1:7" x14ac:dyDescent="0.25">
      <c r="A27" t="s">
        <v>9</v>
      </c>
      <c r="B27" s="1">
        <v>42732</v>
      </c>
      <c r="C27" t="s">
        <v>57</v>
      </c>
      <c r="D27">
        <v>599.03</v>
      </c>
      <c r="E27" t="str">
        <f>VLOOKUP(C27,inf!$A$2:$B$7,2,FALSE)</f>
        <v>31 to 60</v>
      </c>
      <c r="F27" t="str">
        <f t="shared" si="1"/>
        <v>12/28/2016</v>
      </c>
      <c r="G27" t="str">
        <f>VLOOKUP(A27,inf!$D$2:$E$76,2,FALSE)</f>
        <v>Other</v>
      </c>
    </row>
    <row r="28" spans="1:7" x14ac:dyDescent="0.25">
      <c r="A28" t="s">
        <v>7</v>
      </c>
      <c r="B28" s="1">
        <v>42732</v>
      </c>
      <c r="C28" t="s">
        <v>55</v>
      </c>
      <c r="D28" s="5">
        <v>29351.099999999991</v>
      </c>
      <c r="E28" t="str">
        <f>VLOOKUP(C28,inf!$A$2:$B$7,2,FALSE)</f>
        <v>Current</v>
      </c>
      <c r="F28" t="str">
        <f t="shared" si="1"/>
        <v>12/28/2016</v>
      </c>
      <c r="G28" t="str">
        <f>VLOOKUP(A28,inf!$D$2:$E$76,2,FALSE)</f>
        <v>SAFEWAY</v>
      </c>
    </row>
    <row r="29" spans="1:7" x14ac:dyDescent="0.25">
      <c r="A29" t="s">
        <v>7</v>
      </c>
      <c r="B29" s="1">
        <v>42732</v>
      </c>
      <c r="C29" t="s">
        <v>60</v>
      </c>
      <c r="D29">
        <v>631.72</v>
      </c>
      <c r="E29" t="str">
        <f>VLOOKUP(C29,inf!$A$2:$B$7,2,FALSE)</f>
        <v>Over 90</v>
      </c>
      <c r="F29" t="str">
        <f t="shared" si="1"/>
        <v>12/28/2016</v>
      </c>
      <c r="G29" t="str">
        <f>VLOOKUP(A29,inf!$D$2:$E$76,2,FALSE)</f>
        <v>SAFEWAY</v>
      </c>
    </row>
    <row r="30" spans="1:7" x14ac:dyDescent="0.25">
      <c r="A30" t="s">
        <v>7</v>
      </c>
      <c r="B30" s="1">
        <v>42732</v>
      </c>
      <c r="C30" t="s">
        <v>57</v>
      </c>
      <c r="D30">
        <v>7.92</v>
      </c>
      <c r="E30" t="str">
        <f>VLOOKUP(C30,inf!$A$2:$B$7,2,FALSE)</f>
        <v>31 to 60</v>
      </c>
      <c r="F30" t="str">
        <f t="shared" si="1"/>
        <v>12/28/2016</v>
      </c>
      <c r="G30" t="str">
        <f>VLOOKUP(A30,inf!$D$2:$E$76,2,FALSE)</f>
        <v>SAFEWAY</v>
      </c>
    </row>
    <row r="31" spans="1:7" x14ac:dyDescent="0.25">
      <c r="A31" t="s">
        <v>29</v>
      </c>
      <c r="B31" s="1">
        <v>42732</v>
      </c>
      <c r="C31" t="s">
        <v>55</v>
      </c>
      <c r="D31">
        <v>210.85</v>
      </c>
      <c r="E31" t="str">
        <f>VLOOKUP(C31,inf!$A$2:$B$7,2,FALSE)</f>
        <v>Current</v>
      </c>
      <c r="F31" t="str">
        <f t="shared" si="1"/>
        <v>12/28/2016</v>
      </c>
      <c r="G31" t="str">
        <f>VLOOKUP(A31,inf!$D$2:$E$76,2,FALSE)</f>
        <v>Other</v>
      </c>
    </row>
    <row r="32" spans="1:7" x14ac:dyDescent="0.25">
      <c r="A32" t="s">
        <v>5</v>
      </c>
      <c r="B32" s="1">
        <v>42732</v>
      </c>
      <c r="C32" t="s">
        <v>55</v>
      </c>
      <c r="D32">
        <v>4531337.989999976</v>
      </c>
      <c r="E32" t="str">
        <f>VLOOKUP(C32,inf!$A$2:$B$7,2,FALSE)</f>
        <v>Current</v>
      </c>
      <c r="F32" t="str">
        <f t="shared" si="1"/>
        <v>12/28/2016</v>
      </c>
      <c r="G32" t="str">
        <f>VLOOKUP(A32,inf!$D$2:$E$76,2,FALSE)</f>
        <v>SBUX</v>
      </c>
    </row>
    <row r="33" spans="1:7" x14ac:dyDescent="0.25">
      <c r="A33" t="s">
        <v>5</v>
      </c>
      <c r="B33" s="1">
        <v>42732</v>
      </c>
      <c r="C33" t="s">
        <v>56</v>
      </c>
      <c r="D33">
        <v>87877.460000000065</v>
      </c>
      <c r="E33" t="str">
        <f>VLOOKUP(C33,inf!$A$2:$B$7,2,FALSE)</f>
        <v>Current</v>
      </c>
      <c r="F33" t="str">
        <f t="shared" si="1"/>
        <v>12/28/2016</v>
      </c>
      <c r="G33" t="str">
        <f>VLOOKUP(A33,inf!$D$2:$E$76,2,FALSE)</f>
        <v>SBUX</v>
      </c>
    </row>
    <row r="34" spans="1:7" x14ac:dyDescent="0.25">
      <c r="A34" t="s">
        <v>5</v>
      </c>
      <c r="B34" s="1">
        <v>42732</v>
      </c>
      <c r="C34" t="s">
        <v>60</v>
      </c>
      <c r="D34">
        <v>72828.09</v>
      </c>
      <c r="E34" t="str">
        <f>VLOOKUP(C34,inf!$A$2:$B$7,2,FALSE)</f>
        <v>Over 90</v>
      </c>
      <c r="F34" t="str">
        <f t="shared" si="1"/>
        <v>12/28/2016</v>
      </c>
      <c r="G34" t="str">
        <f>VLOOKUP(A34,inf!$D$2:$E$76,2,FALSE)</f>
        <v>SBUX</v>
      </c>
    </row>
    <row r="35" spans="1:7" x14ac:dyDescent="0.25">
      <c r="A35" t="s">
        <v>5</v>
      </c>
      <c r="B35" s="1">
        <v>42732</v>
      </c>
      <c r="C35" t="s">
        <v>57</v>
      </c>
      <c r="D35">
        <v>18344</v>
      </c>
      <c r="E35" t="str">
        <f>VLOOKUP(C35,inf!$A$2:$B$7,2,FALSE)</f>
        <v>31 to 60</v>
      </c>
      <c r="F35" t="str">
        <f t="shared" si="1"/>
        <v>12/28/2016</v>
      </c>
      <c r="G35" t="str">
        <f>VLOOKUP(A35,inf!$D$2:$E$76,2,FALSE)</f>
        <v>SBUX</v>
      </c>
    </row>
    <row r="36" spans="1:7" x14ac:dyDescent="0.25">
      <c r="A36" t="s">
        <v>5</v>
      </c>
      <c r="B36" s="1">
        <v>42732</v>
      </c>
      <c r="C36" t="s">
        <v>59</v>
      </c>
      <c r="D36">
        <v>15288.45</v>
      </c>
      <c r="E36" t="str">
        <f>VLOOKUP(C36,inf!$A$2:$B$7,2,FALSE)</f>
        <v>Over 90</v>
      </c>
      <c r="F36" t="str">
        <f t="shared" si="1"/>
        <v>12/28/2016</v>
      </c>
      <c r="G36" t="str">
        <f>VLOOKUP(A36,inf!$D$2:$E$76,2,FALSE)</f>
        <v>SBUX</v>
      </c>
    </row>
    <row r="37" spans="1:7" x14ac:dyDescent="0.25">
      <c r="A37" t="s">
        <v>5</v>
      </c>
      <c r="B37" s="1">
        <v>42732</v>
      </c>
      <c r="C37" t="s">
        <v>58</v>
      </c>
      <c r="D37">
        <v>11342.209999999997</v>
      </c>
      <c r="E37" t="str">
        <f>VLOOKUP(C37,inf!$A$2:$B$7,2,FALSE)</f>
        <v>61 to 90</v>
      </c>
      <c r="F37" t="str">
        <f t="shared" si="1"/>
        <v>12/28/2016</v>
      </c>
      <c r="G37" t="str">
        <f>VLOOKUP(A37,inf!$D$2:$E$76,2,FALSE)</f>
        <v>SBUX</v>
      </c>
    </row>
    <row r="38" spans="1:7" x14ac:dyDescent="0.25">
      <c r="A38" t="s">
        <v>6</v>
      </c>
      <c r="B38" s="1">
        <v>42732</v>
      </c>
      <c r="C38" t="s">
        <v>55</v>
      </c>
      <c r="D38">
        <v>483323.79999999981</v>
      </c>
      <c r="E38" t="str">
        <f>VLOOKUP(C38,inf!$A$2:$B$7,2,FALSE)</f>
        <v>Current</v>
      </c>
      <c r="F38" t="str">
        <f t="shared" si="1"/>
        <v>12/28/2016</v>
      </c>
      <c r="G38" t="str">
        <f>VLOOKUP(A38,inf!$D$2:$E$76,2,FALSE)</f>
        <v>SBUX</v>
      </c>
    </row>
    <row r="39" spans="1:7" x14ac:dyDescent="0.25">
      <c r="A39" t="s">
        <v>6</v>
      </c>
      <c r="B39" s="1">
        <v>42732</v>
      </c>
      <c r="C39" t="s">
        <v>60</v>
      </c>
      <c r="D39">
        <v>8312.1299999999992</v>
      </c>
      <c r="E39" t="str">
        <f>VLOOKUP(C39,inf!$A$2:$B$7,2,FALSE)</f>
        <v>Over 90</v>
      </c>
      <c r="F39" t="str">
        <f t="shared" si="1"/>
        <v>12/28/2016</v>
      </c>
      <c r="G39" t="str">
        <f>VLOOKUP(A39,inf!$D$2:$E$76,2,FALSE)</f>
        <v>SBUX</v>
      </c>
    </row>
    <row r="40" spans="1:7" x14ac:dyDescent="0.25">
      <c r="A40" t="s">
        <v>6</v>
      </c>
      <c r="B40" s="1">
        <v>42732</v>
      </c>
      <c r="C40" t="s">
        <v>56</v>
      </c>
      <c r="D40">
        <v>2517.4900000000002</v>
      </c>
      <c r="E40" t="str">
        <f>VLOOKUP(C40,inf!$A$2:$B$7,2,FALSE)</f>
        <v>Current</v>
      </c>
      <c r="F40" t="str">
        <f t="shared" si="1"/>
        <v>12/28/2016</v>
      </c>
      <c r="G40" t="str">
        <f>VLOOKUP(A40,inf!$D$2:$E$76,2,FALSE)</f>
        <v>SBUX</v>
      </c>
    </row>
    <row r="41" spans="1:7" x14ac:dyDescent="0.25">
      <c r="A41" t="s">
        <v>6</v>
      </c>
      <c r="B41" s="1">
        <v>42732</v>
      </c>
      <c r="C41" t="s">
        <v>59</v>
      </c>
      <c r="D41">
        <v>689.06</v>
      </c>
      <c r="E41" t="str">
        <f>VLOOKUP(C41,inf!$A$2:$B$7,2,FALSE)</f>
        <v>Over 90</v>
      </c>
      <c r="F41" t="str">
        <f t="shared" si="1"/>
        <v>12/28/2016</v>
      </c>
      <c r="G41" t="str">
        <f>VLOOKUP(A41,inf!$D$2:$E$76,2,FALSE)</f>
        <v>SBUX</v>
      </c>
    </row>
    <row r="42" spans="1:7" x14ac:dyDescent="0.25">
      <c r="A42" t="s">
        <v>6</v>
      </c>
      <c r="B42" s="1">
        <v>42732</v>
      </c>
      <c r="C42" t="s">
        <v>57</v>
      </c>
      <c r="D42">
        <v>192.1</v>
      </c>
      <c r="E42" t="str">
        <f>VLOOKUP(C42,inf!$A$2:$B$7,2,FALSE)</f>
        <v>31 to 60</v>
      </c>
      <c r="F42" t="str">
        <f t="shared" si="1"/>
        <v>12/28/2016</v>
      </c>
      <c r="G42" t="str">
        <f>VLOOKUP(A42,inf!$D$2:$E$76,2,FALSE)</f>
        <v>SBUX</v>
      </c>
    </row>
    <row r="43" spans="1:7" x14ac:dyDescent="0.25">
      <c r="A43" t="s">
        <v>6</v>
      </c>
      <c r="B43" s="1">
        <v>42732</v>
      </c>
      <c r="C43" t="s">
        <v>58</v>
      </c>
      <c r="D43">
        <v>80.739999999999995</v>
      </c>
      <c r="E43" t="str">
        <f>VLOOKUP(C43,inf!$A$2:$B$7,2,FALSE)</f>
        <v>61 to 90</v>
      </c>
      <c r="F43" t="str">
        <f t="shared" si="1"/>
        <v>12/28/2016</v>
      </c>
      <c r="G43" t="str">
        <f>VLOOKUP(A43,inf!$D$2:$E$76,2,FALSE)</f>
        <v>SBUX</v>
      </c>
    </row>
    <row r="44" spans="1:7" x14ac:dyDescent="0.25">
      <c r="A44" t="s">
        <v>8</v>
      </c>
      <c r="B44" s="1">
        <v>42732</v>
      </c>
      <c r="C44" t="s">
        <v>55</v>
      </c>
      <c r="D44">
        <v>485071.5100000003</v>
      </c>
      <c r="E44" t="str">
        <f>VLOOKUP(C44,inf!$A$2:$B$7,2,FALSE)</f>
        <v>Current</v>
      </c>
      <c r="F44" t="str">
        <f t="shared" si="1"/>
        <v>12/28/2016</v>
      </c>
      <c r="G44" t="str">
        <f>VLOOKUP(A44,inf!$D$2:$E$76,2,FALSE)</f>
        <v>Target</v>
      </c>
    </row>
    <row r="45" spans="1:7" x14ac:dyDescent="0.25">
      <c r="A45" t="s">
        <v>8</v>
      </c>
      <c r="B45" s="1">
        <v>42732</v>
      </c>
      <c r="C45" t="s">
        <v>60</v>
      </c>
      <c r="D45">
        <v>20316.019999999993</v>
      </c>
      <c r="E45" t="str">
        <f>VLOOKUP(C45,inf!$A$2:$B$7,2,FALSE)</f>
        <v>Over 90</v>
      </c>
      <c r="F45" t="str">
        <f t="shared" si="1"/>
        <v>12/28/2016</v>
      </c>
      <c r="G45" t="str">
        <f>VLOOKUP(A45,inf!$D$2:$E$76,2,FALSE)</f>
        <v>Target</v>
      </c>
    </row>
    <row r="46" spans="1:7" x14ac:dyDescent="0.25">
      <c r="A46" t="s">
        <v>8</v>
      </c>
      <c r="B46" s="1">
        <v>42732</v>
      </c>
      <c r="C46" t="s">
        <v>59</v>
      </c>
      <c r="D46">
        <v>4015.94</v>
      </c>
      <c r="E46" t="str">
        <f>VLOOKUP(C46,inf!$A$2:$B$7,2,FALSE)</f>
        <v>Over 90</v>
      </c>
      <c r="F46" t="str">
        <f t="shared" si="1"/>
        <v>12/28/2016</v>
      </c>
      <c r="G46" t="str">
        <f>VLOOKUP(A46,inf!$D$2:$E$76,2,FALSE)</f>
        <v>Target</v>
      </c>
    </row>
    <row r="47" spans="1:7" x14ac:dyDescent="0.25">
      <c r="A47" t="s">
        <v>8</v>
      </c>
      <c r="B47" s="1">
        <v>42732</v>
      </c>
      <c r="C47" t="s">
        <v>57</v>
      </c>
      <c r="D47">
        <v>2167.6399999999994</v>
      </c>
      <c r="E47" t="str">
        <f>VLOOKUP(C47,inf!$A$2:$B$7,2,FALSE)</f>
        <v>31 to 60</v>
      </c>
      <c r="F47" t="str">
        <f t="shared" si="1"/>
        <v>12/28/2016</v>
      </c>
      <c r="G47" t="str">
        <f>VLOOKUP(A47,inf!$D$2:$E$76,2,FALSE)</f>
        <v>Target</v>
      </c>
    </row>
    <row r="48" spans="1:7" x14ac:dyDescent="0.25">
      <c r="A48" t="s">
        <v>8</v>
      </c>
      <c r="B48" s="1">
        <v>42732</v>
      </c>
      <c r="C48" t="s">
        <v>56</v>
      </c>
      <c r="D48">
        <v>1389.7599999999998</v>
      </c>
      <c r="E48" t="str">
        <f>VLOOKUP(C48,inf!$A$2:$B$7,2,FALSE)</f>
        <v>Current</v>
      </c>
      <c r="F48" t="str">
        <f t="shared" si="1"/>
        <v>12/28/2016</v>
      </c>
      <c r="G48" t="str">
        <f>VLOOKUP(A48,inf!$D$2:$E$76,2,FALSE)</f>
        <v>Target</v>
      </c>
    </row>
    <row r="49" spans="1:7" x14ac:dyDescent="0.25">
      <c r="A49" t="s">
        <v>8</v>
      </c>
      <c r="B49" s="1">
        <v>42732</v>
      </c>
      <c r="C49" t="s">
        <v>58</v>
      </c>
      <c r="D49">
        <v>1159</v>
      </c>
      <c r="E49" t="str">
        <f>VLOOKUP(C49,inf!$A$2:$B$7,2,FALSE)</f>
        <v>61 to 90</v>
      </c>
      <c r="F49" t="str">
        <f t="shared" si="1"/>
        <v>12/28/2016</v>
      </c>
      <c r="G49" t="str">
        <f>VLOOKUP(A49,inf!$D$2:$E$76,2,FALSE)</f>
        <v>Target</v>
      </c>
    </row>
    <row r="50" spans="1:7" x14ac:dyDescent="0.25">
      <c r="A50" t="s">
        <v>34</v>
      </c>
      <c r="B50" s="1">
        <v>42732</v>
      </c>
      <c r="C50" t="s">
        <v>55</v>
      </c>
      <c r="D50">
        <v>1917.53</v>
      </c>
      <c r="E50" t="str">
        <f>VLOOKUP(C50,inf!$A$2:$B$7,2,FALSE)</f>
        <v>Current</v>
      </c>
      <c r="F50" t="str">
        <f t="shared" si="1"/>
        <v>12/28/2016</v>
      </c>
      <c r="G50" t="str">
        <f>VLOOKUP(A50,inf!$D$2:$E$76,2,FALSE)</f>
        <v>Other</v>
      </c>
    </row>
    <row r="51" spans="1:7" x14ac:dyDescent="0.25">
      <c r="A51" t="s">
        <v>15</v>
      </c>
      <c r="B51" s="1">
        <v>42732</v>
      </c>
      <c r="C51" t="s">
        <v>55</v>
      </c>
      <c r="D51">
        <v>252.1</v>
      </c>
      <c r="E51" t="str">
        <f>VLOOKUP(C51,inf!$A$2:$B$7,2,FALSE)</f>
        <v>Current</v>
      </c>
      <c r="F51" t="str">
        <f t="shared" si="1"/>
        <v>12/28/2016</v>
      </c>
      <c r="G51" t="str">
        <f>VLOOKUP(A51,inf!$D$2:$E$76,2,FALSE)</f>
        <v>Other</v>
      </c>
    </row>
    <row r="52" spans="1:7" x14ac:dyDescent="0.25">
      <c r="A52" t="s">
        <v>10</v>
      </c>
      <c r="B52" s="1">
        <v>42739</v>
      </c>
      <c r="C52" t="s">
        <v>58</v>
      </c>
      <c r="D52">
        <v>155.4</v>
      </c>
      <c r="E52" t="str">
        <f>VLOOKUP(C52,inf!$A$2:$B$7,2,FALSE)</f>
        <v>61 to 90</v>
      </c>
      <c r="F52" t="str">
        <f t="shared" si="1"/>
        <v>01/04/2017</v>
      </c>
      <c r="G52" t="str">
        <f>VLOOKUP(A52,inf!$D$2:$E$76,2,FALSE)</f>
        <v>SAFEWAY</v>
      </c>
    </row>
    <row r="53" spans="1:7" x14ac:dyDescent="0.25">
      <c r="A53" t="s">
        <v>4</v>
      </c>
      <c r="B53" s="1">
        <v>42739</v>
      </c>
      <c r="C53" t="s">
        <v>56</v>
      </c>
      <c r="D53">
        <v>6787.64</v>
      </c>
      <c r="E53" t="str">
        <f>VLOOKUP(C53,inf!$A$2:$B$7,2,FALSE)</f>
        <v>Current</v>
      </c>
      <c r="F53" t="str">
        <f t="shared" si="1"/>
        <v>01/04/2017</v>
      </c>
      <c r="G53" t="str">
        <f>VLOOKUP(A53,inf!$D$2:$E$76,2,FALSE)</f>
        <v>Other</v>
      </c>
    </row>
    <row r="54" spans="1:7" x14ac:dyDescent="0.25">
      <c r="A54" t="s">
        <v>4</v>
      </c>
      <c r="B54" s="1">
        <v>42739</v>
      </c>
      <c r="C54" t="s">
        <v>55</v>
      </c>
      <c r="D54">
        <v>2506.83</v>
      </c>
      <c r="E54" t="str">
        <f>VLOOKUP(C54,inf!$A$2:$B$7,2,FALSE)</f>
        <v>Current</v>
      </c>
      <c r="F54" t="str">
        <f t="shared" si="1"/>
        <v>01/04/2017</v>
      </c>
      <c r="G54" t="str">
        <f>VLOOKUP(A54,inf!$D$2:$E$76,2,FALSE)</f>
        <v>Other</v>
      </c>
    </row>
    <row r="55" spans="1:7" x14ac:dyDescent="0.25">
      <c r="A55" t="s">
        <v>26</v>
      </c>
      <c r="B55" s="1">
        <v>42739</v>
      </c>
      <c r="C55" t="s">
        <v>59</v>
      </c>
      <c r="D55">
        <v>848.9</v>
      </c>
      <c r="E55" t="str">
        <f>VLOOKUP(C55,inf!$A$2:$B$7,2,FALSE)</f>
        <v>Over 90</v>
      </c>
      <c r="F55" t="str">
        <f t="shared" si="1"/>
        <v>01/04/2017</v>
      </c>
      <c r="G55" t="str">
        <f>VLOOKUP(A55,inf!$D$2:$E$76,2,FALSE)</f>
        <v>Other</v>
      </c>
    </row>
    <row r="56" spans="1:7" x14ac:dyDescent="0.25">
      <c r="A56" t="s">
        <v>26</v>
      </c>
      <c r="B56" s="1">
        <v>42739</v>
      </c>
      <c r="C56" t="s">
        <v>58</v>
      </c>
      <c r="D56">
        <v>640.79999999999995</v>
      </c>
      <c r="E56" t="str">
        <f>VLOOKUP(C56,inf!$A$2:$B$7,2,FALSE)</f>
        <v>61 to 90</v>
      </c>
      <c r="F56" t="str">
        <f t="shared" si="1"/>
        <v>01/04/2017</v>
      </c>
      <c r="G56" t="str">
        <f>VLOOKUP(A56,inf!$D$2:$E$76,2,FALSE)</f>
        <v>Other</v>
      </c>
    </row>
    <row r="57" spans="1:7" x14ac:dyDescent="0.25">
      <c r="A57" t="s">
        <v>2</v>
      </c>
      <c r="B57" s="1">
        <v>42739</v>
      </c>
      <c r="C57" t="s">
        <v>59</v>
      </c>
      <c r="D57">
        <v>3656.920000000001</v>
      </c>
      <c r="E57" t="str">
        <f>VLOOKUP(C57,inf!$A$2:$B$7,2,FALSE)</f>
        <v>Over 90</v>
      </c>
      <c r="F57" t="str">
        <f t="shared" si="1"/>
        <v>01/04/2017</v>
      </c>
      <c r="G57" t="str">
        <f>VLOOKUP(A57,inf!$D$2:$E$76,2,FALSE)</f>
        <v>Other</v>
      </c>
    </row>
    <row r="58" spans="1:7" x14ac:dyDescent="0.25">
      <c r="A58" t="s">
        <v>2</v>
      </c>
      <c r="B58" s="1">
        <v>42739</v>
      </c>
      <c r="C58" t="s">
        <v>60</v>
      </c>
      <c r="D58">
        <v>60.94</v>
      </c>
      <c r="E58" t="str">
        <f>VLOOKUP(C58,inf!$A$2:$B$7,2,FALSE)</f>
        <v>Over 90</v>
      </c>
      <c r="F58" t="str">
        <f t="shared" si="1"/>
        <v>01/04/2017</v>
      </c>
      <c r="G58" t="str">
        <f>VLOOKUP(A58,inf!$D$2:$E$76,2,FALSE)</f>
        <v>Other</v>
      </c>
    </row>
    <row r="59" spans="1:7" x14ac:dyDescent="0.25">
      <c r="A59" t="s">
        <v>32</v>
      </c>
      <c r="B59" s="1">
        <v>42739</v>
      </c>
      <c r="C59" t="s">
        <v>56</v>
      </c>
      <c r="D59">
        <v>126.05</v>
      </c>
      <c r="E59" t="str">
        <f>VLOOKUP(C59,inf!$A$2:$B$7,2,FALSE)</f>
        <v>Current</v>
      </c>
      <c r="F59" t="str">
        <f t="shared" si="1"/>
        <v>01/04/2017</v>
      </c>
      <c r="G59" t="str">
        <f>VLOOKUP(A59,inf!$D$2:$E$76,2,FALSE)</f>
        <v>Other</v>
      </c>
    </row>
    <row r="60" spans="1:7" x14ac:dyDescent="0.25">
      <c r="A60" t="s">
        <v>1</v>
      </c>
      <c r="B60" s="1">
        <v>42739</v>
      </c>
      <c r="C60" t="s">
        <v>57</v>
      </c>
      <c r="D60">
        <v>-850</v>
      </c>
      <c r="E60" t="str">
        <f>VLOOKUP(C60,inf!$A$2:$B$7,2,FALSE)</f>
        <v>31 to 60</v>
      </c>
      <c r="F60" t="str">
        <f t="shared" si="1"/>
        <v>01/04/2017</v>
      </c>
      <c r="G60" t="str">
        <f>VLOOKUP(A60,inf!$D$2:$E$76,2,FALSE)</f>
        <v>Other</v>
      </c>
    </row>
    <row r="61" spans="1:7" x14ac:dyDescent="0.25">
      <c r="A61" t="s">
        <v>1</v>
      </c>
      <c r="B61" s="1">
        <v>42739</v>
      </c>
      <c r="C61" t="s">
        <v>60</v>
      </c>
      <c r="D61">
        <v>-3117.63</v>
      </c>
      <c r="E61" t="str">
        <f>VLOOKUP(C61,inf!$A$2:$B$7,2,FALSE)</f>
        <v>Over 90</v>
      </c>
      <c r="F61" t="str">
        <f t="shared" si="1"/>
        <v>01/04/2017</v>
      </c>
      <c r="G61" t="str">
        <f>VLOOKUP(A61,inf!$D$2:$E$76,2,FALSE)</f>
        <v>Other</v>
      </c>
    </row>
    <row r="62" spans="1:7" x14ac:dyDescent="0.25">
      <c r="A62" t="s">
        <v>11</v>
      </c>
      <c r="B62" s="1">
        <v>42739</v>
      </c>
      <c r="C62" t="s">
        <v>57</v>
      </c>
      <c r="D62">
        <v>448.76</v>
      </c>
      <c r="E62" t="str">
        <f>VLOOKUP(C62,inf!$A$2:$B$7,2,FALSE)</f>
        <v>31 to 60</v>
      </c>
      <c r="F62" t="str">
        <f t="shared" si="1"/>
        <v>01/04/2017</v>
      </c>
      <c r="G62" t="str">
        <f>VLOOKUP(A62,inf!$D$2:$E$76,2,FALSE)</f>
        <v>Other</v>
      </c>
    </row>
    <row r="63" spans="1:7" x14ac:dyDescent="0.25">
      <c r="A63" t="s">
        <v>33</v>
      </c>
      <c r="B63" s="1">
        <v>42739</v>
      </c>
      <c r="C63" t="s">
        <v>56</v>
      </c>
      <c r="D63">
        <v>744.34999999999991</v>
      </c>
      <c r="E63" t="str">
        <f>VLOOKUP(C63,inf!$A$2:$B$7,2,FALSE)</f>
        <v>Current</v>
      </c>
      <c r="F63" t="str">
        <f t="shared" si="1"/>
        <v>01/04/2017</v>
      </c>
      <c r="G63" t="str">
        <f>VLOOKUP(A63,inf!$D$2:$E$76,2,FALSE)</f>
        <v>Other</v>
      </c>
    </row>
    <row r="64" spans="1:7" x14ac:dyDescent="0.25">
      <c r="A64" t="s">
        <v>14</v>
      </c>
      <c r="B64" s="1">
        <v>42739</v>
      </c>
      <c r="C64" t="s">
        <v>58</v>
      </c>
      <c r="D64">
        <v>516.91999999999996</v>
      </c>
      <c r="E64" t="str">
        <f>VLOOKUP(C64,inf!$A$2:$B$7,2,FALSE)</f>
        <v>61 to 90</v>
      </c>
      <c r="F64" t="str">
        <f t="shared" si="1"/>
        <v>01/04/2017</v>
      </c>
      <c r="G64" t="str">
        <f>VLOOKUP(A64,inf!$D$2:$E$76,2,FALSE)</f>
        <v>Other</v>
      </c>
    </row>
    <row r="65" spans="1:7" x14ac:dyDescent="0.25">
      <c r="A65" t="s">
        <v>25</v>
      </c>
      <c r="B65" s="1">
        <v>42739</v>
      </c>
      <c r="C65" t="s">
        <v>55</v>
      </c>
      <c r="D65">
        <v>1221.49</v>
      </c>
      <c r="E65" t="str">
        <f>VLOOKUP(C65,inf!$A$2:$B$7,2,FALSE)</f>
        <v>Current</v>
      </c>
      <c r="F65" t="str">
        <f t="shared" si="1"/>
        <v>01/04/2017</v>
      </c>
      <c r="G65" t="str">
        <f>VLOOKUP(A65,inf!$D$2:$E$76,2,FALSE)</f>
        <v>Other</v>
      </c>
    </row>
    <row r="66" spans="1:7" x14ac:dyDescent="0.25">
      <c r="A66" t="s">
        <v>13</v>
      </c>
      <c r="B66" s="1">
        <v>42739</v>
      </c>
      <c r="C66" t="s">
        <v>59</v>
      </c>
      <c r="D66">
        <v>258.42</v>
      </c>
      <c r="E66" t="str">
        <f>VLOOKUP(C66,inf!$A$2:$B$7,2,FALSE)</f>
        <v>Over 90</v>
      </c>
      <c r="F66" t="str">
        <f t="shared" si="1"/>
        <v>01/04/2017</v>
      </c>
      <c r="G66" t="str">
        <f>VLOOKUP(A66,inf!$D$2:$E$76,2,FALSE)</f>
        <v>Other</v>
      </c>
    </row>
    <row r="67" spans="1:7" x14ac:dyDescent="0.25">
      <c r="A67" t="s">
        <v>31</v>
      </c>
      <c r="B67" s="1">
        <v>42739</v>
      </c>
      <c r="C67" t="s">
        <v>55</v>
      </c>
      <c r="D67">
        <v>579.25</v>
      </c>
      <c r="E67" t="str">
        <f>VLOOKUP(C67,inf!$A$2:$B$7,2,FALSE)</f>
        <v>Current</v>
      </c>
      <c r="F67" t="str">
        <f t="shared" ref="F67:F130" si="2">TEXT(B67,"MM/DD/YYYY")</f>
        <v>01/04/2017</v>
      </c>
      <c r="G67" t="str">
        <f>VLOOKUP(A67,inf!$D$2:$E$76,2,FALSE)</f>
        <v>Other</v>
      </c>
    </row>
    <row r="68" spans="1:7" x14ac:dyDescent="0.25">
      <c r="A68" t="s">
        <v>27</v>
      </c>
      <c r="B68" s="1">
        <v>42739</v>
      </c>
      <c r="C68" t="s">
        <v>55</v>
      </c>
      <c r="D68">
        <v>122.35</v>
      </c>
      <c r="E68" t="str">
        <f>VLOOKUP(C68,inf!$A$2:$B$7,2,FALSE)</f>
        <v>Current</v>
      </c>
      <c r="F68" t="str">
        <f t="shared" si="2"/>
        <v>01/04/2017</v>
      </c>
      <c r="G68" t="str">
        <f>VLOOKUP(A68,inf!$D$2:$E$76,2,FALSE)</f>
        <v>Other</v>
      </c>
    </row>
    <row r="69" spans="1:7" x14ac:dyDescent="0.25">
      <c r="A69" t="s">
        <v>21</v>
      </c>
      <c r="B69" s="1">
        <v>42739</v>
      </c>
      <c r="C69" t="s">
        <v>55</v>
      </c>
      <c r="D69">
        <v>365.84</v>
      </c>
      <c r="E69" t="str">
        <f>VLOOKUP(C69,inf!$A$2:$B$7,2,FALSE)</f>
        <v>Current</v>
      </c>
      <c r="F69" t="str">
        <f t="shared" si="2"/>
        <v>01/04/2017</v>
      </c>
      <c r="G69" t="str">
        <f>VLOOKUP(A69,inf!$D$2:$E$76,2,FALSE)</f>
        <v>Other</v>
      </c>
    </row>
    <row r="70" spans="1:7" x14ac:dyDescent="0.25">
      <c r="A70" t="s">
        <v>3</v>
      </c>
      <c r="B70" s="1">
        <v>42739</v>
      </c>
      <c r="C70" t="s">
        <v>55</v>
      </c>
      <c r="D70">
        <v>5164.41</v>
      </c>
      <c r="E70" t="str">
        <f>VLOOKUP(C70,inf!$A$2:$B$7,2,FALSE)</f>
        <v>Current</v>
      </c>
      <c r="F70" t="str">
        <f t="shared" si="2"/>
        <v>01/04/2017</v>
      </c>
      <c r="G70" t="str">
        <f>VLOOKUP(A70,inf!$D$2:$E$76,2,FALSE)</f>
        <v>Other</v>
      </c>
    </row>
    <row r="71" spans="1:7" x14ac:dyDescent="0.25">
      <c r="A71" t="s">
        <v>12</v>
      </c>
      <c r="B71" s="1">
        <v>42739</v>
      </c>
      <c r="C71" t="s">
        <v>56</v>
      </c>
      <c r="D71">
        <v>1345.6499999999999</v>
      </c>
      <c r="E71" t="str">
        <f>VLOOKUP(C71,inf!$A$2:$B$7,2,FALSE)</f>
        <v>Current</v>
      </c>
      <c r="F71" t="str">
        <f t="shared" si="2"/>
        <v>01/04/2017</v>
      </c>
      <c r="G71" t="str">
        <f>VLOOKUP(A71,inf!$D$2:$E$76,2,FALSE)</f>
        <v>Other</v>
      </c>
    </row>
    <row r="72" spans="1:7" x14ac:dyDescent="0.25">
      <c r="A72" t="s">
        <v>12</v>
      </c>
      <c r="B72" s="1">
        <v>42739</v>
      </c>
      <c r="C72" t="s">
        <v>55</v>
      </c>
      <c r="D72">
        <v>592.66999999999996</v>
      </c>
      <c r="E72" t="str">
        <f>VLOOKUP(C72,inf!$A$2:$B$7,2,FALSE)</f>
        <v>Current</v>
      </c>
      <c r="F72" t="str">
        <f t="shared" si="2"/>
        <v>01/04/2017</v>
      </c>
      <c r="G72" t="str">
        <f>VLOOKUP(A72,inf!$D$2:$E$76,2,FALSE)</f>
        <v>Other</v>
      </c>
    </row>
    <row r="73" spans="1:7" x14ac:dyDescent="0.25">
      <c r="A73" t="s">
        <v>12</v>
      </c>
      <c r="B73" s="1">
        <v>42739</v>
      </c>
      <c r="C73" t="s">
        <v>59</v>
      </c>
      <c r="D73">
        <v>535.5</v>
      </c>
      <c r="E73" t="str">
        <f>VLOOKUP(C73,inf!$A$2:$B$7,2,FALSE)</f>
        <v>Over 90</v>
      </c>
      <c r="F73" t="str">
        <f t="shared" si="2"/>
        <v>01/04/2017</v>
      </c>
      <c r="G73" t="str">
        <f>VLOOKUP(A73,inf!$D$2:$E$76,2,FALSE)</f>
        <v>Other</v>
      </c>
    </row>
    <row r="74" spans="1:7" x14ac:dyDescent="0.25">
      <c r="A74" t="s">
        <v>12</v>
      </c>
      <c r="B74" s="1">
        <v>42739</v>
      </c>
      <c r="C74" t="s">
        <v>58</v>
      </c>
      <c r="D74">
        <v>170</v>
      </c>
      <c r="E74" t="str">
        <f>VLOOKUP(C74,inf!$A$2:$B$7,2,FALSE)</f>
        <v>61 to 90</v>
      </c>
      <c r="F74" t="str">
        <f t="shared" si="2"/>
        <v>01/04/2017</v>
      </c>
      <c r="G74" t="str">
        <f>VLOOKUP(A74,inf!$D$2:$E$76,2,FALSE)</f>
        <v>Other</v>
      </c>
    </row>
    <row r="75" spans="1:7" x14ac:dyDescent="0.25">
      <c r="A75" t="s">
        <v>9</v>
      </c>
      <c r="B75" s="1">
        <v>42739</v>
      </c>
      <c r="C75" t="s">
        <v>58</v>
      </c>
      <c r="D75">
        <v>599.03</v>
      </c>
      <c r="E75" t="str">
        <f>VLOOKUP(C75,inf!$A$2:$B$7,2,FALSE)</f>
        <v>61 to 90</v>
      </c>
      <c r="F75" t="str">
        <f t="shared" si="2"/>
        <v>01/04/2017</v>
      </c>
      <c r="G75" t="str">
        <f>VLOOKUP(A75,inf!$D$2:$E$76,2,FALSE)</f>
        <v>Other</v>
      </c>
    </row>
    <row r="76" spans="1:7" x14ac:dyDescent="0.25">
      <c r="A76" t="s">
        <v>7</v>
      </c>
      <c r="B76" s="1">
        <v>42739</v>
      </c>
      <c r="C76" t="s">
        <v>55</v>
      </c>
      <c r="D76" s="5">
        <v>26381.94</v>
      </c>
      <c r="E76" t="str">
        <f>VLOOKUP(C76,inf!$A$2:$B$7,2,FALSE)</f>
        <v>Current</v>
      </c>
      <c r="F76" t="str">
        <f t="shared" si="2"/>
        <v>01/04/2017</v>
      </c>
      <c r="G76" t="str">
        <f>VLOOKUP(A76,inf!$D$2:$E$76,2,FALSE)</f>
        <v>SAFEWAY</v>
      </c>
    </row>
    <row r="77" spans="1:7" x14ac:dyDescent="0.25">
      <c r="A77" t="s">
        <v>7</v>
      </c>
      <c r="B77" s="1">
        <v>42739</v>
      </c>
      <c r="C77" t="s">
        <v>56</v>
      </c>
      <c r="D77">
        <v>6369.78</v>
      </c>
      <c r="E77" t="str">
        <f>VLOOKUP(C77,inf!$A$2:$B$7,2,FALSE)</f>
        <v>Current</v>
      </c>
      <c r="F77" t="str">
        <f t="shared" si="2"/>
        <v>01/04/2017</v>
      </c>
      <c r="G77" t="str">
        <f>VLOOKUP(A77,inf!$D$2:$E$76,2,FALSE)</f>
        <v>SAFEWAY</v>
      </c>
    </row>
    <row r="78" spans="1:7" x14ac:dyDescent="0.25">
      <c r="A78" t="s">
        <v>7</v>
      </c>
      <c r="B78" s="1">
        <v>42739</v>
      </c>
      <c r="C78" t="s">
        <v>60</v>
      </c>
      <c r="D78">
        <v>631.72</v>
      </c>
      <c r="E78" t="str">
        <f>VLOOKUP(C78,inf!$A$2:$B$7,2,FALSE)</f>
        <v>Over 90</v>
      </c>
      <c r="F78" t="str">
        <f t="shared" si="2"/>
        <v>01/04/2017</v>
      </c>
      <c r="G78" t="str">
        <f>VLOOKUP(A78,inf!$D$2:$E$76,2,FALSE)</f>
        <v>SAFEWAY</v>
      </c>
    </row>
    <row r="79" spans="1:7" x14ac:dyDescent="0.25">
      <c r="A79" t="s">
        <v>7</v>
      </c>
      <c r="B79" s="1">
        <v>42739</v>
      </c>
      <c r="C79" t="s">
        <v>58</v>
      </c>
      <c r="D79">
        <v>7.92</v>
      </c>
      <c r="E79" t="str">
        <f>VLOOKUP(C79,inf!$A$2:$B$7,2,FALSE)</f>
        <v>61 to 90</v>
      </c>
      <c r="F79" t="str">
        <f t="shared" si="2"/>
        <v>01/04/2017</v>
      </c>
      <c r="G79" t="str">
        <f>VLOOKUP(A79,inf!$D$2:$E$76,2,FALSE)</f>
        <v>SAFEWAY</v>
      </c>
    </row>
    <row r="80" spans="1:7" x14ac:dyDescent="0.25">
      <c r="A80" t="s">
        <v>29</v>
      </c>
      <c r="B80" s="1">
        <v>42739</v>
      </c>
      <c r="C80" t="s">
        <v>55</v>
      </c>
      <c r="D80">
        <v>210.85</v>
      </c>
      <c r="E80" t="str">
        <f>VLOOKUP(C80,inf!$A$2:$B$7,2,FALSE)</f>
        <v>Current</v>
      </c>
      <c r="F80" t="str">
        <f t="shared" si="2"/>
        <v>01/04/2017</v>
      </c>
      <c r="G80" t="str">
        <f>VLOOKUP(A80,inf!$D$2:$E$76,2,FALSE)</f>
        <v>Other</v>
      </c>
    </row>
    <row r="81" spans="1:7" x14ac:dyDescent="0.25">
      <c r="A81" t="s">
        <v>5</v>
      </c>
      <c r="B81" s="1">
        <v>42739</v>
      </c>
      <c r="C81" t="s">
        <v>55</v>
      </c>
      <c r="D81">
        <v>4998151.0900000464</v>
      </c>
      <c r="E81" t="str">
        <f>VLOOKUP(C81,inf!$A$2:$B$7,2,FALSE)</f>
        <v>Current</v>
      </c>
      <c r="F81" t="str">
        <f t="shared" si="2"/>
        <v>01/04/2017</v>
      </c>
      <c r="G81" t="str">
        <f>VLOOKUP(A81,inf!$D$2:$E$76,2,FALSE)</f>
        <v>SBUX</v>
      </c>
    </row>
    <row r="82" spans="1:7" x14ac:dyDescent="0.25">
      <c r="A82" t="s">
        <v>5</v>
      </c>
      <c r="B82" s="1">
        <v>42739</v>
      </c>
      <c r="C82" t="s">
        <v>56</v>
      </c>
      <c r="D82">
        <v>93267.170000000071</v>
      </c>
      <c r="E82" t="str">
        <f>VLOOKUP(C82,inf!$A$2:$B$7,2,FALSE)</f>
        <v>Current</v>
      </c>
      <c r="F82" t="str">
        <f t="shared" si="2"/>
        <v>01/04/2017</v>
      </c>
      <c r="G82" t="str">
        <f>VLOOKUP(A82,inf!$D$2:$E$76,2,FALSE)</f>
        <v>SBUX</v>
      </c>
    </row>
    <row r="83" spans="1:7" x14ac:dyDescent="0.25">
      <c r="A83" t="s">
        <v>5</v>
      </c>
      <c r="B83" s="1">
        <v>42739</v>
      </c>
      <c r="C83" t="s">
        <v>60</v>
      </c>
      <c r="D83">
        <v>61935.899999999994</v>
      </c>
      <c r="E83" t="str">
        <f>VLOOKUP(C83,inf!$A$2:$B$7,2,FALSE)</f>
        <v>Over 90</v>
      </c>
      <c r="F83" t="str">
        <f t="shared" si="2"/>
        <v>01/04/2017</v>
      </c>
      <c r="G83" t="str">
        <f>VLOOKUP(A83,inf!$D$2:$E$76,2,FALSE)</f>
        <v>SBUX</v>
      </c>
    </row>
    <row r="84" spans="1:7" x14ac:dyDescent="0.25">
      <c r="A84" t="s">
        <v>5</v>
      </c>
      <c r="B84" s="1">
        <v>42739</v>
      </c>
      <c r="C84" t="s">
        <v>59</v>
      </c>
      <c r="D84">
        <v>15483.980000000001</v>
      </c>
      <c r="E84" t="str">
        <f>VLOOKUP(C84,inf!$A$2:$B$7,2,FALSE)</f>
        <v>Over 90</v>
      </c>
      <c r="F84" t="str">
        <f t="shared" si="2"/>
        <v>01/04/2017</v>
      </c>
      <c r="G84" t="str">
        <f>VLOOKUP(A84,inf!$D$2:$E$76,2,FALSE)</f>
        <v>SBUX</v>
      </c>
    </row>
    <row r="85" spans="1:7" x14ac:dyDescent="0.25">
      <c r="A85" t="s">
        <v>5</v>
      </c>
      <c r="B85" s="1">
        <v>42739</v>
      </c>
      <c r="C85" t="s">
        <v>57</v>
      </c>
      <c r="D85">
        <v>15244.000000000002</v>
      </c>
      <c r="E85" t="str">
        <f>VLOOKUP(C85,inf!$A$2:$B$7,2,FALSE)</f>
        <v>31 to 60</v>
      </c>
      <c r="F85" t="str">
        <f t="shared" si="2"/>
        <v>01/04/2017</v>
      </c>
      <c r="G85" t="str">
        <f>VLOOKUP(A85,inf!$D$2:$E$76,2,FALSE)</f>
        <v>SBUX</v>
      </c>
    </row>
    <row r="86" spans="1:7" x14ac:dyDescent="0.25">
      <c r="A86" t="s">
        <v>5</v>
      </c>
      <c r="B86" s="1">
        <v>42739</v>
      </c>
      <c r="C86" t="s">
        <v>58</v>
      </c>
      <c r="D86">
        <v>14289.519999999999</v>
      </c>
      <c r="E86" t="str">
        <f>VLOOKUP(C86,inf!$A$2:$B$7,2,FALSE)</f>
        <v>61 to 90</v>
      </c>
      <c r="F86" t="str">
        <f t="shared" si="2"/>
        <v>01/04/2017</v>
      </c>
      <c r="G86" t="str">
        <f>VLOOKUP(A86,inf!$D$2:$E$76,2,FALSE)</f>
        <v>SBUX</v>
      </c>
    </row>
    <row r="87" spans="1:7" x14ac:dyDescent="0.25">
      <c r="A87" t="s">
        <v>6</v>
      </c>
      <c r="B87" s="1">
        <v>42739</v>
      </c>
      <c r="C87" t="s">
        <v>55</v>
      </c>
      <c r="D87">
        <v>454183.97999999957</v>
      </c>
      <c r="E87" t="str">
        <f>VLOOKUP(C87,inf!$A$2:$B$7,2,FALSE)</f>
        <v>Current</v>
      </c>
      <c r="F87" t="str">
        <f t="shared" si="2"/>
        <v>01/04/2017</v>
      </c>
      <c r="G87" t="str">
        <f>VLOOKUP(A87,inf!$D$2:$E$76,2,FALSE)</f>
        <v>SBUX</v>
      </c>
    </row>
    <row r="88" spans="1:7" x14ac:dyDescent="0.25">
      <c r="A88" t="s">
        <v>6</v>
      </c>
      <c r="B88" s="1">
        <v>42739</v>
      </c>
      <c r="C88" t="s">
        <v>60</v>
      </c>
      <c r="D88">
        <v>8312.1299999999992</v>
      </c>
      <c r="E88" t="str">
        <f>VLOOKUP(C88,inf!$A$2:$B$7,2,FALSE)</f>
        <v>Over 90</v>
      </c>
      <c r="F88" t="str">
        <f t="shared" si="2"/>
        <v>01/04/2017</v>
      </c>
      <c r="G88" t="str">
        <f>VLOOKUP(A88,inf!$D$2:$E$76,2,FALSE)</f>
        <v>SBUX</v>
      </c>
    </row>
    <row r="89" spans="1:7" x14ac:dyDescent="0.25">
      <c r="A89" t="s">
        <v>6</v>
      </c>
      <c r="B89" s="1">
        <v>42739</v>
      </c>
      <c r="C89" t="s">
        <v>56</v>
      </c>
      <c r="D89">
        <v>1122.3000000000002</v>
      </c>
      <c r="E89" t="str">
        <f>VLOOKUP(C89,inf!$A$2:$B$7,2,FALSE)</f>
        <v>Current</v>
      </c>
      <c r="F89" t="str">
        <f t="shared" si="2"/>
        <v>01/04/2017</v>
      </c>
      <c r="G89" t="str">
        <f>VLOOKUP(A89,inf!$D$2:$E$76,2,FALSE)</f>
        <v>SBUX</v>
      </c>
    </row>
    <row r="90" spans="1:7" x14ac:dyDescent="0.25">
      <c r="A90" t="s">
        <v>6</v>
      </c>
      <c r="B90" s="1">
        <v>42739</v>
      </c>
      <c r="C90" t="s">
        <v>59</v>
      </c>
      <c r="D90">
        <v>689.06</v>
      </c>
      <c r="E90" t="str">
        <f>VLOOKUP(C90,inf!$A$2:$B$7,2,FALSE)</f>
        <v>Over 90</v>
      </c>
      <c r="F90" t="str">
        <f t="shared" si="2"/>
        <v>01/04/2017</v>
      </c>
      <c r="G90" t="str">
        <f>VLOOKUP(A90,inf!$D$2:$E$76,2,FALSE)</f>
        <v>SBUX</v>
      </c>
    </row>
    <row r="91" spans="1:7" x14ac:dyDescent="0.25">
      <c r="A91" t="s">
        <v>6</v>
      </c>
      <c r="B91" s="1">
        <v>42739</v>
      </c>
      <c r="C91" t="s">
        <v>57</v>
      </c>
      <c r="D91">
        <v>192.1</v>
      </c>
      <c r="E91" t="str">
        <f>VLOOKUP(C91,inf!$A$2:$B$7,2,FALSE)</f>
        <v>31 to 60</v>
      </c>
      <c r="F91" t="str">
        <f t="shared" si="2"/>
        <v>01/04/2017</v>
      </c>
      <c r="G91" t="str">
        <f>VLOOKUP(A91,inf!$D$2:$E$76,2,FALSE)</f>
        <v>SBUX</v>
      </c>
    </row>
    <row r="92" spans="1:7" x14ac:dyDescent="0.25">
      <c r="A92" t="s">
        <v>6</v>
      </c>
      <c r="B92" s="1">
        <v>42739</v>
      </c>
      <c r="C92" t="s">
        <v>58</v>
      </c>
      <c r="D92">
        <v>80.739999999999995</v>
      </c>
      <c r="E92" t="str">
        <f>VLOOKUP(C92,inf!$A$2:$B$7,2,FALSE)</f>
        <v>61 to 90</v>
      </c>
      <c r="F92" t="str">
        <f t="shared" si="2"/>
        <v>01/04/2017</v>
      </c>
      <c r="G92" t="str">
        <f>VLOOKUP(A92,inf!$D$2:$E$76,2,FALSE)</f>
        <v>SBUX</v>
      </c>
    </row>
    <row r="93" spans="1:7" x14ac:dyDescent="0.25">
      <c r="A93" t="s">
        <v>8</v>
      </c>
      <c r="B93" s="1">
        <v>42739</v>
      </c>
      <c r="C93" t="s">
        <v>55</v>
      </c>
      <c r="D93">
        <v>450832.04000000027</v>
      </c>
      <c r="E93" t="str">
        <f>VLOOKUP(C93,inf!$A$2:$B$7,2,FALSE)</f>
        <v>Current</v>
      </c>
      <c r="F93" t="str">
        <f t="shared" si="2"/>
        <v>01/04/2017</v>
      </c>
      <c r="G93" t="str">
        <f>VLOOKUP(A93,inf!$D$2:$E$76,2,FALSE)</f>
        <v>Target</v>
      </c>
    </row>
    <row r="94" spans="1:7" x14ac:dyDescent="0.25">
      <c r="A94" t="s">
        <v>8</v>
      </c>
      <c r="B94" s="1">
        <v>42739</v>
      </c>
      <c r="C94" t="s">
        <v>60</v>
      </c>
      <c r="D94">
        <v>20316.019999999993</v>
      </c>
      <c r="E94" t="str">
        <f>VLOOKUP(C94,inf!$A$2:$B$7,2,FALSE)</f>
        <v>Over 90</v>
      </c>
      <c r="F94" t="str">
        <f t="shared" si="2"/>
        <v>01/04/2017</v>
      </c>
      <c r="G94" t="str">
        <f>VLOOKUP(A94,inf!$D$2:$E$76,2,FALSE)</f>
        <v>Target</v>
      </c>
    </row>
    <row r="95" spans="1:7" x14ac:dyDescent="0.25">
      <c r="A95" t="s">
        <v>8</v>
      </c>
      <c r="B95" s="1">
        <v>42739</v>
      </c>
      <c r="C95" t="s">
        <v>59</v>
      </c>
      <c r="D95">
        <v>4015.94</v>
      </c>
      <c r="E95" t="str">
        <f>VLOOKUP(C95,inf!$A$2:$B$7,2,FALSE)</f>
        <v>Over 90</v>
      </c>
      <c r="F95" t="str">
        <f t="shared" si="2"/>
        <v>01/04/2017</v>
      </c>
      <c r="G95" t="str">
        <f>VLOOKUP(A95,inf!$D$2:$E$76,2,FALSE)</f>
        <v>Target</v>
      </c>
    </row>
    <row r="96" spans="1:7" x14ac:dyDescent="0.25">
      <c r="A96" t="s">
        <v>8</v>
      </c>
      <c r="B96" s="1">
        <v>42739</v>
      </c>
      <c r="C96" t="s">
        <v>57</v>
      </c>
      <c r="D96">
        <v>3335.1299999999992</v>
      </c>
      <c r="E96" t="str">
        <f>VLOOKUP(C96,inf!$A$2:$B$7,2,FALSE)</f>
        <v>31 to 60</v>
      </c>
      <c r="F96" t="str">
        <f t="shared" si="2"/>
        <v>01/04/2017</v>
      </c>
      <c r="G96" t="str">
        <f>VLOOKUP(A96,inf!$D$2:$E$76,2,FALSE)</f>
        <v>Target</v>
      </c>
    </row>
    <row r="97" spans="1:7" x14ac:dyDescent="0.25">
      <c r="A97" t="s">
        <v>8</v>
      </c>
      <c r="B97" s="1">
        <v>42739</v>
      </c>
      <c r="C97" t="s">
        <v>58</v>
      </c>
      <c r="D97">
        <v>1159</v>
      </c>
      <c r="E97" t="str">
        <f>VLOOKUP(C97,inf!$A$2:$B$7,2,FALSE)</f>
        <v>61 to 90</v>
      </c>
      <c r="F97" t="str">
        <f t="shared" si="2"/>
        <v>01/04/2017</v>
      </c>
      <c r="G97" t="str">
        <f>VLOOKUP(A97,inf!$D$2:$E$76,2,FALSE)</f>
        <v>Target</v>
      </c>
    </row>
    <row r="98" spans="1:7" x14ac:dyDescent="0.25">
      <c r="A98" t="s">
        <v>8</v>
      </c>
      <c r="B98" s="1">
        <v>42739</v>
      </c>
      <c r="C98" t="s">
        <v>56</v>
      </c>
      <c r="D98">
        <v>222.27</v>
      </c>
      <c r="E98" t="str">
        <f>VLOOKUP(C98,inf!$A$2:$B$7,2,FALSE)</f>
        <v>Current</v>
      </c>
      <c r="F98" t="str">
        <f t="shared" si="2"/>
        <v>01/04/2017</v>
      </c>
      <c r="G98" t="str">
        <f>VLOOKUP(A98,inf!$D$2:$E$76,2,FALSE)</f>
        <v>Target</v>
      </c>
    </row>
    <row r="99" spans="1:7" x14ac:dyDescent="0.25">
      <c r="A99" t="s">
        <v>34</v>
      </c>
      <c r="B99" s="1">
        <v>42739</v>
      </c>
      <c r="C99" t="s">
        <v>55</v>
      </c>
      <c r="D99">
        <v>2415.5099999999998</v>
      </c>
      <c r="E99" t="str">
        <f>VLOOKUP(C99,inf!$A$2:$B$7,2,FALSE)</f>
        <v>Current</v>
      </c>
      <c r="F99" t="str">
        <f t="shared" si="2"/>
        <v>01/04/2017</v>
      </c>
      <c r="G99" t="str">
        <f>VLOOKUP(A99,inf!$D$2:$E$76,2,FALSE)</f>
        <v>Other</v>
      </c>
    </row>
    <row r="100" spans="1:7" x14ac:dyDescent="0.25">
      <c r="A100" t="s">
        <v>15</v>
      </c>
      <c r="B100" s="1">
        <v>42739</v>
      </c>
      <c r="C100" t="s">
        <v>55</v>
      </c>
      <c r="D100">
        <v>126.05</v>
      </c>
      <c r="E100" t="str">
        <f>VLOOKUP(C100,inf!$A$2:$B$7,2,FALSE)</f>
        <v>Current</v>
      </c>
      <c r="F100" t="str">
        <f t="shared" si="2"/>
        <v>01/04/2017</v>
      </c>
      <c r="G100" t="str">
        <f>VLOOKUP(A100,inf!$D$2:$E$76,2,FALSE)</f>
        <v>Other</v>
      </c>
    </row>
    <row r="101" spans="1:7" x14ac:dyDescent="0.25">
      <c r="A101" t="s">
        <v>15</v>
      </c>
      <c r="B101" s="1">
        <v>42739</v>
      </c>
      <c r="C101" t="s">
        <v>56</v>
      </c>
      <c r="D101">
        <v>126.05</v>
      </c>
      <c r="E101" t="str">
        <f>VLOOKUP(C101,inf!$A$2:$B$7,2,FALSE)</f>
        <v>Current</v>
      </c>
      <c r="F101" t="str">
        <f t="shared" si="2"/>
        <v>01/04/2017</v>
      </c>
      <c r="G101" t="str">
        <f>VLOOKUP(A101,inf!$D$2:$E$76,2,FALSE)</f>
        <v>Other</v>
      </c>
    </row>
    <row r="102" spans="1:7" x14ac:dyDescent="0.25">
      <c r="A102" t="s">
        <v>4</v>
      </c>
      <c r="B102" s="1">
        <v>42746</v>
      </c>
      <c r="C102" t="s">
        <v>56</v>
      </c>
      <c r="D102">
        <v>2093.13</v>
      </c>
      <c r="E102" t="str">
        <f>VLOOKUP(C102,inf!$A$2:$B$7,2,FALSE)</f>
        <v>Current</v>
      </c>
      <c r="F102" t="str">
        <f t="shared" si="2"/>
        <v>01/11/2017</v>
      </c>
      <c r="G102" t="str">
        <f>VLOOKUP(A102,inf!$D$2:$E$76,2,FALSE)</f>
        <v>Other</v>
      </c>
    </row>
    <row r="103" spans="1:7" x14ac:dyDescent="0.25">
      <c r="A103" t="s">
        <v>4</v>
      </c>
      <c r="B103" s="1">
        <v>42746</v>
      </c>
      <c r="C103" t="s">
        <v>55</v>
      </c>
      <c r="D103">
        <v>1480.75</v>
      </c>
      <c r="E103" t="str">
        <f>VLOOKUP(C103,inf!$A$2:$B$7,2,FALSE)</f>
        <v>Current</v>
      </c>
      <c r="F103" t="str">
        <f t="shared" si="2"/>
        <v>01/11/2017</v>
      </c>
      <c r="G103" t="str">
        <f>VLOOKUP(A103,inf!$D$2:$E$76,2,FALSE)</f>
        <v>Other</v>
      </c>
    </row>
    <row r="104" spans="1:7" x14ac:dyDescent="0.25">
      <c r="A104" t="s">
        <v>26</v>
      </c>
      <c r="B104" s="1">
        <v>42746</v>
      </c>
      <c r="C104" t="s">
        <v>60</v>
      </c>
      <c r="D104">
        <v>791.47</v>
      </c>
      <c r="E104" t="str">
        <f>VLOOKUP(C104,inf!$A$2:$B$7,2,FALSE)</f>
        <v>Over 90</v>
      </c>
      <c r="F104" t="str">
        <f t="shared" si="2"/>
        <v>01/11/2017</v>
      </c>
      <c r="G104" t="str">
        <f>VLOOKUP(A104,inf!$D$2:$E$76,2,FALSE)</f>
        <v>Other</v>
      </c>
    </row>
    <row r="105" spans="1:7" x14ac:dyDescent="0.25">
      <c r="A105" t="s">
        <v>26</v>
      </c>
      <c r="B105" s="1">
        <v>42746</v>
      </c>
      <c r="C105" t="s">
        <v>59</v>
      </c>
      <c r="D105">
        <v>698.2299999999999</v>
      </c>
      <c r="E105" t="str">
        <f>VLOOKUP(C105,inf!$A$2:$B$7,2,FALSE)</f>
        <v>Over 90</v>
      </c>
      <c r="F105" t="str">
        <f t="shared" si="2"/>
        <v>01/11/2017</v>
      </c>
      <c r="G105" t="str">
        <f>VLOOKUP(A105,inf!$D$2:$E$76,2,FALSE)</f>
        <v>Other</v>
      </c>
    </row>
    <row r="106" spans="1:7" x14ac:dyDescent="0.25">
      <c r="A106" t="s">
        <v>2</v>
      </c>
      <c r="B106" s="1">
        <v>42746</v>
      </c>
      <c r="C106" t="s">
        <v>60</v>
      </c>
      <c r="D106">
        <v>2975.3100000000004</v>
      </c>
      <c r="E106" t="str">
        <f>VLOOKUP(C106,inf!$A$2:$B$7,2,FALSE)</f>
        <v>Over 90</v>
      </c>
      <c r="F106" t="str">
        <f t="shared" si="2"/>
        <v>01/11/2017</v>
      </c>
      <c r="G106" t="str">
        <f>VLOOKUP(A106,inf!$D$2:$E$76,2,FALSE)</f>
        <v>Other</v>
      </c>
    </row>
    <row r="107" spans="1:7" x14ac:dyDescent="0.25">
      <c r="A107" t="s">
        <v>2</v>
      </c>
      <c r="B107" s="1">
        <v>42746</v>
      </c>
      <c r="C107" t="s">
        <v>59</v>
      </c>
      <c r="D107">
        <v>742.55</v>
      </c>
      <c r="E107" t="str">
        <f>VLOOKUP(C107,inf!$A$2:$B$7,2,FALSE)</f>
        <v>Over 90</v>
      </c>
      <c r="F107" t="str">
        <f t="shared" si="2"/>
        <v>01/11/2017</v>
      </c>
      <c r="G107" t="str">
        <f>VLOOKUP(A107,inf!$D$2:$E$76,2,FALSE)</f>
        <v>Other</v>
      </c>
    </row>
    <row r="108" spans="1:7" x14ac:dyDescent="0.25">
      <c r="A108" t="s">
        <v>32</v>
      </c>
      <c r="B108" s="1">
        <v>42746</v>
      </c>
      <c r="C108" t="s">
        <v>56</v>
      </c>
      <c r="D108">
        <v>126.05</v>
      </c>
      <c r="E108" t="str">
        <f>VLOOKUP(C108,inf!$A$2:$B$7,2,FALSE)</f>
        <v>Current</v>
      </c>
      <c r="F108" t="str">
        <f t="shared" si="2"/>
        <v>01/11/2017</v>
      </c>
      <c r="G108" t="str">
        <f>VLOOKUP(A108,inf!$D$2:$E$76,2,FALSE)</f>
        <v>Other</v>
      </c>
    </row>
    <row r="109" spans="1:7" x14ac:dyDescent="0.25">
      <c r="A109" t="s">
        <v>1</v>
      </c>
      <c r="B109" s="1">
        <v>42746</v>
      </c>
      <c r="C109" t="s">
        <v>57</v>
      </c>
      <c r="D109">
        <v>-850</v>
      </c>
      <c r="E109" t="str">
        <f>VLOOKUP(C109,inf!$A$2:$B$7,2,FALSE)</f>
        <v>31 to 60</v>
      </c>
      <c r="F109" t="str">
        <f t="shared" si="2"/>
        <v>01/11/2017</v>
      </c>
      <c r="G109" t="str">
        <f>VLOOKUP(A109,inf!$D$2:$E$76,2,FALSE)</f>
        <v>Other</v>
      </c>
    </row>
    <row r="110" spans="1:7" x14ac:dyDescent="0.25">
      <c r="A110" t="s">
        <v>1</v>
      </c>
      <c r="B110" s="1">
        <v>42746</v>
      </c>
      <c r="C110" t="s">
        <v>60</v>
      </c>
      <c r="D110">
        <v>-3117.63</v>
      </c>
      <c r="E110" t="str">
        <f>VLOOKUP(C110,inf!$A$2:$B$7,2,FALSE)</f>
        <v>Over 90</v>
      </c>
      <c r="F110" t="str">
        <f t="shared" si="2"/>
        <v>01/11/2017</v>
      </c>
      <c r="G110" t="str">
        <f>VLOOKUP(A110,inf!$D$2:$E$76,2,FALSE)</f>
        <v>Other</v>
      </c>
    </row>
    <row r="111" spans="1:7" x14ac:dyDescent="0.25">
      <c r="A111" t="s">
        <v>11</v>
      </c>
      <c r="B111" s="1">
        <v>42746</v>
      </c>
      <c r="C111" t="s">
        <v>57</v>
      </c>
      <c r="D111">
        <v>448.76</v>
      </c>
      <c r="E111" t="str">
        <f>VLOOKUP(C111,inf!$A$2:$B$7,2,FALSE)</f>
        <v>31 to 60</v>
      </c>
      <c r="F111" t="str">
        <f t="shared" si="2"/>
        <v>01/11/2017</v>
      </c>
      <c r="G111" t="str">
        <f>VLOOKUP(A111,inf!$D$2:$E$76,2,FALSE)</f>
        <v>Other</v>
      </c>
    </row>
    <row r="112" spans="1:7" x14ac:dyDescent="0.25">
      <c r="A112" t="s">
        <v>33</v>
      </c>
      <c r="B112" s="1">
        <v>42746</v>
      </c>
      <c r="C112" t="s">
        <v>56</v>
      </c>
      <c r="D112">
        <v>744.34999999999991</v>
      </c>
      <c r="E112" t="str">
        <f>VLOOKUP(C112,inf!$A$2:$B$7,2,FALSE)</f>
        <v>Current</v>
      </c>
      <c r="F112" t="str">
        <f t="shared" si="2"/>
        <v>01/11/2017</v>
      </c>
      <c r="G112" t="str">
        <f>VLOOKUP(A112,inf!$D$2:$E$76,2,FALSE)</f>
        <v>Other</v>
      </c>
    </row>
    <row r="113" spans="1:7" x14ac:dyDescent="0.25">
      <c r="A113" t="s">
        <v>14</v>
      </c>
      <c r="B113" s="1">
        <v>42746</v>
      </c>
      <c r="C113" t="s">
        <v>59</v>
      </c>
      <c r="D113">
        <v>516.91999999999996</v>
      </c>
      <c r="E113" t="str">
        <f>VLOOKUP(C113,inf!$A$2:$B$7,2,FALSE)</f>
        <v>Over 90</v>
      </c>
      <c r="F113" t="str">
        <f t="shared" si="2"/>
        <v>01/11/2017</v>
      </c>
      <c r="G113" t="str">
        <f>VLOOKUP(A113,inf!$D$2:$E$76,2,FALSE)</f>
        <v>Other</v>
      </c>
    </row>
    <row r="114" spans="1:7" x14ac:dyDescent="0.25">
      <c r="A114" t="s">
        <v>25</v>
      </c>
      <c r="B114" s="1">
        <v>42746</v>
      </c>
      <c r="C114" t="s">
        <v>55</v>
      </c>
      <c r="D114">
        <v>737.51</v>
      </c>
      <c r="E114" t="str">
        <f>VLOOKUP(C114,inf!$A$2:$B$7,2,FALSE)</f>
        <v>Current</v>
      </c>
      <c r="F114" t="str">
        <f t="shared" si="2"/>
        <v>01/11/2017</v>
      </c>
      <c r="G114" t="str">
        <f>VLOOKUP(A114,inf!$D$2:$E$76,2,FALSE)</f>
        <v>Other</v>
      </c>
    </row>
    <row r="115" spans="1:7" x14ac:dyDescent="0.25">
      <c r="A115" t="s">
        <v>13</v>
      </c>
      <c r="B115" s="1">
        <v>42746</v>
      </c>
      <c r="C115" t="s">
        <v>59</v>
      </c>
      <c r="D115">
        <v>258.42</v>
      </c>
      <c r="E115" t="str">
        <f>VLOOKUP(C115,inf!$A$2:$B$7,2,FALSE)</f>
        <v>Over 90</v>
      </c>
      <c r="F115" t="str">
        <f t="shared" si="2"/>
        <v>01/11/2017</v>
      </c>
      <c r="G115" t="str">
        <f>VLOOKUP(A115,inf!$D$2:$E$76,2,FALSE)</f>
        <v>Other</v>
      </c>
    </row>
    <row r="116" spans="1:7" x14ac:dyDescent="0.25">
      <c r="A116" t="s">
        <v>31</v>
      </c>
      <c r="B116" s="1">
        <v>42746</v>
      </c>
      <c r="C116" t="s">
        <v>55</v>
      </c>
      <c r="D116">
        <v>229.7</v>
      </c>
      <c r="E116" t="str">
        <f>VLOOKUP(C116,inf!$A$2:$B$7,2,FALSE)</f>
        <v>Current</v>
      </c>
      <c r="F116" t="str">
        <f t="shared" si="2"/>
        <v>01/11/2017</v>
      </c>
      <c r="G116" t="str">
        <f>VLOOKUP(A116,inf!$D$2:$E$76,2,FALSE)</f>
        <v>Other</v>
      </c>
    </row>
    <row r="117" spans="1:7" x14ac:dyDescent="0.25">
      <c r="A117" t="s">
        <v>27</v>
      </c>
      <c r="B117" s="1">
        <v>42746</v>
      </c>
      <c r="C117" t="s">
        <v>55</v>
      </c>
      <c r="D117">
        <v>1111.31</v>
      </c>
      <c r="E117" t="str">
        <f>VLOOKUP(C117,inf!$A$2:$B$7,2,FALSE)</f>
        <v>Current</v>
      </c>
      <c r="F117" t="str">
        <f t="shared" si="2"/>
        <v>01/11/2017</v>
      </c>
      <c r="G117" t="str">
        <f>VLOOKUP(A117,inf!$D$2:$E$76,2,FALSE)</f>
        <v>Other</v>
      </c>
    </row>
    <row r="118" spans="1:7" x14ac:dyDescent="0.25">
      <c r="A118" t="s">
        <v>21</v>
      </c>
      <c r="B118" s="1">
        <v>42746</v>
      </c>
      <c r="C118" t="s">
        <v>56</v>
      </c>
      <c r="D118">
        <v>365.84</v>
      </c>
      <c r="E118" t="str">
        <f>VLOOKUP(C118,inf!$A$2:$B$7,2,FALSE)</f>
        <v>Current</v>
      </c>
      <c r="F118" t="str">
        <f t="shared" si="2"/>
        <v>01/11/2017</v>
      </c>
      <c r="G118" t="str">
        <f>VLOOKUP(A118,inf!$D$2:$E$76,2,FALSE)</f>
        <v>Other</v>
      </c>
    </row>
    <row r="119" spans="1:7" x14ac:dyDescent="0.25">
      <c r="A119" t="s">
        <v>3</v>
      </c>
      <c r="B119" s="1">
        <v>42746</v>
      </c>
      <c r="C119" t="s">
        <v>55</v>
      </c>
      <c r="D119">
        <v>3313.74</v>
      </c>
      <c r="E119" t="str">
        <f>VLOOKUP(C119,inf!$A$2:$B$7,2,FALSE)</f>
        <v>Current</v>
      </c>
      <c r="F119" t="str">
        <f t="shared" si="2"/>
        <v>01/11/2017</v>
      </c>
      <c r="G119" t="str">
        <f>VLOOKUP(A119,inf!$D$2:$E$76,2,FALSE)</f>
        <v>Other</v>
      </c>
    </row>
    <row r="120" spans="1:7" x14ac:dyDescent="0.25">
      <c r="A120" t="s">
        <v>3</v>
      </c>
      <c r="B120" s="1">
        <v>42746</v>
      </c>
      <c r="C120" t="s">
        <v>56</v>
      </c>
      <c r="D120">
        <v>2789.73</v>
      </c>
      <c r="E120" t="str">
        <f>VLOOKUP(C120,inf!$A$2:$B$7,2,FALSE)</f>
        <v>Current</v>
      </c>
      <c r="F120" t="str">
        <f t="shared" si="2"/>
        <v>01/11/2017</v>
      </c>
      <c r="G120" t="str">
        <f>VLOOKUP(A120,inf!$D$2:$E$76,2,FALSE)</f>
        <v>Other</v>
      </c>
    </row>
    <row r="121" spans="1:7" x14ac:dyDescent="0.25">
      <c r="A121" t="s">
        <v>12</v>
      </c>
      <c r="B121" s="1">
        <v>42746</v>
      </c>
      <c r="C121" t="s">
        <v>56</v>
      </c>
      <c r="D121">
        <v>1938.3199999999997</v>
      </c>
      <c r="E121" t="str">
        <f>VLOOKUP(C121,inf!$A$2:$B$7,2,FALSE)</f>
        <v>Current</v>
      </c>
      <c r="F121" t="str">
        <f t="shared" si="2"/>
        <v>01/11/2017</v>
      </c>
      <c r="G121" t="str">
        <f>VLOOKUP(A121,inf!$D$2:$E$76,2,FALSE)</f>
        <v>Other</v>
      </c>
    </row>
    <row r="122" spans="1:7" x14ac:dyDescent="0.25">
      <c r="A122" t="s">
        <v>12</v>
      </c>
      <c r="B122" s="1">
        <v>42746</v>
      </c>
      <c r="C122" t="s">
        <v>59</v>
      </c>
      <c r="D122">
        <v>620.5</v>
      </c>
      <c r="E122" t="str">
        <f>VLOOKUP(C122,inf!$A$2:$B$7,2,FALSE)</f>
        <v>Over 90</v>
      </c>
      <c r="F122" t="str">
        <f t="shared" si="2"/>
        <v>01/11/2017</v>
      </c>
      <c r="G122" t="str">
        <f>VLOOKUP(A122,inf!$D$2:$E$76,2,FALSE)</f>
        <v>Other</v>
      </c>
    </row>
    <row r="123" spans="1:7" x14ac:dyDescent="0.25">
      <c r="A123" t="s">
        <v>12</v>
      </c>
      <c r="B123" s="1">
        <v>42746</v>
      </c>
      <c r="C123" t="s">
        <v>58</v>
      </c>
      <c r="D123">
        <v>85</v>
      </c>
      <c r="E123" t="str">
        <f>VLOOKUP(C123,inf!$A$2:$B$7,2,FALSE)</f>
        <v>61 to 90</v>
      </c>
      <c r="F123" t="str">
        <f t="shared" si="2"/>
        <v>01/11/2017</v>
      </c>
      <c r="G123" t="str">
        <f>VLOOKUP(A123,inf!$D$2:$E$76,2,FALSE)</f>
        <v>Other</v>
      </c>
    </row>
    <row r="124" spans="1:7" x14ac:dyDescent="0.25">
      <c r="A124" t="s">
        <v>9</v>
      </c>
      <c r="B124" s="1">
        <v>42746</v>
      </c>
      <c r="C124" t="s">
        <v>58</v>
      </c>
      <c r="D124">
        <v>599.03</v>
      </c>
      <c r="E124" t="str">
        <f>VLOOKUP(C124,inf!$A$2:$B$7,2,FALSE)</f>
        <v>61 to 90</v>
      </c>
      <c r="F124" t="str">
        <f t="shared" si="2"/>
        <v>01/11/2017</v>
      </c>
      <c r="G124" t="str">
        <f>VLOOKUP(A124,inf!$D$2:$E$76,2,FALSE)</f>
        <v>Other</v>
      </c>
    </row>
    <row r="125" spans="1:7" x14ac:dyDescent="0.25">
      <c r="A125" t="s">
        <v>7</v>
      </c>
      <c r="B125" s="1">
        <v>42746</v>
      </c>
      <c r="C125" t="s">
        <v>55</v>
      </c>
      <c r="D125" s="5">
        <v>25990.459999999992</v>
      </c>
      <c r="E125" t="str">
        <f>VLOOKUP(C125,inf!$A$2:$B$7,2,FALSE)</f>
        <v>Current</v>
      </c>
      <c r="F125" t="str">
        <f t="shared" si="2"/>
        <v>01/11/2017</v>
      </c>
      <c r="G125" t="str">
        <f>VLOOKUP(A125,inf!$D$2:$E$76,2,FALSE)</f>
        <v>SAFEWAY</v>
      </c>
    </row>
    <row r="126" spans="1:7" x14ac:dyDescent="0.25">
      <c r="A126" t="s">
        <v>7</v>
      </c>
      <c r="B126" s="1">
        <v>42746</v>
      </c>
      <c r="C126" t="s">
        <v>56</v>
      </c>
      <c r="D126">
        <v>1675.2600000000002</v>
      </c>
      <c r="E126" t="str">
        <f>VLOOKUP(C126,inf!$A$2:$B$7,2,FALSE)</f>
        <v>Current</v>
      </c>
      <c r="F126" t="str">
        <f t="shared" si="2"/>
        <v>01/11/2017</v>
      </c>
      <c r="G126" t="str">
        <f>VLOOKUP(A126,inf!$D$2:$E$76,2,FALSE)</f>
        <v>SAFEWAY</v>
      </c>
    </row>
    <row r="127" spans="1:7" x14ac:dyDescent="0.25">
      <c r="A127" t="s">
        <v>7</v>
      </c>
      <c r="B127" s="1">
        <v>42746</v>
      </c>
      <c r="C127" t="s">
        <v>60</v>
      </c>
      <c r="D127">
        <v>631.72</v>
      </c>
      <c r="E127" t="str">
        <f>VLOOKUP(C127,inf!$A$2:$B$7,2,FALSE)</f>
        <v>Over 90</v>
      </c>
      <c r="F127" t="str">
        <f t="shared" si="2"/>
        <v>01/11/2017</v>
      </c>
      <c r="G127" t="str">
        <f>VLOOKUP(A127,inf!$D$2:$E$76,2,FALSE)</f>
        <v>SAFEWAY</v>
      </c>
    </row>
    <row r="128" spans="1:7" x14ac:dyDescent="0.25">
      <c r="A128" t="s">
        <v>7</v>
      </c>
      <c r="B128" s="1">
        <v>42746</v>
      </c>
      <c r="C128" t="s">
        <v>58</v>
      </c>
      <c r="D128">
        <v>7.92</v>
      </c>
      <c r="E128" t="str">
        <f>VLOOKUP(C128,inf!$A$2:$B$7,2,FALSE)</f>
        <v>61 to 90</v>
      </c>
      <c r="F128" t="str">
        <f t="shared" si="2"/>
        <v>01/11/2017</v>
      </c>
      <c r="G128" t="str">
        <f>VLOOKUP(A128,inf!$D$2:$E$76,2,FALSE)</f>
        <v>SAFEWAY</v>
      </c>
    </row>
    <row r="129" spans="1:7" x14ac:dyDescent="0.25">
      <c r="A129" t="s">
        <v>29</v>
      </c>
      <c r="B129" s="1">
        <v>42746</v>
      </c>
      <c r="C129" t="s">
        <v>55</v>
      </c>
      <c r="D129">
        <v>210.85</v>
      </c>
      <c r="E129" t="str">
        <f>VLOOKUP(C129,inf!$A$2:$B$7,2,FALSE)</f>
        <v>Current</v>
      </c>
      <c r="F129" t="str">
        <f t="shared" si="2"/>
        <v>01/11/2017</v>
      </c>
      <c r="G129" t="str">
        <f>VLOOKUP(A129,inf!$D$2:$E$76,2,FALSE)</f>
        <v>Other</v>
      </c>
    </row>
    <row r="130" spans="1:7" x14ac:dyDescent="0.25">
      <c r="A130" t="s">
        <v>5</v>
      </c>
      <c r="B130" s="1">
        <v>42746</v>
      </c>
      <c r="C130" t="s">
        <v>55</v>
      </c>
      <c r="D130">
        <v>4970307.4099999927</v>
      </c>
      <c r="E130" t="str">
        <f>VLOOKUP(C130,inf!$A$2:$B$7,2,FALSE)</f>
        <v>Current</v>
      </c>
      <c r="F130" t="str">
        <f t="shared" si="2"/>
        <v>01/11/2017</v>
      </c>
      <c r="G130" t="str">
        <f>VLOOKUP(A130,inf!$D$2:$E$76,2,FALSE)</f>
        <v>SBUX</v>
      </c>
    </row>
    <row r="131" spans="1:7" x14ac:dyDescent="0.25">
      <c r="A131" t="s">
        <v>5</v>
      </c>
      <c r="B131" s="1">
        <v>42746</v>
      </c>
      <c r="C131" t="s">
        <v>56</v>
      </c>
      <c r="D131" s="5">
        <v>69615.609999999899</v>
      </c>
      <c r="E131" t="str">
        <f>VLOOKUP(C131,inf!$A$2:$B$7,2,FALSE)</f>
        <v>Current</v>
      </c>
      <c r="F131" t="str">
        <f t="shared" ref="F131:F194" si="3">TEXT(B131,"MM/DD/YYYY")</f>
        <v>01/11/2017</v>
      </c>
      <c r="G131" t="str">
        <f>VLOOKUP(A131,inf!$D$2:$E$76,2,FALSE)</f>
        <v>SBUX</v>
      </c>
    </row>
    <row r="132" spans="1:7" x14ac:dyDescent="0.25">
      <c r="A132" t="s">
        <v>5</v>
      </c>
      <c r="B132" s="1">
        <v>42746</v>
      </c>
      <c r="C132" t="s">
        <v>60</v>
      </c>
      <c r="D132" s="5">
        <v>60900.119999999988</v>
      </c>
      <c r="E132" t="str">
        <f>VLOOKUP(C132,inf!$A$2:$B$7,2,FALSE)</f>
        <v>Over 90</v>
      </c>
      <c r="F132" t="str">
        <f t="shared" si="3"/>
        <v>01/11/2017</v>
      </c>
      <c r="G132" t="str">
        <f>VLOOKUP(A132,inf!$D$2:$E$76,2,FALSE)</f>
        <v>SBUX</v>
      </c>
    </row>
    <row r="133" spans="1:7" x14ac:dyDescent="0.25">
      <c r="A133" t="s">
        <v>5</v>
      </c>
      <c r="B133" s="1">
        <v>42746</v>
      </c>
      <c r="C133" t="s">
        <v>58</v>
      </c>
      <c r="D133">
        <v>15086.16</v>
      </c>
      <c r="E133" t="str">
        <f>VLOOKUP(C133,inf!$A$2:$B$7,2,FALSE)</f>
        <v>61 to 90</v>
      </c>
      <c r="F133" t="str">
        <f t="shared" si="3"/>
        <v>01/11/2017</v>
      </c>
      <c r="G133" t="str">
        <f>VLOOKUP(A133,inf!$D$2:$E$76,2,FALSE)</f>
        <v>SBUX</v>
      </c>
    </row>
    <row r="134" spans="1:7" x14ac:dyDescent="0.25">
      <c r="A134" t="s">
        <v>5</v>
      </c>
      <c r="B134" s="1">
        <v>42746</v>
      </c>
      <c r="C134" t="s">
        <v>57</v>
      </c>
      <c r="D134">
        <v>12655.67</v>
      </c>
      <c r="E134" t="str">
        <f>VLOOKUP(C134,inf!$A$2:$B$7,2,FALSE)</f>
        <v>31 to 60</v>
      </c>
      <c r="F134" t="str">
        <f t="shared" si="3"/>
        <v>01/11/2017</v>
      </c>
      <c r="G134" t="str">
        <f>VLOOKUP(A134,inf!$D$2:$E$76,2,FALSE)</f>
        <v>SBUX</v>
      </c>
    </row>
    <row r="135" spans="1:7" x14ac:dyDescent="0.25">
      <c r="A135" t="s">
        <v>5</v>
      </c>
      <c r="B135" s="1">
        <v>42746</v>
      </c>
      <c r="C135" t="s">
        <v>59</v>
      </c>
      <c r="D135">
        <v>5267</v>
      </c>
      <c r="E135" t="str">
        <f>VLOOKUP(C135,inf!$A$2:$B$7,2,FALSE)</f>
        <v>Over 90</v>
      </c>
      <c r="F135" t="str">
        <f t="shared" si="3"/>
        <v>01/11/2017</v>
      </c>
      <c r="G135" t="str">
        <f>VLOOKUP(A135,inf!$D$2:$E$76,2,FALSE)</f>
        <v>SBUX</v>
      </c>
    </row>
    <row r="136" spans="1:7" x14ac:dyDescent="0.25">
      <c r="A136" t="s">
        <v>6</v>
      </c>
      <c r="B136" s="1">
        <v>42746</v>
      </c>
      <c r="C136" t="s">
        <v>55</v>
      </c>
      <c r="D136" s="5">
        <v>465655.41999999993</v>
      </c>
      <c r="E136" t="str">
        <f>VLOOKUP(C136,inf!$A$2:$B$7,2,FALSE)</f>
        <v>Current</v>
      </c>
      <c r="F136" t="str">
        <f t="shared" si="3"/>
        <v>01/11/2017</v>
      </c>
      <c r="G136" t="str">
        <f>VLOOKUP(A136,inf!$D$2:$E$76,2,FALSE)</f>
        <v>SBUX</v>
      </c>
    </row>
    <row r="137" spans="1:7" x14ac:dyDescent="0.25">
      <c r="A137" t="s">
        <v>6</v>
      </c>
      <c r="B137" s="1">
        <v>42746</v>
      </c>
      <c r="C137" t="s">
        <v>60</v>
      </c>
      <c r="D137">
        <v>9001.1899999999987</v>
      </c>
      <c r="E137" t="str">
        <f>VLOOKUP(C137,inf!$A$2:$B$7,2,FALSE)</f>
        <v>Over 90</v>
      </c>
      <c r="F137" t="str">
        <f t="shared" si="3"/>
        <v>01/11/2017</v>
      </c>
      <c r="G137" t="str">
        <f>VLOOKUP(A137,inf!$D$2:$E$76,2,FALSE)</f>
        <v>SBUX</v>
      </c>
    </row>
    <row r="138" spans="1:7" x14ac:dyDescent="0.25">
      <c r="A138" t="s">
        <v>6</v>
      </c>
      <c r="B138" s="1">
        <v>42746</v>
      </c>
      <c r="C138" t="s">
        <v>56</v>
      </c>
      <c r="D138">
        <v>3843.6899999999996</v>
      </c>
      <c r="E138" t="str">
        <f>VLOOKUP(C138,inf!$A$2:$B$7,2,FALSE)</f>
        <v>Current</v>
      </c>
      <c r="F138" t="str">
        <f t="shared" si="3"/>
        <v>01/11/2017</v>
      </c>
      <c r="G138" t="str">
        <f>VLOOKUP(A138,inf!$D$2:$E$76,2,FALSE)</f>
        <v>SBUX</v>
      </c>
    </row>
    <row r="139" spans="1:7" x14ac:dyDescent="0.25">
      <c r="A139" t="s">
        <v>6</v>
      </c>
      <c r="B139" s="1">
        <v>42746</v>
      </c>
      <c r="C139" t="s">
        <v>57</v>
      </c>
      <c r="D139">
        <v>192.1</v>
      </c>
      <c r="E139" t="str">
        <f>VLOOKUP(C139,inf!$A$2:$B$7,2,FALSE)</f>
        <v>31 to 60</v>
      </c>
      <c r="F139" t="str">
        <f t="shared" si="3"/>
        <v>01/11/2017</v>
      </c>
      <c r="G139" t="str">
        <f>VLOOKUP(A139,inf!$D$2:$E$76,2,FALSE)</f>
        <v>SBUX</v>
      </c>
    </row>
    <row r="140" spans="1:7" x14ac:dyDescent="0.25">
      <c r="A140" t="s">
        <v>6</v>
      </c>
      <c r="B140" s="1">
        <v>42746</v>
      </c>
      <c r="C140" t="s">
        <v>58</v>
      </c>
      <c r="D140">
        <v>80.739999999999995</v>
      </c>
      <c r="E140" t="str">
        <f>VLOOKUP(C140,inf!$A$2:$B$7,2,FALSE)</f>
        <v>61 to 90</v>
      </c>
      <c r="F140" t="str">
        <f t="shared" si="3"/>
        <v>01/11/2017</v>
      </c>
      <c r="G140" t="str">
        <f>VLOOKUP(A140,inf!$D$2:$E$76,2,FALSE)</f>
        <v>SBUX</v>
      </c>
    </row>
    <row r="141" spans="1:7" x14ac:dyDescent="0.25">
      <c r="A141" t="s">
        <v>8</v>
      </c>
      <c r="B141" s="1">
        <v>42746</v>
      </c>
      <c r="C141" t="s">
        <v>55</v>
      </c>
      <c r="D141" s="5">
        <v>345026.43000000034</v>
      </c>
      <c r="E141" t="str">
        <f>VLOOKUP(C141,inf!$A$2:$B$7,2,FALSE)</f>
        <v>Current</v>
      </c>
      <c r="F141" t="str">
        <f t="shared" si="3"/>
        <v>01/11/2017</v>
      </c>
      <c r="G141" t="str">
        <f>VLOOKUP(A141,inf!$D$2:$E$76,2,FALSE)</f>
        <v>Target</v>
      </c>
    </row>
    <row r="142" spans="1:7" x14ac:dyDescent="0.25">
      <c r="A142" t="s">
        <v>8</v>
      </c>
      <c r="B142" s="1">
        <v>42746</v>
      </c>
      <c r="C142" t="s">
        <v>60</v>
      </c>
      <c r="D142">
        <v>23433.340000000004</v>
      </c>
      <c r="E142" t="str">
        <f>VLOOKUP(C142,inf!$A$2:$B$7,2,FALSE)</f>
        <v>Over 90</v>
      </c>
      <c r="F142" t="str">
        <f t="shared" si="3"/>
        <v>01/11/2017</v>
      </c>
      <c r="G142" t="str">
        <f>VLOOKUP(A142,inf!$D$2:$E$76,2,FALSE)</f>
        <v>Target</v>
      </c>
    </row>
    <row r="143" spans="1:7" x14ac:dyDescent="0.25">
      <c r="A143" t="s">
        <v>8</v>
      </c>
      <c r="B143" s="1">
        <v>42746</v>
      </c>
      <c r="C143" t="s">
        <v>56</v>
      </c>
      <c r="D143">
        <v>11671.039999999999</v>
      </c>
      <c r="E143" t="str">
        <f>VLOOKUP(C143,inf!$A$2:$B$7,2,FALSE)</f>
        <v>Current</v>
      </c>
      <c r="F143" t="str">
        <f t="shared" si="3"/>
        <v>01/11/2017</v>
      </c>
      <c r="G143" t="str">
        <f>VLOOKUP(A143,inf!$D$2:$E$76,2,FALSE)</f>
        <v>Target</v>
      </c>
    </row>
    <row r="144" spans="1:7" x14ac:dyDescent="0.25">
      <c r="A144" t="s">
        <v>8</v>
      </c>
      <c r="B144" s="1">
        <v>42746</v>
      </c>
      <c r="C144" t="s">
        <v>59</v>
      </c>
      <c r="D144">
        <v>2057.62</v>
      </c>
      <c r="E144" t="str">
        <f>VLOOKUP(C144,inf!$A$2:$B$7,2,FALSE)</f>
        <v>Over 90</v>
      </c>
      <c r="F144" t="str">
        <f t="shared" si="3"/>
        <v>01/11/2017</v>
      </c>
      <c r="G144" t="str">
        <f>VLOOKUP(A144,inf!$D$2:$E$76,2,FALSE)</f>
        <v>Target</v>
      </c>
    </row>
    <row r="145" spans="1:7" x14ac:dyDescent="0.25">
      <c r="A145" t="s">
        <v>8</v>
      </c>
      <c r="B145" s="1">
        <v>42746</v>
      </c>
      <c r="C145" t="s">
        <v>58</v>
      </c>
      <c r="D145">
        <v>1670.4099999999999</v>
      </c>
      <c r="E145" t="str">
        <f>VLOOKUP(C145,inf!$A$2:$B$7,2,FALSE)</f>
        <v>61 to 90</v>
      </c>
      <c r="F145" t="str">
        <f t="shared" si="3"/>
        <v>01/11/2017</v>
      </c>
      <c r="G145" t="str">
        <f>VLOOKUP(A145,inf!$D$2:$E$76,2,FALSE)</f>
        <v>Target</v>
      </c>
    </row>
    <row r="146" spans="1:7" x14ac:dyDescent="0.25">
      <c r="A146" t="s">
        <v>8</v>
      </c>
      <c r="B146" s="1">
        <v>42746</v>
      </c>
      <c r="C146" t="s">
        <v>57</v>
      </c>
      <c r="D146">
        <v>1664.72</v>
      </c>
      <c r="E146" t="str">
        <f>VLOOKUP(C146,inf!$A$2:$B$7,2,FALSE)</f>
        <v>31 to 60</v>
      </c>
      <c r="F146" t="str">
        <f t="shared" si="3"/>
        <v>01/11/2017</v>
      </c>
      <c r="G146" t="str">
        <f>VLOOKUP(A146,inf!$D$2:$E$76,2,FALSE)</f>
        <v>Target</v>
      </c>
    </row>
    <row r="147" spans="1:7" x14ac:dyDescent="0.25">
      <c r="A147" t="s">
        <v>34</v>
      </c>
      <c r="B147" s="1">
        <v>42746</v>
      </c>
      <c r="C147" t="s">
        <v>55</v>
      </c>
      <c r="D147">
        <v>2645.2099999999996</v>
      </c>
      <c r="E147" t="str">
        <f>VLOOKUP(C147,inf!$A$2:$B$7,2,FALSE)</f>
        <v>Current</v>
      </c>
      <c r="F147" t="str">
        <f t="shared" si="3"/>
        <v>01/11/2017</v>
      </c>
      <c r="G147" t="str">
        <f>VLOOKUP(A147,inf!$D$2:$E$76,2,FALSE)</f>
        <v>Other</v>
      </c>
    </row>
    <row r="148" spans="1:7" x14ac:dyDescent="0.25">
      <c r="A148" t="s">
        <v>15</v>
      </c>
      <c r="B148" s="1">
        <v>42746</v>
      </c>
      <c r="C148" t="s">
        <v>55</v>
      </c>
      <c r="D148">
        <v>126.05</v>
      </c>
      <c r="E148" t="str">
        <f>VLOOKUP(C148,inf!$A$2:$B$7,2,FALSE)</f>
        <v>Current</v>
      </c>
      <c r="F148" t="str">
        <f t="shared" si="3"/>
        <v>01/11/2017</v>
      </c>
      <c r="G148" t="str">
        <f>VLOOKUP(A148,inf!$D$2:$E$76,2,FALSE)</f>
        <v>Other</v>
      </c>
    </row>
    <row r="149" spans="1:7" x14ac:dyDescent="0.25">
      <c r="A149" t="s">
        <v>15</v>
      </c>
      <c r="B149" s="1">
        <v>42746</v>
      </c>
      <c r="C149" t="s">
        <v>56</v>
      </c>
      <c r="D149">
        <v>126.05</v>
      </c>
      <c r="E149" t="str">
        <f>VLOOKUP(C149,inf!$A$2:$B$7,2,FALSE)</f>
        <v>Current</v>
      </c>
      <c r="F149" t="str">
        <f t="shared" si="3"/>
        <v>01/11/2017</v>
      </c>
      <c r="G149" t="str">
        <f>VLOOKUP(A149,inf!$D$2:$E$76,2,FALSE)</f>
        <v>Other</v>
      </c>
    </row>
    <row r="150" spans="1:7" x14ac:dyDescent="0.25">
      <c r="A150" t="s">
        <v>4</v>
      </c>
      <c r="B150" s="1">
        <v>42753</v>
      </c>
      <c r="C150" t="s">
        <v>56</v>
      </c>
      <c r="D150">
        <v>2506.83</v>
      </c>
      <c r="E150" t="str">
        <f>VLOOKUP(C150,inf!$A$2:$B$7,2,FALSE)</f>
        <v>Current</v>
      </c>
      <c r="F150" t="str">
        <f t="shared" si="3"/>
        <v>01/18/2017</v>
      </c>
      <c r="G150" t="str">
        <f>VLOOKUP(A150,inf!$D$2:$E$76,2,FALSE)</f>
        <v>Other</v>
      </c>
    </row>
    <row r="151" spans="1:7" x14ac:dyDescent="0.25">
      <c r="A151" t="s">
        <v>26</v>
      </c>
      <c r="B151" s="1">
        <v>42753</v>
      </c>
      <c r="C151" t="s">
        <v>60</v>
      </c>
      <c r="D151">
        <v>791.47</v>
      </c>
      <c r="E151" t="str">
        <f>VLOOKUP(C151,inf!$A$2:$B$7,2,FALSE)</f>
        <v>Over 90</v>
      </c>
      <c r="F151" t="str">
        <f t="shared" si="3"/>
        <v>01/18/2017</v>
      </c>
      <c r="G151" t="str">
        <f>VLOOKUP(A151,inf!$D$2:$E$76,2,FALSE)</f>
        <v>Other</v>
      </c>
    </row>
    <row r="152" spans="1:7" x14ac:dyDescent="0.25">
      <c r="A152" t="s">
        <v>26</v>
      </c>
      <c r="B152" s="1">
        <v>42753</v>
      </c>
      <c r="C152" t="s">
        <v>59</v>
      </c>
      <c r="D152">
        <v>698.2299999999999</v>
      </c>
      <c r="E152" t="str">
        <f>VLOOKUP(C152,inf!$A$2:$B$7,2,FALSE)</f>
        <v>Over 90</v>
      </c>
      <c r="F152" t="str">
        <f t="shared" si="3"/>
        <v>01/18/2017</v>
      </c>
      <c r="G152" t="str">
        <f>VLOOKUP(A152,inf!$D$2:$E$76,2,FALSE)</f>
        <v>Other</v>
      </c>
    </row>
    <row r="153" spans="1:7" x14ac:dyDescent="0.25">
      <c r="A153" t="s">
        <v>2</v>
      </c>
      <c r="B153" s="1">
        <v>42753</v>
      </c>
      <c r="C153" t="s">
        <v>60</v>
      </c>
      <c r="D153">
        <v>2975.3100000000004</v>
      </c>
      <c r="E153" t="str">
        <f>VLOOKUP(C153,inf!$A$2:$B$7,2,FALSE)</f>
        <v>Over 90</v>
      </c>
      <c r="F153" t="str">
        <f t="shared" si="3"/>
        <v>01/18/2017</v>
      </c>
      <c r="G153" t="str">
        <f>VLOOKUP(A153,inf!$D$2:$E$76,2,FALSE)</f>
        <v>Other</v>
      </c>
    </row>
    <row r="154" spans="1:7" x14ac:dyDescent="0.25">
      <c r="A154" t="s">
        <v>2</v>
      </c>
      <c r="B154" s="1">
        <v>42753</v>
      </c>
      <c r="C154" t="s">
        <v>59</v>
      </c>
      <c r="D154">
        <v>742.55</v>
      </c>
      <c r="E154" t="str">
        <f>VLOOKUP(C154,inf!$A$2:$B$7,2,FALSE)</f>
        <v>Over 90</v>
      </c>
      <c r="F154" t="str">
        <f t="shared" si="3"/>
        <v>01/18/2017</v>
      </c>
      <c r="G154" t="str">
        <f>VLOOKUP(A154,inf!$D$2:$E$76,2,FALSE)</f>
        <v>Other</v>
      </c>
    </row>
    <row r="155" spans="1:7" x14ac:dyDescent="0.25">
      <c r="A155" t="s">
        <v>32</v>
      </c>
      <c r="B155" s="1">
        <v>42753</v>
      </c>
      <c r="C155" t="s">
        <v>56</v>
      </c>
      <c r="D155">
        <v>126.05</v>
      </c>
      <c r="E155" t="str">
        <f>VLOOKUP(C155,inf!$A$2:$B$7,2,FALSE)</f>
        <v>Current</v>
      </c>
      <c r="F155" t="str">
        <f t="shared" si="3"/>
        <v>01/18/2017</v>
      </c>
      <c r="G155" t="str">
        <f>VLOOKUP(A155,inf!$D$2:$E$76,2,FALSE)</f>
        <v>Other</v>
      </c>
    </row>
    <row r="156" spans="1:7" x14ac:dyDescent="0.25">
      <c r="A156" t="s">
        <v>52</v>
      </c>
      <c r="B156" s="1">
        <v>42753</v>
      </c>
      <c r="C156" t="s">
        <v>55</v>
      </c>
      <c r="D156">
        <v>311.93</v>
      </c>
      <c r="E156" t="str">
        <f>VLOOKUP(C156,inf!$A$2:$B$7,2,FALSE)</f>
        <v>Current</v>
      </c>
      <c r="F156" t="str">
        <f t="shared" si="3"/>
        <v>01/18/2017</v>
      </c>
      <c r="G156" t="str">
        <f>VLOOKUP(A156,inf!$D$2:$E$76,2,FALSE)</f>
        <v>Other</v>
      </c>
    </row>
    <row r="157" spans="1:7" x14ac:dyDescent="0.25">
      <c r="A157" t="s">
        <v>1</v>
      </c>
      <c r="B157" s="1">
        <v>42753</v>
      </c>
      <c r="C157" t="s">
        <v>57</v>
      </c>
      <c r="D157">
        <v>-850</v>
      </c>
      <c r="E157" t="str">
        <f>VLOOKUP(C157,inf!$A$2:$B$7,2,FALSE)</f>
        <v>31 to 60</v>
      </c>
      <c r="F157" t="str">
        <f t="shared" si="3"/>
        <v>01/18/2017</v>
      </c>
      <c r="G157" t="str">
        <f>VLOOKUP(A157,inf!$D$2:$E$76,2,FALSE)</f>
        <v>Other</v>
      </c>
    </row>
    <row r="158" spans="1:7" x14ac:dyDescent="0.25">
      <c r="A158" t="s">
        <v>1</v>
      </c>
      <c r="B158" s="1">
        <v>42753</v>
      </c>
      <c r="C158" t="s">
        <v>60</v>
      </c>
      <c r="D158">
        <v>-3117.63</v>
      </c>
      <c r="E158" t="str">
        <f>VLOOKUP(C158,inf!$A$2:$B$7,2,FALSE)</f>
        <v>Over 90</v>
      </c>
      <c r="F158" t="str">
        <f t="shared" si="3"/>
        <v>01/18/2017</v>
      </c>
      <c r="G158" t="str">
        <f>VLOOKUP(A158,inf!$D$2:$E$76,2,FALSE)</f>
        <v>Other</v>
      </c>
    </row>
    <row r="159" spans="1:7" x14ac:dyDescent="0.25">
      <c r="A159" t="s">
        <v>11</v>
      </c>
      <c r="B159" s="1">
        <v>42753</v>
      </c>
      <c r="C159" t="s">
        <v>58</v>
      </c>
      <c r="D159">
        <v>448.76</v>
      </c>
      <c r="E159" t="str">
        <f>VLOOKUP(C159,inf!$A$2:$B$7,2,FALSE)</f>
        <v>61 to 90</v>
      </c>
      <c r="F159" t="str">
        <f t="shared" si="3"/>
        <v>01/18/2017</v>
      </c>
      <c r="G159" t="str">
        <f>VLOOKUP(A159,inf!$D$2:$E$76,2,FALSE)</f>
        <v>Other</v>
      </c>
    </row>
    <row r="160" spans="1:7" x14ac:dyDescent="0.25">
      <c r="A160" t="s">
        <v>33</v>
      </c>
      <c r="B160" s="1">
        <v>42753</v>
      </c>
      <c r="C160" t="s">
        <v>57</v>
      </c>
      <c r="D160">
        <v>744.34999999999991</v>
      </c>
      <c r="E160" t="str">
        <f>VLOOKUP(C160,inf!$A$2:$B$7,2,FALSE)</f>
        <v>31 to 60</v>
      </c>
      <c r="F160" t="str">
        <f t="shared" si="3"/>
        <v>01/18/2017</v>
      </c>
      <c r="G160" t="str">
        <f>VLOOKUP(A160,inf!$D$2:$E$76,2,FALSE)</f>
        <v>Other</v>
      </c>
    </row>
    <row r="161" spans="1:7" x14ac:dyDescent="0.25">
      <c r="A161" t="s">
        <v>14</v>
      </c>
      <c r="B161" s="1">
        <v>42753</v>
      </c>
      <c r="C161" t="s">
        <v>59</v>
      </c>
      <c r="D161">
        <v>516.91999999999996</v>
      </c>
      <c r="E161" t="str">
        <f>VLOOKUP(C161,inf!$A$2:$B$7,2,FALSE)</f>
        <v>Over 90</v>
      </c>
      <c r="F161" t="str">
        <f t="shared" si="3"/>
        <v>01/18/2017</v>
      </c>
      <c r="G161" t="str">
        <f>VLOOKUP(A161,inf!$D$2:$E$76,2,FALSE)</f>
        <v>Other</v>
      </c>
    </row>
    <row r="162" spans="1:7" x14ac:dyDescent="0.25">
      <c r="A162" t="s">
        <v>25</v>
      </c>
      <c r="B162" s="1">
        <v>42753</v>
      </c>
      <c r="C162" t="s">
        <v>55</v>
      </c>
      <c r="D162">
        <v>1197.06</v>
      </c>
      <c r="E162" t="str">
        <f>VLOOKUP(C162,inf!$A$2:$B$7,2,FALSE)</f>
        <v>Current</v>
      </c>
      <c r="F162" t="str">
        <f t="shared" si="3"/>
        <v>01/18/2017</v>
      </c>
      <c r="G162" t="str">
        <f>VLOOKUP(A162,inf!$D$2:$E$76,2,FALSE)</f>
        <v>Other</v>
      </c>
    </row>
    <row r="163" spans="1:7" x14ac:dyDescent="0.25">
      <c r="A163" t="s">
        <v>13</v>
      </c>
      <c r="B163" s="1">
        <v>42753</v>
      </c>
      <c r="C163" t="s">
        <v>59</v>
      </c>
      <c r="D163">
        <v>258.42</v>
      </c>
      <c r="E163" t="str">
        <f>VLOOKUP(C163,inf!$A$2:$B$7,2,FALSE)</f>
        <v>Over 90</v>
      </c>
      <c r="F163" t="str">
        <f t="shared" si="3"/>
        <v>01/18/2017</v>
      </c>
      <c r="G163" t="str">
        <f>VLOOKUP(A163,inf!$D$2:$E$76,2,FALSE)</f>
        <v>Other</v>
      </c>
    </row>
    <row r="164" spans="1:7" x14ac:dyDescent="0.25">
      <c r="A164" t="s">
        <v>31</v>
      </c>
      <c r="B164" s="1">
        <v>42753</v>
      </c>
      <c r="C164" t="s">
        <v>55</v>
      </c>
      <c r="D164">
        <v>229.7</v>
      </c>
      <c r="E164" t="str">
        <f>VLOOKUP(C164,inf!$A$2:$B$7,2,FALSE)</f>
        <v>Current</v>
      </c>
      <c r="F164" t="str">
        <f t="shared" si="3"/>
        <v>01/18/2017</v>
      </c>
      <c r="G164" t="str">
        <f>VLOOKUP(A164,inf!$D$2:$E$76,2,FALSE)</f>
        <v>Other</v>
      </c>
    </row>
    <row r="165" spans="1:7" x14ac:dyDescent="0.25">
      <c r="A165" t="s">
        <v>27</v>
      </c>
      <c r="B165" s="1">
        <v>42753</v>
      </c>
      <c r="C165" t="s">
        <v>55</v>
      </c>
      <c r="D165">
        <v>1111.31</v>
      </c>
      <c r="E165" t="str">
        <f>VLOOKUP(C165,inf!$A$2:$B$7,2,FALSE)</f>
        <v>Current</v>
      </c>
      <c r="F165" t="str">
        <f t="shared" si="3"/>
        <v>01/18/2017</v>
      </c>
      <c r="G165" t="str">
        <f>VLOOKUP(A165,inf!$D$2:$E$76,2,FALSE)</f>
        <v>Other</v>
      </c>
    </row>
    <row r="166" spans="1:7" x14ac:dyDescent="0.25">
      <c r="A166" t="s">
        <v>21</v>
      </c>
      <c r="B166" s="1">
        <v>42753</v>
      </c>
      <c r="C166" t="s">
        <v>56</v>
      </c>
      <c r="D166">
        <v>365.84</v>
      </c>
      <c r="E166" t="str">
        <f>VLOOKUP(C166,inf!$A$2:$B$7,2,FALSE)</f>
        <v>Current</v>
      </c>
      <c r="F166" t="str">
        <f t="shared" si="3"/>
        <v>01/18/2017</v>
      </c>
      <c r="G166" t="str">
        <f>VLOOKUP(A166,inf!$D$2:$E$76,2,FALSE)</f>
        <v>Other</v>
      </c>
    </row>
    <row r="167" spans="1:7" x14ac:dyDescent="0.25">
      <c r="A167" t="s">
        <v>3</v>
      </c>
      <c r="B167" s="1">
        <v>42753</v>
      </c>
      <c r="C167" t="s">
        <v>55</v>
      </c>
      <c r="D167">
        <v>3350.3999999999996</v>
      </c>
      <c r="E167" t="str">
        <f>VLOOKUP(C167,inf!$A$2:$B$7,2,FALSE)</f>
        <v>Current</v>
      </c>
      <c r="F167" t="str">
        <f t="shared" si="3"/>
        <v>01/18/2017</v>
      </c>
      <c r="G167" t="str">
        <f>VLOOKUP(A167,inf!$D$2:$E$76,2,FALSE)</f>
        <v>Other</v>
      </c>
    </row>
    <row r="168" spans="1:7" x14ac:dyDescent="0.25">
      <c r="A168" t="s">
        <v>3</v>
      </c>
      <c r="B168" s="1">
        <v>42753</v>
      </c>
      <c r="C168" t="s">
        <v>56</v>
      </c>
      <c r="D168">
        <v>2852.23</v>
      </c>
      <c r="E168" t="str">
        <f>VLOOKUP(C168,inf!$A$2:$B$7,2,FALSE)</f>
        <v>Current</v>
      </c>
      <c r="F168" t="str">
        <f t="shared" si="3"/>
        <v>01/18/2017</v>
      </c>
      <c r="G168" t="str">
        <f>VLOOKUP(A168,inf!$D$2:$E$76,2,FALSE)</f>
        <v>Other</v>
      </c>
    </row>
    <row r="169" spans="1:7" x14ac:dyDescent="0.25">
      <c r="A169" t="s">
        <v>30</v>
      </c>
      <c r="B169" s="1">
        <v>42753</v>
      </c>
      <c r="C169" t="s">
        <v>55</v>
      </c>
      <c r="D169">
        <v>610.83000000000004</v>
      </c>
      <c r="E169" t="str">
        <f>VLOOKUP(C169,inf!$A$2:$B$7,2,FALSE)</f>
        <v>Current</v>
      </c>
      <c r="F169" t="str">
        <f t="shared" si="3"/>
        <v>01/18/2017</v>
      </c>
      <c r="G169" t="str">
        <f>VLOOKUP(A169,inf!$D$2:$E$76,2,FALSE)</f>
        <v>Other</v>
      </c>
    </row>
    <row r="170" spans="1:7" x14ac:dyDescent="0.25">
      <c r="A170" t="s">
        <v>12</v>
      </c>
      <c r="B170" s="1">
        <v>42753</v>
      </c>
      <c r="C170" t="s">
        <v>56</v>
      </c>
      <c r="D170">
        <v>1613.56</v>
      </c>
      <c r="E170" t="str">
        <f>VLOOKUP(C170,inf!$A$2:$B$7,2,FALSE)</f>
        <v>Current</v>
      </c>
      <c r="F170" t="str">
        <f t="shared" si="3"/>
        <v>01/18/2017</v>
      </c>
      <c r="G170" t="str">
        <f>VLOOKUP(A170,inf!$D$2:$E$76,2,FALSE)</f>
        <v>Other</v>
      </c>
    </row>
    <row r="171" spans="1:7" x14ac:dyDescent="0.25">
      <c r="A171" t="s">
        <v>12</v>
      </c>
      <c r="B171" s="1">
        <v>42753</v>
      </c>
      <c r="C171" t="s">
        <v>60</v>
      </c>
      <c r="D171">
        <v>535.5</v>
      </c>
      <c r="E171" t="str">
        <f>VLOOKUP(C171,inf!$A$2:$B$7,2,FALSE)</f>
        <v>Over 90</v>
      </c>
      <c r="F171" t="str">
        <f t="shared" si="3"/>
        <v>01/18/2017</v>
      </c>
      <c r="G171" t="str">
        <f>VLOOKUP(A171,inf!$D$2:$E$76,2,FALSE)</f>
        <v>Other</v>
      </c>
    </row>
    <row r="172" spans="1:7" x14ac:dyDescent="0.25">
      <c r="A172" t="s">
        <v>12</v>
      </c>
      <c r="B172" s="1">
        <v>42753</v>
      </c>
      <c r="C172" t="s">
        <v>57</v>
      </c>
      <c r="D172">
        <v>324.76</v>
      </c>
      <c r="E172" t="str">
        <f>VLOOKUP(C172,inf!$A$2:$B$7,2,FALSE)</f>
        <v>31 to 60</v>
      </c>
      <c r="F172" t="str">
        <f t="shared" si="3"/>
        <v>01/18/2017</v>
      </c>
      <c r="G172" t="str">
        <f>VLOOKUP(A172,inf!$D$2:$E$76,2,FALSE)</f>
        <v>Other</v>
      </c>
    </row>
    <row r="173" spans="1:7" x14ac:dyDescent="0.25">
      <c r="A173" t="s">
        <v>12</v>
      </c>
      <c r="B173" s="1">
        <v>42753</v>
      </c>
      <c r="C173" t="s">
        <v>58</v>
      </c>
      <c r="D173">
        <v>85</v>
      </c>
      <c r="E173" t="str">
        <f>VLOOKUP(C173,inf!$A$2:$B$7,2,FALSE)</f>
        <v>61 to 90</v>
      </c>
      <c r="F173" t="str">
        <f t="shared" si="3"/>
        <v>01/18/2017</v>
      </c>
      <c r="G173" t="str">
        <f>VLOOKUP(A173,inf!$D$2:$E$76,2,FALSE)</f>
        <v>Other</v>
      </c>
    </row>
    <row r="174" spans="1:7" x14ac:dyDescent="0.25">
      <c r="A174" t="s">
        <v>12</v>
      </c>
      <c r="B174" s="1">
        <v>42753</v>
      </c>
      <c r="C174" t="s">
        <v>59</v>
      </c>
      <c r="D174">
        <v>85</v>
      </c>
      <c r="E174" t="str">
        <f>VLOOKUP(C174,inf!$A$2:$B$7,2,FALSE)</f>
        <v>Over 90</v>
      </c>
      <c r="F174" t="str">
        <f t="shared" si="3"/>
        <v>01/18/2017</v>
      </c>
      <c r="G174" t="str">
        <f>VLOOKUP(A174,inf!$D$2:$E$76,2,FALSE)</f>
        <v>Other</v>
      </c>
    </row>
    <row r="175" spans="1:7" x14ac:dyDescent="0.25">
      <c r="A175" t="s">
        <v>9</v>
      </c>
      <c r="B175" s="1">
        <v>42753</v>
      </c>
      <c r="C175" t="s">
        <v>58</v>
      </c>
      <c r="D175">
        <v>599.03</v>
      </c>
      <c r="E175" t="str">
        <f>VLOOKUP(C175,inf!$A$2:$B$7,2,FALSE)</f>
        <v>61 to 90</v>
      </c>
      <c r="F175" t="str">
        <f t="shared" si="3"/>
        <v>01/18/2017</v>
      </c>
      <c r="G175" t="str">
        <f>VLOOKUP(A175,inf!$D$2:$E$76,2,FALSE)</f>
        <v>Other</v>
      </c>
    </row>
    <row r="176" spans="1:7" x14ac:dyDescent="0.25">
      <c r="A176" t="s">
        <v>7</v>
      </c>
      <c r="B176" s="1">
        <v>42753</v>
      </c>
      <c r="C176" t="s">
        <v>55</v>
      </c>
      <c r="D176">
        <v>23097.289999999994</v>
      </c>
      <c r="E176" t="str">
        <f>VLOOKUP(C176,inf!$A$2:$B$7,2,FALSE)</f>
        <v>Current</v>
      </c>
      <c r="F176" t="str">
        <f t="shared" si="3"/>
        <v>01/18/2017</v>
      </c>
      <c r="G176" t="str">
        <f>VLOOKUP(A176,inf!$D$2:$E$76,2,FALSE)</f>
        <v>SAFEWAY</v>
      </c>
    </row>
    <row r="177" spans="1:7" x14ac:dyDescent="0.25">
      <c r="A177" t="s">
        <v>7</v>
      </c>
      <c r="B177" s="1">
        <v>42753</v>
      </c>
      <c r="C177" t="s">
        <v>56</v>
      </c>
      <c r="D177">
        <v>3411.66</v>
      </c>
      <c r="E177" t="str">
        <f>VLOOKUP(C177,inf!$A$2:$B$7,2,FALSE)</f>
        <v>Current</v>
      </c>
      <c r="F177" t="str">
        <f t="shared" si="3"/>
        <v>01/18/2017</v>
      </c>
      <c r="G177" t="str">
        <f>VLOOKUP(A177,inf!$D$2:$E$76,2,FALSE)</f>
        <v>SAFEWAY</v>
      </c>
    </row>
    <row r="178" spans="1:7" x14ac:dyDescent="0.25">
      <c r="A178" t="s">
        <v>7</v>
      </c>
      <c r="B178" s="1">
        <v>42753</v>
      </c>
      <c r="C178" t="s">
        <v>60</v>
      </c>
      <c r="D178">
        <v>631.72</v>
      </c>
      <c r="E178" t="str">
        <f>VLOOKUP(C178,inf!$A$2:$B$7,2,FALSE)</f>
        <v>Over 90</v>
      </c>
      <c r="F178" t="str">
        <f t="shared" si="3"/>
        <v>01/18/2017</v>
      </c>
      <c r="G178" t="str">
        <f>VLOOKUP(A178,inf!$D$2:$E$76,2,FALSE)</f>
        <v>SAFEWAY</v>
      </c>
    </row>
    <row r="179" spans="1:7" x14ac:dyDescent="0.25">
      <c r="A179" t="s">
        <v>7</v>
      </c>
      <c r="B179" s="1">
        <v>42753</v>
      </c>
      <c r="C179" t="s">
        <v>58</v>
      </c>
      <c r="D179">
        <v>7.92</v>
      </c>
      <c r="E179" t="str">
        <f>VLOOKUP(C179,inf!$A$2:$B$7,2,FALSE)</f>
        <v>61 to 90</v>
      </c>
      <c r="F179" t="str">
        <f t="shared" si="3"/>
        <v>01/18/2017</v>
      </c>
      <c r="G179" t="str">
        <f>VLOOKUP(A179,inf!$D$2:$E$76,2,FALSE)</f>
        <v>SAFEWAY</v>
      </c>
    </row>
    <row r="180" spans="1:7" x14ac:dyDescent="0.25">
      <c r="A180" t="s">
        <v>5</v>
      </c>
      <c r="B180" s="1">
        <v>42753</v>
      </c>
      <c r="C180" t="s">
        <v>55</v>
      </c>
      <c r="D180">
        <v>4145935.9700000556</v>
      </c>
      <c r="E180" t="str">
        <f>VLOOKUP(C180,inf!$A$2:$B$7,2,FALSE)</f>
        <v>Current</v>
      </c>
      <c r="F180" t="str">
        <f t="shared" si="3"/>
        <v>01/18/2017</v>
      </c>
      <c r="G180" t="str">
        <f>VLOOKUP(A180,inf!$D$2:$E$76,2,FALSE)</f>
        <v>SBUX</v>
      </c>
    </row>
    <row r="181" spans="1:7" x14ac:dyDescent="0.25">
      <c r="A181" t="s">
        <v>5</v>
      </c>
      <c r="B181" s="1">
        <v>42753</v>
      </c>
      <c r="C181" t="s">
        <v>56</v>
      </c>
      <c r="D181">
        <v>148481.86999999991</v>
      </c>
      <c r="E181" t="str">
        <f>VLOOKUP(C181,inf!$A$2:$B$7,2,FALSE)</f>
        <v>Current</v>
      </c>
      <c r="F181" t="str">
        <f t="shared" si="3"/>
        <v>01/18/2017</v>
      </c>
      <c r="G181" t="str">
        <f>VLOOKUP(A181,inf!$D$2:$E$76,2,FALSE)</f>
        <v>SBUX</v>
      </c>
    </row>
    <row r="182" spans="1:7" x14ac:dyDescent="0.25">
      <c r="A182" t="s">
        <v>5</v>
      </c>
      <c r="B182" s="1">
        <v>42753</v>
      </c>
      <c r="C182" t="s">
        <v>60</v>
      </c>
      <c r="D182">
        <v>61143.619999999988</v>
      </c>
      <c r="E182" t="str">
        <f>VLOOKUP(C182,inf!$A$2:$B$7,2,FALSE)</f>
        <v>Over 90</v>
      </c>
      <c r="F182" t="str">
        <f t="shared" si="3"/>
        <v>01/18/2017</v>
      </c>
      <c r="G182" t="str">
        <f>VLOOKUP(A182,inf!$D$2:$E$76,2,FALSE)</f>
        <v>SBUX</v>
      </c>
    </row>
    <row r="183" spans="1:7" x14ac:dyDescent="0.25">
      <c r="A183" t="s">
        <v>5</v>
      </c>
      <c r="B183" s="1">
        <v>42753</v>
      </c>
      <c r="C183" t="s">
        <v>57</v>
      </c>
      <c r="D183">
        <v>12128.300000000001</v>
      </c>
      <c r="E183" t="str">
        <f>VLOOKUP(C183,inf!$A$2:$B$7,2,FALSE)</f>
        <v>31 to 60</v>
      </c>
      <c r="F183" t="str">
        <f t="shared" si="3"/>
        <v>01/18/2017</v>
      </c>
      <c r="G183" t="str">
        <f>VLOOKUP(A183,inf!$D$2:$E$76,2,FALSE)</f>
        <v>SBUX</v>
      </c>
    </row>
    <row r="184" spans="1:7" x14ac:dyDescent="0.25">
      <c r="A184" t="s">
        <v>5</v>
      </c>
      <c r="B184" s="1">
        <v>42753</v>
      </c>
      <c r="C184" t="s">
        <v>58</v>
      </c>
      <c r="D184">
        <v>10773.03</v>
      </c>
      <c r="E184" t="str">
        <f>VLOOKUP(C184,inf!$A$2:$B$7,2,FALSE)</f>
        <v>61 to 90</v>
      </c>
      <c r="F184" t="str">
        <f t="shared" si="3"/>
        <v>01/18/2017</v>
      </c>
      <c r="G184" t="str">
        <f>VLOOKUP(A184,inf!$D$2:$E$76,2,FALSE)</f>
        <v>SBUX</v>
      </c>
    </row>
    <row r="185" spans="1:7" x14ac:dyDescent="0.25">
      <c r="A185" t="s">
        <v>5</v>
      </c>
      <c r="B185" s="1">
        <v>42753</v>
      </c>
      <c r="C185" t="s">
        <v>59</v>
      </c>
      <c r="D185">
        <v>9864</v>
      </c>
      <c r="E185" t="str">
        <f>VLOOKUP(C185,inf!$A$2:$B$7,2,FALSE)</f>
        <v>Over 90</v>
      </c>
      <c r="F185" t="str">
        <f t="shared" si="3"/>
        <v>01/18/2017</v>
      </c>
      <c r="G185" t="str">
        <f>VLOOKUP(A185,inf!$D$2:$E$76,2,FALSE)</f>
        <v>SBUX</v>
      </c>
    </row>
    <row r="186" spans="1:7" x14ac:dyDescent="0.25">
      <c r="A186" t="s">
        <v>6</v>
      </c>
      <c r="B186" s="1">
        <v>42753</v>
      </c>
      <c r="C186" t="s">
        <v>55</v>
      </c>
      <c r="D186">
        <v>396136.73999999987</v>
      </c>
      <c r="E186" t="str">
        <f>VLOOKUP(C186,inf!$A$2:$B$7,2,FALSE)</f>
        <v>Current</v>
      </c>
      <c r="F186" t="str">
        <f t="shared" si="3"/>
        <v>01/18/2017</v>
      </c>
      <c r="G186" t="str">
        <f>VLOOKUP(A186,inf!$D$2:$E$76,2,FALSE)</f>
        <v>SBUX</v>
      </c>
    </row>
    <row r="187" spans="1:7" x14ac:dyDescent="0.25">
      <c r="A187" t="s">
        <v>6</v>
      </c>
      <c r="B187" s="1">
        <v>42753</v>
      </c>
      <c r="C187" t="s">
        <v>60</v>
      </c>
      <c r="D187">
        <v>9001.1899999999987</v>
      </c>
      <c r="E187" t="str">
        <f>VLOOKUP(C187,inf!$A$2:$B$7,2,FALSE)</f>
        <v>Over 90</v>
      </c>
      <c r="F187" t="str">
        <f t="shared" si="3"/>
        <v>01/18/2017</v>
      </c>
      <c r="G187" t="str">
        <f>VLOOKUP(A187,inf!$D$2:$E$76,2,FALSE)</f>
        <v>SBUX</v>
      </c>
    </row>
    <row r="188" spans="1:7" x14ac:dyDescent="0.25">
      <c r="A188" t="s">
        <v>6</v>
      </c>
      <c r="B188" s="1">
        <v>42753</v>
      </c>
      <c r="C188" t="s">
        <v>56</v>
      </c>
      <c r="D188">
        <v>3309.0799999999995</v>
      </c>
      <c r="E188" t="str">
        <f>VLOOKUP(C188,inf!$A$2:$B$7,2,FALSE)</f>
        <v>Current</v>
      </c>
      <c r="F188" t="str">
        <f t="shared" si="3"/>
        <v>01/18/2017</v>
      </c>
      <c r="G188" t="str">
        <f>VLOOKUP(A188,inf!$D$2:$E$76,2,FALSE)</f>
        <v>SBUX</v>
      </c>
    </row>
    <row r="189" spans="1:7" x14ac:dyDescent="0.25">
      <c r="A189" t="s">
        <v>6</v>
      </c>
      <c r="B189" s="1">
        <v>42753</v>
      </c>
      <c r="C189" t="s">
        <v>57</v>
      </c>
      <c r="D189">
        <v>497.20000000000005</v>
      </c>
      <c r="E189" t="str">
        <f>VLOOKUP(C189,inf!$A$2:$B$7,2,FALSE)</f>
        <v>31 to 60</v>
      </c>
      <c r="F189" t="str">
        <f t="shared" si="3"/>
        <v>01/18/2017</v>
      </c>
      <c r="G189" t="str">
        <f>VLOOKUP(A189,inf!$D$2:$E$76,2,FALSE)</f>
        <v>SBUX</v>
      </c>
    </row>
    <row r="190" spans="1:7" x14ac:dyDescent="0.25">
      <c r="A190" t="s">
        <v>6</v>
      </c>
      <c r="B190" s="1">
        <v>42753</v>
      </c>
      <c r="C190" t="s">
        <v>59</v>
      </c>
      <c r="D190">
        <v>80.739999999999995</v>
      </c>
      <c r="E190" t="str">
        <f>VLOOKUP(C190,inf!$A$2:$B$7,2,FALSE)</f>
        <v>Over 90</v>
      </c>
      <c r="F190" t="str">
        <f t="shared" si="3"/>
        <v>01/18/2017</v>
      </c>
      <c r="G190" t="str">
        <f>VLOOKUP(A190,inf!$D$2:$E$76,2,FALSE)</f>
        <v>SBUX</v>
      </c>
    </row>
    <row r="191" spans="1:7" x14ac:dyDescent="0.25">
      <c r="A191" t="s">
        <v>8</v>
      </c>
      <c r="B191" s="1">
        <v>42753</v>
      </c>
      <c r="C191" t="s">
        <v>55</v>
      </c>
      <c r="D191">
        <v>400138.12000000058</v>
      </c>
      <c r="E191" t="str">
        <f>VLOOKUP(C191,inf!$A$2:$B$7,2,FALSE)</f>
        <v>Current</v>
      </c>
      <c r="F191" t="str">
        <f t="shared" si="3"/>
        <v>01/18/2017</v>
      </c>
      <c r="G191" t="str">
        <f>VLOOKUP(A191,inf!$D$2:$E$76,2,FALSE)</f>
        <v>Target</v>
      </c>
    </row>
    <row r="192" spans="1:7" x14ac:dyDescent="0.25">
      <c r="A192" t="s">
        <v>8</v>
      </c>
      <c r="B192" s="1">
        <v>42753</v>
      </c>
      <c r="C192" t="s">
        <v>60</v>
      </c>
      <c r="D192">
        <v>24331.960000000003</v>
      </c>
      <c r="E192" t="str">
        <f>VLOOKUP(C192,inf!$A$2:$B$7,2,FALSE)</f>
        <v>Over 90</v>
      </c>
      <c r="F192" t="str">
        <f t="shared" si="3"/>
        <v>01/18/2017</v>
      </c>
      <c r="G192" t="str">
        <f>VLOOKUP(A192,inf!$D$2:$E$76,2,FALSE)</f>
        <v>Target</v>
      </c>
    </row>
    <row r="193" spans="1:7" x14ac:dyDescent="0.25">
      <c r="A193" t="s">
        <v>8</v>
      </c>
      <c r="B193" s="1">
        <v>42753</v>
      </c>
      <c r="C193" t="s">
        <v>59</v>
      </c>
      <c r="D193">
        <v>2057.62</v>
      </c>
      <c r="E193" t="str">
        <f>VLOOKUP(C193,inf!$A$2:$B$7,2,FALSE)</f>
        <v>Over 90</v>
      </c>
      <c r="F193" t="str">
        <f t="shared" si="3"/>
        <v>01/18/2017</v>
      </c>
      <c r="G193" t="str">
        <f>VLOOKUP(A193,inf!$D$2:$E$76,2,FALSE)</f>
        <v>Target</v>
      </c>
    </row>
    <row r="194" spans="1:7" x14ac:dyDescent="0.25">
      <c r="A194" t="s">
        <v>8</v>
      </c>
      <c r="B194" s="1">
        <v>42753</v>
      </c>
      <c r="C194" t="s">
        <v>57</v>
      </c>
      <c r="D194">
        <v>1886.99</v>
      </c>
      <c r="E194" t="str">
        <f>VLOOKUP(C194,inf!$A$2:$B$7,2,FALSE)</f>
        <v>31 to 60</v>
      </c>
      <c r="F194" t="str">
        <f t="shared" si="3"/>
        <v>01/18/2017</v>
      </c>
      <c r="G194" t="str">
        <f>VLOOKUP(A194,inf!$D$2:$E$76,2,FALSE)</f>
        <v>Target</v>
      </c>
    </row>
    <row r="195" spans="1:7" x14ac:dyDescent="0.25">
      <c r="A195" t="s">
        <v>8</v>
      </c>
      <c r="B195" s="1">
        <v>42753</v>
      </c>
      <c r="C195" t="s">
        <v>58</v>
      </c>
      <c r="D195">
        <v>1670.4099999999999</v>
      </c>
      <c r="E195" t="str">
        <f>VLOOKUP(C195,inf!$A$2:$B$7,2,FALSE)</f>
        <v>61 to 90</v>
      </c>
      <c r="F195" t="str">
        <f t="shared" ref="F195:F258" si="4">TEXT(B195,"MM/DD/YYYY")</f>
        <v>01/18/2017</v>
      </c>
      <c r="G195" t="str">
        <f>VLOOKUP(A195,inf!$D$2:$E$76,2,FALSE)</f>
        <v>Target</v>
      </c>
    </row>
    <row r="196" spans="1:7" x14ac:dyDescent="0.25">
      <c r="A196" t="s">
        <v>8</v>
      </c>
      <c r="B196" s="1">
        <v>42753</v>
      </c>
      <c r="C196" t="s">
        <v>56</v>
      </c>
      <c r="D196">
        <v>1048.99</v>
      </c>
      <c r="E196" t="str">
        <f>VLOOKUP(C196,inf!$A$2:$B$7,2,FALSE)</f>
        <v>Current</v>
      </c>
      <c r="F196" t="str">
        <f t="shared" si="4"/>
        <v>01/18/2017</v>
      </c>
      <c r="G196" t="str">
        <f>VLOOKUP(A196,inf!$D$2:$E$76,2,FALSE)</f>
        <v>Target</v>
      </c>
    </row>
    <row r="197" spans="1:7" x14ac:dyDescent="0.25">
      <c r="A197" t="s">
        <v>34</v>
      </c>
      <c r="B197" s="1">
        <v>42753</v>
      </c>
      <c r="C197" t="s">
        <v>55</v>
      </c>
      <c r="D197">
        <v>2415.5099999999998</v>
      </c>
      <c r="E197" t="str">
        <f>VLOOKUP(C197,inf!$A$2:$B$7,2,FALSE)</f>
        <v>Current</v>
      </c>
      <c r="F197" t="str">
        <f t="shared" si="4"/>
        <v>01/18/2017</v>
      </c>
      <c r="G197" t="str">
        <f>VLOOKUP(A197,inf!$D$2:$E$76,2,FALSE)</f>
        <v>Other</v>
      </c>
    </row>
    <row r="198" spans="1:7" x14ac:dyDescent="0.25">
      <c r="A198" t="s">
        <v>34</v>
      </c>
      <c r="B198" s="1">
        <v>42753</v>
      </c>
      <c r="C198" t="s">
        <v>56</v>
      </c>
      <c r="D198">
        <v>229.7</v>
      </c>
      <c r="E198" t="str">
        <f>VLOOKUP(C198,inf!$A$2:$B$7,2,FALSE)</f>
        <v>Current</v>
      </c>
      <c r="F198" t="str">
        <f t="shared" si="4"/>
        <v>01/18/2017</v>
      </c>
      <c r="G198" t="str">
        <f>VLOOKUP(A198,inf!$D$2:$E$76,2,FALSE)</f>
        <v>Other</v>
      </c>
    </row>
    <row r="199" spans="1:7" x14ac:dyDescent="0.25">
      <c r="A199" t="s">
        <v>15</v>
      </c>
      <c r="B199" s="1">
        <v>42753</v>
      </c>
      <c r="C199" t="s">
        <v>55</v>
      </c>
      <c r="D199">
        <v>283.61</v>
      </c>
      <c r="E199" t="str">
        <f>VLOOKUP(C199,inf!$A$2:$B$7,2,FALSE)</f>
        <v>Current</v>
      </c>
      <c r="F199" t="str">
        <f t="shared" si="4"/>
        <v>01/18/2017</v>
      </c>
      <c r="G199" t="str">
        <f>VLOOKUP(A199,inf!$D$2:$E$76,2,FALSE)</f>
        <v>Other</v>
      </c>
    </row>
    <row r="200" spans="1:7" x14ac:dyDescent="0.25">
      <c r="A200" t="s">
        <v>15</v>
      </c>
      <c r="B200" s="1">
        <v>42753</v>
      </c>
      <c r="C200" t="s">
        <v>56</v>
      </c>
      <c r="D200">
        <v>126.05</v>
      </c>
      <c r="E200" t="str">
        <f>VLOOKUP(C200,inf!$A$2:$B$7,2,FALSE)</f>
        <v>Current</v>
      </c>
      <c r="F200" t="str">
        <f t="shared" si="4"/>
        <v>01/18/2017</v>
      </c>
      <c r="G200" t="str">
        <f>VLOOKUP(A200,inf!$D$2:$E$76,2,FALSE)</f>
        <v>Other</v>
      </c>
    </row>
    <row r="201" spans="1:7" x14ac:dyDescent="0.25">
      <c r="A201" t="s">
        <v>4</v>
      </c>
      <c r="B201" s="1">
        <v>42760</v>
      </c>
      <c r="C201" t="s">
        <v>56</v>
      </c>
      <c r="D201">
        <v>2506.83</v>
      </c>
      <c r="E201" t="str">
        <f>VLOOKUP(C201,inf!$A$2:$B$7,2,FALSE)</f>
        <v>Current</v>
      </c>
      <c r="F201" t="str">
        <f t="shared" si="4"/>
        <v>01/25/2017</v>
      </c>
      <c r="G201" t="str">
        <f>VLOOKUP(A201,inf!$D$2:$E$76,2,FALSE)</f>
        <v>Other</v>
      </c>
    </row>
    <row r="202" spans="1:7" x14ac:dyDescent="0.25">
      <c r="A202" t="s">
        <v>4</v>
      </c>
      <c r="B202" s="1">
        <v>42760</v>
      </c>
      <c r="C202" t="s">
        <v>55</v>
      </c>
      <c r="D202">
        <v>917.11</v>
      </c>
      <c r="E202" t="str">
        <f>VLOOKUP(C202,inf!$A$2:$B$7,2,FALSE)</f>
        <v>Current</v>
      </c>
      <c r="F202" t="str">
        <f t="shared" si="4"/>
        <v>01/25/2017</v>
      </c>
      <c r="G202" t="str">
        <f>VLOOKUP(A202,inf!$D$2:$E$76,2,FALSE)</f>
        <v>Other</v>
      </c>
    </row>
    <row r="203" spans="1:7" x14ac:dyDescent="0.25">
      <c r="A203" t="s">
        <v>26</v>
      </c>
      <c r="B203" s="1">
        <v>42760</v>
      </c>
      <c r="C203" t="s">
        <v>60</v>
      </c>
      <c r="D203">
        <v>791.47</v>
      </c>
      <c r="E203" t="str">
        <f>VLOOKUP(C203,inf!$A$2:$B$7,2,FALSE)</f>
        <v>Over 90</v>
      </c>
      <c r="F203" t="str">
        <f t="shared" si="4"/>
        <v>01/25/2017</v>
      </c>
      <c r="G203" t="str">
        <f>VLOOKUP(A203,inf!$D$2:$E$76,2,FALSE)</f>
        <v>Other</v>
      </c>
    </row>
    <row r="204" spans="1:7" x14ac:dyDescent="0.25">
      <c r="A204" t="s">
        <v>26</v>
      </c>
      <c r="B204" s="1">
        <v>42760</v>
      </c>
      <c r="C204" t="s">
        <v>59</v>
      </c>
      <c r="D204">
        <v>698.2299999999999</v>
      </c>
      <c r="E204" t="str">
        <f>VLOOKUP(C204,inf!$A$2:$B$7,2,FALSE)</f>
        <v>Over 90</v>
      </c>
      <c r="F204" t="str">
        <f t="shared" si="4"/>
        <v>01/25/2017</v>
      </c>
      <c r="G204" t="str">
        <f>VLOOKUP(A204,inf!$D$2:$E$76,2,FALSE)</f>
        <v>Other</v>
      </c>
    </row>
    <row r="205" spans="1:7" x14ac:dyDescent="0.25">
      <c r="A205" t="s">
        <v>2</v>
      </c>
      <c r="B205" s="1">
        <v>42760</v>
      </c>
      <c r="C205" t="s">
        <v>60</v>
      </c>
      <c r="D205">
        <v>2975.3100000000004</v>
      </c>
      <c r="E205" t="str">
        <f>VLOOKUP(C205,inf!$A$2:$B$7,2,FALSE)</f>
        <v>Over 90</v>
      </c>
      <c r="F205" t="str">
        <f t="shared" si="4"/>
        <v>01/25/2017</v>
      </c>
      <c r="G205" t="str">
        <f>VLOOKUP(A205,inf!$D$2:$E$76,2,FALSE)</f>
        <v>Other</v>
      </c>
    </row>
    <row r="206" spans="1:7" x14ac:dyDescent="0.25">
      <c r="A206" t="s">
        <v>2</v>
      </c>
      <c r="B206" s="1">
        <v>42760</v>
      </c>
      <c r="C206" t="s">
        <v>59</v>
      </c>
      <c r="D206">
        <v>742.55</v>
      </c>
      <c r="E206" t="str">
        <f>VLOOKUP(C206,inf!$A$2:$B$7,2,FALSE)</f>
        <v>Over 90</v>
      </c>
      <c r="F206" t="str">
        <f t="shared" si="4"/>
        <v>01/25/2017</v>
      </c>
      <c r="G206" t="str">
        <f>VLOOKUP(A206,inf!$D$2:$E$76,2,FALSE)</f>
        <v>Other</v>
      </c>
    </row>
    <row r="207" spans="1:7" x14ac:dyDescent="0.25">
      <c r="A207" t="s">
        <v>52</v>
      </c>
      <c r="B207" s="1">
        <v>42760</v>
      </c>
      <c r="C207" t="s">
        <v>55</v>
      </c>
      <c r="D207">
        <v>311.93</v>
      </c>
      <c r="E207" t="str">
        <f>VLOOKUP(C207,inf!$A$2:$B$7,2,FALSE)</f>
        <v>Current</v>
      </c>
      <c r="F207" t="str">
        <f t="shared" si="4"/>
        <v>01/25/2017</v>
      </c>
      <c r="G207" t="str">
        <f>VLOOKUP(A207,inf!$D$2:$E$76,2,FALSE)</f>
        <v>Other</v>
      </c>
    </row>
    <row r="208" spans="1:7" x14ac:dyDescent="0.25">
      <c r="A208" t="s">
        <v>1</v>
      </c>
      <c r="B208" s="1">
        <v>42760</v>
      </c>
      <c r="C208" t="s">
        <v>57</v>
      </c>
      <c r="D208">
        <v>-850</v>
      </c>
      <c r="E208" t="str">
        <f>VLOOKUP(C208,inf!$A$2:$B$7,2,FALSE)</f>
        <v>31 to 60</v>
      </c>
      <c r="F208" t="str">
        <f t="shared" si="4"/>
        <v>01/25/2017</v>
      </c>
      <c r="G208" t="str">
        <f>VLOOKUP(A208,inf!$D$2:$E$76,2,FALSE)</f>
        <v>Other</v>
      </c>
    </row>
    <row r="209" spans="1:7" x14ac:dyDescent="0.25">
      <c r="A209" t="s">
        <v>1</v>
      </c>
      <c r="B209" s="1">
        <v>42760</v>
      </c>
      <c r="C209" t="s">
        <v>60</v>
      </c>
      <c r="D209">
        <v>-3117.63</v>
      </c>
      <c r="E209" t="str">
        <f>VLOOKUP(C209,inf!$A$2:$B$7,2,FALSE)</f>
        <v>Over 90</v>
      </c>
      <c r="F209" t="str">
        <f t="shared" si="4"/>
        <v>01/25/2017</v>
      </c>
      <c r="G209" t="str">
        <f>VLOOKUP(A209,inf!$D$2:$E$76,2,FALSE)</f>
        <v>Other</v>
      </c>
    </row>
    <row r="210" spans="1:7" x14ac:dyDescent="0.25">
      <c r="A210" t="s">
        <v>11</v>
      </c>
      <c r="B210" s="1">
        <v>42760</v>
      </c>
      <c r="C210" t="s">
        <v>58</v>
      </c>
      <c r="D210">
        <v>448.76</v>
      </c>
      <c r="E210" t="str">
        <f>VLOOKUP(C210,inf!$A$2:$B$7,2,FALSE)</f>
        <v>61 to 90</v>
      </c>
      <c r="F210" t="str">
        <f t="shared" si="4"/>
        <v>01/25/2017</v>
      </c>
      <c r="G210" t="str">
        <f>VLOOKUP(A210,inf!$D$2:$E$76,2,FALSE)</f>
        <v>Other</v>
      </c>
    </row>
    <row r="211" spans="1:7" x14ac:dyDescent="0.25">
      <c r="A211" t="s">
        <v>33</v>
      </c>
      <c r="B211" s="1">
        <v>42760</v>
      </c>
      <c r="C211" t="s">
        <v>57</v>
      </c>
      <c r="D211">
        <v>744.34999999999991</v>
      </c>
      <c r="E211" t="str">
        <f>VLOOKUP(C211,inf!$A$2:$B$7,2,FALSE)</f>
        <v>31 to 60</v>
      </c>
      <c r="F211" t="str">
        <f t="shared" si="4"/>
        <v>01/25/2017</v>
      </c>
      <c r="G211" t="str">
        <f>VLOOKUP(A211,inf!$D$2:$E$76,2,FALSE)</f>
        <v>Other</v>
      </c>
    </row>
    <row r="212" spans="1:7" x14ac:dyDescent="0.25">
      <c r="A212" t="s">
        <v>25</v>
      </c>
      <c r="B212" s="1">
        <v>42760</v>
      </c>
      <c r="C212" t="s">
        <v>55</v>
      </c>
      <c r="D212">
        <v>1197.06</v>
      </c>
      <c r="E212" t="str">
        <f>VLOOKUP(C212,inf!$A$2:$B$7,2,FALSE)</f>
        <v>Current</v>
      </c>
      <c r="F212" t="str">
        <f t="shared" si="4"/>
        <v>01/25/2017</v>
      </c>
      <c r="G212" t="str">
        <f>VLOOKUP(A212,inf!$D$2:$E$76,2,FALSE)</f>
        <v>Other</v>
      </c>
    </row>
    <row r="213" spans="1:7" x14ac:dyDescent="0.25">
      <c r="A213" t="s">
        <v>13</v>
      </c>
      <c r="B213" s="1">
        <v>42760</v>
      </c>
      <c r="C213" t="s">
        <v>59</v>
      </c>
      <c r="D213">
        <v>258.42</v>
      </c>
      <c r="E213" t="str">
        <f>VLOOKUP(C213,inf!$A$2:$B$7,2,FALSE)</f>
        <v>Over 90</v>
      </c>
      <c r="F213" t="str">
        <f t="shared" si="4"/>
        <v>01/25/2017</v>
      </c>
      <c r="G213" t="str">
        <f>VLOOKUP(A213,inf!$D$2:$E$76,2,FALSE)</f>
        <v>Other</v>
      </c>
    </row>
    <row r="214" spans="1:7" x14ac:dyDescent="0.25">
      <c r="A214" t="s">
        <v>31</v>
      </c>
      <c r="B214" s="1">
        <v>42760</v>
      </c>
      <c r="C214" t="s">
        <v>55</v>
      </c>
      <c r="D214">
        <v>229.7</v>
      </c>
      <c r="E214" t="str">
        <f>VLOOKUP(C214,inf!$A$2:$B$7,2,FALSE)</f>
        <v>Current</v>
      </c>
      <c r="F214" t="str">
        <f t="shared" si="4"/>
        <v>01/25/2017</v>
      </c>
      <c r="G214" t="str">
        <f>VLOOKUP(A214,inf!$D$2:$E$76,2,FALSE)</f>
        <v>Other</v>
      </c>
    </row>
    <row r="215" spans="1:7" x14ac:dyDescent="0.25">
      <c r="A215" t="s">
        <v>21</v>
      </c>
      <c r="B215" s="1">
        <v>42760</v>
      </c>
      <c r="C215" t="s">
        <v>56</v>
      </c>
      <c r="D215">
        <v>365.84</v>
      </c>
      <c r="E215" t="str">
        <f>VLOOKUP(C215,inf!$A$2:$B$7,2,FALSE)</f>
        <v>Current</v>
      </c>
      <c r="F215" t="str">
        <f t="shared" si="4"/>
        <v>01/25/2017</v>
      </c>
      <c r="G215" t="str">
        <f>VLOOKUP(A215,inf!$D$2:$E$76,2,FALSE)</f>
        <v>Other</v>
      </c>
    </row>
    <row r="216" spans="1:7" x14ac:dyDescent="0.25">
      <c r="A216" t="s">
        <v>3</v>
      </c>
      <c r="B216" s="1">
        <v>42760</v>
      </c>
      <c r="C216" t="s">
        <v>55</v>
      </c>
      <c r="D216">
        <v>3449.5599999999995</v>
      </c>
      <c r="E216" t="str">
        <f>VLOOKUP(C216,inf!$A$2:$B$7,2,FALSE)</f>
        <v>Current</v>
      </c>
      <c r="F216" t="str">
        <f t="shared" si="4"/>
        <v>01/25/2017</v>
      </c>
      <c r="G216" t="str">
        <f>VLOOKUP(A216,inf!$D$2:$E$76,2,FALSE)</f>
        <v>Other</v>
      </c>
    </row>
    <row r="217" spans="1:7" x14ac:dyDescent="0.25">
      <c r="A217" t="s">
        <v>3</v>
      </c>
      <c r="B217" s="1">
        <v>42760</v>
      </c>
      <c r="C217" t="s">
        <v>56</v>
      </c>
      <c r="D217">
        <v>2852.23</v>
      </c>
      <c r="E217" t="str">
        <f>VLOOKUP(C217,inf!$A$2:$B$7,2,FALSE)</f>
        <v>Current</v>
      </c>
      <c r="F217" t="str">
        <f t="shared" si="4"/>
        <v>01/25/2017</v>
      </c>
      <c r="G217" t="str">
        <f>VLOOKUP(A217,inf!$D$2:$E$76,2,FALSE)</f>
        <v>Other</v>
      </c>
    </row>
    <row r="218" spans="1:7" x14ac:dyDescent="0.25">
      <c r="A218" t="s">
        <v>30</v>
      </c>
      <c r="B218" s="1">
        <v>42760</v>
      </c>
      <c r="C218" t="s">
        <v>55</v>
      </c>
      <c r="D218">
        <v>610.83000000000004</v>
      </c>
      <c r="E218" t="str">
        <f>VLOOKUP(C218,inf!$A$2:$B$7,2,FALSE)</f>
        <v>Current</v>
      </c>
      <c r="F218" t="str">
        <f t="shared" si="4"/>
        <v>01/25/2017</v>
      </c>
      <c r="G218" t="str">
        <f>VLOOKUP(A218,inf!$D$2:$E$76,2,FALSE)</f>
        <v>Other</v>
      </c>
    </row>
    <row r="219" spans="1:7" x14ac:dyDescent="0.25">
      <c r="A219" t="s">
        <v>12</v>
      </c>
      <c r="B219" s="1">
        <v>42760</v>
      </c>
      <c r="C219" t="s">
        <v>56</v>
      </c>
      <c r="D219">
        <v>592.66999999999996</v>
      </c>
      <c r="E219" t="str">
        <f>VLOOKUP(C219,inf!$A$2:$B$7,2,FALSE)</f>
        <v>Current</v>
      </c>
      <c r="F219" t="str">
        <f t="shared" si="4"/>
        <v>01/25/2017</v>
      </c>
      <c r="G219" t="str">
        <f>VLOOKUP(A219,inf!$D$2:$E$76,2,FALSE)</f>
        <v>Other</v>
      </c>
    </row>
    <row r="220" spans="1:7" x14ac:dyDescent="0.25">
      <c r="A220" t="s">
        <v>12</v>
      </c>
      <c r="B220" s="1">
        <v>42760</v>
      </c>
      <c r="C220" t="s">
        <v>60</v>
      </c>
      <c r="D220">
        <v>450.5</v>
      </c>
      <c r="E220" t="str">
        <f>VLOOKUP(C220,inf!$A$2:$B$7,2,FALSE)</f>
        <v>Over 90</v>
      </c>
      <c r="F220" t="str">
        <f t="shared" si="4"/>
        <v>01/25/2017</v>
      </c>
      <c r="G220" t="str">
        <f>VLOOKUP(A220,inf!$D$2:$E$76,2,FALSE)</f>
        <v>Other</v>
      </c>
    </row>
    <row r="221" spans="1:7" x14ac:dyDescent="0.25">
      <c r="A221" t="s">
        <v>9</v>
      </c>
      <c r="B221" s="1">
        <v>42760</v>
      </c>
      <c r="C221" t="s">
        <v>58</v>
      </c>
      <c r="D221">
        <v>599.03</v>
      </c>
      <c r="E221" t="str">
        <f>VLOOKUP(C221,inf!$A$2:$B$7,2,FALSE)</f>
        <v>61 to 90</v>
      </c>
      <c r="F221" t="str">
        <f t="shared" si="4"/>
        <v>01/25/2017</v>
      </c>
      <c r="G221" t="str">
        <f>VLOOKUP(A221,inf!$D$2:$E$76,2,FALSE)</f>
        <v>Other</v>
      </c>
    </row>
    <row r="222" spans="1:7" x14ac:dyDescent="0.25">
      <c r="A222" t="s">
        <v>7</v>
      </c>
      <c r="B222" s="1">
        <v>42760</v>
      </c>
      <c r="C222" t="s">
        <v>55</v>
      </c>
      <c r="D222">
        <v>17783.400000000001</v>
      </c>
      <c r="E222" t="str">
        <f>VLOOKUP(C222,inf!$A$2:$B$7,2,FALSE)</f>
        <v>Current</v>
      </c>
      <c r="F222" t="str">
        <f t="shared" si="4"/>
        <v>01/25/2017</v>
      </c>
      <c r="G222" t="str">
        <f>VLOOKUP(A222,inf!$D$2:$E$76,2,FALSE)</f>
        <v>SAFEWAY</v>
      </c>
    </row>
    <row r="223" spans="1:7" x14ac:dyDescent="0.25">
      <c r="A223" t="s">
        <v>7</v>
      </c>
      <c r="B223" s="1">
        <v>42760</v>
      </c>
      <c r="C223" t="s">
        <v>60</v>
      </c>
      <c r="D223">
        <v>631.72</v>
      </c>
      <c r="E223" t="str">
        <f>VLOOKUP(C223,inf!$A$2:$B$7,2,FALSE)</f>
        <v>Over 90</v>
      </c>
      <c r="F223" t="str">
        <f t="shared" si="4"/>
        <v>01/25/2017</v>
      </c>
      <c r="G223" t="str">
        <f>VLOOKUP(A223,inf!$D$2:$E$76,2,FALSE)</f>
        <v>SAFEWAY</v>
      </c>
    </row>
    <row r="224" spans="1:7" x14ac:dyDescent="0.25">
      <c r="A224" t="s">
        <v>7</v>
      </c>
      <c r="B224" s="1">
        <v>42760</v>
      </c>
      <c r="C224" t="s">
        <v>58</v>
      </c>
      <c r="D224">
        <v>7.92</v>
      </c>
      <c r="E224" t="str">
        <f>VLOOKUP(C224,inf!$A$2:$B$7,2,FALSE)</f>
        <v>61 to 90</v>
      </c>
      <c r="F224" t="str">
        <f t="shared" si="4"/>
        <v>01/25/2017</v>
      </c>
      <c r="G224" t="str">
        <f>VLOOKUP(A224,inf!$D$2:$E$76,2,FALSE)</f>
        <v>SAFEWAY</v>
      </c>
    </row>
    <row r="225" spans="1:7" x14ac:dyDescent="0.25">
      <c r="A225" t="s">
        <v>5</v>
      </c>
      <c r="B225" s="1">
        <v>42760</v>
      </c>
      <c r="C225" t="s">
        <v>55</v>
      </c>
      <c r="D225">
        <v>3970650.1500000809</v>
      </c>
      <c r="E225" t="str">
        <f>VLOOKUP(C225,inf!$A$2:$B$7,2,FALSE)</f>
        <v>Current</v>
      </c>
      <c r="F225" t="str">
        <f t="shared" si="4"/>
        <v>01/25/2017</v>
      </c>
      <c r="G225" t="str">
        <f>VLOOKUP(A225,inf!$D$2:$E$76,2,FALSE)</f>
        <v>SBUX</v>
      </c>
    </row>
    <row r="226" spans="1:7" x14ac:dyDescent="0.25">
      <c r="A226" t="s">
        <v>5</v>
      </c>
      <c r="B226" s="1">
        <v>42760</v>
      </c>
      <c r="C226" t="s">
        <v>56</v>
      </c>
      <c r="D226">
        <v>146248.1699999999</v>
      </c>
      <c r="E226" t="str">
        <f>VLOOKUP(C226,inf!$A$2:$B$7,2,FALSE)</f>
        <v>Current</v>
      </c>
      <c r="F226" t="str">
        <f t="shared" si="4"/>
        <v>01/25/2017</v>
      </c>
      <c r="G226" t="str">
        <f>VLOOKUP(A226,inf!$D$2:$E$76,2,FALSE)</f>
        <v>SBUX</v>
      </c>
    </row>
    <row r="227" spans="1:7" x14ac:dyDescent="0.25">
      <c r="A227" t="s">
        <v>5</v>
      </c>
      <c r="B227" s="1">
        <v>42760</v>
      </c>
      <c r="C227" t="s">
        <v>60</v>
      </c>
      <c r="D227">
        <v>61143.619999999988</v>
      </c>
      <c r="E227" t="str">
        <f>VLOOKUP(C227,inf!$A$2:$B$7,2,FALSE)</f>
        <v>Over 90</v>
      </c>
      <c r="F227" t="str">
        <f t="shared" si="4"/>
        <v>01/25/2017</v>
      </c>
      <c r="G227" t="str">
        <f>VLOOKUP(A227,inf!$D$2:$E$76,2,FALSE)</f>
        <v>SBUX</v>
      </c>
    </row>
    <row r="228" spans="1:7" x14ac:dyDescent="0.25">
      <c r="A228" t="s">
        <v>5</v>
      </c>
      <c r="B228" s="1">
        <v>42760</v>
      </c>
      <c r="C228" t="s">
        <v>58</v>
      </c>
      <c r="D228">
        <v>10773.03</v>
      </c>
      <c r="E228" t="str">
        <f>VLOOKUP(C228,inf!$A$2:$B$7,2,FALSE)</f>
        <v>61 to 90</v>
      </c>
      <c r="F228" t="str">
        <f t="shared" si="4"/>
        <v>01/25/2017</v>
      </c>
      <c r="G228" t="str">
        <f>VLOOKUP(A228,inf!$D$2:$E$76,2,FALSE)</f>
        <v>SBUX</v>
      </c>
    </row>
    <row r="229" spans="1:7" x14ac:dyDescent="0.25">
      <c r="A229" t="s">
        <v>5</v>
      </c>
      <c r="B229" s="1">
        <v>42760</v>
      </c>
      <c r="C229" t="s">
        <v>59</v>
      </c>
      <c r="D229">
        <v>5583.5</v>
      </c>
      <c r="E229" t="str">
        <f>VLOOKUP(C229,inf!$A$2:$B$7,2,FALSE)</f>
        <v>Over 90</v>
      </c>
      <c r="F229" t="str">
        <f t="shared" si="4"/>
        <v>01/25/2017</v>
      </c>
      <c r="G229" t="str">
        <f>VLOOKUP(A229,inf!$D$2:$E$76,2,FALSE)</f>
        <v>SBUX</v>
      </c>
    </row>
    <row r="230" spans="1:7" x14ac:dyDescent="0.25">
      <c r="A230" t="s">
        <v>5</v>
      </c>
      <c r="B230" s="1">
        <v>42760</v>
      </c>
      <c r="C230" t="s">
        <v>57</v>
      </c>
      <c r="D230">
        <v>3567.3</v>
      </c>
      <c r="E230" t="str">
        <f>VLOOKUP(C230,inf!$A$2:$B$7,2,FALSE)</f>
        <v>31 to 60</v>
      </c>
      <c r="F230" t="str">
        <f t="shared" si="4"/>
        <v>01/25/2017</v>
      </c>
      <c r="G230" t="str">
        <f>VLOOKUP(A230,inf!$D$2:$E$76,2,FALSE)</f>
        <v>SBUX</v>
      </c>
    </row>
    <row r="231" spans="1:7" x14ac:dyDescent="0.25">
      <c r="A231" t="s">
        <v>6</v>
      </c>
      <c r="B231" s="1">
        <v>42760</v>
      </c>
      <c r="C231" t="s">
        <v>55</v>
      </c>
      <c r="D231">
        <v>362364.61000000039</v>
      </c>
      <c r="E231" t="str">
        <f>VLOOKUP(C231,inf!$A$2:$B$7,2,FALSE)</f>
        <v>Current</v>
      </c>
      <c r="F231" t="str">
        <f t="shared" si="4"/>
        <v>01/25/2017</v>
      </c>
      <c r="G231" t="str">
        <f>VLOOKUP(A231,inf!$D$2:$E$76,2,FALSE)</f>
        <v>SBUX</v>
      </c>
    </row>
    <row r="232" spans="1:7" x14ac:dyDescent="0.25">
      <c r="A232" t="s">
        <v>6</v>
      </c>
      <c r="B232" s="1">
        <v>42760</v>
      </c>
      <c r="C232" t="s">
        <v>60</v>
      </c>
      <c r="D232">
        <v>8961.1899999999987</v>
      </c>
      <c r="E232" t="str">
        <f>VLOOKUP(C232,inf!$A$2:$B$7,2,FALSE)</f>
        <v>Over 90</v>
      </c>
      <c r="F232" t="str">
        <f t="shared" si="4"/>
        <v>01/25/2017</v>
      </c>
      <c r="G232" t="str">
        <f>VLOOKUP(A232,inf!$D$2:$E$76,2,FALSE)</f>
        <v>SBUX</v>
      </c>
    </row>
    <row r="233" spans="1:7" x14ac:dyDescent="0.25">
      <c r="A233" t="s">
        <v>6</v>
      </c>
      <c r="B233" s="1">
        <v>42760</v>
      </c>
      <c r="C233" t="s">
        <v>56</v>
      </c>
      <c r="D233">
        <v>661.54</v>
      </c>
      <c r="E233" t="str">
        <f>VLOOKUP(C233,inf!$A$2:$B$7,2,FALSE)</f>
        <v>Current</v>
      </c>
      <c r="F233" t="str">
        <f t="shared" si="4"/>
        <v>01/25/2017</v>
      </c>
      <c r="G233" t="str">
        <f>VLOOKUP(A233,inf!$D$2:$E$76,2,FALSE)</f>
        <v>SBUX</v>
      </c>
    </row>
    <row r="234" spans="1:7" x14ac:dyDescent="0.25">
      <c r="A234" t="s">
        <v>6</v>
      </c>
      <c r="B234" s="1">
        <v>42760</v>
      </c>
      <c r="C234" t="s">
        <v>57</v>
      </c>
      <c r="D234">
        <v>497.20000000000005</v>
      </c>
      <c r="E234" t="str">
        <f>VLOOKUP(C234,inf!$A$2:$B$7,2,FALSE)</f>
        <v>31 to 60</v>
      </c>
      <c r="F234" t="str">
        <f t="shared" si="4"/>
        <v>01/25/2017</v>
      </c>
      <c r="G234" t="str">
        <f>VLOOKUP(A234,inf!$D$2:$E$76,2,FALSE)</f>
        <v>SBUX</v>
      </c>
    </row>
    <row r="235" spans="1:7" x14ac:dyDescent="0.25">
      <c r="A235" t="s">
        <v>6</v>
      </c>
      <c r="B235" s="1">
        <v>42760</v>
      </c>
      <c r="C235" t="s">
        <v>59</v>
      </c>
      <c r="D235">
        <v>80.739999999999995</v>
      </c>
      <c r="E235" t="str">
        <f>VLOOKUP(C235,inf!$A$2:$B$7,2,FALSE)</f>
        <v>Over 90</v>
      </c>
      <c r="F235" t="str">
        <f t="shared" si="4"/>
        <v>01/25/2017</v>
      </c>
      <c r="G235" t="str">
        <f>VLOOKUP(A235,inf!$D$2:$E$76,2,FALSE)</f>
        <v>SBUX</v>
      </c>
    </row>
    <row r="236" spans="1:7" x14ac:dyDescent="0.25">
      <c r="A236" t="s">
        <v>8</v>
      </c>
      <c r="B236" s="1">
        <v>42760</v>
      </c>
      <c r="C236" t="s">
        <v>55</v>
      </c>
      <c r="D236">
        <v>462464.91000000061</v>
      </c>
      <c r="E236" t="str">
        <f>VLOOKUP(C236,inf!$A$2:$B$7,2,FALSE)</f>
        <v>Current</v>
      </c>
      <c r="F236" t="str">
        <f t="shared" si="4"/>
        <v>01/25/2017</v>
      </c>
      <c r="G236" t="str">
        <f>VLOOKUP(A236,inf!$D$2:$E$76,2,FALSE)</f>
        <v>Target</v>
      </c>
    </row>
    <row r="237" spans="1:7" x14ac:dyDescent="0.25">
      <c r="A237" t="s">
        <v>8</v>
      </c>
      <c r="B237" s="1">
        <v>42760</v>
      </c>
      <c r="C237" t="s">
        <v>60</v>
      </c>
      <c r="D237" s="5">
        <v>24331.960000000003</v>
      </c>
      <c r="E237" t="str">
        <f>VLOOKUP(C237,inf!$A$2:$B$7,2,FALSE)</f>
        <v>Over 90</v>
      </c>
      <c r="F237" t="str">
        <f t="shared" si="4"/>
        <v>01/25/2017</v>
      </c>
      <c r="G237" t="str">
        <f>VLOOKUP(A237,inf!$D$2:$E$76,2,FALSE)</f>
        <v>Target</v>
      </c>
    </row>
    <row r="238" spans="1:7" x14ac:dyDescent="0.25">
      <c r="A238" t="s">
        <v>8</v>
      </c>
      <c r="B238" s="1">
        <v>42760</v>
      </c>
      <c r="C238" t="s">
        <v>59</v>
      </c>
      <c r="D238">
        <v>2057.62</v>
      </c>
      <c r="E238" t="str">
        <f>VLOOKUP(C238,inf!$A$2:$B$7,2,FALSE)</f>
        <v>Over 90</v>
      </c>
      <c r="F238" t="str">
        <f t="shared" si="4"/>
        <v>01/25/2017</v>
      </c>
      <c r="G238" t="str">
        <f>VLOOKUP(A238,inf!$D$2:$E$76,2,FALSE)</f>
        <v>Target</v>
      </c>
    </row>
    <row r="239" spans="1:7" x14ac:dyDescent="0.25">
      <c r="A239" t="s">
        <v>8</v>
      </c>
      <c r="B239" s="1">
        <v>42760</v>
      </c>
      <c r="C239" t="s">
        <v>57</v>
      </c>
      <c r="D239">
        <v>1886.99</v>
      </c>
      <c r="E239" t="str">
        <f>VLOOKUP(C239,inf!$A$2:$B$7,2,FALSE)</f>
        <v>31 to 60</v>
      </c>
      <c r="F239" t="str">
        <f t="shared" si="4"/>
        <v>01/25/2017</v>
      </c>
      <c r="G239" t="str">
        <f>VLOOKUP(A239,inf!$D$2:$E$76,2,FALSE)</f>
        <v>Target</v>
      </c>
    </row>
    <row r="240" spans="1:7" x14ac:dyDescent="0.25">
      <c r="A240" t="s">
        <v>8</v>
      </c>
      <c r="B240" s="1">
        <v>42760</v>
      </c>
      <c r="C240" t="s">
        <v>58</v>
      </c>
      <c r="D240">
        <v>1670.4099999999999</v>
      </c>
      <c r="E240" t="str">
        <f>VLOOKUP(C240,inf!$A$2:$B$7,2,FALSE)</f>
        <v>61 to 90</v>
      </c>
      <c r="F240" t="str">
        <f t="shared" si="4"/>
        <v>01/25/2017</v>
      </c>
      <c r="G240" t="str">
        <f>VLOOKUP(A240,inf!$D$2:$E$76,2,FALSE)</f>
        <v>Target</v>
      </c>
    </row>
    <row r="241" spans="1:7" x14ac:dyDescent="0.25">
      <c r="A241" t="s">
        <v>8</v>
      </c>
      <c r="B241" s="1">
        <v>42760</v>
      </c>
      <c r="C241" t="s">
        <v>56</v>
      </c>
      <c r="D241">
        <v>1048.99</v>
      </c>
      <c r="E241" t="str">
        <f>VLOOKUP(C241,inf!$A$2:$B$7,2,FALSE)</f>
        <v>Current</v>
      </c>
      <c r="F241" t="str">
        <f t="shared" si="4"/>
        <v>01/25/2017</v>
      </c>
      <c r="G241" t="str">
        <f>VLOOKUP(A241,inf!$D$2:$E$76,2,FALSE)</f>
        <v>Target</v>
      </c>
    </row>
    <row r="242" spans="1:7" x14ac:dyDescent="0.25">
      <c r="A242" t="s">
        <v>34</v>
      </c>
      <c r="B242" s="1">
        <v>42760</v>
      </c>
      <c r="C242" t="s">
        <v>55</v>
      </c>
      <c r="D242">
        <v>2415.5099999999998</v>
      </c>
      <c r="E242" t="str">
        <f>VLOOKUP(C242,inf!$A$2:$B$7,2,FALSE)</f>
        <v>Current</v>
      </c>
      <c r="F242" t="str">
        <f t="shared" si="4"/>
        <v>01/25/2017</v>
      </c>
      <c r="G242" t="str">
        <f>VLOOKUP(A242,inf!$D$2:$E$76,2,FALSE)</f>
        <v>Other</v>
      </c>
    </row>
    <row r="243" spans="1:7" x14ac:dyDescent="0.25">
      <c r="A243" t="s">
        <v>34</v>
      </c>
      <c r="B243" s="1">
        <v>42760</v>
      </c>
      <c r="C243" t="s">
        <v>56</v>
      </c>
      <c r="D243">
        <v>229.7</v>
      </c>
      <c r="E243" t="str">
        <f>VLOOKUP(C243,inf!$A$2:$B$7,2,FALSE)</f>
        <v>Current</v>
      </c>
      <c r="F243" t="str">
        <f t="shared" si="4"/>
        <v>01/25/2017</v>
      </c>
      <c r="G243" t="str">
        <f>VLOOKUP(A243,inf!$D$2:$E$76,2,FALSE)</f>
        <v>Other</v>
      </c>
    </row>
    <row r="244" spans="1:7" x14ac:dyDescent="0.25">
      <c r="A244" t="s">
        <v>15</v>
      </c>
      <c r="B244" s="1">
        <v>42760</v>
      </c>
      <c r="C244" t="s">
        <v>55</v>
      </c>
      <c r="D244">
        <v>283.61</v>
      </c>
      <c r="E244" t="str">
        <f>VLOOKUP(C244,inf!$A$2:$B$7,2,FALSE)</f>
        <v>Current</v>
      </c>
      <c r="F244" t="str">
        <f t="shared" si="4"/>
        <v>01/25/2017</v>
      </c>
      <c r="G244" t="str">
        <f>VLOOKUP(A244,inf!$D$2:$E$76,2,FALSE)</f>
        <v>Other</v>
      </c>
    </row>
    <row r="245" spans="1:7" x14ac:dyDescent="0.25">
      <c r="A245" t="s">
        <v>15</v>
      </c>
      <c r="B245" s="1">
        <v>42760</v>
      </c>
      <c r="C245" t="s">
        <v>56</v>
      </c>
      <c r="D245">
        <v>126.05</v>
      </c>
      <c r="E245" t="str">
        <f>VLOOKUP(C245,inf!$A$2:$B$7,2,FALSE)</f>
        <v>Current</v>
      </c>
      <c r="F245" t="str">
        <f t="shared" si="4"/>
        <v>01/25/2017</v>
      </c>
      <c r="G245" t="str">
        <f>VLOOKUP(A245,inf!$D$2:$E$76,2,FALSE)</f>
        <v>Other</v>
      </c>
    </row>
    <row r="246" spans="1:7" x14ac:dyDescent="0.25">
      <c r="A246" t="s">
        <v>4</v>
      </c>
      <c r="B246" s="1">
        <v>42767</v>
      </c>
      <c r="C246" t="s">
        <v>55</v>
      </c>
      <c r="D246">
        <v>917.11</v>
      </c>
      <c r="E246" t="str">
        <f>VLOOKUP(C246,inf!$A$2:$B$7,2,FALSE)</f>
        <v>Current</v>
      </c>
      <c r="F246" t="str">
        <f t="shared" si="4"/>
        <v>02/01/2017</v>
      </c>
      <c r="G246" t="str">
        <f>VLOOKUP(A246,inf!$D$2:$E$76,2,FALSE)</f>
        <v>Other</v>
      </c>
    </row>
    <row r="247" spans="1:7" x14ac:dyDescent="0.25">
      <c r="A247" t="s">
        <v>4</v>
      </c>
      <c r="B247" s="1">
        <v>42767</v>
      </c>
      <c r="C247" t="s">
        <v>56</v>
      </c>
      <c r="D247">
        <v>228.47</v>
      </c>
      <c r="E247" t="str">
        <f>VLOOKUP(C247,inf!$A$2:$B$7,2,FALSE)</f>
        <v>Current</v>
      </c>
      <c r="F247" t="str">
        <f t="shared" si="4"/>
        <v>02/01/2017</v>
      </c>
      <c r="G247" t="str">
        <f>VLOOKUP(A247,inf!$D$2:$E$76,2,FALSE)</f>
        <v>Other</v>
      </c>
    </row>
    <row r="248" spans="1:7" x14ac:dyDescent="0.25">
      <c r="A248" t="s">
        <v>26</v>
      </c>
      <c r="B248" s="1">
        <v>42767</v>
      </c>
      <c r="C248" t="s">
        <v>60</v>
      </c>
      <c r="D248">
        <v>848.9</v>
      </c>
      <c r="E248" t="str">
        <f>VLOOKUP(C248,inf!$A$2:$B$7,2,FALSE)</f>
        <v>Over 90</v>
      </c>
      <c r="F248" t="str">
        <f t="shared" si="4"/>
        <v>02/01/2017</v>
      </c>
      <c r="G248" t="str">
        <f>VLOOKUP(A248,inf!$D$2:$E$76,2,FALSE)</f>
        <v>Other</v>
      </c>
    </row>
    <row r="249" spans="1:7" x14ac:dyDescent="0.25">
      <c r="A249" t="s">
        <v>26</v>
      </c>
      <c r="B249" s="1">
        <v>42767</v>
      </c>
      <c r="C249" t="s">
        <v>59</v>
      </c>
      <c r="D249">
        <v>640.79999999999995</v>
      </c>
      <c r="E249" t="str">
        <f>VLOOKUP(C249,inf!$A$2:$B$7,2,FALSE)</f>
        <v>Over 90</v>
      </c>
      <c r="F249" t="str">
        <f t="shared" si="4"/>
        <v>02/01/2017</v>
      </c>
      <c r="G249" t="str">
        <f>VLOOKUP(A249,inf!$D$2:$E$76,2,FALSE)</f>
        <v>Other</v>
      </c>
    </row>
    <row r="250" spans="1:7" x14ac:dyDescent="0.25">
      <c r="A250" t="s">
        <v>2</v>
      </c>
      <c r="B250" s="1">
        <v>42767</v>
      </c>
      <c r="C250" t="s">
        <v>60</v>
      </c>
      <c r="D250">
        <v>3717.8600000000006</v>
      </c>
      <c r="E250" t="str">
        <f>VLOOKUP(C250,inf!$A$2:$B$7,2,FALSE)</f>
        <v>Over 90</v>
      </c>
      <c r="F250" t="str">
        <f t="shared" si="4"/>
        <v>02/01/2017</v>
      </c>
      <c r="G250" t="str">
        <f>VLOOKUP(A250,inf!$D$2:$E$76,2,FALSE)</f>
        <v>Other</v>
      </c>
    </row>
    <row r="251" spans="1:7" x14ac:dyDescent="0.25">
      <c r="A251" t="s">
        <v>1</v>
      </c>
      <c r="B251" s="1">
        <v>42767</v>
      </c>
      <c r="C251" t="s">
        <v>57</v>
      </c>
      <c r="D251">
        <v>-850</v>
      </c>
      <c r="E251" t="str">
        <f>VLOOKUP(C251,inf!$A$2:$B$7,2,FALSE)</f>
        <v>31 to 60</v>
      </c>
      <c r="F251" t="str">
        <f t="shared" si="4"/>
        <v>02/01/2017</v>
      </c>
      <c r="G251" t="str">
        <f>VLOOKUP(A251,inf!$D$2:$E$76,2,FALSE)</f>
        <v>Other</v>
      </c>
    </row>
    <row r="252" spans="1:7" x14ac:dyDescent="0.25">
      <c r="A252" t="s">
        <v>1</v>
      </c>
      <c r="B252" s="1">
        <v>42767</v>
      </c>
      <c r="C252" t="s">
        <v>60</v>
      </c>
      <c r="D252">
        <v>-3117.63</v>
      </c>
      <c r="E252" t="str">
        <f>VLOOKUP(C252,inf!$A$2:$B$7,2,FALSE)</f>
        <v>Over 90</v>
      </c>
      <c r="F252" t="str">
        <f t="shared" si="4"/>
        <v>02/01/2017</v>
      </c>
      <c r="G252" t="str">
        <f>VLOOKUP(A252,inf!$D$2:$E$76,2,FALSE)</f>
        <v>Other</v>
      </c>
    </row>
    <row r="253" spans="1:7" x14ac:dyDescent="0.25">
      <c r="A253" t="s">
        <v>11</v>
      </c>
      <c r="B253" s="1">
        <v>42767</v>
      </c>
      <c r="C253" t="s">
        <v>58</v>
      </c>
      <c r="D253">
        <v>448.76</v>
      </c>
      <c r="E253" t="str">
        <f>VLOOKUP(C253,inf!$A$2:$B$7,2,FALSE)</f>
        <v>61 to 90</v>
      </c>
      <c r="F253" t="str">
        <f t="shared" si="4"/>
        <v>02/01/2017</v>
      </c>
      <c r="G253" t="str">
        <f>VLOOKUP(A253,inf!$D$2:$E$76,2,FALSE)</f>
        <v>Other</v>
      </c>
    </row>
    <row r="254" spans="1:7" x14ac:dyDescent="0.25">
      <c r="A254" t="s">
        <v>33</v>
      </c>
      <c r="B254" s="1">
        <v>42767</v>
      </c>
      <c r="C254" t="s">
        <v>57</v>
      </c>
      <c r="D254">
        <v>744.34999999999991</v>
      </c>
      <c r="E254" t="str">
        <f>VLOOKUP(C254,inf!$A$2:$B$7,2,FALSE)</f>
        <v>31 to 60</v>
      </c>
      <c r="F254" t="str">
        <f t="shared" si="4"/>
        <v>02/01/2017</v>
      </c>
      <c r="G254" t="str">
        <f>VLOOKUP(A254,inf!$D$2:$E$76,2,FALSE)</f>
        <v>Other</v>
      </c>
    </row>
    <row r="255" spans="1:7" x14ac:dyDescent="0.25">
      <c r="A255" t="s">
        <v>25</v>
      </c>
      <c r="B255" s="1">
        <v>42767</v>
      </c>
      <c r="C255" t="s">
        <v>55</v>
      </c>
      <c r="D255">
        <v>1076.96</v>
      </c>
      <c r="E255" t="str">
        <f>VLOOKUP(C255,inf!$A$2:$B$7,2,FALSE)</f>
        <v>Current</v>
      </c>
      <c r="F255" t="str">
        <f t="shared" si="4"/>
        <v>02/01/2017</v>
      </c>
      <c r="G255" t="str">
        <f>VLOOKUP(A255,inf!$D$2:$E$76,2,FALSE)</f>
        <v>Other</v>
      </c>
    </row>
    <row r="256" spans="1:7" x14ac:dyDescent="0.25">
      <c r="A256" t="s">
        <v>25</v>
      </c>
      <c r="B256" s="1">
        <v>42767</v>
      </c>
      <c r="C256" t="s">
        <v>56</v>
      </c>
      <c r="D256">
        <v>120.1</v>
      </c>
      <c r="E256" t="str">
        <f>VLOOKUP(C256,inf!$A$2:$B$7,2,FALSE)</f>
        <v>Current</v>
      </c>
      <c r="F256" t="str">
        <f t="shared" si="4"/>
        <v>02/01/2017</v>
      </c>
      <c r="G256" t="str">
        <f>VLOOKUP(A256,inf!$D$2:$E$76,2,FALSE)</f>
        <v>Other</v>
      </c>
    </row>
    <row r="257" spans="1:7" x14ac:dyDescent="0.25">
      <c r="A257" t="s">
        <v>13</v>
      </c>
      <c r="B257" s="1">
        <v>42767</v>
      </c>
      <c r="C257" t="s">
        <v>60</v>
      </c>
      <c r="D257">
        <v>258.42</v>
      </c>
      <c r="E257" t="str">
        <f>VLOOKUP(C257,inf!$A$2:$B$7,2,FALSE)</f>
        <v>Over 90</v>
      </c>
      <c r="F257" t="str">
        <f t="shared" si="4"/>
        <v>02/01/2017</v>
      </c>
      <c r="G257" t="str">
        <f>VLOOKUP(A257,inf!$D$2:$E$76,2,FALSE)</f>
        <v>Other</v>
      </c>
    </row>
    <row r="258" spans="1:7" x14ac:dyDescent="0.25">
      <c r="A258" t="s">
        <v>31</v>
      </c>
      <c r="B258" s="1">
        <v>42767</v>
      </c>
      <c r="C258" t="s">
        <v>56</v>
      </c>
      <c r="D258">
        <v>229.7</v>
      </c>
      <c r="E258" t="str">
        <f>VLOOKUP(C258,inf!$A$2:$B$7,2,FALSE)</f>
        <v>Current</v>
      </c>
      <c r="F258" t="str">
        <f t="shared" si="4"/>
        <v>02/01/2017</v>
      </c>
      <c r="G258" t="str">
        <f>VLOOKUP(A258,inf!$D$2:$E$76,2,FALSE)</f>
        <v>Other</v>
      </c>
    </row>
    <row r="259" spans="1:7" x14ac:dyDescent="0.25">
      <c r="A259" t="s">
        <v>24</v>
      </c>
      <c r="B259" s="1">
        <v>42767</v>
      </c>
      <c r="C259" t="s">
        <v>55</v>
      </c>
      <c r="D259">
        <v>183.54</v>
      </c>
      <c r="E259" t="str">
        <f>VLOOKUP(C259,inf!$A$2:$B$7,2,FALSE)</f>
        <v>Current</v>
      </c>
      <c r="F259" t="str">
        <f t="shared" ref="F259:F322" si="5">TEXT(B259,"MM/DD/YYYY")</f>
        <v>02/01/2017</v>
      </c>
      <c r="G259" t="str">
        <f>VLOOKUP(A259,inf!$D$2:$E$76,2,FALSE)</f>
        <v>Other</v>
      </c>
    </row>
    <row r="260" spans="1:7" x14ac:dyDescent="0.25">
      <c r="A260" t="s">
        <v>27</v>
      </c>
      <c r="B260" s="1">
        <v>42767</v>
      </c>
      <c r="C260" t="s">
        <v>55</v>
      </c>
      <c r="D260">
        <v>143.56</v>
      </c>
      <c r="E260" t="str">
        <f>VLOOKUP(C260,inf!$A$2:$B$7,2,FALSE)</f>
        <v>Current</v>
      </c>
      <c r="F260" t="str">
        <f t="shared" si="5"/>
        <v>02/01/2017</v>
      </c>
      <c r="G260" t="str">
        <f>VLOOKUP(A260,inf!$D$2:$E$76,2,FALSE)</f>
        <v>Other</v>
      </c>
    </row>
    <row r="261" spans="1:7" x14ac:dyDescent="0.25">
      <c r="A261" t="s">
        <v>21</v>
      </c>
      <c r="B261" s="1">
        <v>42767</v>
      </c>
      <c r="C261" t="s">
        <v>56</v>
      </c>
      <c r="D261">
        <v>365.84</v>
      </c>
      <c r="E261" t="str">
        <f>VLOOKUP(C261,inf!$A$2:$B$7,2,FALSE)</f>
        <v>Current</v>
      </c>
      <c r="F261" t="str">
        <f t="shared" si="5"/>
        <v>02/01/2017</v>
      </c>
      <c r="G261" t="str">
        <f>VLOOKUP(A261,inf!$D$2:$E$76,2,FALSE)</f>
        <v>Other</v>
      </c>
    </row>
    <row r="262" spans="1:7" x14ac:dyDescent="0.25">
      <c r="A262" t="s">
        <v>3</v>
      </c>
      <c r="B262" s="1">
        <v>42767</v>
      </c>
      <c r="C262" t="s">
        <v>55</v>
      </c>
      <c r="D262">
        <v>3449.5599999999995</v>
      </c>
      <c r="E262" t="str">
        <f>VLOOKUP(C262,inf!$A$2:$B$7,2,FALSE)</f>
        <v>Current</v>
      </c>
      <c r="F262" t="str">
        <f t="shared" si="5"/>
        <v>02/01/2017</v>
      </c>
      <c r="G262" t="str">
        <f>VLOOKUP(A262,inf!$D$2:$E$76,2,FALSE)</f>
        <v>Other</v>
      </c>
    </row>
    <row r="263" spans="1:7" x14ac:dyDescent="0.25">
      <c r="A263" t="s">
        <v>3</v>
      </c>
      <c r="B263" s="1">
        <v>42767</v>
      </c>
      <c r="C263" t="s">
        <v>56</v>
      </c>
      <c r="D263">
        <v>2919.89</v>
      </c>
      <c r="E263" t="str">
        <f>VLOOKUP(C263,inf!$A$2:$B$7,2,FALSE)</f>
        <v>Current</v>
      </c>
      <c r="F263" t="str">
        <f t="shared" si="5"/>
        <v>02/01/2017</v>
      </c>
      <c r="G263" t="str">
        <f>VLOOKUP(A263,inf!$D$2:$E$76,2,FALSE)</f>
        <v>Other</v>
      </c>
    </row>
    <row r="264" spans="1:7" x14ac:dyDescent="0.25">
      <c r="A264" t="s">
        <v>30</v>
      </c>
      <c r="B264" s="1">
        <v>42767</v>
      </c>
      <c r="C264" t="s">
        <v>55</v>
      </c>
      <c r="D264">
        <v>610.83000000000004</v>
      </c>
      <c r="E264" t="str">
        <f>VLOOKUP(C264,inf!$A$2:$B$7,2,FALSE)</f>
        <v>Current</v>
      </c>
      <c r="F264" t="str">
        <f t="shared" si="5"/>
        <v>02/01/2017</v>
      </c>
      <c r="G264" t="str">
        <f>VLOOKUP(A264,inf!$D$2:$E$76,2,FALSE)</f>
        <v>Other</v>
      </c>
    </row>
    <row r="265" spans="1:7" x14ac:dyDescent="0.25">
      <c r="A265" t="s">
        <v>12</v>
      </c>
      <c r="B265" s="1">
        <v>42767</v>
      </c>
      <c r="C265" t="s">
        <v>56</v>
      </c>
      <c r="D265">
        <v>592.66999999999996</v>
      </c>
      <c r="E265" t="str">
        <f>VLOOKUP(C265,inf!$A$2:$B$7,2,FALSE)</f>
        <v>Current</v>
      </c>
      <c r="F265" t="str">
        <f t="shared" si="5"/>
        <v>02/01/2017</v>
      </c>
      <c r="G265" t="str">
        <f>VLOOKUP(A265,inf!$D$2:$E$76,2,FALSE)</f>
        <v>Other</v>
      </c>
    </row>
    <row r="266" spans="1:7" x14ac:dyDescent="0.25">
      <c r="A266" t="s">
        <v>12</v>
      </c>
      <c r="B266" s="1">
        <v>42767</v>
      </c>
      <c r="C266" t="s">
        <v>60</v>
      </c>
      <c r="D266">
        <v>450.5</v>
      </c>
      <c r="E266" t="str">
        <f>VLOOKUP(C266,inf!$A$2:$B$7,2,FALSE)</f>
        <v>Over 90</v>
      </c>
      <c r="F266" t="str">
        <f t="shared" si="5"/>
        <v>02/01/2017</v>
      </c>
      <c r="G266" t="str">
        <f>VLOOKUP(A266,inf!$D$2:$E$76,2,FALSE)</f>
        <v>Other</v>
      </c>
    </row>
    <row r="267" spans="1:7" x14ac:dyDescent="0.25">
      <c r="A267" t="s">
        <v>9</v>
      </c>
      <c r="B267" s="1">
        <v>42767</v>
      </c>
      <c r="C267" t="s">
        <v>59</v>
      </c>
      <c r="D267">
        <v>599.03</v>
      </c>
      <c r="E267" t="str">
        <f>VLOOKUP(C267,inf!$A$2:$B$7,2,FALSE)</f>
        <v>Over 90</v>
      </c>
      <c r="F267" t="str">
        <f t="shared" si="5"/>
        <v>02/01/2017</v>
      </c>
      <c r="G267" t="str">
        <f>VLOOKUP(A267,inf!$D$2:$E$76,2,FALSE)</f>
        <v>Other</v>
      </c>
    </row>
    <row r="268" spans="1:7" x14ac:dyDescent="0.25">
      <c r="A268" t="s">
        <v>7</v>
      </c>
      <c r="B268" s="1">
        <v>42767</v>
      </c>
      <c r="C268" t="s">
        <v>55</v>
      </c>
      <c r="D268">
        <v>9273.44</v>
      </c>
      <c r="E268" t="str">
        <f>VLOOKUP(C268,inf!$A$2:$B$7,2,FALSE)</f>
        <v>Current</v>
      </c>
      <c r="F268" t="str">
        <f t="shared" si="5"/>
        <v>02/01/2017</v>
      </c>
      <c r="G268" t="str">
        <f>VLOOKUP(A268,inf!$D$2:$E$76,2,FALSE)</f>
        <v>SAFEWAY</v>
      </c>
    </row>
    <row r="269" spans="1:7" x14ac:dyDescent="0.25">
      <c r="A269" t="s">
        <v>7</v>
      </c>
      <c r="B269" s="1">
        <v>42767</v>
      </c>
      <c r="C269" t="s">
        <v>56</v>
      </c>
      <c r="D269">
        <v>3508.7999999999997</v>
      </c>
      <c r="E269" t="str">
        <f>VLOOKUP(C269,inf!$A$2:$B$7,2,FALSE)</f>
        <v>Current</v>
      </c>
      <c r="F269" t="str">
        <f t="shared" si="5"/>
        <v>02/01/2017</v>
      </c>
      <c r="G269" t="str">
        <f>VLOOKUP(A269,inf!$D$2:$E$76,2,FALSE)</f>
        <v>SAFEWAY</v>
      </c>
    </row>
    <row r="270" spans="1:7" x14ac:dyDescent="0.25">
      <c r="A270" t="s">
        <v>7</v>
      </c>
      <c r="B270" s="1">
        <v>42767</v>
      </c>
      <c r="C270" t="s">
        <v>60</v>
      </c>
      <c r="D270">
        <v>631.72</v>
      </c>
      <c r="E270" t="str">
        <f>VLOOKUP(C270,inf!$A$2:$B$7,2,FALSE)</f>
        <v>Over 90</v>
      </c>
      <c r="F270" t="str">
        <f t="shared" si="5"/>
        <v>02/01/2017</v>
      </c>
      <c r="G270" t="str">
        <f>VLOOKUP(A270,inf!$D$2:$E$76,2,FALSE)</f>
        <v>SAFEWAY</v>
      </c>
    </row>
    <row r="271" spans="1:7" x14ac:dyDescent="0.25">
      <c r="A271" t="s">
        <v>7</v>
      </c>
      <c r="B271" s="1">
        <v>42767</v>
      </c>
      <c r="C271" t="s">
        <v>58</v>
      </c>
      <c r="D271">
        <v>7.92</v>
      </c>
      <c r="E271" t="str">
        <f>VLOOKUP(C271,inf!$A$2:$B$7,2,FALSE)</f>
        <v>61 to 90</v>
      </c>
      <c r="F271" t="str">
        <f t="shared" si="5"/>
        <v>02/01/2017</v>
      </c>
      <c r="G271" t="str">
        <f>VLOOKUP(A271,inf!$D$2:$E$76,2,FALSE)</f>
        <v>SAFEWAY</v>
      </c>
    </row>
    <row r="272" spans="1:7" x14ac:dyDescent="0.25">
      <c r="A272" t="s">
        <v>5</v>
      </c>
      <c r="B272" s="1">
        <v>42767</v>
      </c>
      <c r="C272" t="s">
        <v>55</v>
      </c>
      <c r="D272">
        <v>4159629.5600000997</v>
      </c>
      <c r="E272" t="str">
        <f>VLOOKUP(C272,inf!$A$2:$B$7,2,FALSE)</f>
        <v>Current</v>
      </c>
      <c r="F272" t="str">
        <f t="shared" si="5"/>
        <v>02/01/2017</v>
      </c>
      <c r="G272" t="str">
        <f>VLOOKUP(A272,inf!$D$2:$E$76,2,FALSE)</f>
        <v>SBUX</v>
      </c>
    </row>
    <row r="273" spans="1:7" x14ac:dyDescent="0.25">
      <c r="A273" t="s">
        <v>5</v>
      </c>
      <c r="B273" s="1">
        <v>42767</v>
      </c>
      <c r="C273" t="s">
        <v>56</v>
      </c>
      <c r="D273">
        <v>97718.550000000032</v>
      </c>
      <c r="E273" t="str">
        <f>VLOOKUP(C273,inf!$A$2:$B$7,2,FALSE)</f>
        <v>Current</v>
      </c>
      <c r="F273" t="str">
        <f t="shared" si="5"/>
        <v>02/01/2017</v>
      </c>
      <c r="G273" t="str">
        <f>VLOOKUP(A273,inf!$D$2:$E$76,2,FALSE)</f>
        <v>SBUX</v>
      </c>
    </row>
    <row r="274" spans="1:7" x14ac:dyDescent="0.25">
      <c r="A274" t="s">
        <v>5</v>
      </c>
      <c r="B274" s="1">
        <v>42767</v>
      </c>
      <c r="C274" t="s">
        <v>57</v>
      </c>
      <c r="D274">
        <v>66684.80999999991</v>
      </c>
      <c r="E274" t="str">
        <f>VLOOKUP(C274,inf!$A$2:$B$7,2,FALSE)</f>
        <v>31 to 60</v>
      </c>
      <c r="F274" t="str">
        <f t="shared" si="5"/>
        <v>02/01/2017</v>
      </c>
      <c r="G274" t="str">
        <f>VLOOKUP(A274,inf!$D$2:$E$76,2,FALSE)</f>
        <v>SBUX</v>
      </c>
    </row>
    <row r="275" spans="1:7" x14ac:dyDescent="0.25">
      <c r="A275" t="s">
        <v>5</v>
      </c>
      <c r="B275" s="1">
        <v>42767</v>
      </c>
      <c r="C275" t="s">
        <v>60</v>
      </c>
      <c r="D275">
        <v>59925.299999999996</v>
      </c>
      <c r="E275" t="str">
        <f>VLOOKUP(C275,inf!$A$2:$B$7,2,FALSE)</f>
        <v>Over 90</v>
      </c>
      <c r="F275" t="str">
        <f t="shared" si="5"/>
        <v>02/01/2017</v>
      </c>
      <c r="G275" t="str">
        <f>VLOOKUP(A275,inf!$D$2:$E$76,2,FALSE)</f>
        <v>SBUX</v>
      </c>
    </row>
    <row r="276" spans="1:7" x14ac:dyDescent="0.25">
      <c r="A276" t="s">
        <v>5</v>
      </c>
      <c r="B276" s="1">
        <v>42767</v>
      </c>
      <c r="C276" t="s">
        <v>59</v>
      </c>
      <c r="D276">
        <v>10009.02</v>
      </c>
      <c r="E276" t="str">
        <f>VLOOKUP(C276,inf!$A$2:$B$7,2,FALSE)</f>
        <v>Over 90</v>
      </c>
      <c r="F276" t="str">
        <f t="shared" si="5"/>
        <v>02/01/2017</v>
      </c>
      <c r="G276" t="str">
        <f>VLOOKUP(A276,inf!$D$2:$E$76,2,FALSE)</f>
        <v>SBUX</v>
      </c>
    </row>
    <row r="277" spans="1:7" x14ac:dyDescent="0.25">
      <c r="A277" t="s">
        <v>5</v>
      </c>
      <c r="B277" s="1">
        <v>42767</v>
      </c>
      <c r="C277" t="s">
        <v>58</v>
      </c>
      <c r="D277">
        <v>5429.57</v>
      </c>
      <c r="E277" t="str">
        <f>VLOOKUP(C277,inf!$A$2:$B$7,2,FALSE)</f>
        <v>61 to 90</v>
      </c>
      <c r="F277" t="str">
        <f t="shared" si="5"/>
        <v>02/01/2017</v>
      </c>
      <c r="G277" t="str">
        <f>VLOOKUP(A277,inf!$D$2:$E$76,2,FALSE)</f>
        <v>SBUX</v>
      </c>
    </row>
    <row r="278" spans="1:7" x14ac:dyDescent="0.25">
      <c r="A278" t="s">
        <v>6</v>
      </c>
      <c r="B278" s="1">
        <v>42767</v>
      </c>
      <c r="C278" t="s">
        <v>55</v>
      </c>
      <c r="D278">
        <v>352231.68000000058</v>
      </c>
      <c r="E278" t="str">
        <f>VLOOKUP(C278,inf!$A$2:$B$7,2,FALSE)</f>
        <v>Current</v>
      </c>
      <c r="F278" t="str">
        <f t="shared" si="5"/>
        <v>02/01/2017</v>
      </c>
      <c r="G278" t="str">
        <f>VLOOKUP(A278,inf!$D$2:$E$76,2,FALSE)</f>
        <v>SBUX</v>
      </c>
    </row>
    <row r="279" spans="1:7" x14ac:dyDescent="0.25">
      <c r="A279" t="s">
        <v>6</v>
      </c>
      <c r="B279" s="1">
        <v>42767</v>
      </c>
      <c r="C279" t="s">
        <v>60</v>
      </c>
      <c r="D279">
        <v>7096.1699999999992</v>
      </c>
      <c r="E279" t="str">
        <f>VLOOKUP(C279,inf!$A$2:$B$7,2,FALSE)</f>
        <v>Over 90</v>
      </c>
      <c r="F279" t="str">
        <f t="shared" si="5"/>
        <v>02/01/2017</v>
      </c>
      <c r="G279" t="str">
        <f>VLOOKUP(A279,inf!$D$2:$E$76,2,FALSE)</f>
        <v>SBUX</v>
      </c>
    </row>
    <row r="280" spans="1:7" x14ac:dyDescent="0.25">
      <c r="A280" t="s">
        <v>6</v>
      </c>
      <c r="B280" s="1">
        <v>42767</v>
      </c>
      <c r="C280" t="s">
        <v>56</v>
      </c>
      <c r="D280">
        <v>2824.84</v>
      </c>
      <c r="E280" t="str">
        <f>VLOOKUP(C280,inf!$A$2:$B$7,2,FALSE)</f>
        <v>Current</v>
      </c>
      <c r="F280" t="str">
        <f t="shared" si="5"/>
        <v>02/01/2017</v>
      </c>
      <c r="G280" t="str">
        <f>VLOOKUP(A280,inf!$D$2:$E$76,2,FALSE)</f>
        <v>SBUX</v>
      </c>
    </row>
    <row r="281" spans="1:7" x14ac:dyDescent="0.25">
      <c r="A281" t="s">
        <v>6</v>
      </c>
      <c r="B281" s="1">
        <v>42767</v>
      </c>
      <c r="C281" t="s">
        <v>57</v>
      </c>
      <c r="D281">
        <v>966.64</v>
      </c>
      <c r="E281" t="str">
        <f>VLOOKUP(C281,inf!$A$2:$B$7,2,FALSE)</f>
        <v>31 to 60</v>
      </c>
      <c r="F281" t="str">
        <f t="shared" si="5"/>
        <v>02/01/2017</v>
      </c>
      <c r="G281" t="str">
        <f>VLOOKUP(A281,inf!$D$2:$E$76,2,FALSE)</f>
        <v>SBUX</v>
      </c>
    </row>
    <row r="282" spans="1:7" x14ac:dyDescent="0.25">
      <c r="A282" t="s">
        <v>6</v>
      </c>
      <c r="B282" s="1">
        <v>42767</v>
      </c>
      <c r="C282" t="s">
        <v>58</v>
      </c>
      <c r="D282">
        <v>192.1</v>
      </c>
      <c r="E282" t="str">
        <f>VLOOKUP(C282,inf!$A$2:$B$7,2,FALSE)</f>
        <v>61 to 90</v>
      </c>
      <c r="F282" t="str">
        <f t="shared" si="5"/>
        <v>02/01/2017</v>
      </c>
      <c r="G282" t="str">
        <f>VLOOKUP(A282,inf!$D$2:$E$76,2,FALSE)</f>
        <v>SBUX</v>
      </c>
    </row>
    <row r="283" spans="1:7" x14ac:dyDescent="0.25">
      <c r="A283" t="s">
        <v>6</v>
      </c>
      <c r="B283" s="1">
        <v>42767</v>
      </c>
      <c r="C283" t="s">
        <v>59</v>
      </c>
      <c r="D283">
        <v>80.739999999999995</v>
      </c>
      <c r="E283" t="str">
        <f>VLOOKUP(C283,inf!$A$2:$B$7,2,FALSE)</f>
        <v>Over 90</v>
      </c>
      <c r="F283" t="str">
        <f t="shared" si="5"/>
        <v>02/01/2017</v>
      </c>
      <c r="G283" t="str">
        <f>VLOOKUP(A283,inf!$D$2:$E$76,2,FALSE)</f>
        <v>SBUX</v>
      </c>
    </row>
    <row r="284" spans="1:7" x14ac:dyDescent="0.25">
      <c r="A284" t="s">
        <v>8</v>
      </c>
      <c r="B284" s="1">
        <v>42767</v>
      </c>
      <c r="C284" t="s">
        <v>55</v>
      </c>
      <c r="D284">
        <v>579418.41999999993</v>
      </c>
      <c r="E284" t="str">
        <f>VLOOKUP(C284,inf!$A$2:$B$7,2,FALSE)</f>
        <v>Current</v>
      </c>
      <c r="F284" t="str">
        <f t="shared" si="5"/>
        <v>02/01/2017</v>
      </c>
      <c r="G284" t="str">
        <f>VLOOKUP(A284,inf!$D$2:$E$76,2,FALSE)</f>
        <v>Target</v>
      </c>
    </row>
    <row r="285" spans="1:7" x14ac:dyDescent="0.25">
      <c r="A285" t="s">
        <v>8</v>
      </c>
      <c r="B285" s="1">
        <v>42767</v>
      </c>
      <c r="C285" t="s">
        <v>60</v>
      </c>
      <c r="D285">
        <v>22216.309999999994</v>
      </c>
      <c r="E285" t="str">
        <f>VLOOKUP(C285,inf!$A$2:$B$7,2,FALSE)</f>
        <v>Over 90</v>
      </c>
      <c r="F285" t="str">
        <f t="shared" si="5"/>
        <v>02/01/2017</v>
      </c>
      <c r="G285" t="str">
        <f>VLOOKUP(A285,inf!$D$2:$E$76,2,FALSE)</f>
        <v>Target</v>
      </c>
    </row>
    <row r="286" spans="1:7" x14ac:dyDescent="0.25">
      <c r="A286" t="s">
        <v>8</v>
      </c>
      <c r="B286" s="1">
        <v>42767</v>
      </c>
      <c r="C286" t="s">
        <v>58</v>
      </c>
      <c r="D286">
        <v>2813.21</v>
      </c>
      <c r="E286" t="str">
        <f>VLOOKUP(C286,inf!$A$2:$B$7,2,FALSE)</f>
        <v>61 to 90</v>
      </c>
      <c r="F286" t="str">
        <f t="shared" si="5"/>
        <v>02/01/2017</v>
      </c>
      <c r="G286" t="str">
        <f>VLOOKUP(A286,inf!$D$2:$E$76,2,FALSE)</f>
        <v>Target</v>
      </c>
    </row>
    <row r="287" spans="1:7" x14ac:dyDescent="0.25">
      <c r="A287" t="s">
        <v>8</v>
      </c>
      <c r="B287" s="1">
        <v>42767</v>
      </c>
      <c r="C287" t="s">
        <v>59</v>
      </c>
      <c r="D287">
        <v>1159</v>
      </c>
      <c r="E287" t="str">
        <f>VLOOKUP(C287,inf!$A$2:$B$7,2,FALSE)</f>
        <v>Over 90</v>
      </c>
      <c r="F287" t="str">
        <f t="shared" si="5"/>
        <v>02/01/2017</v>
      </c>
      <c r="G287" t="str">
        <f>VLOOKUP(A287,inf!$D$2:$E$76,2,FALSE)</f>
        <v>Target</v>
      </c>
    </row>
    <row r="288" spans="1:7" x14ac:dyDescent="0.25">
      <c r="A288" t="s">
        <v>8</v>
      </c>
      <c r="B288" s="1">
        <v>42767</v>
      </c>
      <c r="C288" t="s">
        <v>56</v>
      </c>
      <c r="D288">
        <v>1048.99</v>
      </c>
      <c r="E288" t="str">
        <f>VLOOKUP(C288,inf!$A$2:$B$7,2,FALSE)</f>
        <v>Current</v>
      </c>
      <c r="F288" t="str">
        <f t="shared" si="5"/>
        <v>02/01/2017</v>
      </c>
      <c r="G288" t="str">
        <f>VLOOKUP(A288,inf!$D$2:$E$76,2,FALSE)</f>
        <v>Target</v>
      </c>
    </row>
    <row r="289" spans="1:7" x14ac:dyDescent="0.25">
      <c r="A289" t="s">
        <v>8</v>
      </c>
      <c r="B289" s="1">
        <v>42767</v>
      </c>
      <c r="C289" t="s">
        <v>57</v>
      </c>
      <c r="D289">
        <v>744.19</v>
      </c>
      <c r="E289" t="str">
        <f>VLOOKUP(C289,inf!$A$2:$B$7,2,FALSE)</f>
        <v>31 to 60</v>
      </c>
      <c r="F289" t="str">
        <f t="shared" si="5"/>
        <v>02/01/2017</v>
      </c>
      <c r="G289" t="str">
        <f>VLOOKUP(A289,inf!$D$2:$E$76,2,FALSE)</f>
        <v>Target</v>
      </c>
    </row>
    <row r="290" spans="1:7" x14ac:dyDescent="0.25">
      <c r="A290" t="s">
        <v>34</v>
      </c>
      <c r="B290" s="1">
        <v>42767</v>
      </c>
      <c r="C290" t="s">
        <v>56</v>
      </c>
      <c r="D290">
        <v>1559.6399999999999</v>
      </c>
      <c r="E290" t="str">
        <f>VLOOKUP(C290,inf!$A$2:$B$7,2,FALSE)</f>
        <v>Current</v>
      </c>
      <c r="F290" t="str">
        <f t="shared" si="5"/>
        <v>02/01/2017</v>
      </c>
      <c r="G290" t="str">
        <f>VLOOKUP(A290,inf!$D$2:$E$76,2,FALSE)</f>
        <v>Other</v>
      </c>
    </row>
    <row r="291" spans="1:7" x14ac:dyDescent="0.25">
      <c r="A291" t="s">
        <v>34</v>
      </c>
      <c r="B291" s="1">
        <v>42767</v>
      </c>
      <c r="C291" t="s">
        <v>55</v>
      </c>
      <c r="D291">
        <v>1085.57</v>
      </c>
      <c r="E291" t="str">
        <f>VLOOKUP(C291,inf!$A$2:$B$7,2,FALSE)</f>
        <v>Current</v>
      </c>
      <c r="F291" t="str">
        <f t="shared" si="5"/>
        <v>02/01/2017</v>
      </c>
      <c r="G291" t="str">
        <f>VLOOKUP(A291,inf!$D$2:$E$76,2,FALSE)</f>
        <v>Other</v>
      </c>
    </row>
    <row r="292" spans="1:7" x14ac:dyDescent="0.25">
      <c r="A292" t="s">
        <v>15</v>
      </c>
      <c r="B292" s="1">
        <v>42767</v>
      </c>
      <c r="C292" t="s">
        <v>55</v>
      </c>
      <c r="D292">
        <v>157.56</v>
      </c>
      <c r="E292" t="str">
        <f>VLOOKUP(C292,inf!$A$2:$B$7,2,FALSE)</f>
        <v>Current</v>
      </c>
      <c r="F292" t="str">
        <f t="shared" si="5"/>
        <v>02/01/2017</v>
      </c>
      <c r="G292" t="str">
        <f>VLOOKUP(A292,inf!$D$2:$E$76,2,FALSE)</f>
        <v>Other</v>
      </c>
    </row>
    <row r="293" spans="1:7" x14ac:dyDescent="0.25">
      <c r="A293" t="s">
        <v>15</v>
      </c>
      <c r="B293" s="1">
        <v>42767</v>
      </c>
      <c r="C293" t="s">
        <v>56</v>
      </c>
      <c r="D293">
        <v>126.05</v>
      </c>
      <c r="E293" t="str">
        <f>VLOOKUP(C293,inf!$A$2:$B$7,2,FALSE)</f>
        <v>Current</v>
      </c>
      <c r="F293" t="str">
        <f t="shared" si="5"/>
        <v>02/01/2017</v>
      </c>
      <c r="G293" t="str">
        <f>VLOOKUP(A293,inf!$D$2:$E$76,2,FALSE)</f>
        <v>Other</v>
      </c>
    </row>
    <row r="294" spans="1:7" x14ac:dyDescent="0.25">
      <c r="A294" t="s">
        <v>4</v>
      </c>
      <c r="B294" s="1">
        <v>42774</v>
      </c>
      <c r="C294" t="s">
        <v>55</v>
      </c>
      <c r="D294">
        <v>1055.07</v>
      </c>
      <c r="E294" t="str">
        <f>VLOOKUP(C294,inf!$A$2:$B$7,2,FALSE)</f>
        <v>Current</v>
      </c>
      <c r="F294" t="str">
        <f t="shared" si="5"/>
        <v>02/08/2017</v>
      </c>
      <c r="G294" t="str">
        <f>VLOOKUP(A294,inf!$D$2:$E$76,2,FALSE)</f>
        <v>Other</v>
      </c>
    </row>
    <row r="295" spans="1:7" x14ac:dyDescent="0.25">
      <c r="A295" t="s">
        <v>26</v>
      </c>
      <c r="B295" s="1">
        <v>42774</v>
      </c>
      <c r="C295" t="s">
        <v>60</v>
      </c>
      <c r="D295">
        <v>1380.77</v>
      </c>
      <c r="E295" t="str">
        <f>VLOOKUP(C295,inf!$A$2:$B$7,2,FALSE)</f>
        <v>Over 90</v>
      </c>
      <c r="F295" t="str">
        <f t="shared" si="5"/>
        <v>02/08/2017</v>
      </c>
      <c r="G295" t="str">
        <f>VLOOKUP(A295,inf!$D$2:$E$76,2,FALSE)</f>
        <v>Other</v>
      </c>
    </row>
    <row r="296" spans="1:7" x14ac:dyDescent="0.25">
      <c r="A296" t="s">
        <v>2</v>
      </c>
      <c r="B296" s="1">
        <v>42774</v>
      </c>
      <c r="C296" t="s">
        <v>60</v>
      </c>
      <c r="D296">
        <v>3717.8600000000006</v>
      </c>
      <c r="E296" t="str">
        <f>VLOOKUP(C296,inf!$A$2:$B$7,2,FALSE)</f>
        <v>Over 90</v>
      </c>
      <c r="F296" t="str">
        <f t="shared" si="5"/>
        <v>02/08/2017</v>
      </c>
      <c r="G296" t="str">
        <f>VLOOKUP(A296,inf!$D$2:$E$76,2,FALSE)</f>
        <v>Other</v>
      </c>
    </row>
    <row r="297" spans="1:7" x14ac:dyDescent="0.25">
      <c r="A297" t="s">
        <v>1</v>
      </c>
      <c r="B297" s="1">
        <v>42774</v>
      </c>
      <c r="C297" t="s">
        <v>58</v>
      </c>
      <c r="D297">
        <v>-850</v>
      </c>
      <c r="E297" t="str">
        <f>VLOOKUP(C297,inf!$A$2:$B$7,2,FALSE)</f>
        <v>61 to 90</v>
      </c>
      <c r="F297" t="str">
        <f t="shared" si="5"/>
        <v>02/08/2017</v>
      </c>
      <c r="G297" t="str">
        <f>VLOOKUP(A297,inf!$D$2:$E$76,2,FALSE)</f>
        <v>Other</v>
      </c>
    </row>
    <row r="298" spans="1:7" x14ac:dyDescent="0.25">
      <c r="A298" t="s">
        <v>1</v>
      </c>
      <c r="B298" s="1">
        <v>42774</v>
      </c>
      <c r="C298" t="s">
        <v>60</v>
      </c>
      <c r="D298">
        <v>-3117.63</v>
      </c>
      <c r="E298" t="str">
        <f>VLOOKUP(C298,inf!$A$2:$B$7,2,FALSE)</f>
        <v>Over 90</v>
      </c>
      <c r="F298" t="str">
        <f t="shared" si="5"/>
        <v>02/08/2017</v>
      </c>
      <c r="G298" t="str">
        <f>VLOOKUP(A298,inf!$D$2:$E$76,2,FALSE)</f>
        <v>Other</v>
      </c>
    </row>
    <row r="299" spans="1:7" x14ac:dyDescent="0.25">
      <c r="A299" t="s">
        <v>11</v>
      </c>
      <c r="B299" s="1">
        <v>42774</v>
      </c>
      <c r="C299" t="s">
        <v>58</v>
      </c>
      <c r="D299">
        <v>448.76</v>
      </c>
      <c r="E299" t="str">
        <f>VLOOKUP(C299,inf!$A$2:$B$7,2,FALSE)</f>
        <v>61 to 90</v>
      </c>
      <c r="F299" t="str">
        <f t="shared" si="5"/>
        <v>02/08/2017</v>
      </c>
      <c r="G299" t="str">
        <f>VLOOKUP(A299,inf!$D$2:$E$76,2,FALSE)</f>
        <v>Other</v>
      </c>
    </row>
    <row r="300" spans="1:7" x14ac:dyDescent="0.25">
      <c r="A300" t="s">
        <v>33</v>
      </c>
      <c r="B300" s="1">
        <v>42774</v>
      </c>
      <c r="C300" t="s">
        <v>57</v>
      </c>
      <c r="D300">
        <v>744.34999999999991</v>
      </c>
      <c r="E300" t="str">
        <f>VLOOKUP(C300,inf!$A$2:$B$7,2,FALSE)</f>
        <v>31 to 60</v>
      </c>
      <c r="F300" t="str">
        <f t="shared" si="5"/>
        <v>02/08/2017</v>
      </c>
      <c r="G300" t="str">
        <f>VLOOKUP(A300,inf!$D$2:$E$76,2,FALSE)</f>
        <v>Other</v>
      </c>
    </row>
    <row r="301" spans="1:7" x14ac:dyDescent="0.25">
      <c r="A301" t="s">
        <v>25</v>
      </c>
      <c r="B301" s="1">
        <v>42774</v>
      </c>
      <c r="C301" t="s">
        <v>55</v>
      </c>
      <c r="D301">
        <v>459.55</v>
      </c>
      <c r="E301" t="str">
        <f>VLOOKUP(C301,inf!$A$2:$B$7,2,FALSE)</f>
        <v>Current</v>
      </c>
      <c r="F301" t="str">
        <f t="shared" si="5"/>
        <v>02/08/2017</v>
      </c>
      <c r="G301" t="str">
        <f>VLOOKUP(A301,inf!$D$2:$E$76,2,FALSE)</f>
        <v>Other</v>
      </c>
    </row>
    <row r="302" spans="1:7" x14ac:dyDescent="0.25">
      <c r="A302" t="s">
        <v>25</v>
      </c>
      <c r="B302" s="1">
        <v>42774</v>
      </c>
      <c r="C302" t="s">
        <v>56</v>
      </c>
      <c r="D302">
        <v>120.1</v>
      </c>
      <c r="E302" t="str">
        <f>VLOOKUP(C302,inf!$A$2:$B$7,2,FALSE)</f>
        <v>Current</v>
      </c>
      <c r="F302" t="str">
        <f t="shared" si="5"/>
        <v>02/08/2017</v>
      </c>
      <c r="G302" t="str">
        <f>VLOOKUP(A302,inf!$D$2:$E$76,2,FALSE)</f>
        <v>Other</v>
      </c>
    </row>
    <row r="303" spans="1:7" x14ac:dyDescent="0.25">
      <c r="A303" t="s">
        <v>13</v>
      </c>
      <c r="B303" s="1">
        <v>42774</v>
      </c>
      <c r="C303" t="s">
        <v>60</v>
      </c>
      <c r="D303">
        <v>258.42</v>
      </c>
      <c r="E303" t="str">
        <f>VLOOKUP(C303,inf!$A$2:$B$7,2,FALSE)</f>
        <v>Over 90</v>
      </c>
      <c r="F303" t="str">
        <f t="shared" si="5"/>
        <v>02/08/2017</v>
      </c>
      <c r="G303" t="str">
        <f>VLOOKUP(A303,inf!$D$2:$E$76,2,FALSE)</f>
        <v>Other</v>
      </c>
    </row>
    <row r="304" spans="1:7" x14ac:dyDescent="0.25">
      <c r="A304" t="s">
        <v>31</v>
      </c>
      <c r="B304" s="1">
        <v>42774</v>
      </c>
      <c r="C304" t="s">
        <v>56</v>
      </c>
      <c r="D304">
        <v>229.7</v>
      </c>
      <c r="E304" t="str">
        <f>VLOOKUP(C304,inf!$A$2:$B$7,2,FALSE)</f>
        <v>Current</v>
      </c>
      <c r="F304" t="str">
        <f t="shared" si="5"/>
        <v>02/08/2017</v>
      </c>
      <c r="G304" t="str">
        <f>VLOOKUP(A304,inf!$D$2:$E$76,2,FALSE)</f>
        <v>Other</v>
      </c>
    </row>
    <row r="305" spans="1:7" x14ac:dyDescent="0.25">
      <c r="A305" t="s">
        <v>24</v>
      </c>
      <c r="B305" s="1">
        <v>42774</v>
      </c>
      <c r="C305" t="s">
        <v>55</v>
      </c>
      <c r="D305">
        <v>183.54</v>
      </c>
      <c r="E305" t="str">
        <f>VLOOKUP(C305,inf!$A$2:$B$7,2,FALSE)</f>
        <v>Current</v>
      </c>
      <c r="F305" t="str">
        <f t="shared" si="5"/>
        <v>02/08/2017</v>
      </c>
      <c r="G305" t="str">
        <f>VLOOKUP(A305,inf!$D$2:$E$76,2,FALSE)</f>
        <v>Other</v>
      </c>
    </row>
    <row r="306" spans="1:7" x14ac:dyDescent="0.25">
      <c r="A306" t="s">
        <v>27</v>
      </c>
      <c r="B306" s="1">
        <v>42774</v>
      </c>
      <c r="C306" t="s">
        <v>55</v>
      </c>
      <c r="D306">
        <v>143.56</v>
      </c>
      <c r="E306" t="str">
        <f>VLOOKUP(C306,inf!$A$2:$B$7,2,FALSE)</f>
        <v>Current</v>
      </c>
      <c r="F306" t="str">
        <f t="shared" si="5"/>
        <v>02/08/2017</v>
      </c>
      <c r="G306" t="str">
        <f>VLOOKUP(A306,inf!$D$2:$E$76,2,FALSE)</f>
        <v>Other</v>
      </c>
    </row>
    <row r="307" spans="1:7" x14ac:dyDescent="0.25">
      <c r="A307" t="s">
        <v>21</v>
      </c>
      <c r="B307" s="1">
        <v>42774</v>
      </c>
      <c r="C307" t="s">
        <v>57</v>
      </c>
      <c r="D307">
        <v>365.84</v>
      </c>
      <c r="E307" t="str">
        <f>VLOOKUP(C307,inf!$A$2:$B$7,2,FALSE)</f>
        <v>31 to 60</v>
      </c>
      <c r="F307" t="str">
        <f t="shared" si="5"/>
        <v>02/08/2017</v>
      </c>
      <c r="G307" t="str">
        <f>VLOOKUP(A307,inf!$D$2:$E$76,2,FALSE)</f>
        <v>Other</v>
      </c>
    </row>
    <row r="308" spans="1:7" x14ac:dyDescent="0.25">
      <c r="A308" t="s">
        <v>3</v>
      </c>
      <c r="B308" s="1">
        <v>42774</v>
      </c>
      <c r="C308" t="s">
        <v>57</v>
      </c>
      <c r="D308">
        <v>2789.73</v>
      </c>
      <c r="E308" t="str">
        <f>VLOOKUP(C308,inf!$A$2:$B$7,2,FALSE)</f>
        <v>31 to 60</v>
      </c>
      <c r="F308" t="str">
        <f t="shared" si="5"/>
        <v>02/08/2017</v>
      </c>
      <c r="G308" t="str">
        <f>VLOOKUP(A308,inf!$D$2:$E$76,2,FALSE)</f>
        <v>Other</v>
      </c>
    </row>
    <row r="309" spans="1:7" x14ac:dyDescent="0.25">
      <c r="A309" t="s">
        <v>3</v>
      </c>
      <c r="B309" s="1">
        <v>42774</v>
      </c>
      <c r="C309" t="s">
        <v>56</v>
      </c>
      <c r="D309">
        <v>2374.6799999999998</v>
      </c>
      <c r="E309" t="str">
        <f>VLOOKUP(C309,inf!$A$2:$B$7,2,FALSE)</f>
        <v>Current</v>
      </c>
      <c r="F309" t="str">
        <f t="shared" si="5"/>
        <v>02/08/2017</v>
      </c>
      <c r="G309" t="str">
        <f>VLOOKUP(A309,inf!$D$2:$E$76,2,FALSE)</f>
        <v>Other</v>
      </c>
    </row>
    <row r="310" spans="1:7" x14ac:dyDescent="0.25">
      <c r="A310" t="s">
        <v>3</v>
      </c>
      <c r="B310" s="1">
        <v>42774</v>
      </c>
      <c r="C310" t="s">
        <v>55</v>
      </c>
      <c r="D310">
        <v>1205.0400000000002</v>
      </c>
      <c r="E310" t="str">
        <f>VLOOKUP(C310,inf!$A$2:$B$7,2,FALSE)</f>
        <v>Current</v>
      </c>
      <c r="F310" t="str">
        <f t="shared" si="5"/>
        <v>02/08/2017</v>
      </c>
      <c r="G310" t="str">
        <f>VLOOKUP(A310,inf!$D$2:$E$76,2,FALSE)</f>
        <v>Other</v>
      </c>
    </row>
    <row r="311" spans="1:7" x14ac:dyDescent="0.25">
      <c r="A311" t="s">
        <v>30</v>
      </c>
      <c r="B311" s="1">
        <v>42774</v>
      </c>
      <c r="C311" t="s">
        <v>55</v>
      </c>
      <c r="D311">
        <v>610.83000000000004</v>
      </c>
      <c r="E311" t="str">
        <f>VLOOKUP(C311,inf!$A$2:$B$7,2,FALSE)</f>
        <v>Current</v>
      </c>
      <c r="F311" t="str">
        <f t="shared" si="5"/>
        <v>02/08/2017</v>
      </c>
      <c r="G311" t="str">
        <f>VLOOKUP(A311,inf!$D$2:$E$76,2,FALSE)</f>
        <v>Other</v>
      </c>
    </row>
    <row r="312" spans="1:7" x14ac:dyDescent="0.25">
      <c r="A312" t="s">
        <v>12</v>
      </c>
      <c r="B312" s="1">
        <v>42774</v>
      </c>
      <c r="C312" t="s">
        <v>57</v>
      </c>
      <c r="D312">
        <v>592.66999999999996</v>
      </c>
      <c r="E312" t="str">
        <f>VLOOKUP(C312,inf!$A$2:$B$7,2,FALSE)</f>
        <v>31 to 60</v>
      </c>
      <c r="F312" t="str">
        <f t="shared" si="5"/>
        <v>02/08/2017</v>
      </c>
      <c r="G312" t="str">
        <f>VLOOKUP(A312,inf!$D$2:$E$76,2,FALSE)</f>
        <v>Other</v>
      </c>
    </row>
    <row r="313" spans="1:7" x14ac:dyDescent="0.25">
      <c r="A313" t="s">
        <v>12</v>
      </c>
      <c r="B313" s="1">
        <v>42774</v>
      </c>
      <c r="C313" t="s">
        <v>60</v>
      </c>
      <c r="D313">
        <v>450.5</v>
      </c>
      <c r="E313" t="str">
        <f>VLOOKUP(C313,inf!$A$2:$B$7,2,FALSE)</f>
        <v>Over 90</v>
      </c>
      <c r="F313" t="str">
        <f t="shared" si="5"/>
        <v>02/08/2017</v>
      </c>
      <c r="G313" t="str">
        <f>VLOOKUP(A313,inf!$D$2:$E$76,2,FALSE)</f>
        <v>Other</v>
      </c>
    </row>
    <row r="314" spans="1:7" x14ac:dyDescent="0.25">
      <c r="A314" t="s">
        <v>9</v>
      </c>
      <c r="B314" s="1">
        <v>42774</v>
      </c>
      <c r="C314" t="s">
        <v>59</v>
      </c>
      <c r="D314">
        <v>599.03</v>
      </c>
      <c r="E314" t="str">
        <f>VLOOKUP(C314,inf!$A$2:$B$7,2,FALSE)</f>
        <v>Over 90</v>
      </c>
      <c r="F314" t="str">
        <f t="shared" si="5"/>
        <v>02/08/2017</v>
      </c>
      <c r="G314" t="str">
        <f>VLOOKUP(A314,inf!$D$2:$E$76,2,FALSE)</f>
        <v>Other</v>
      </c>
    </row>
    <row r="315" spans="1:7" x14ac:dyDescent="0.25">
      <c r="A315" t="s">
        <v>7</v>
      </c>
      <c r="B315" s="1">
        <v>42774</v>
      </c>
      <c r="C315" t="s">
        <v>55</v>
      </c>
      <c r="D315">
        <v>28525.700000000004</v>
      </c>
      <c r="E315" t="str">
        <f>VLOOKUP(C315,inf!$A$2:$B$7,2,FALSE)</f>
        <v>Current</v>
      </c>
      <c r="F315" t="str">
        <f t="shared" si="5"/>
        <v>02/08/2017</v>
      </c>
      <c r="G315" t="str">
        <f>VLOOKUP(A315,inf!$D$2:$E$76,2,FALSE)</f>
        <v>SAFEWAY</v>
      </c>
    </row>
    <row r="316" spans="1:7" x14ac:dyDescent="0.25">
      <c r="A316" t="s">
        <v>7</v>
      </c>
      <c r="B316" s="1">
        <v>42774</v>
      </c>
      <c r="C316" t="s">
        <v>56</v>
      </c>
      <c r="D316">
        <v>716.54</v>
      </c>
      <c r="E316" t="str">
        <f>VLOOKUP(C316,inf!$A$2:$B$7,2,FALSE)</f>
        <v>Current</v>
      </c>
      <c r="F316" t="str">
        <f t="shared" si="5"/>
        <v>02/08/2017</v>
      </c>
      <c r="G316" t="str">
        <f>VLOOKUP(A316,inf!$D$2:$E$76,2,FALSE)</f>
        <v>SAFEWAY</v>
      </c>
    </row>
    <row r="317" spans="1:7" x14ac:dyDescent="0.25">
      <c r="A317" t="s">
        <v>7</v>
      </c>
      <c r="B317" s="1">
        <v>42774</v>
      </c>
      <c r="C317" t="s">
        <v>60</v>
      </c>
      <c r="D317">
        <v>631.72</v>
      </c>
      <c r="E317" t="str">
        <f>VLOOKUP(C317,inf!$A$2:$B$7,2,FALSE)</f>
        <v>Over 90</v>
      </c>
      <c r="F317" t="str">
        <f t="shared" si="5"/>
        <v>02/08/2017</v>
      </c>
      <c r="G317" t="str">
        <f>VLOOKUP(A317,inf!$D$2:$E$76,2,FALSE)</f>
        <v>SAFEWAY</v>
      </c>
    </row>
    <row r="318" spans="1:7" x14ac:dyDescent="0.25">
      <c r="A318" t="s">
        <v>7</v>
      </c>
      <c r="B318" s="1">
        <v>42774</v>
      </c>
      <c r="C318" t="s">
        <v>59</v>
      </c>
      <c r="D318">
        <v>7.92</v>
      </c>
      <c r="E318" t="str">
        <f>VLOOKUP(C318,inf!$A$2:$B$7,2,FALSE)</f>
        <v>Over 90</v>
      </c>
      <c r="F318" t="str">
        <f t="shared" si="5"/>
        <v>02/08/2017</v>
      </c>
      <c r="G318" t="str">
        <f>VLOOKUP(A318,inf!$D$2:$E$76,2,FALSE)</f>
        <v>SAFEWAY</v>
      </c>
    </row>
    <row r="319" spans="1:7" x14ac:dyDescent="0.25">
      <c r="A319" t="s">
        <v>5</v>
      </c>
      <c r="B319" s="1">
        <v>42774</v>
      </c>
      <c r="C319" t="s">
        <v>55</v>
      </c>
      <c r="D319" s="5">
        <v>4747439.2600000594</v>
      </c>
      <c r="E319" t="str">
        <f>VLOOKUP(C319,inf!$A$2:$B$7,2,FALSE)</f>
        <v>Current</v>
      </c>
      <c r="F319" t="str">
        <f t="shared" si="5"/>
        <v>02/08/2017</v>
      </c>
      <c r="G319" t="str">
        <f>VLOOKUP(A319,inf!$D$2:$E$76,2,FALSE)</f>
        <v>SBUX</v>
      </c>
    </row>
    <row r="320" spans="1:7" x14ac:dyDescent="0.25">
      <c r="A320" t="s">
        <v>5</v>
      </c>
      <c r="B320" s="1">
        <v>42774</v>
      </c>
      <c r="C320" t="s">
        <v>56</v>
      </c>
      <c r="D320" s="5">
        <v>93467.180000000022</v>
      </c>
      <c r="E320" t="str">
        <f>VLOOKUP(C320,inf!$A$2:$B$7,2,FALSE)</f>
        <v>Current</v>
      </c>
      <c r="F320" t="str">
        <f t="shared" si="5"/>
        <v>02/08/2017</v>
      </c>
      <c r="G320" t="str">
        <f>VLOOKUP(A320,inf!$D$2:$E$76,2,FALSE)</f>
        <v>SBUX</v>
      </c>
    </row>
    <row r="321" spans="1:7" x14ac:dyDescent="0.25">
      <c r="A321" t="s">
        <v>5</v>
      </c>
      <c r="B321" s="1">
        <v>42774</v>
      </c>
      <c r="C321" t="s">
        <v>57</v>
      </c>
      <c r="D321" s="5">
        <v>68181.399999999907</v>
      </c>
      <c r="E321" t="str">
        <f>VLOOKUP(C321,inf!$A$2:$B$7,2,FALSE)</f>
        <v>31 to 60</v>
      </c>
      <c r="F321" t="str">
        <f t="shared" si="5"/>
        <v>02/08/2017</v>
      </c>
      <c r="G321" t="str">
        <f>VLOOKUP(A321,inf!$D$2:$E$76,2,FALSE)</f>
        <v>SBUX</v>
      </c>
    </row>
    <row r="322" spans="1:7" x14ac:dyDescent="0.25">
      <c r="A322" t="s">
        <v>5</v>
      </c>
      <c r="B322" s="1">
        <v>42774</v>
      </c>
      <c r="C322" t="s">
        <v>60</v>
      </c>
      <c r="D322">
        <v>61347.359999999993</v>
      </c>
      <c r="E322" t="str">
        <f>VLOOKUP(C322,inf!$A$2:$B$7,2,FALSE)</f>
        <v>Over 90</v>
      </c>
      <c r="F322" t="str">
        <f t="shared" si="5"/>
        <v>02/08/2017</v>
      </c>
      <c r="G322" t="str">
        <f>VLOOKUP(A322,inf!$D$2:$E$76,2,FALSE)</f>
        <v>SBUX</v>
      </c>
    </row>
    <row r="323" spans="1:7" x14ac:dyDescent="0.25">
      <c r="A323" t="s">
        <v>5</v>
      </c>
      <c r="B323" s="1">
        <v>42774</v>
      </c>
      <c r="C323" t="s">
        <v>59</v>
      </c>
      <c r="D323">
        <v>10805.66</v>
      </c>
      <c r="E323" t="str">
        <f>VLOOKUP(C323,inf!$A$2:$B$7,2,FALSE)</f>
        <v>Over 90</v>
      </c>
      <c r="F323" t="str">
        <f t="shared" ref="F323:F386" si="6">TEXT(B323,"MM/DD/YYYY")</f>
        <v>02/08/2017</v>
      </c>
      <c r="G323" t="str">
        <f>VLOOKUP(A323,inf!$D$2:$E$76,2,FALSE)</f>
        <v>SBUX</v>
      </c>
    </row>
    <row r="324" spans="1:7" x14ac:dyDescent="0.25">
      <c r="A324" t="s">
        <v>5</v>
      </c>
      <c r="B324" s="1">
        <v>42774</v>
      </c>
      <c r="C324" t="s">
        <v>58</v>
      </c>
      <c r="D324">
        <v>3210.87</v>
      </c>
      <c r="E324" t="str">
        <f>VLOOKUP(C324,inf!$A$2:$B$7,2,FALSE)</f>
        <v>61 to 90</v>
      </c>
      <c r="F324" t="str">
        <f t="shared" si="6"/>
        <v>02/08/2017</v>
      </c>
      <c r="G324" t="str">
        <f>VLOOKUP(A324,inf!$D$2:$E$76,2,FALSE)</f>
        <v>SBUX</v>
      </c>
    </row>
    <row r="325" spans="1:7" x14ac:dyDescent="0.25">
      <c r="A325" t="s">
        <v>6</v>
      </c>
      <c r="B325" s="1">
        <v>42774</v>
      </c>
      <c r="C325" t="s">
        <v>55</v>
      </c>
      <c r="D325">
        <v>388769.99000000005</v>
      </c>
      <c r="E325" t="str">
        <f>VLOOKUP(C325,inf!$A$2:$B$7,2,FALSE)</f>
        <v>Current</v>
      </c>
      <c r="F325" t="str">
        <f t="shared" si="6"/>
        <v>02/08/2017</v>
      </c>
      <c r="G325" t="str">
        <f>VLOOKUP(A325,inf!$D$2:$E$76,2,FALSE)</f>
        <v>SBUX</v>
      </c>
    </row>
    <row r="326" spans="1:7" x14ac:dyDescent="0.25">
      <c r="A326" t="s">
        <v>6</v>
      </c>
      <c r="B326" s="1">
        <v>42774</v>
      </c>
      <c r="C326" t="s">
        <v>60</v>
      </c>
      <c r="D326">
        <v>7096.1699999999992</v>
      </c>
      <c r="E326" t="str">
        <f>VLOOKUP(C326,inf!$A$2:$B$7,2,FALSE)</f>
        <v>Over 90</v>
      </c>
      <c r="F326" t="str">
        <f t="shared" si="6"/>
        <v>02/08/2017</v>
      </c>
      <c r="G326" t="str">
        <f>VLOOKUP(A326,inf!$D$2:$E$76,2,FALSE)</f>
        <v>SBUX</v>
      </c>
    </row>
    <row r="327" spans="1:7" x14ac:dyDescent="0.25">
      <c r="A327" t="s">
        <v>6</v>
      </c>
      <c r="B327" s="1">
        <v>42774</v>
      </c>
      <c r="C327" t="s">
        <v>56</v>
      </c>
      <c r="D327">
        <v>2233.2800000000002</v>
      </c>
      <c r="E327" t="str">
        <f>VLOOKUP(C327,inf!$A$2:$B$7,2,FALSE)</f>
        <v>Current</v>
      </c>
      <c r="F327" t="str">
        <f t="shared" si="6"/>
        <v>02/08/2017</v>
      </c>
      <c r="G327" t="str">
        <f>VLOOKUP(A327,inf!$D$2:$E$76,2,FALSE)</f>
        <v>SBUX</v>
      </c>
    </row>
    <row r="328" spans="1:7" x14ac:dyDescent="0.25">
      <c r="A328" t="s">
        <v>6</v>
      </c>
      <c r="B328" s="1">
        <v>42774</v>
      </c>
      <c r="C328" t="s">
        <v>57</v>
      </c>
      <c r="D328">
        <v>966.64</v>
      </c>
      <c r="E328" t="str">
        <f>VLOOKUP(C328,inf!$A$2:$B$7,2,FALSE)</f>
        <v>31 to 60</v>
      </c>
      <c r="F328" t="str">
        <f t="shared" si="6"/>
        <v>02/08/2017</v>
      </c>
      <c r="G328" t="str">
        <f>VLOOKUP(A328,inf!$D$2:$E$76,2,FALSE)</f>
        <v>SBUX</v>
      </c>
    </row>
    <row r="329" spans="1:7" x14ac:dyDescent="0.25">
      <c r="A329" t="s">
        <v>6</v>
      </c>
      <c r="B329" s="1">
        <v>42774</v>
      </c>
      <c r="C329" t="s">
        <v>58</v>
      </c>
      <c r="D329">
        <v>192.1</v>
      </c>
      <c r="E329" t="str">
        <f>VLOOKUP(C329,inf!$A$2:$B$7,2,FALSE)</f>
        <v>61 to 90</v>
      </c>
      <c r="F329" t="str">
        <f t="shared" si="6"/>
        <v>02/08/2017</v>
      </c>
      <c r="G329" t="str">
        <f>VLOOKUP(A329,inf!$D$2:$E$76,2,FALSE)</f>
        <v>SBUX</v>
      </c>
    </row>
    <row r="330" spans="1:7" x14ac:dyDescent="0.25">
      <c r="A330" t="s">
        <v>6</v>
      </c>
      <c r="B330" s="1">
        <v>42774</v>
      </c>
      <c r="C330" t="s">
        <v>59</v>
      </c>
      <c r="D330">
        <v>80.739999999999995</v>
      </c>
      <c r="E330" t="str">
        <f>VLOOKUP(C330,inf!$A$2:$B$7,2,FALSE)</f>
        <v>Over 90</v>
      </c>
      <c r="F330" t="str">
        <f t="shared" si="6"/>
        <v>02/08/2017</v>
      </c>
      <c r="G330" t="str">
        <f>VLOOKUP(A330,inf!$D$2:$E$76,2,FALSE)</f>
        <v>SBUX</v>
      </c>
    </row>
    <row r="331" spans="1:7" x14ac:dyDescent="0.25">
      <c r="A331" t="s">
        <v>8</v>
      </c>
      <c r="B331" s="1">
        <v>42774</v>
      </c>
      <c r="C331" t="s">
        <v>55</v>
      </c>
      <c r="D331">
        <v>540320.83000000042</v>
      </c>
      <c r="E331" t="str">
        <f>VLOOKUP(C331,inf!$A$2:$B$7,2,FALSE)</f>
        <v>Current</v>
      </c>
      <c r="F331" t="str">
        <f t="shared" si="6"/>
        <v>02/08/2017</v>
      </c>
      <c r="G331" t="str">
        <f>VLOOKUP(A331,inf!$D$2:$E$76,2,FALSE)</f>
        <v>Target</v>
      </c>
    </row>
    <row r="332" spans="1:7" x14ac:dyDescent="0.25">
      <c r="A332" t="s">
        <v>8</v>
      </c>
      <c r="B332" s="1">
        <v>42774</v>
      </c>
      <c r="C332" t="s">
        <v>60</v>
      </c>
      <c r="D332" s="5">
        <v>22826.590000000004</v>
      </c>
      <c r="E332" t="str">
        <f>VLOOKUP(C332,inf!$A$2:$B$7,2,FALSE)</f>
        <v>Over 90</v>
      </c>
      <c r="F332" t="str">
        <f t="shared" si="6"/>
        <v>02/08/2017</v>
      </c>
      <c r="G332" t="str">
        <f>VLOOKUP(A332,inf!$D$2:$E$76,2,FALSE)</f>
        <v>Target</v>
      </c>
    </row>
    <row r="333" spans="1:7" x14ac:dyDescent="0.25">
      <c r="A333" t="s">
        <v>8</v>
      </c>
      <c r="B333" s="1">
        <v>42774</v>
      </c>
      <c r="C333" t="s">
        <v>59</v>
      </c>
      <c r="D333">
        <v>1670.4099999999999</v>
      </c>
      <c r="E333" t="str">
        <f>VLOOKUP(C333,inf!$A$2:$B$7,2,FALSE)</f>
        <v>Over 90</v>
      </c>
      <c r="F333" t="str">
        <f t="shared" si="6"/>
        <v>02/08/2017</v>
      </c>
      <c r="G333" t="str">
        <f>VLOOKUP(A333,inf!$D$2:$E$76,2,FALSE)</f>
        <v>Target</v>
      </c>
    </row>
    <row r="334" spans="1:7" x14ac:dyDescent="0.25">
      <c r="A334" t="s">
        <v>8</v>
      </c>
      <c r="B334" s="1">
        <v>42774</v>
      </c>
      <c r="C334" t="s">
        <v>58</v>
      </c>
      <c r="D334">
        <v>1664.72</v>
      </c>
      <c r="E334" t="str">
        <f>VLOOKUP(C334,inf!$A$2:$B$7,2,FALSE)</f>
        <v>61 to 90</v>
      </c>
      <c r="F334" t="str">
        <f t="shared" si="6"/>
        <v>02/08/2017</v>
      </c>
      <c r="G334" t="str">
        <f>VLOOKUP(A334,inf!$D$2:$E$76,2,FALSE)</f>
        <v>Target</v>
      </c>
    </row>
    <row r="335" spans="1:7" x14ac:dyDescent="0.25">
      <c r="A335" t="s">
        <v>8</v>
      </c>
      <c r="B335" s="1">
        <v>42774</v>
      </c>
      <c r="C335" t="s">
        <v>57</v>
      </c>
      <c r="D335">
        <v>1174.76</v>
      </c>
      <c r="E335" t="str">
        <f>VLOOKUP(C335,inf!$A$2:$B$7,2,FALSE)</f>
        <v>31 to 60</v>
      </c>
      <c r="F335" t="str">
        <f t="shared" si="6"/>
        <v>02/08/2017</v>
      </c>
      <c r="G335" t="str">
        <f>VLOOKUP(A335,inf!$D$2:$E$76,2,FALSE)</f>
        <v>Target</v>
      </c>
    </row>
    <row r="336" spans="1:7" x14ac:dyDescent="0.25">
      <c r="A336" t="s">
        <v>8</v>
      </c>
      <c r="B336" s="1">
        <v>42774</v>
      </c>
      <c r="C336" t="s">
        <v>56</v>
      </c>
      <c r="D336">
        <v>96.5</v>
      </c>
      <c r="E336" t="str">
        <f>VLOOKUP(C336,inf!$A$2:$B$7,2,FALSE)</f>
        <v>Current</v>
      </c>
      <c r="F336" t="str">
        <f t="shared" si="6"/>
        <v>02/08/2017</v>
      </c>
      <c r="G336" t="str">
        <f>VLOOKUP(A336,inf!$D$2:$E$76,2,FALSE)</f>
        <v>Target</v>
      </c>
    </row>
    <row r="337" spans="1:7" x14ac:dyDescent="0.25">
      <c r="A337" t="s">
        <v>34</v>
      </c>
      <c r="B337" s="1">
        <v>42774</v>
      </c>
      <c r="C337" t="s">
        <v>56</v>
      </c>
      <c r="D337">
        <v>1917.53</v>
      </c>
      <c r="E337" t="str">
        <f>VLOOKUP(C337,inf!$A$2:$B$7,2,FALSE)</f>
        <v>Current</v>
      </c>
      <c r="F337" t="str">
        <f t="shared" si="6"/>
        <v>02/08/2017</v>
      </c>
      <c r="G337" t="str">
        <f>VLOOKUP(A337,inf!$D$2:$E$76,2,FALSE)</f>
        <v>Other</v>
      </c>
    </row>
    <row r="338" spans="1:7" x14ac:dyDescent="0.25">
      <c r="A338" t="s">
        <v>34</v>
      </c>
      <c r="B338" s="1">
        <v>42774</v>
      </c>
      <c r="C338" t="s">
        <v>55</v>
      </c>
      <c r="D338">
        <v>727.68</v>
      </c>
      <c r="E338" t="str">
        <f>VLOOKUP(C338,inf!$A$2:$B$7,2,FALSE)</f>
        <v>Current</v>
      </c>
      <c r="F338" t="str">
        <f t="shared" si="6"/>
        <v>02/08/2017</v>
      </c>
      <c r="G338" t="str">
        <f>VLOOKUP(A338,inf!$D$2:$E$76,2,FALSE)</f>
        <v>Other</v>
      </c>
    </row>
    <row r="339" spans="1:7" x14ac:dyDescent="0.25">
      <c r="A339" t="s">
        <v>15</v>
      </c>
      <c r="B339" s="1">
        <v>42774</v>
      </c>
      <c r="C339" t="s">
        <v>55</v>
      </c>
      <c r="D339">
        <v>346.64</v>
      </c>
      <c r="E339" t="str">
        <f>VLOOKUP(C339,inf!$A$2:$B$7,2,FALSE)</f>
        <v>Current</v>
      </c>
      <c r="F339" t="str">
        <f t="shared" si="6"/>
        <v>02/08/2017</v>
      </c>
      <c r="G339" t="str">
        <f>VLOOKUP(A339,inf!$D$2:$E$76,2,FALSE)</f>
        <v>Other</v>
      </c>
    </row>
    <row r="340" spans="1:7" x14ac:dyDescent="0.25">
      <c r="A340" t="s">
        <v>15</v>
      </c>
      <c r="B340" s="1">
        <v>42774</v>
      </c>
      <c r="C340" t="s">
        <v>56</v>
      </c>
      <c r="D340">
        <v>126.05</v>
      </c>
      <c r="E340" t="str">
        <f>VLOOKUP(C340,inf!$A$2:$B$7,2,FALSE)</f>
        <v>Current</v>
      </c>
      <c r="F340" t="str">
        <f t="shared" si="6"/>
        <v>02/08/2017</v>
      </c>
      <c r="G340" t="str">
        <f>VLOOKUP(A340,inf!$D$2:$E$76,2,FALSE)</f>
        <v>Other</v>
      </c>
    </row>
    <row r="341" spans="1:7" x14ac:dyDescent="0.25">
      <c r="A341" t="s">
        <v>4</v>
      </c>
      <c r="B341" s="1">
        <v>42781</v>
      </c>
      <c r="C341" t="s">
        <v>55</v>
      </c>
      <c r="D341">
        <v>1055.07</v>
      </c>
      <c r="E341" t="str">
        <f>VLOOKUP(C341,inf!$A$2:$B$7,2,FALSE)</f>
        <v>Current</v>
      </c>
      <c r="F341" t="str">
        <f t="shared" si="6"/>
        <v>02/15/2017</v>
      </c>
      <c r="G341" t="str">
        <f>VLOOKUP(A341,inf!$D$2:$E$76,2,FALSE)</f>
        <v>Other</v>
      </c>
    </row>
    <row r="342" spans="1:7" x14ac:dyDescent="0.25">
      <c r="A342" t="s">
        <v>26</v>
      </c>
      <c r="B342" s="1">
        <v>42781</v>
      </c>
      <c r="C342" t="s">
        <v>60</v>
      </c>
      <c r="D342">
        <v>1380.77</v>
      </c>
      <c r="E342" t="str">
        <f>VLOOKUP(C342,inf!$A$2:$B$7,2,FALSE)</f>
        <v>Over 90</v>
      </c>
      <c r="F342" t="str">
        <f t="shared" si="6"/>
        <v>02/15/2017</v>
      </c>
      <c r="G342" t="str">
        <f>VLOOKUP(A342,inf!$D$2:$E$76,2,FALSE)</f>
        <v>Other</v>
      </c>
    </row>
    <row r="343" spans="1:7" x14ac:dyDescent="0.25">
      <c r="A343" t="s">
        <v>2</v>
      </c>
      <c r="B343" s="1">
        <v>42781</v>
      </c>
      <c r="C343" t="s">
        <v>60</v>
      </c>
      <c r="D343">
        <v>3717.8600000000006</v>
      </c>
      <c r="E343" t="str">
        <f>VLOOKUP(C343,inf!$A$2:$B$7,2,FALSE)</f>
        <v>Over 90</v>
      </c>
      <c r="F343" t="str">
        <f t="shared" si="6"/>
        <v>02/15/2017</v>
      </c>
      <c r="G343" t="str">
        <f>VLOOKUP(A343,inf!$D$2:$E$76,2,FALSE)</f>
        <v>Other</v>
      </c>
    </row>
    <row r="344" spans="1:7" x14ac:dyDescent="0.25">
      <c r="A344" t="s">
        <v>1</v>
      </c>
      <c r="B344" s="1">
        <v>42781</v>
      </c>
      <c r="C344" t="s">
        <v>58</v>
      </c>
      <c r="D344">
        <v>-850</v>
      </c>
      <c r="E344" t="str">
        <f>VLOOKUP(C344,inf!$A$2:$B$7,2,FALSE)</f>
        <v>61 to 90</v>
      </c>
      <c r="F344" t="str">
        <f t="shared" si="6"/>
        <v>02/15/2017</v>
      </c>
      <c r="G344" t="str">
        <f>VLOOKUP(A344,inf!$D$2:$E$76,2,FALSE)</f>
        <v>Other</v>
      </c>
    </row>
    <row r="345" spans="1:7" x14ac:dyDescent="0.25">
      <c r="A345" t="s">
        <v>1</v>
      </c>
      <c r="B345" s="1">
        <v>42781</v>
      </c>
      <c r="C345" t="s">
        <v>60</v>
      </c>
      <c r="D345">
        <v>-3117.63</v>
      </c>
      <c r="E345" t="str">
        <f>VLOOKUP(C345,inf!$A$2:$B$7,2,FALSE)</f>
        <v>Over 90</v>
      </c>
      <c r="F345" t="str">
        <f t="shared" si="6"/>
        <v>02/15/2017</v>
      </c>
      <c r="G345" t="str">
        <f>VLOOKUP(A345,inf!$D$2:$E$76,2,FALSE)</f>
        <v>Other</v>
      </c>
    </row>
    <row r="346" spans="1:7" x14ac:dyDescent="0.25">
      <c r="A346" t="s">
        <v>11</v>
      </c>
      <c r="B346" s="1">
        <v>42781</v>
      </c>
      <c r="C346" t="s">
        <v>59</v>
      </c>
      <c r="D346">
        <v>448.76</v>
      </c>
      <c r="E346" t="str">
        <f>VLOOKUP(C346,inf!$A$2:$B$7,2,FALSE)</f>
        <v>Over 90</v>
      </c>
      <c r="F346" t="str">
        <f t="shared" si="6"/>
        <v>02/15/2017</v>
      </c>
      <c r="G346" t="str">
        <f>VLOOKUP(A346,inf!$D$2:$E$76,2,FALSE)</f>
        <v>Other</v>
      </c>
    </row>
    <row r="347" spans="1:7" x14ac:dyDescent="0.25">
      <c r="A347" t="s">
        <v>25</v>
      </c>
      <c r="B347" s="1">
        <v>42781</v>
      </c>
      <c r="C347" t="s">
        <v>55</v>
      </c>
      <c r="D347">
        <v>459.55</v>
      </c>
      <c r="E347" t="str">
        <f>VLOOKUP(C347,inf!$A$2:$B$7,2,FALSE)</f>
        <v>Current</v>
      </c>
      <c r="F347" t="str">
        <f t="shared" si="6"/>
        <v>02/15/2017</v>
      </c>
      <c r="G347" t="str">
        <f>VLOOKUP(A347,inf!$D$2:$E$76,2,FALSE)</f>
        <v>Other</v>
      </c>
    </row>
    <row r="348" spans="1:7" x14ac:dyDescent="0.25">
      <c r="A348" t="s">
        <v>25</v>
      </c>
      <c r="B348" s="1">
        <v>42781</v>
      </c>
      <c r="C348" t="s">
        <v>56</v>
      </c>
      <c r="D348">
        <v>120.1</v>
      </c>
      <c r="E348" t="str">
        <f>VLOOKUP(C348,inf!$A$2:$B$7,2,FALSE)</f>
        <v>Current</v>
      </c>
      <c r="F348" t="str">
        <f t="shared" si="6"/>
        <v>02/15/2017</v>
      </c>
      <c r="G348" t="str">
        <f>VLOOKUP(A348,inf!$D$2:$E$76,2,FALSE)</f>
        <v>Other</v>
      </c>
    </row>
    <row r="349" spans="1:7" x14ac:dyDescent="0.25">
      <c r="A349" t="s">
        <v>13</v>
      </c>
      <c r="B349" s="1">
        <v>42781</v>
      </c>
      <c r="C349" t="s">
        <v>60</v>
      </c>
      <c r="D349">
        <v>258.42</v>
      </c>
      <c r="E349" t="str">
        <f>VLOOKUP(C349,inf!$A$2:$B$7,2,FALSE)</f>
        <v>Over 90</v>
      </c>
      <c r="F349" t="str">
        <f t="shared" si="6"/>
        <v>02/15/2017</v>
      </c>
      <c r="G349" t="str">
        <f>VLOOKUP(A349,inf!$D$2:$E$76,2,FALSE)</f>
        <v>Other</v>
      </c>
    </row>
    <row r="350" spans="1:7" x14ac:dyDescent="0.25">
      <c r="A350" t="s">
        <v>31</v>
      </c>
      <c r="B350" s="1">
        <v>42781</v>
      </c>
      <c r="C350" t="s">
        <v>56</v>
      </c>
      <c r="D350">
        <v>229.7</v>
      </c>
      <c r="E350" t="str">
        <f>VLOOKUP(C350,inf!$A$2:$B$7,2,FALSE)</f>
        <v>Current</v>
      </c>
      <c r="F350" t="str">
        <f t="shared" si="6"/>
        <v>02/15/2017</v>
      </c>
      <c r="G350" t="str">
        <f>VLOOKUP(A350,inf!$D$2:$E$76,2,FALSE)</f>
        <v>Other</v>
      </c>
    </row>
    <row r="351" spans="1:7" x14ac:dyDescent="0.25">
      <c r="A351" t="s">
        <v>24</v>
      </c>
      <c r="B351" s="1">
        <v>42781</v>
      </c>
      <c r="C351" t="s">
        <v>55</v>
      </c>
      <c r="D351">
        <v>183.54</v>
      </c>
      <c r="E351" t="str">
        <f>VLOOKUP(C351,inf!$A$2:$B$7,2,FALSE)</f>
        <v>Current</v>
      </c>
      <c r="F351" t="str">
        <f t="shared" si="6"/>
        <v>02/15/2017</v>
      </c>
      <c r="G351" t="str">
        <f>VLOOKUP(A351,inf!$D$2:$E$76,2,FALSE)</f>
        <v>Other</v>
      </c>
    </row>
    <row r="352" spans="1:7" x14ac:dyDescent="0.25">
      <c r="A352" t="s">
        <v>21</v>
      </c>
      <c r="B352" s="1">
        <v>42781</v>
      </c>
      <c r="C352" t="s">
        <v>57</v>
      </c>
      <c r="D352">
        <v>365.84</v>
      </c>
      <c r="E352" t="str">
        <f>VLOOKUP(C352,inf!$A$2:$B$7,2,FALSE)</f>
        <v>31 to 60</v>
      </c>
      <c r="F352" t="str">
        <f t="shared" si="6"/>
        <v>02/15/2017</v>
      </c>
      <c r="G352" t="str">
        <f>VLOOKUP(A352,inf!$D$2:$E$76,2,FALSE)</f>
        <v>Other</v>
      </c>
    </row>
    <row r="353" spans="1:7" x14ac:dyDescent="0.25">
      <c r="A353" t="s">
        <v>3</v>
      </c>
      <c r="B353" s="1">
        <v>42781</v>
      </c>
      <c r="C353" t="s">
        <v>56</v>
      </c>
      <c r="D353">
        <v>3251.24</v>
      </c>
      <c r="E353" t="str">
        <f>VLOOKUP(C353,inf!$A$2:$B$7,2,FALSE)</f>
        <v>Current</v>
      </c>
      <c r="F353" t="str">
        <f t="shared" si="6"/>
        <v>02/15/2017</v>
      </c>
      <c r="G353" t="str">
        <f>VLOOKUP(A353,inf!$D$2:$E$76,2,FALSE)</f>
        <v>Other</v>
      </c>
    </row>
    <row r="354" spans="1:7" x14ac:dyDescent="0.25">
      <c r="A354" t="s">
        <v>3</v>
      </c>
      <c r="B354" s="1">
        <v>42781</v>
      </c>
      <c r="C354" t="s">
        <v>57</v>
      </c>
      <c r="D354">
        <v>2852.23</v>
      </c>
      <c r="E354" t="str">
        <f>VLOOKUP(C354,inf!$A$2:$B$7,2,FALSE)</f>
        <v>31 to 60</v>
      </c>
      <c r="F354" t="str">
        <f t="shared" si="6"/>
        <v>02/15/2017</v>
      </c>
      <c r="G354" t="str">
        <f>VLOOKUP(A354,inf!$D$2:$E$76,2,FALSE)</f>
        <v>Other</v>
      </c>
    </row>
    <row r="355" spans="1:7" x14ac:dyDescent="0.25">
      <c r="A355" t="s">
        <v>3</v>
      </c>
      <c r="B355" s="1">
        <v>42781</v>
      </c>
      <c r="C355" t="s">
        <v>55</v>
      </c>
      <c r="D355">
        <v>265.98</v>
      </c>
      <c r="E355" t="str">
        <f>VLOOKUP(C355,inf!$A$2:$B$7,2,FALSE)</f>
        <v>Current</v>
      </c>
      <c r="F355" t="str">
        <f t="shared" si="6"/>
        <v>02/15/2017</v>
      </c>
      <c r="G355" t="str">
        <f>VLOOKUP(A355,inf!$D$2:$E$76,2,FALSE)</f>
        <v>Other</v>
      </c>
    </row>
    <row r="356" spans="1:7" x14ac:dyDescent="0.25">
      <c r="A356" t="s">
        <v>30</v>
      </c>
      <c r="B356" s="1">
        <v>42781</v>
      </c>
      <c r="C356" t="s">
        <v>56</v>
      </c>
      <c r="D356">
        <v>610.83000000000004</v>
      </c>
      <c r="E356" t="str">
        <f>VLOOKUP(C356,inf!$A$2:$B$7,2,FALSE)</f>
        <v>Current</v>
      </c>
      <c r="F356" t="str">
        <f t="shared" si="6"/>
        <v>02/15/2017</v>
      </c>
      <c r="G356" t="str">
        <f>VLOOKUP(A356,inf!$D$2:$E$76,2,FALSE)</f>
        <v>Other</v>
      </c>
    </row>
    <row r="357" spans="1:7" x14ac:dyDescent="0.25">
      <c r="A357" t="s">
        <v>12</v>
      </c>
      <c r="B357" s="1">
        <v>42781</v>
      </c>
      <c r="C357" t="s">
        <v>60</v>
      </c>
      <c r="D357">
        <v>450.5</v>
      </c>
      <c r="E357" t="str">
        <f>VLOOKUP(C357,inf!$A$2:$B$7,2,FALSE)</f>
        <v>Over 90</v>
      </c>
      <c r="F357" t="str">
        <f t="shared" si="6"/>
        <v>02/15/2017</v>
      </c>
      <c r="G357" t="str">
        <f>VLOOKUP(A357,inf!$D$2:$E$76,2,FALSE)</f>
        <v>Other</v>
      </c>
    </row>
    <row r="358" spans="1:7" x14ac:dyDescent="0.25">
      <c r="A358" t="s">
        <v>9</v>
      </c>
      <c r="B358" s="1">
        <v>42781</v>
      </c>
      <c r="C358" t="s">
        <v>59</v>
      </c>
      <c r="D358">
        <v>599.03</v>
      </c>
      <c r="E358" t="str">
        <f>VLOOKUP(C358,inf!$A$2:$B$7,2,FALSE)</f>
        <v>Over 90</v>
      </c>
      <c r="F358" t="str">
        <f t="shared" si="6"/>
        <v>02/15/2017</v>
      </c>
      <c r="G358" t="str">
        <f>VLOOKUP(A358,inf!$D$2:$E$76,2,FALSE)</f>
        <v>Other</v>
      </c>
    </row>
    <row r="359" spans="1:7" x14ac:dyDescent="0.25">
      <c r="A359" t="s">
        <v>7</v>
      </c>
      <c r="B359" s="1">
        <v>42781</v>
      </c>
      <c r="C359" t="s">
        <v>55</v>
      </c>
      <c r="D359" s="5">
        <v>36939.499999999985</v>
      </c>
      <c r="E359" t="str">
        <f>VLOOKUP(C359,inf!$A$2:$B$7,2,FALSE)</f>
        <v>Current</v>
      </c>
      <c r="F359" t="str">
        <f t="shared" si="6"/>
        <v>02/15/2017</v>
      </c>
      <c r="G359" t="str">
        <f>VLOOKUP(A359,inf!$D$2:$E$76,2,FALSE)</f>
        <v>SAFEWAY</v>
      </c>
    </row>
    <row r="360" spans="1:7" x14ac:dyDescent="0.25">
      <c r="A360" t="s">
        <v>7</v>
      </c>
      <c r="B360" s="1">
        <v>42781</v>
      </c>
      <c r="C360" t="s">
        <v>56</v>
      </c>
      <c r="D360">
        <v>1855</v>
      </c>
      <c r="E360" t="str">
        <f>VLOOKUP(C360,inf!$A$2:$B$7,2,FALSE)</f>
        <v>Current</v>
      </c>
      <c r="F360" t="str">
        <f t="shared" si="6"/>
        <v>02/15/2017</v>
      </c>
      <c r="G360" t="str">
        <f>VLOOKUP(A360,inf!$D$2:$E$76,2,FALSE)</f>
        <v>SAFEWAY</v>
      </c>
    </row>
    <row r="361" spans="1:7" x14ac:dyDescent="0.25">
      <c r="A361" t="s">
        <v>7</v>
      </c>
      <c r="B361" s="1">
        <v>42781</v>
      </c>
      <c r="C361" t="s">
        <v>60</v>
      </c>
      <c r="D361">
        <v>631.72</v>
      </c>
      <c r="E361" t="str">
        <f>VLOOKUP(C361,inf!$A$2:$B$7,2,FALSE)</f>
        <v>Over 90</v>
      </c>
      <c r="F361" t="str">
        <f t="shared" si="6"/>
        <v>02/15/2017</v>
      </c>
      <c r="G361" t="str">
        <f>VLOOKUP(A361,inf!$D$2:$E$76,2,FALSE)</f>
        <v>SAFEWAY</v>
      </c>
    </row>
    <row r="362" spans="1:7" x14ac:dyDescent="0.25">
      <c r="A362" t="s">
        <v>7</v>
      </c>
      <c r="B362" s="1">
        <v>42781</v>
      </c>
      <c r="C362" t="s">
        <v>59</v>
      </c>
      <c r="D362">
        <v>7.92</v>
      </c>
      <c r="E362" t="str">
        <f>VLOOKUP(C362,inf!$A$2:$B$7,2,FALSE)</f>
        <v>Over 90</v>
      </c>
      <c r="F362" t="str">
        <f t="shared" si="6"/>
        <v>02/15/2017</v>
      </c>
      <c r="G362" t="str">
        <f>VLOOKUP(A362,inf!$D$2:$E$76,2,FALSE)</f>
        <v>SAFEWAY</v>
      </c>
    </row>
    <row r="363" spans="1:7" x14ac:dyDescent="0.25">
      <c r="A363" t="s">
        <v>5</v>
      </c>
      <c r="B363" s="1">
        <v>42781</v>
      </c>
      <c r="C363" t="s">
        <v>55</v>
      </c>
      <c r="D363">
        <v>4727297.6499999724</v>
      </c>
      <c r="E363" t="str">
        <f>VLOOKUP(C363,inf!$A$2:$B$7,2,FALSE)</f>
        <v>Current</v>
      </c>
      <c r="F363" t="str">
        <f t="shared" si="6"/>
        <v>02/15/2017</v>
      </c>
      <c r="G363" t="str">
        <f>VLOOKUP(A363,inf!$D$2:$E$76,2,FALSE)</f>
        <v>SBUX</v>
      </c>
    </row>
    <row r="364" spans="1:7" x14ac:dyDescent="0.25">
      <c r="A364" t="s">
        <v>5</v>
      </c>
      <c r="B364" s="1">
        <v>42781</v>
      </c>
      <c r="C364" t="s">
        <v>57</v>
      </c>
      <c r="D364" s="5">
        <v>86972.519999999902</v>
      </c>
      <c r="E364" t="str">
        <f>VLOOKUP(C364,inf!$A$2:$B$7,2,FALSE)</f>
        <v>31 to 60</v>
      </c>
      <c r="F364" t="str">
        <f t="shared" si="6"/>
        <v>02/15/2017</v>
      </c>
      <c r="G364" t="str">
        <f>VLOOKUP(A364,inf!$D$2:$E$76,2,FALSE)</f>
        <v>SBUX</v>
      </c>
    </row>
    <row r="365" spans="1:7" x14ac:dyDescent="0.25">
      <c r="A365" t="s">
        <v>5</v>
      </c>
      <c r="B365" s="1">
        <v>42781</v>
      </c>
      <c r="C365" t="s">
        <v>56</v>
      </c>
      <c r="D365">
        <v>75017.680000000022</v>
      </c>
      <c r="E365" t="str">
        <f>VLOOKUP(C365,inf!$A$2:$B$7,2,FALSE)</f>
        <v>Current</v>
      </c>
      <c r="F365" t="str">
        <f t="shared" si="6"/>
        <v>02/15/2017</v>
      </c>
      <c r="G365" t="str">
        <f>VLOOKUP(A365,inf!$D$2:$E$76,2,FALSE)</f>
        <v>SBUX</v>
      </c>
    </row>
    <row r="366" spans="1:7" x14ac:dyDescent="0.25">
      <c r="A366" t="s">
        <v>5</v>
      </c>
      <c r="B366" s="1">
        <v>42781</v>
      </c>
      <c r="C366" t="s">
        <v>60</v>
      </c>
      <c r="D366">
        <v>58956.459999999992</v>
      </c>
      <c r="E366" t="str">
        <f>VLOOKUP(C366,inf!$A$2:$B$7,2,FALSE)</f>
        <v>Over 90</v>
      </c>
      <c r="F366" t="str">
        <f t="shared" si="6"/>
        <v>02/15/2017</v>
      </c>
      <c r="G366" t="str">
        <f>VLOOKUP(A366,inf!$D$2:$E$76,2,FALSE)</f>
        <v>SBUX</v>
      </c>
    </row>
    <row r="367" spans="1:7" x14ac:dyDescent="0.25">
      <c r="A367" t="s">
        <v>5</v>
      </c>
      <c r="B367" s="1">
        <v>42781</v>
      </c>
      <c r="C367" t="s">
        <v>59</v>
      </c>
      <c r="D367">
        <v>10773.03</v>
      </c>
      <c r="E367" t="str">
        <f>VLOOKUP(C367,inf!$A$2:$B$7,2,FALSE)</f>
        <v>Over 90</v>
      </c>
      <c r="F367" t="str">
        <f t="shared" si="6"/>
        <v>02/15/2017</v>
      </c>
      <c r="G367" t="str">
        <f>VLOOKUP(A367,inf!$D$2:$E$76,2,FALSE)</f>
        <v>SBUX</v>
      </c>
    </row>
    <row r="368" spans="1:7" x14ac:dyDescent="0.25">
      <c r="A368" t="s">
        <v>5</v>
      </c>
      <c r="B368" s="1">
        <v>42781</v>
      </c>
      <c r="C368" t="s">
        <v>58</v>
      </c>
      <c r="D368">
        <v>2912.3</v>
      </c>
      <c r="E368" t="str">
        <f>VLOOKUP(C368,inf!$A$2:$B$7,2,FALSE)</f>
        <v>61 to 90</v>
      </c>
      <c r="F368" t="str">
        <f t="shared" si="6"/>
        <v>02/15/2017</v>
      </c>
      <c r="G368" t="str">
        <f>VLOOKUP(A368,inf!$D$2:$E$76,2,FALSE)</f>
        <v>SBUX</v>
      </c>
    </row>
    <row r="369" spans="1:7" x14ac:dyDescent="0.25">
      <c r="A369" t="s">
        <v>6</v>
      </c>
      <c r="B369" s="1">
        <v>42781</v>
      </c>
      <c r="C369" t="s">
        <v>55</v>
      </c>
      <c r="D369">
        <v>384707.16000000003</v>
      </c>
      <c r="E369" t="str">
        <f>VLOOKUP(C369,inf!$A$2:$B$7,2,FALSE)</f>
        <v>Current</v>
      </c>
      <c r="F369" t="str">
        <f t="shared" si="6"/>
        <v>02/15/2017</v>
      </c>
      <c r="G369" t="str">
        <f>VLOOKUP(A369,inf!$D$2:$E$76,2,FALSE)</f>
        <v>SBUX</v>
      </c>
    </row>
    <row r="370" spans="1:7" x14ac:dyDescent="0.25">
      <c r="A370" t="s">
        <v>6</v>
      </c>
      <c r="B370" s="1">
        <v>42781</v>
      </c>
      <c r="C370" t="s">
        <v>60</v>
      </c>
      <c r="D370">
        <v>6859.1399999999994</v>
      </c>
      <c r="E370" t="str">
        <f>VLOOKUP(C370,inf!$A$2:$B$7,2,FALSE)</f>
        <v>Over 90</v>
      </c>
      <c r="F370" t="str">
        <f t="shared" si="6"/>
        <v>02/15/2017</v>
      </c>
      <c r="G370" t="str">
        <f>VLOOKUP(A370,inf!$D$2:$E$76,2,FALSE)</f>
        <v>SBUX</v>
      </c>
    </row>
    <row r="371" spans="1:7" x14ac:dyDescent="0.25">
      <c r="A371" t="s">
        <v>6</v>
      </c>
      <c r="B371" s="1">
        <v>42781</v>
      </c>
      <c r="C371" t="s">
        <v>56</v>
      </c>
      <c r="D371">
        <v>2233.2800000000002</v>
      </c>
      <c r="E371" t="str">
        <f>VLOOKUP(C371,inf!$A$2:$B$7,2,FALSE)</f>
        <v>Current</v>
      </c>
      <c r="F371" t="str">
        <f t="shared" si="6"/>
        <v>02/15/2017</v>
      </c>
      <c r="G371" t="str">
        <f>VLOOKUP(A371,inf!$D$2:$E$76,2,FALSE)</f>
        <v>SBUX</v>
      </c>
    </row>
    <row r="372" spans="1:7" x14ac:dyDescent="0.25">
      <c r="A372" t="s">
        <v>6</v>
      </c>
      <c r="B372" s="1">
        <v>42781</v>
      </c>
      <c r="C372" t="s">
        <v>57</v>
      </c>
      <c r="D372">
        <v>966.64</v>
      </c>
      <c r="E372" t="str">
        <f>VLOOKUP(C372,inf!$A$2:$B$7,2,FALSE)</f>
        <v>31 to 60</v>
      </c>
      <c r="F372" t="str">
        <f t="shared" si="6"/>
        <v>02/15/2017</v>
      </c>
      <c r="G372" t="str">
        <f>VLOOKUP(A372,inf!$D$2:$E$76,2,FALSE)</f>
        <v>SBUX</v>
      </c>
    </row>
    <row r="373" spans="1:7" x14ac:dyDescent="0.25">
      <c r="A373" t="s">
        <v>6</v>
      </c>
      <c r="B373" s="1">
        <v>42781</v>
      </c>
      <c r="C373" t="s">
        <v>58</v>
      </c>
      <c r="D373">
        <v>192.1</v>
      </c>
      <c r="E373" t="str">
        <f>VLOOKUP(C373,inf!$A$2:$B$7,2,FALSE)</f>
        <v>61 to 90</v>
      </c>
      <c r="F373" t="str">
        <f t="shared" si="6"/>
        <v>02/15/2017</v>
      </c>
      <c r="G373" t="str">
        <f>VLOOKUP(A373,inf!$D$2:$E$76,2,FALSE)</f>
        <v>SBUX</v>
      </c>
    </row>
    <row r="374" spans="1:7" x14ac:dyDescent="0.25">
      <c r="A374" t="s">
        <v>8</v>
      </c>
      <c r="B374" s="1">
        <v>42781</v>
      </c>
      <c r="C374" t="s">
        <v>55</v>
      </c>
      <c r="D374">
        <v>502685.0299999995</v>
      </c>
      <c r="E374" t="str">
        <f>VLOOKUP(C374,inf!$A$2:$B$7,2,FALSE)</f>
        <v>Current</v>
      </c>
      <c r="F374" t="str">
        <f t="shared" si="6"/>
        <v>02/15/2017</v>
      </c>
      <c r="G374" t="str">
        <f>VLOOKUP(A374,inf!$D$2:$E$76,2,FALSE)</f>
        <v>Target</v>
      </c>
    </row>
    <row r="375" spans="1:7" x14ac:dyDescent="0.25">
      <c r="A375" t="s">
        <v>8</v>
      </c>
      <c r="B375" s="1">
        <v>42781</v>
      </c>
      <c r="C375" t="s">
        <v>60</v>
      </c>
      <c r="D375">
        <v>22826.590000000004</v>
      </c>
      <c r="E375" t="str">
        <f>VLOOKUP(C375,inf!$A$2:$B$7,2,FALSE)</f>
        <v>Over 90</v>
      </c>
      <c r="F375" t="str">
        <f t="shared" si="6"/>
        <v>02/15/2017</v>
      </c>
      <c r="G375" t="str">
        <f>VLOOKUP(A375,inf!$D$2:$E$76,2,FALSE)</f>
        <v>Target</v>
      </c>
    </row>
    <row r="376" spans="1:7" x14ac:dyDescent="0.25">
      <c r="A376" t="s">
        <v>8</v>
      </c>
      <c r="B376" s="1">
        <v>42781</v>
      </c>
      <c r="C376" t="s">
        <v>58</v>
      </c>
      <c r="D376">
        <v>1886.99</v>
      </c>
      <c r="E376" t="str">
        <f>VLOOKUP(C376,inf!$A$2:$B$7,2,FALSE)</f>
        <v>61 to 90</v>
      </c>
      <c r="F376" t="str">
        <f t="shared" si="6"/>
        <v>02/15/2017</v>
      </c>
      <c r="G376" t="str">
        <f>VLOOKUP(A376,inf!$D$2:$E$76,2,FALSE)</f>
        <v>Target</v>
      </c>
    </row>
    <row r="377" spans="1:7" x14ac:dyDescent="0.25">
      <c r="A377" t="s">
        <v>8</v>
      </c>
      <c r="B377" s="1">
        <v>42781</v>
      </c>
      <c r="C377" t="s">
        <v>59</v>
      </c>
      <c r="D377">
        <v>1670.4099999999999</v>
      </c>
      <c r="E377" t="str">
        <f>VLOOKUP(C377,inf!$A$2:$B$7,2,FALSE)</f>
        <v>Over 90</v>
      </c>
      <c r="F377" t="str">
        <f t="shared" si="6"/>
        <v>02/15/2017</v>
      </c>
      <c r="G377" t="str">
        <f>VLOOKUP(A377,inf!$D$2:$E$76,2,FALSE)</f>
        <v>Target</v>
      </c>
    </row>
    <row r="378" spans="1:7" x14ac:dyDescent="0.25">
      <c r="A378" t="s">
        <v>8</v>
      </c>
      <c r="B378" s="1">
        <v>42781</v>
      </c>
      <c r="C378" t="s">
        <v>57</v>
      </c>
      <c r="D378">
        <v>952.49</v>
      </c>
      <c r="E378" t="str">
        <f>VLOOKUP(C378,inf!$A$2:$B$7,2,FALSE)</f>
        <v>31 to 60</v>
      </c>
      <c r="F378" t="str">
        <f t="shared" si="6"/>
        <v>02/15/2017</v>
      </c>
      <c r="G378" t="str">
        <f>VLOOKUP(A378,inf!$D$2:$E$76,2,FALSE)</f>
        <v>Target</v>
      </c>
    </row>
    <row r="379" spans="1:7" x14ac:dyDescent="0.25">
      <c r="A379" t="s">
        <v>8</v>
      </c>
      <c r="B379" s="1">
        <v>42781</v>
      </c>
      <c r="C379" t="s">
        <v>56</v>
      </c>
      <c r="D379">
        <v>172.28</v>
      </c>
      <c r="E379" t="str">
        <f>VLOOKUP(C379,inf!$A$2:$B$7,2,FALSE)</f>
        <v>Current</v>
      </c>
      <c r="F379" t="str">
        <f t="shared" si="6"/>
        <v>02/15/2017</v>
      </c>
      <c r="G379" t="str">
        <f>VLOOKUP(A379,inf!$D$2:$E$76,2,FALSE)</f>
        <v>Target</v>
      </c>
    </row>
    <row r="380" spans="1:7" x14ac:dyDescent="0.25">
      <c r="A380" t="s">
        <v>54</v>
      </c>
      <c r="B380" s="1">
        <v>42781</v>
      </c>
      <c r="C380" t="s">
        <v>56</v>
      </c>
      <c r="D380">
        <v>1687.8300000000002</v>
      </c>
      <c r="E380" t="str">
        <f>VLOOKUP(C380,inf!$A$2:$B$7,2,FALSE)</f>
        <v>Current</v>
      </c>
      <c r="F380" t="str">
        <f t="shared" si="6"/>
        <v>02/15/2017</v>
      </c>
      <c r="G380" t="str">
        <f>VLOOKUP(A380,inf!$D$2:$E$76,2,FALSE)</f>
        <v>Other</v>
      </c>
    </row>
    <row r="381" spans="1:7" x14ac:dyDescent="0.25">
      <c r="A381" t="s">
        <v>54</v>
      </c>
      <c r="B381" s="1">
        <v>42781</v>
      </c>
      <c r="C381" t="s">
        <v>55</v>
      </c>
      <c r="D381">
        <v>727.68</v>
      </c>
      <c r="E381" t="str">
        <f>VLOOKUP(C381,inf!$A$2:$B$7,2,FALSE)</f>
        <v>Current</v>
      </c>
      <c r="F381" t="str">
        <f t="shared" si="6"/>
        <v>02/15/2017</v>
      </c>
      <c r="G381" t="str">
        <f>VLOOKUP(A381,inf!$D$2:$E$76,2,FALSE)</f>
        <v>Other</v>
      </c>
    </row>
    <row r="382" spans="1:7" x14ac:dyDescent="0.25">
      <c r="A382" t="s">
        <v>54</v>
      </c>
      <c r="B382" s="1">
        <v>42781</v>
      </c>
      <c r="C382" t="s">
        <v>57</v>
      </c>
      <c r="D382">
        <v>229.7</v>
      </c>
      <c r="E382" t="str">
        <f>VLOOKUP(C382,inf!$A$2:$B$7,2,FALSE)</f>
        <v>31 to 60</v>
      </c>
      <c r="F382" t="str">
        <f t="shared" si="6"/>
        <v>02/15/2017</v>
      </c>
      <c r="G382" t="str">
        <f>VLOOKUP(A382,inf!$D$2:$E$76,2,FALSE)</f>
        <v>Other</v>
      </c>
    </row>
    <row r="383" spans="1:7" x14ac:dyDescent="0.25">
      <c r="A383" t="s">
        <v>15</v>
      </c>
      <c r="B383" s="1">
        <v>42781</v>
      </c>
      <c r="C383" t="s">
        <v>55</v>
      </c>
      <c r="D383">
        <v>346.64</v>
      </c>
      <c r="E383" t="str">
        <f>VLOOKUP(C383,inf!$A$2:$B$7,2,FALSE)</f>
        <v>Current</v>
      </c>
      <c r="F383" t="str">
        <f t="shared" si="6"/>
        <v>02/15/2017</v>
      </c>
      <c r="G383" t="str">
        <f>VLOOKUP(A383,inf!$D$2:$E$76,2,FALSE)</f>
        <v>Other</v>
      </c>
    </row>
    <row r="384" spans="1:7" x14ac:dyDescent="0.25">
      <c r="A384" t="s">
        <v>15</v>
      </c>
      <c r="B384" s="1">
        <v>42781</v>
      </c>
      <c r="C384" t="s">
        <v>56</v>
      </c>
      <c r="D384">
        <v>126.05</v>
      </c>
      <c r="E384" t="str">
        <f>VLOOKUP(C384,inf!$A$2:$B$7,2,FALSE)</f>
        <v>Current</v>
      </c>
      <c r="F384" t="str">
        <f t="shared" si="6"/>
        <v>02/15/2017</v>
      </c>
      <c r="G384" t="str">
        <f>VLOOKUP(A384,inf!$D$2:$E$76,2,FALSE)</f>
        <v>Other</v>
      </c>
    </row>
    <row r="385" spans="1:7" x14ac:dyDescent="0.25">
      <c r="A385" t="s">
        <v>4</v>
      </c>
      <c r="B385" s="1">
        <v>42788</v>
      </c>
      <c r="C385" t="s">
        <v>55</v>
      </c>
      <c r="D385">
        <v>1943.3100000000002</v>
      </c>
      <c r="E385" t="str">
        <f>VLOOKUP(C385,inf!$A$2:$B$7,2,FALSE)</f>
        <v>Current</v>
      </c>
      <c r="F385" t="str">
        <f t="shared" si="6"/>
        <v>02/22/2017</v>
      </c>
      <c r="G385" t="str">
        <f>VLOOKUP(A385,inf!$D$2:$E$76,2,FALSE)</f>
        <v>Other</v>
      </c>
    </row>
    <row r="386" spans="1:7" x14ac:dyDescent="0.25">
      <c r="A386" t="s">
        <v>4</v>
      </c>
      <c r="B386" s="1">
        <v>42788</v>
      </c>
      <c r="C386" t="s">
        <v>56</v>
      </c>
      <c r="D386">
        <v>638.79</v>
      </c>
      <c r="E386" t="str">
        <f>VLOOKUP(C386,inf!$A$2:$B$7,2,FALSE)</f>
        <v>Current</v>
      </c>
      <c r="F386" t="str">
        <f t="shared" si="6"/>
        <v>02/22/2017</v>
      </c>
      <c r="G386" t="str">
        <f>VLOOKUP(A386,inf!$D$2:$E$76,2,FALSE)</f>
        <v>Other</v>
      </c>
    </row>
    <row r="387" spans="1:7" x14ac:dyDescent="0.25">
      <c r="A387" t="s">
        <v>26</v>
      </c>
      <c r="B387" s="1">
        <v>42788</v>
      </c>
      <c r="C387" t="s">
        <v>60</v>
      </c>
      <c r="D387">
        <v>1380.77</v>
      </c>
      <c r="E387" t="str">
        <f>VLOOKUP(C387,inf!$A$2:$B$7,2,FALSE)</f>
        <v>Over 90</v>
      </c>
      <c r="F387" t="str">
        <f t="shared" ref="F387:F450" si="7">TEXT(B387,"MM/DD/YYYY")</f>
        <v>02/22/2017</v>
      </c>
      <c r="G387" t="str">
        <f>VLOOKUP(A387,inf!$D$2:$E$76,2,FALSE)</f>
        <v>Other</v>
      </c>
    </row>
    <row r="388" spans="1:7" x14ac:dyDescent="0.25">
      <c r="A388" t="s">
        <v>2</v>
      </c>
      <c r="B388" s="1">
        <v>42788</v>
      </c>
      <c r="C388" t="s">
        <v>60</v>
      </c>
      <c r="D388">
        <v>3717.8600000000006</v>
      </c>
      <c r="E388" t="str">
        <f>VLOOKUP(C388,inf!$A$2:$B$7,2,FALSE)</f>
        <v>Over 90</v>
      </c>
      <c r="F388" t="str">
        <f t="shared" si="7"/>
        <v>02/22/2017</v>
      </c>
      <c r="G388" t="str">
        <f>VLOOKUP(A388,inf!$D$2:$E$76,2,FALSE)</f>
        <v>Other</v>
      </c>
    </row>
    <row r="389" spans="1:7" x14ac:dyDescent="0.25">
      <c r="A389" t="s">
        <v>1</v>
      </c>
      <c r="B389" s="1">
        <v>42788</v>
      </c>
      <c r="C389" t="s">
        <v>58</v>
      </c>
      <c r="D389">
        <v>-850</v>
      </c>
      <c r="E389" t="str">
        <f>VLOOKUP(C389,inf!$A$2:$B$7,2,FALSE)</f>
        <v>61 to 90</v>
      </c>
      <c r="F389" t="str">
        <f t="shared" si="7"/>
        <v>02/22/2017</v>
      </c>
      <c r="G389" t="str">
        <f>VLOOKUP(A389,inf!$D$2:$E$76,2,FALSE)</f>
        <v>Other</v>
      </c>
    </row>
    <row r="390" spans="1:7" x14ac:dyDescent="0.25">
      <c r="A390" t="s">
        <v>1</v>
      </c>
      <c r="B390" s="1">
        <v>42788</v>
      </c>
      <c r="C390" t="s">
        <v>60</v>
      </c>
      <c r="D390">
        <v>-3117.63</v>
      </c>
      <c r="E390" t="str">
        <f>VLOOKUP(C390,inf!$A$2:$B$7,2,FALSE)</f>
        <v>Over 90</v>
      </c>
      <c r="F390" t="str">
        <f t="shared" si="7"/>
        <v>02/22/2017</v>
      </c>
      <c r="G390" t="str">
        <f>VLOOKUP(A390,inf!$D$2:$E$76,2,FALSE)</f>
        <v>Other</v>
      </c>
    </row>
    <row r="391" spans="1:7" x14ac:dyDescent="0.25">
      <c r="A391" t="s">
        <v>11</v>
      </c>
      <c r="B391" s="1">
        <v>42788</v>
      </c>
      <c r="C391" t="s">
        <v>59</v>
      </c>
      <c r="D391">
        <v>448.76</v>
      </c>
      <c r="E391" t="str">
        <f>VLOOKUP(C391,inf!$A$2:$B$7,2,FALSE)</f>
        <v>Over 90</v>
      </c>
      <c r="F391" t="str">
        <f t="shared" si="7"/>
        <v>02/22/2017</v>
      </c>
      <c r="G391" t="str">
        <f>VLOOKUP(A391,inf!$D$2:$E$76,2,FALSE)</f>
        <v>Other</v>
      </c>
    </row>
    <row r="392" spans="1:7" x14ac:dyDescent="0.25">
      <c r="A392" t="s">
        <v>19</v>
      </c>
      <c r="B392" s="1">
        <v>42788</v>
      </c>
      <c r="C392" t="s">
        <v>55</v>
      </c>
      <c r="D392">
        <v>114.85</v>
      </c>
      <c r="E392" t="str">
        <f>VLOOKUP(C392,inf!$A$2:$B$7,2,FALSE)</f>
        <v>Current</v>
      </c>
      <c r="F392" t="str">
        <f t="shared" si="7"/>
        <v>02/22/2017</v>
      </c>
      <c r="G392" t="str">
        <f>VLOOKUP(A392,inf!$D$2:$E$76,2,FALSE)</f>
        <v>Other</v>
      </c>
    </row>
    <row r="393" spans="1:7" x14ac:dyDescent="0.25">
      <c r="A393" t="s">
        <v>25</v>
      </c>
      <c r="B393" s="1">
        <v>42788</v>
      </c>
      <c r="C393" t="s">
        <v>56</v>
      </c>
      <c r="D393">
        <v>120.1</v>
      </c>
      <c r="E393" t="str">
        <f>VLOOKUP(C393,inf!$A$2:$B$7,2,FALSE)</f>
        <v>Current</v>
      </c>
      <c r="F393" t="str">
        <f t="shared" si="7"/>
        <v>02/22/2017</v>
      </c>
      <c r="G393" t="str">
        <f>VLOOKUP(A393,inf!$D$2:$E$76,2,FALSE)</f>
        <v>Other</v>
      </c>
    </row>
    <row r="394" spans="1:7" x14ac:dyDescent="0.25">
      <c r="A394" t="s">
        <v>24</v>
      </c>
      <c r="B394" s="1">
        <v>42788</v>
      </c>
      <c r="C394" t="s">
        <v>55</v>
      </c>
      <c r="D394">
        <v>298.39</v>
      </c>
      <c r="E394" t="str">
        <f>VLOOKUP(C394,inf!$A$2:$B$7,2,FALSE)</f>
        <v>Current</v>
      </c>
      <c r="F394" t="str">
        <f t="shared" si="7"/>
        <v>02/22/2017</v>
      </c>
      <c r="G394" t="str">
        <f>VLOOKUP(A394,inf!$D$2:$E$76,2,FALSE)</f>
        <v>Other</v>
      </c>
    </row>
    <row r="395" spans="1:7" x14ac:dyDescent="0.25">
      <c r="A395" t="s">
        <v>18</v>
      </c>
      <c r="B395" s="1">
        <v>42788</v>
      </c>
      <c r="C395" t="s">
        <v>55</v>
      </c>
      <c r="D395">
        <v>248.85</v>
      </c>
      <c r="E395" t="str">
        <f>VLOOKUP(C395,inf!$A$2:$B$7,2,FALSE)</f>
        <v>Current</v>
      </c>
      <c r="F395" t="str">
        <f t="shared" si="7"/>
        <v>02/22/2017</v>
      </c>
      <c r="G395" t="str">
        <f>VLOOKUP(A395,inf!$D$2:$E$76,2,FALSE)</f>
        <v>Other</v>
      </c>
    </row>
    <row r="396" spans="1:7" x14ac:dyDescent="0.25">
      <c r="A396" t="s">
        <v>27</v>
      </c>
      <c r="B396" s="1">
        <v>42788</v>
      </c>
      <c r="C396" t="s">
        <v>55</v>
      </c>
      <c r="D396">
        <v>2593.1899999999996</v>
      </c>
      <c r="E396" t="str">
        <f>VLOOKUP(C396,inf!$A$2:$B$7,2,FALSE)</f>
        <v>Current</v>
      </c>
      <c r="F396" t="str">
        <f t="shared" si="7"/>
        <v>02/22/2017</v>
      </c>
      <c r="G396" t="str">
        <f>VLOOKUP(A396,inf!$D$2:$E$76,2,FALSE)</f>
        <v>Other</v>
      </c>
    </row>
    <row r="397" spans="1:7" x14ac:dyDescent="0.25">
      <c r="A397" t="s">
        <v>62</v>
      </c>
      <c r="B397" s="1">
        <v>42788</v>
      </c>
      <c r="C397" t="s">
        <v>55</v>
      </c>
      <c r="D397">
        <v>631.25</v>
      </c>
      <c r="E397" t="str">
        <f>VLOOKUP(C397,inf!$A$2:$B$7,2,FALSE)</f>
        <v>Current</v>
      </c>
      <c r="F397" t="str">
        <f t="shared" si="7"/>
        <v>02/22/2017</v>
      </c>
      <c r="G397" t="str">
        <f>VLOOKUP(A397,inf!$D$2:$E$76,2,FALSE)</f>
        <v>Other</v>
      </c>
    </row>
    <row r="398" spans="1:7" x14ac:dyDescent="0.25">
      <c r="A398" t="s">
        <v>21</v>
      </c>
      <c r="B398" s="1">
        <v>42788</v>
      </c>
      <c r="C398" t="s">
        <v>55</v>
      </c>
      <c r="D398">
        <v>3532.48</v>
      </c>
      <c r="E398" t="str">
        <f>VLOOKUP(C398,inf!$A$2:$B$7,2,FALSE)</f>
        <v>Current</v>
      </c>
      <c r="F398" t="str">
        <f t="shared" si="7"/>
        <v>02/22/2017</v>
      </c>
      <c r="G398" t="str">
        <f>VLOOKUP(A398,inf!$D$2:$E$76,2,FALSE)</f>
        <v>Other</v>
      </c>
    </row>
    <row r="399" spans="1:7" x14ac:dyDescent="0.25">
      <c r="A399" t="s">
        <v>21</v>
      </c>
      <c r="B399" s="1">
        <v>42788</v>
      </c>
      <c r="C399" t="s">
        <v>57</v>
      </c>
      <c r="D399">
        <v>365.84</v>
      </c>
      <c r="E399" t="str">
        <f>VLOOKUP(C399,inf!$A$2:$B$7,2,FALSE)</f>
        <v>31 to 60</v>
      </c>
      <c r="F399" t="str">
        <f t="shared" si="7"/>
        <v>02/22/2017</v>
      </c>
      <c r="G399" t="str">
        <f>VLOOKUP(A399,inf!$D$2:$E$76,2,FALSE)</f>
        <v>Other</v>
      </c>
    </row>
    <row r="400" spans="1:7" x14ac:dyDescent="0.25">
      <c r="A400" t="s">
        <v>3</v>
      </c>
      <c r="B400" s="1">
        <v>42788</v>
      </c>
      <c r="C400" t="s">
        <v>57</v>
      </c>
      <c r="D400">
        <v>2852.23</v>
      </c>
      <c r="E400" t="str">
        <f>VLOOKUP(C400,inf!$A$2:$B$7,2,FALSE)</f>
        <v>31 to 60</v>
      </c>
      <c r="F400" t="str">
        <f t="shared" si="7"/>
        <v>02/22/2017</v>
      </c>
      <c r="G400" t="str">
        <f>VLOOKUP(A400,inf!$D$2:$E$76,2,FALSE)</f>
        <v>Other</v>
      </c>
    </row>
    <row r="401" spans="1:7" x14ac:dyDescent="0.25">
      <c r="A401" t="s">
        <v>3</v>
      </c>
      <c r="B401" s="1">
        <v>42788</v>
      </c>
      <c r="C401" t="s">
        <v>56</v>
      </c>
      <c r="D401">
        <v>2510.4999999999995</v>
      </c>
      <c r="E401" t="str">
        <f>VLOOKUP(C401,inf!$A$2:$B$7,2,FALSE)</f>
        <v>Current</v>
      </c>
      <c r="F401" t="str">
        <f t="shared" si="7"/>
        <v>02/22/2017</v>
      </c>
      <c r="G401" t="str">
        <f>VLOOKUP(A401,inf!$D$2:$E$76,2,FALSE)</f>
        <v>Other</v>
      </c>
    </row>
    <row r="402" spans="1:7" x14ac:dyDescent="0.25">
      <c r="A402" t="s">
        <v>3</v>
      </c>
      <c r="B402" s="1">
        <v>42788</v>
      </c>
      <c r="C402" t="s">
        <v>55</v>
      </c>
      <c r="D402">
        <v>1931.3500000000006</v>
      </c>
      <c r="E402" t="str">
        <f>VLOOKUP(C402,inf!$A$2:$B$7,2,FALSE)</f>
        <v>Current</v>
      </c>
      <c r="F402" t="str">
        <f t="shared" si="7"/>
        <v>02/22/2017</v>
      </c>
      <c r="G402" t="str">
        <f>VLOOKUP(A402,inf!$D$2:$E$76,2,FALSE)</f>
        <v>Other</v>
      </c>
    </row>
    <row r="403" spans="1:7" x14ac:dyDescent="0.25">
      <c r="A403" t="s">
        <v>30</v>
      </c>
      <c r="B403" s="1">
        <v>42788</v>
      </c>
      <c r="C403" t="s">
        <v>55</v>
      </c>
      <c r="D403">
        <v>2732.08</v>
      </c>
      <c r="E403" t="str">
        <f>VLOOKUP(C403,inf!$A$2:$B$7,2,FALSE)</f>
        <v>Current</v>
      </c>
      <c r="F403" t="str">
        <f t="shared" si="7"/>
        <v>02/22/2017</v>
      </c>
      <c r="G403" t="str">
        <f>VLOOKUP(A403,inf!$D$2:$E$76,2,FALSE)</f>
        <v>Other</v>
      </c>
    </row>
    <row r="404" spans="1:7" x14ac:dyDescent="0.25">
      <c r="A404" t="s">
        <v>30</v>
      </c>
      <c r="B404" s="1">
        <v>42788</v>
      </c>
      <c r="C404" t="s">
        <v>56</v>
      </c>
      <c r="D404">
        <v>610.83000000000004</v>
      </c>
      <c r="E404" t="str">
        <f>VLOOKUP(C404,inf!$A$2:$B$7,2,FALSE)</f>
        <v>Current</v>
      </c>
      <c r="F404" t="str">
        <f t="shared" si="7"/>
        <v>02/22/2017</v>
      </c>
      <c r="G404" t="str">
        <f>VLOOKUP(A404,inf!$D$2:$E$76,2,FALSE)</f>
        <v>Other</v>
      </c>
    </row>
    <row r="405" spans="1:7" x14ac:dyDescent="0.25">
      <c r="A405" t="s">
        <v>12</v>
      </c>
      <c r="B405" s="1">
        <v>42788</v>
      </c>
      <c r="C405" t="s">
        <v>60</v>
      </c>
      <c r="D405">
        <v>450.5</v>
      </c>
      <c r="E405" t="str">
        <f>VLOOKUP(C405,inf!$A$2:$B$7,2,FALSE)</f>
        <v>Over 90</v>
      </c>
      <c r="F405" t="str">
        <f t="shared" si="7"/>
        <v>02/22/2017</v>
      </c>
      <c r="G405" t="str">
        <f>VLOOKUP(A405,inf!$D$2:$E$76,2,FALSE)</f>
        <v>Other</v>
      </c>
    </row>
    <row r="406" spans="1:7" x14ac:dyDescent="0.25">
      <c r="A406" t="s">
        <v>12</v>
      </c>
      <c r="B406" s="1">
        <v>42788</v>
      </c>
      <c r="C406" t="s">
        <v>55</v>
      </c>
      <c r="D406">
        <v>260</v>
      </c>
      <c r="E406" t="str">
        <f>VLOOKUP(C406,inf!$A$2:$B$7,2,FALSE)</f>
        <v>Current</v>
      </c>
      <c r="F406" t="str">
        <f t="shared" si="7"/>
        <v>02/22/2017</v>
      </c>
      <c r="G406" t="str">
        <f>VLOOKUP(A406,inf!$D$2:$E$76,2,FALSE)</f>
        <v>Other</v>
      </c>
    </row>
    <row r="407" spans="1:7" x14ac:dyDescent="0.25">
      <c r="A407" t="s">
        <v>7</v>
      </c>
      <c r="B407" s="1">
        <v>42788</v>
      </c>
      <c r="C407" t="s">
        <v>55</v>
      </c>
      <c r="D407">
        <v>43197.559999999961</v>
      </c>
      <c r="E407" t="str">
        <f>VLOOKUP(C407,inf!$A$2:$B$7,2,FALSE)</f>
        <v>Current</v>
      </c>
      <c r="F407" t="str">
        <f t="shared" si="7"/>
        <v>02/22/2017</v>
      </c>
      <c r="G407" t="str">
        <f>VLOOKUP(A407,inf!$D$2:$E$76,2,FALSE)</f>
        <v>SAFEWAY</v>
      </c>
    </row>
    <row r="408" spans="1:7" x14ac:dyDescent="0.25">
      <c r="A408" t="s">
        <v>7</v>
      </c>
      <c r="B408" s="1">
        <v>42788</v>
      </c>
      <c r="C408" t="s">
        <v>60</v>
      </c>
      <c r="D408">
        <v>631.72</v>
      </c>
      <c r="E408" t="str">
        <f>VLOOKUP(C408,inf!$A$2:$B$7,2,FALSE)</f>
        <v>Over 90</v>
      </c>
      <c r="F408" t="str">
        <f t="shared" si="7"/>
        <v>02/22/2017</v>
      </c>
      <c r="G408" t="str">
        <f>VLOOKUP(A408,inf!$D$2:$E$76,2,FALSE)</f>
        <v>SAFEWAY</v>
      </c>
    </row>
    <row r="409" spans="1:7" x14ac:dyDescent="0.25">
      <c r="A409" t="s">
        <v>7</v>
      </c>
      <c r="B409" s="1">
        <v>42788</v>
      </c>
      <c r="C409" t="s">
        <v>56</v>
      </c>
      <c r="D409">
        <v>602.26</v>
      </c>
      <c r="E409" t="str">
        <f>VLOOKUP(C409,inf!$A$2:$B$7,2,FALSE)</f>
        <v>Current</v>
      </c>
      <c r="F409" t="str">
        <f t="shared" si="7"/>
        <v>02/22/2017</v>
      </c>
      <c r="G409" t="str">
        <f>VLOOKUP(A409,inf!$D$2:$E$76,2,FALSE)</f>
        <v>SAFEWAY</v>
      </c>
    </row>
    <row r="410" spans="1:7" x14ac:dyDescent="0.25">
      <c r="A410" t="s">
        <v>7</v>
      </c>
      <c r="B410" s="1">
        <v>42788</v>
      </c>
      <c r="C410" t="s">
        <v>57</v>
      </c>
      <c r="D410">
        <v>264.52999999999997</v>
      </c>
      <c r="E410" t="str">
        <f>VLOOKUP(C410,inf!$A$2:$B$7,2,FALSE)</f>
        <v>31 to 60</v>
      </c>
      <c r="F410" t="str">
        <f t="shared" si="7"/>
        <v>02/22/2017</v>
      </c>
      <c r="G410" t="str">
        <f>VLOOKUP(A410,inf!$D$2:$E$76,2,FALSE)</f>
        <v>SAFEWAY</v>
      </c>
    </row>
    <row r="411" spans="1:7" x14ac:dyDescent="0.25">
      <c r="A411" t="s">
        <v>7</v>
      </c>
      <c r="B411" s="1">
        <v>42788</v>
      </c>
      <c r="C411" t="s">
        <v>59</v>
      </c>
      <c r="D411">
        <v>7.92</v>
      </c>
      <c r="E411" t="str">
        <f>VLOOKUP(C411,inf!$A$2:$B$7,2,FALSE)</f>
        <v>Over 90</v>
      </c>
      <c r="F411" t="str">
        <f t="shared" si="7"/>
        <v>02/22/2017</v>
      </c>
      <c r="G411" t="str">
        <f>VLOOKUP(A411,inf!$D$2:$E$76,2,FALSE)</f>
        <v>SAFEWAY</v>
      </c>
    </row>
    <row r="412" spans="1:7" x14ac:dyDescent="0.25">
      <c r="A412" t="s">
        <v>5</v>
      </c>
      <c r="B412" s="1">
        <v>42788</v>
      </c>
      <c r="C412" t="s">
        <v>55</v>
      </c>
      <c r="D412" s="5">
        <v>4301201.4900000328</v>
      </c>
      <c r="E412" t="str">
        <f>VLOOKUP(C412,inf!$A$2:$B$7,2,FALSE)</f>
        <v>Current</v>
      </c>
      <c r="F412" t="str">
        <f t="shared" si="7"/>
        <v>02/22/2017</v>
      </c>
      <c r="G412" t="str">
        <f>VLOOKUP(A412,inf!$D$2:$E$76,2,FALSE)</f>
        <v>SBUX</v>
      </c>
    </row>
    <row r="413" spans="1:7" x14ac:dyDescent="0.25">
      <c r="A413" t="s">
        <v>5</v>
      </c>
      <c r="B413" s="1">
        <v>42788</v>
      </c>
      <c r="C413" t="s">
        <v>60</v>
      </c>
      <c r="D413">
        <v>63105.419999999991</v>
      </c>
      <c r="E413" t="str">
        <f>VLOOKUP(C413,inf!$A$2:$B$7,2,FALSE)</f>
        <v>Over 90</v>
      </c>
      <c r="F413" t="str">
        <f t="shared" si="7"/>
        <v>02/22/2017</v>
      </c>
      <c r="G413" t="str">
        <f>VLOOKUP(A413,inf!$D$2:$E$76,2,FALSE)</f>
        <v>SBUX</v>
      </c>
    </row>
    <row r="414" spans="1:7" x14ac:dyDescent="0.25">
      <c r="A414" t="s">
        <v>5</v>
      </c>
      <c r="B414" s="1">
        <v>42788</v>
      </c>
      <c r="C414" t="s">
        <v>57</v>
      </c>
      <c r="D414">
        <v>35572.070000000007</v>
      </c>
      <c r="E414" t="str">
        <f>VLOOKUP(C414,inf!$A$2:$B$7,2,FALSE)</f>
        <v>31 to 60</v>
      </c>
      <c r="F414" t="str">
        <f t="shared" si="7"/>
        <v>02/22/2017</v>
      </c>
      <c r="G414" t="str">
        <f>VLOOKUP(A414,inf!$D$2:$E$76,2,FALSE)</f>
        <v>SBUX</v>
      </c>
    </row>
    <row r="415" spans="1:7" x14ac:dyDescent="0.25">
      <c r="A415" t="s">
        <v>5</v>
      </c>
      <c r="B415" s="1">
        <v>42788</v>
      </c>
      <c r="C415" t="s">
        <v>56</v>
      </c>
      <c r="D415">
        <v>8877.16</v>
      </c>
      <c r="E415" t="str">
        <f>VLOOKUP(C415,inf!$A$2:$B$7,2,FALSE)</f>
        <v>Current</v>
      </c>
      <c r="F415" t="str">
        <f t="shared" si="7"/>
        <v>02/22/2017</v>
      </c>
      <c r="G415" t="str">
        <f>VLOOKUP(A415,inf!$D$2:$E$76,2,FALSE)</f>
        <v>SBUX</v>
      </c>
    </row>
    <row r="416" spans="1:7" x14ac:dyDescent="0.25">
      <c r="A416" t="s">
        <v>5</v>
      </c>
      <c r="B416" s="1">
        <v>42788</v>
      </c>
      <c r="C416" t="s">
        <v>59</v>
      </c>
      <c r="D416">
        <v>7067.9</v>
      </c>
      <c r="E416" t="str">
        <f>VLOOKUP(C416,inf!$A$2:$B$7,2,FALSE)</f>
        <v>Over 90</v>
      </c>
      <c r="F416" t="str">
        <f t="shared" si="7"/>
        <v>02/22/2017</v>
      </c>
      <c r="G416" t="str">
        <f>VLOOKUP(A416,inf!$D$2:$E$76,2,FALSE)</f>
        <v>SBUX</v>
      </c>
    </row>
    <row r="417" spans="1:7" x14ac:dyDescent="0.25">
      <c r="A417" t="s">
        <v>5</v>
      </c>
      <c r="B417" s="1">
        <v>42788</v>
      </c>
      <c r="C417" t="s">
        <v>58</v>
      </c>
      <c r="D417">
        <v>2468.4700000000003</v>
      </c>
      <c r="E417" t="str">
        <f>VLOOKUP(C417,inf!$A$2:$B$7,2,FALSE)</f>
        <v>61 to 90</v>
      </c>
      <c r="F417" t="str">
        <f t="shared" si="7"/>
        <v>02/22/2017</v>
      </c>
      <c r="G417" t="str">
        <f>VLOOKUP(A417,inf!$D$2:$E$76,2,FALSE)</f>
        <v>SBUX</v>
      </c>
    </row>
    <row r="418" spans="1:7" x14ac:dyDescent="0.25">
      <c r="A418" t="s">
        <v>6</v>
      </c>
      <c r="B418" s="1">
        <v>42788</v>
      </c>
      <c r="C418" t="s">
        <v>55</v>
      </c>
      <c r="D418">
        <v>448926.20000000024</v>
      </c>
      <c r="E418" t="str">
        <f>VLOOKUP(C418,inf!$A$2:$B$7,2,FALSE)</f>
        <v>Current</v>
      </c>
      <c r="F418" t="str">
        <f t="shared" si="7"/>
        <v>02/22/2017</v>
      </c>
      <c r="G418" t="str">
        <f>VLOOKUP(A418,inf!$D$2:$E$76,2,FALSE)</f>
        <v>SBUX</v>
      </c>
    </row>
    <row r="419" spans="1:7" x14ac:dyDescent="0.25">
      <c r="A419" t="s">
        <v>6</v>
      </c>
      <c r="B419" s="1">
        <v>42788</v>
      </c>
      <c r="C419" t="s">
        <v>60</v>
      </c>
      <c r="D419">
        <v>6859.1399999999994</v>
      </c>
      <c r="E419" t="str">
        <f>VLOOKUP(C419,inf!$A$2:$B$7,2,FALSE)</f>
        <v>Over 90</v>
      </c>
      <c r="F419" t="str">
        <f t="shared" si="7"/>
        <v>02/22/2017</v>
      </c>
      <c r="G419" t="str">
        <f>VLOOKUP(A419,inf!$D$2:$E$76,2,FALSE)</f>
        <v>SBUX</v>
      </c>
    </row>
    <row r="420" spans="1:7" x14ac:dyDescent="0.25">
      <c r="A420" t="s">
        <v>6</v>
      </c>
      <c r="B420" s="1">
        <v>42788</v>
      </c>
      <c r="C420" t="s">
        <v>57</v>
      </c>
      <c r="D420">
        <v>2894.82</v>
      </c>
      <c r="E420" t="str">
        <f>VLOOKUP(C420,inf!$A$2:$B$7,2,FALSE)</f>
        <v>31 to 60</v>
      </c>
      <c r="F420" t="str">
        <f t="shared" si="7"/>
        <v>02/22/2017</v>
      </c>
      <c r="G420" t="str">
        <f>VLOOKUP(A420,inf!$D$2:$E$76,2,FALSE)</f>
        <v>SBUX</v>
      </c>
    </row>
    <row r="421" spans="1:7" x14ac:dyDescent="0.25">
      <c r="A421" t="s">
        <v>6</v>
      </c>
      <c r="B421" s="1">
        <v>42788</v>
      </c>
      <c r="C421" t="s">
        <v>58</v>
      </c>
      <c r="D421">
        <v>497.20000000000005</v>
      </c>
      <c r="E421" t="str">
        <f>VLOOKUP(C421,inf!$A$2:$B$7,2,FALSE)</f>
        <v>61 to 90</v>
      </c>
      <c r="F421" t="str">
        <f t="shared" si="7"/>
        <v>02/22/2017</v>
      </c>
      <c r="G421" t="str">
        <f>VLOOKUP(A421,inf!$D$2:$E$76,2,FALSE)</f>
        <v>SBUX</v>
      </c>
    </row>
    <row r="422" spans="1:7" x14ac:dyDescent="0.25">
      <c r="A422" t="s">
        <v>8</v>
      </c>
      <c r="B422" s="1">
        <v>42788</v>
      </c>
      <c r="C422" t="s">
        <v>55</v>
      </c>
      <c r="D422">
        <v>457784.6</v>
      </c>
      <c r="E422" t="str">
        <f>VLOOKUP(C422,inf!$A$2:$B$7,2,FALSE)</f>
        <v>Current</v>
      </c>
      <c r="F422" t="str">
        <f t="shared" si="7"/>
        <v>02/22/2017</v>
      </c>
      <c r="G422" t="str">
        <f>VLOOKUP(A422,inf!$D$2:$E$76,2,FALSE)</f>
        <v>Target</v>
      </c>
    </row>
    <row r="423" spans="1:7" x14ac:dyDescent="0.25">
      <c r="A423" t="s">
        <v>8</v>
      </c>
      <c r="B423" s="1">
        <v>42788</v>
      </c>
      <c r="C423" t="s">
        <v>56</v>
      </c>
      <c r="D423">
        <v>57422.019999999975</v>
      </c>
      <c r="E423" t="str">
        <f>VLOOKUP(C423,inf!$A$2:$B$7,2,FALSE)</f>
        <v>Current</v>
      </c>
      <c r="F423" t="str">
        <f t="shared" si="7"/>
        <v>02/22/2017</v>
      </c>
      <c r="G423" t="str">
        <f>VLOOKUP(A423,inf!$D$2:$E$76,2,FALSE)</f>
        <v>Target</v>
      </c>
    </row>
    <row r="424" spans="1:7" x14ac:dyDescent="0.25">
      <c r="A424" t="s">
        <v>8</v>
      </c>
      <c r="B424" s="1">
        <v>42788</v>
      </c>
      <c r="C424" t="s">
        <v>60</v>
      </c>
      <c r="D424">
        <v>22826.590000000004</v>
      </c>
      <c r="E424" t="str">
        <f>VLOOKUP(C424,inf!$A$2:$B$7,2,FALSE)</f>
        <v>Over 90</v>
      </c>
      <c r="F424" t="str">
        <f t="shared" si="7"/>
        <v>02/22/2017</v>
      </c>
      <c r="G424" t="str">
        <f>VLOOKUP(A424,inf!$D$2:$E$76,2,FALSE)</f>
        <v>Target</v>
      </c>
    </row>
    <row r="425" spans="1:7" x14ac:dyDescent="0.25">
      <c r="A425" t="s">
        <v>8</v>
      </c>
      <c r="B425" s="1">
        <v>42788</v>
      </c>
      <c r="C425" t="s">
        <v>59</v>
      </c>
      <c r="D425">
        <v>2167.6400000000003</v>
      </c>
      <c r="E425" t="str">
        <f>VLOOKUP(C425,inf!$A$2:$B$7,2,FALSE)</f>
        <v>Over 90</v>
      </c>
      <c r="F425" t="str">
        <f t="shared" si="7"/>
        <v>02/22/2017</v>
      </c>
      <c r="G425" t="str">
        <f>VLOOKUP(A425,inf!$D$2:$E$76,2,FALSE)</f>
        <v>Target</v>
      </c>
    </row>
    <row r="426" spans="1:7" x14ac:dyDescent="0.25">
      <c r="A426" t="s">
        <v>8</v>
      </c>
      <c r="B426" s="1">
        <v>42788</v>
      </c>
      <c r="C426" t="s">
        <v>58</v>
      </c>
      <c r="D426">
        <v>1389.76</v>
      </c>
      <c r="E426" t="str">
        <f>VLOOKUP(C426,inf!$A$2:$B$7,2,FALSE)</f>
        <v>61 to 90</v>
      </c>
      <c r="F426" t="str">
        <f t="shared" si="7"/>
        <v>02/22/2017</v>
      </c>
      <c r="G426" t="str">
        <f>VLOOKUP(A426,inf!$D$2:$E$76,2,FALSE)</f>
        <v>Target</v>
      </c>
    </row>
    <row r="427" spans="1:7" x14ac:dyDescent="0.25">
      <c r="A427" t="s">
        <v>8</v>
      </c>
      <c r="B427" s="1">
        <v>42788</v>
      </c>
      <c r="C427" t="s">
        <v>57</v>
      </c>
      <c r="D427">
        <v>952.49</v>
      </c>
      <c r="E427" t="str">
        <f>VLOOKUP(C427,inf!$A$2:$B$7,2,FALSE)</f>
        <v>31 to 60</v>
      </c>
      <c r="F427" t="str">
        <f t="shared" si="7"/>
        <v>02/22/2017</v>
      </c>
      <c r="G427" t="str">
        <f>VLOOKUP(A427,inf!$D$2:$E$76,2,FALSE)</f>
        <v>Target</v>
      </c>
    </row>
    <row r="428" spans="1:7" x14ac:dyDescent="0.25">
      <c r="A428" t="s">
        <v>54</v>
      </c>
      <c r="B428" s="1">
        <v>42788</v>
      </c>
      <c r="C428" t="s">
        <v>55</v>
      </c>
      <c r="D428">
        <v>1135.9000000000001</v>
      </c>
      <c r="E428" t="str">
        <f>VLOOKUP(C428,inf!$A$2:$B$7,2,FALSE)</f>
        <v>Current</v>
      </c>
      <c r="F428" t="str">
        <f t="shared" si="7"/>
        <v>02/22/2017</v>
      </c>
      <c r="G428" t="str">
        <f>VLOOKUP(A428,inf!$D$2:$E$76,2,FALSE)</f>
        <v>Other</v>
      </c>
    </row>
    <row r="429" spans="1:7" x14ac:dyDescent="0.25">
      <c r="A429" t="s">
        <v>54</v>
      </c>
      <c r="B429" s="1">
        <v>42788</v>
      </c>
      <c r="C429" t="s">
        <v>56</v>
      </c>
      <c r="D429">
        <v>509.38</v>
      </c>
      <c r="E429" t="str">
        <f>VLOOKUP(C429,inf!$A$2:$B$7,2,FALSE)</f>
        <v>Current</v>
      </c>
      <c r="F429" t="str">
        <f t="shared" si="7"/>
        <v>02/22/2017</v>
      </c>
      <c r="G429" t="str">
        <f>VLOOKUP(A429,inf!$D$2:$E$76,2,FALSE)</f>
        <v>Other</v>
      </c>
    </row>
    <row r="430" spans="1:7" x14ac:dyDescent="0.25">
      <c r="A430" t="s">
        <v>54</v>
      </c>
      <c r="B430" s="1">
        <v>42788</v>
      </c>
      <c r="C430" t="s">
        <v>57</v>
      </c>
      <c r="D430">
        <v>498.61</v>
      </c>
      <c r="E430" t="str">
        <f>VLOOKUP(C430,inf!$A$2:$B$7,2,FALSE)</f>
        <v>31 to 60</v>
      </c>
      <c r="F430" t="str">
        <f t="shared" si="7"/>
        <v>02/22/2017</v>
      </c>
      <c r="G430" t="str">
        <f>VLOOKUP(A430,inf!$D$2:$E$76,2,FALSE)</f>
        <v>Other</v>
      </c>
    </row>
    <row r="431" spans="1:7" x14ac:dyDescent="0.25">
      <c r="A431" t="s">
        <v>15</v>
      </c>
      <c r="B431" s="1">
        <v>42788</v>
      </c>
      <c r="C431" t="s">
        <v>55</v>
      </c>
      <c r="D431">
        <v>460.99</v>
      </c>
      <c r="E431" t="str">
        <f>VLOOKUP(C431,inf!$A$2:$B$7,2,FALSE)</f>
        <v>Current</v>
      </c>
      <c r="F431" t="str">
        <f t="shared" si="7"/>
        <v>02/22/2017</v>
      </c>
      <c r="G431" t="str">
        <f>VLOOKUP(A431,inf!$D$2:$E$76,2,FALSE)</f>
        <v>Other</v>
      </c>
    </row>
    <row r="432" spans="1:7" x14ac:dyDescent="0.25">
      <c r="A432" t="s">
        <v>15</v>
      </c>
      <c r="B432" s="1">
        <v>42788</v>
      </c>
      <c r="C432" t="s">
        <v>56</v>
      </c>
      <c r="D432">
        <v>157.56</v>
      </c>
      <c r="E432" t="str">
        <f>VLOOKUP(C432,inf!$A$2:$B$7,2,FALSE)</f>
        <v>Current</v>
      </c>
      <c r="F432" t="str">
        <f t="shared" si="7"/>
        <v>02/22/2017</v>
      </c>
      <c r="G432" t="str">
        <f>VLOOKUP(A432,inf!$D$2:$E$76,2,FALSE)</f>
        <v>Other</v>
      </c>
    </row>
    <row r="433" spans="1:7" x14ac:dyDescent="0.25">
      <c r="A433" t="s">
        <v>15</v>
      </c>
      <c r="B433" s="1">
        <v>42788</v>
      </c>
      <c r="C433" t="s">
        <v>57</v>
      </c>
      <c r="D433">
        <v>126.05</v>
      </c>
      <c r="E433" t="str">
        <f>VLOOKUP(C433,inf!$A$2:$B$7,2,FALSE)</f>
        <v>31 to 60</v>
      </c>
      <c r="F433" t="str">
        <f t="shared" si="7"/>
        <v>02/22/2017</v>
      </c>
      <c r="G433" t="str">
        <f>VLOOKUP(A433,inf!$D$2:$E$76,2,FALSE)</f>
        <v>Other</v>
      </c>
    </row>
    <row r="434" spans="1:7" x14ac:dyDescent="0.25">
      <c r="A434" t="s">
        <v>4</v>
      </c>
      <c r="B434" s="1">
        <v>42795</v>
      </c>
      <c r="C434" t="s">
        <v>55</v>
      </c>
      <c r="D434">
        <v>1664.99</v>
      </c>
      <c r="E434" t="str">
        <f>VLOOKUP(C434,inf!$A$2:$B$7,2,FALSE)</f>
        <v>Current</v>
      </c>
      <c r="F434" t="str">
        <f t="shared" si="7"/>
        <v>03/01/2017</v>
      </c>
      <c r="G434" t="str">
        <f>VLOOKUP(A434,inf!$D$2:$E$76,2,FALSE)</f>
        <v>Other</v>
      </c>
    </row>
    <row r="435" spans="1:7" x14ac:dyDescent="0.25">
      <c r="A435" t="s">
        <v>4</v>
      </c>
      <c r="B435" s="1">
        <v>42795</v>
      </c>
      <c r="C435" t="s">
        <v>56</v>
      </c>
      <c r="D435">
        <v>917.11</v>
      </c>
      <c r="E435" t="str">
        <f>VLOOKUP(C435,inf!$A$2:$B$7,2,FALSE)</f>
        <v>Current</v>
      </c>
      <c r="F435" t="str">
        <f t="shared" si="7"/>
        <v>03/01/2017</v>
      </c>
      <c r="G435" t="str">
        <f>VLOOKUP(A435,inf!$D$2:$E$76,2,FALSE)</f>
        <v>Other</v>
      </c>
    </row>
    <row r="436" spans="1:7" x14ac:dyDescent="0.25">
      <c r="A436" t="s">
        <v>26</v>
      </c>
      <c r="B436" s="1">
        <v>42795</v>
      </c>
      <c r="C436" t="s">
        <v>60</v>
      </c>
      <c r="D436">
        <v>1380.77</v>
      </c>
      <c r="E436" t="str">
        <f>VLOOKUP(C436,inf!$A$2:$B$7,2,FALSE)</f>
        <v>Over 90</v>
      </c>
      <c r="F436" t="str">
        <f t="shared" si="7"/>
        <v>03/01/2017</v>
      </c>
      <c r="G436" t="str">
        <f>VLOOKUP(A436,inf!$D$2:$E$76,2,FALSE)</f>
        <v>Other</v>
      </c>
    </row>
    <row r="437" spans="1:7" x14ac:dyDescent="0.25">
      <c r="A437" t="s">
        <v>2</v>
      </c>
      <c r="B437" s="1">
        <v>42795</v>
      </c>
      <c r="C437" t="s">
        <v>60</v>
      </c>
      <c r="D437">
        <v>3717.8600000000006</v>
      </c>
      <c r="E437" t="str">
        <f>VLOOKUP(C437,inf!$A$2:$B$7,2,FALSE)</f>
        <v>Over 90</v>
      </c>
      <c r="F437" t="str">
        <f t="shared" si="7"/>
        <v>03/01/2017</v>
      </c>
      <c r="G437" t="str">
        <f>VLOOKUP(A437,inf!$D$2:$E$76,2,FALSE)</f>
        <v>Other</v>
      </c>
    </row>
    <row r="438" spans="1:7" x14ac:dyDescent="0.25">
      <c r="A438" t="s">
        <v>1</v>
      </c>
      <c r="B438" s="1">
        <v>42795</v>
      </c>
      <c r="C438" t="s">
        <v>58</v>
      </c>
      <c r="D438">
        <v>-850</v>
      </c>
      <c r="E438" t="str">
        <f>VLOOKUP(C438,inf!$A$2:$B$7,2,FALSE)</f>
        <v>61 to 90</v>
      </c>
      <c r="F438" t="str">
        <f t="shared" si="7"/>
        <v>03/01/2017</v>
      </c>
      <c r="G438" t="str">
        <f>VLOOKUP(A438,inf!$D$2:$E$76,2,FALSE)</f>
        <v>Other</v>
      </c>
    </row>
    <row r="439" spans="1:7" x14ac:dyDescent="0.25">
      <c r="A439" t="s">
        <v>1</v>
      </c>
      <c r="B439" s="1">
        <v>42795</v>
      </c>
      <c r="C439" t="s">
        <v>60</v>
      </c>
      <c r="D439">
        <v>-3117.63</v>
      </c>
      <c r="E439" t="str">
        <f>VLOOKUP(C439,inf!$A$2:$B$7,2,FALSE)</f>
        <v>Over 90</v>
      </c>
      <c r="F439" t="str">
        <f t="shared" si="7"/>
        <v>03/01/2017</v>
      </c>
      <c r="G439" t="str">
        <f>VLOOKUP(A439,inf!$D$2:$E$76,2,FALSE)</f>
        <v>Other</v>
      </c>
    </row>
    <row r="440" spans="1:7" x14ac:dyDescent="0.25">
      <c r="A440" t="s">
        <v>25</v>
      </c>
      <c r="B440" s="1">
        <v>42795</v>
      </c>
      <c r="C440" t="s">
        <v>57</v>
      </c>
      <c r="D440">
        <v>120.1</v>
      </c>
      <c r="E440" t="str">
        <f>VLOOKUP(C440,inf!$A$2:$B$7,2,FALSE)</f>
        <v>31 to 60</v>
      </c>
      <c r="F440" t="str">
        <f t="shared" si="7"/>
        <v>03/01/2017</v>
      </c>
      <c r="G440" t="str">
        <f>VLOOKUP(A440,inf!$D$2:$E$76,2,FALSE)</f>
        <v>Other</v>
      </c>
    </row>
    <row r="441" spans="1:7" x14ac:dyDescent="0.25">
      <c r="A441" t="s">
        <v>24</v>
      </c>
      <c r="B441" s="1">
        <v>42795</v>
      </c>
      <c r="C441" t="s">
        <v>55</v>
      </c>
      <c r="D441">
        <v>298.39</v>
      </c>
      <c r="E441" t="str">
        <f>VLOOKUP(C441,inf!$A$2:$B$7,2,FALSE)</f>
        <v>Current</v>
      </c>
      <c r="F441" t="str">
        <f t="shared" si="7"/>
        <v>03/01/2017</v>
      </c>
      <c r="G441" t="str">
        <f>VLOOKUP(A441,inf!$D$2:$E$76,2,FALSE)</f>
        <v>Other</v>
      </c>
    </row>
    <row r="442" spans="1:7" x14ac:dyDescent="0.25">
      <c r="A442" t="s">
        <v>18</v>
      </c>
      <c r="B442" s="1">
        <v>42795</v>
      </c>
      <c r="C442" t="s">
        <v>55</v>
      </c>
      <c r="D442">
        <v>248.85</v>
      </c>
      <c r="E442" t="str">
        <f>VLOOKUP(C442,inf!$A$2:$B$7,2,FALSE)</f>
        <v>Current</v>
      </c>
      <c r="F442" t="str">
        <f t="shared" si="7"/>
        <v>03/01/2017</v>
      </c>
      <c r="G442" t="str">
        <f>VLOOKUP(A442,inf!$D$2:$E$76,2,FALSE)</f>
        <v>Other</v>
      </c>
    </row>
    <row r="443" spans="1:7" x14ac:dyDescent="0.25">
      <c r="A443" t="s">
        <v>27</v>
      </c>
      <c r="B443" s="1">
        <v>42795</v>
      </c>
      <c r="C443" t="s">
        <v>55</v>
      </c>
      <c r="D443">
        <v>1846.5600000000002</v>
      </c>
      <c r="E443" t="str">
        <f>VLOOKUP(C443,inf!$A$2:$B$7,2,FALSE)</f>
        <v>Current</v>
      </c>
      <c r="F443" t="str">
        <f t="shared" si="7"/>
        <v>03/01/2017</v>
      </c>
      <c r="G443" t="str">
        <f>VLOOKUP(A443,inf!$D$2:$E$76,2,FALSE)</f>
        <v>Other</v>
      </c>
    </row>
    <row r="444" spans="1:7" x14ac:dyDescent="0.25">
      <c r="A444" t="s">
        <v>62</v>
      </c>
      <c r="B444" s="1">
        <v>42795</v>
      </c>
      <c r="C444" t="s">
        <v>55</v>
      </c>
      <c r="D444">
        <v>631.25</v>
      </c>
      <c r="E444" t="str">
        <f>VLOOKUP(C444,inf!$A$2:$B$7,2,FALSE)</f>
        <v>Current</v>
      </c>
      <c r="F444" t="str">
        <f t="shared" si="7"/>
        <v>03/01/2017</v>
      </c>
      <c r="G444" t="str">
        <f>VLOOKUP(A444,inf!$D$2:$E$76,2,FALSE)</f>
        <v>Other</v>
      </c>
    </row>
    <row r="445" spans="1:7" x14ac:dyDescent="0.25">
      <c r="A445" t="s">
        <v>21</v>
      </c>
      <c r="B445" s="1">
        <v>42795</v>
      </c>
      <c r="C445" t="s">
        <v>55</v>
      </c>
      <c r="D445">
        <v>3532.48</v>
      </c>
      <c r="E445" t="str">
        <f>VLOOKUP(C445,inf!$A$2:$B$7,2,FALSE)</f>
        <v>Current</v>
      </c>
      <c r="F445" t="str">
        <f t="shared" si="7"/>
        <v>03/01/2017</v>
      </c>
      <c r="G445" t="str">
        <f>VLOOKUP(A445,inf!$D$2:$E$76,2,FALSE)</f>
        <v>Other</v>
      </c>
    </row>
    <row r="446" spans="1:7" x14ac:dyDescent="0.25">
      <c r="A446" t="s">
        <v>21</v>
      </c>
      <c r="B446" s="1">
        <v>42795</v>
      </c>
      <c r="C446" t="s">
        <v>57</v>
      </c>
      <c r="D446">
        <v>365.84</v>
      </c>
      <c r="E446" t="str">
        <f>VLOOKUP(C446,inf!$A$2:$B$7,2,FALSE)</f>
        <v>31 to 60</v>
      </c>
      <c r="F446" t="str">
        <f t="shared" si="7"/>
        <v>03/01/2017</v>
      </c>
      <c r="G446" t="str">
        <f>VLOOKUP(A446,inf!$D$2:$E$76,2,FALSE)</f>
        <v>Other</v>
      </c>
    </row>
    <row r="447" spans="1:7" x14ac:dyDescent="0.25">
      <c r="A447" t="s">
        <v>3</v>
      </c>
      <c r="B447" s="1">
        <v>42795</v>
      </c>
      <c r="C447" t="s">
        <v>55</v>
      </c>
      <c r="D447">
        <v>7402.619999999999</v>
      </c>
      <c r="E447" t="str">
        <f>VLOOKUP(C447,inf!$A$2:$B$7,2,FALSE)</f>
        <v>Current</v>
      </c>
      <c r="F447" t="str">
        <f t="shared" si="7"/>
        <v>03/01/2017</v>
      </c>
      <c r="G447" t="str">
        <f>VLOOKUP(A447,inf!$D$2:$E$76,2,FALSE)</f>
        <v>Other</v>
      </c>
    </row>
    <row r="448" spans="1:7" x14ac:dyDescent="0.25">
      <c r="A448" t="s">
        <v>30</v>
      </c>
      <c r="B448" s="1">
        <v>42795</v>
      </c>
      <c r="C448" t="s">
        <v>55</v>
      </c>
      <c r="D448">
        <v>2732.08</v>
      </c>
      <c r="E448" t="str">
        <f>VLOOKUP(C448,inf!$A$2:$B$7,2,FALSE)</f>
        <v>Current</v>
      </c>
      <c r="F448" t="str">
        <f t="shared" si="7"/>
        <v>03/01/2017</v>
      </c>
      <c r="G448" t="str">
        <f>VLOOKUP(A448,inf!$D$2:$E$76,2,FALSE)</f>
        <v>Other</v>
      </c>
    </row>
    <row r="449" spans="1:7" x14ac:dyDescent="0.25">
      <c r="A449" t="s">
        <v>30</v>
      </c>
      <c r="B449" s="1">
        <v>42795</v>
      </c>
      <c r="C449" t="s">
        <v>56</v>
      </c>
      <c r="D449">
        <v>610.83000000000004</v>
      </c>
      <c r="E449" t="str">
        <f>VLOOKUP(C449,inf!$A$2:$B$7,2,FALSE)</f>
        <v>Current</v>
      </c>
      <c r="F449" t="str">
        <f t="shared" si="7"/>
        <v>03/01/2017</v>
      </c>
      <c r="G449" t="str">
        <f>VLOOKUP(A449,inf!$D$2:$E$76,2,FALSE)</f>
        <v>Other</v>
      </c>
    </row>
    <row r="450" spans="1:7" x14ac:dyDescent="0.25">
      <c r="A450" t="s">
        <v>12</v>
      </c>
      <c r="B450" s="1">
        <v>42795</v>
      </c>
      <c r="C450" t="s">
        <v>60</v>
      </c>
      <c r="D450">
        <v>450.5</v>
      </c>
      <c r="E450" t="str">
        <f>VLOOKUP(C450,inf!$A$2:$B$7,2,FALSE)</f>
        <v>Over 90</v>
      </c>
      <c r="F450" t="str">
        <f t="shared" si="7"/>
        <v>03/01/2017</v>
      </c>
      <c r="G450" t="str">
        <f>VLOOKUP(A450,inf!$D$2:$E$76,2,FALSE)</f>
        <v>Other</v>
      </c>
    </row>
    <row r="451" spans="1:7" x14ac:dyDescent="0.25">
      <c r="A451" t="s">
        <v>12</v>
      </c>
      <c r="B451" s="1">
        <v>42795</v>
      </c>
      <c r="C451" t="s">
        <v>55</v>
      </c>
      <c r="D451">
        <v>260</v>
      </c>
      <c r="E451" t="str">
        <f>VLOOKUP(C451,inf!$A$2:$B$7,2,FALSE)</f>
        <v>Current</v>
      </c>
      <c r="F451" t="str">
        <f t="shared" ref="F451:F514" si="8">TEXT(B451,"MM/DD/YYYY")</f>
        <v>03/01/2017</v>
      </c>
      <c r="G451" t="str">
        <f>VLOOKUP(A451,inf!$D$2:$E$76,2,FALSE)</f>
        <v>Other</v>
      </c>
    </row>
    <row r="452" spans="1:7" x14ac:dyDescent="0.25">
      <c r="A452" t="s">
        <v>7</v>
      </c>
      <c r="B452" s="1">
        <v>42795</v>
      </c>
      <c r="C452" t="s">
        <v>55</v>
      </c>
      <c r="D452">
        <v>39395.67</v>
      </c>
      <c r="E452" t="str">
        <f>VLOOKUP(C452,inf!$A$2:$B$7,2,FALSE)</f>
        <v>Current</v>
      </c>
      <c r="F452" t="str">
        <f t="shared" si="8"/>
        <v>03/01/2017</v>
      </c>
      <c r="G452" t="str">
        <f>VLOOKUP(A452,inf!$D$2:$E$76,2,FALSE)</f>
        <v>SAFEWAY</v>
      </c>
    </row>
    <row r="453" spans="1:7" x14ac:dyDescent="0.25">
      <c r="A453" t="s">
        <v>7</v>
      </c>
      <c r="B453" s="1">
        <v>42795</v>
      </c>
      <c r="C453" t="s">
        <v>60</v>
      </c>
      <c r="D453">
        <v>631.72</v>
      </c>
      <c r="E453" t="str">
        <f>VLOOKUP(C453,inf!$A$2:$B$7,2,FALSE)</f>
        <v>Over 90</v>
      </c>
      <c r="F453" t="str">
        <f t="shared" si="8"/>
        <v>03/01/2017</v>
      </c>
      <c r="G453" t="str">
        <f>VLOOKUP(A453,inf!$D$2:$E$76,2,FALSE)</f>
        <v>SAFEWAY</v>
      </c>
    </row>
    <row r="454" spans="1:7" x14ac:dyDescent="0.25">
      <c r="A454" t="s">
        <v>7</v>
      </c>
      <c r="B454" s="1">
        <v>42795</v>
      </c>
      <c r="C454" t="s">
        <v>57</v>
      </c>
      <c r="D454">
        <v>264.52999999999997</v>
      </c>
      <c r="E454" t="str">
        <f>VLOOKUP(C454,inf!$A$2:$B$7,2,FALSE)</f>
        <v>31 to 60</v>
      </c>
      <c r="F454" t="str">
        <f t="shared" si="8"/>
        <v>03/01/2017</v>
      </c>
      <c r="G454" t="str">
        <f>VLOOKUP(A454,inf!$D$2:$E$76,2,FALSE)</f>
        <v>SAFEWAY</v>
      </c>
    </row>
    <row r="455" spans="1:7" x14ac:dyDescent="0.25">
      <c r="A455" t="s">
        <v>7</v>
      </c>
      <c r="B455" s="1">
        <v>42795</v>
      </c>
      <c r="C455" t="s">
        <v>59</v>
      </c>
      <c r="D455">
        <v>7.92</v>
      </c>
      <c r="E455" t="str">
        <f>VLOOKUP(C455,inf!$A$2:$B$7,2,FALSE)</f>
        <v>Over 90</v>
      </c>
      <c r="F455" t="str">
        <f t="shared" si="8"/>
        <v>03/01/2017</v>
      </c>
      <c r="G455" t="str">
        <f>VLOOKUP(A455,inf!$D$2:$E$76,2,FALSE)</f>
        <v>SAFEWAY</v>
      </c>
    </row>
    <row r="456" spans="1:7" x14ac:dyDescent="0.25">
      <c r="A456" t="s">
        <v>5</v>
      </c>
      <c r="B456" s="1">
        <v>42795</v>
      </c>
      <c r="C456" t="s">
        <v>55</v>
      </c>
      <c r="D456">
        <v>4716741.9999998994</v>
      </c>
      <c r="E456" t="str">
        <f>VLOOKUP(C456,inf!$A$2:$B$7,2,FALSE)</f>
        <v>Current</v>
      </c>
      <c r="F456" t="str">
        <f t="shared" si="8"/>
        <v>03/01/2017</v>
      </c>
      <c r="G456" t="str">
        <f>VLOOKUP(A456,inf!$D$2:$E$76,2,FALSE)</f>
        <v>SBUX</v>
      </c>
    </row>
    <row r="457" spans="1:7" x14ac:dyDescent="0.25">
      <c r="A457" t="s">
        <v>5</v>
      </c>
      <c r="B457" s="1">
        <v>42795</v>
      </c>
      <c r="C457" t="s">
        <v>60</v>
      </c>
      <c r="D457">
        <v>66739.919999999984</v>
      </c>
      <c r="E457" t="str">
        <f>VLOOKUP(C457,inf!$A$2:$B$7,2,FALSE)</f>
        <v>Over 90</v>
      </c>
      <c r="F457" t="str">
        <f t="shared" si="8"/>
        <v>03/01/2017</v>
      </c>
      <c r="G457" t="str">
        <f>VLOOKUP(A457,inf!$D$2:$E$76,2,FALSE)</f>
        <v>SBUX</v>
      </c>
    </row>
    <row r="458" spans="1:7" x14ac:dyDescent="0.25">
      <c r="A458" t="s">
        <v>5</v>
      </c>
      <c r="B458" s="1">
        <v>42795</v>
      </c>
      <c r="C458" t="s">
        <v>57</v>
      </c>
      <c r="D458">
        <v>32882.44999999999</v>
      </c>
      <c r="E458" t="str">
        <f>VLOOKUP(C458,inf!$A$2:$B$7,2,FALSE)</f>
        <v>31 to 60</v>
      </c>
      <c r="F458" t="str">
        <f t="shared" si="8"/>
        <v>03/01/2017</v>
      </c>
      <c r="G458" t="str">
        <f>VLOOKUP(A458,inf!$D$2:$E$76,2,FALSE)</f>
        <v>SBUX</v>
      </c>
    </row>
    <row r="459" spans="1:7" x14ac:dyDescent="0.25">
      <c r="A459" t="s">
        <v>5</v>
      </c>
      <c r="B459" s="1">
        <v>42795</v>
      </c>
      <c r="C459" t="s">
        <v>58</v>
      </c>
      <c r="D459">
        <v>7175.350000000004</v>
      </c>
      <c r="E459" t="str">
        <f>VLOOKUP(C459,inf!$A$2:$B$7,2,FALSE)</f>
        <v>61 to 90</v>
      </c>
      <c r="F459" t="str">
        <f t="shared" si="8"/>
        <v>03/01/2017</v>
      </c>
      <c r="G459" t="str">
        <f>VLOOKUP(A459,inf!$D$2:$E$76,2,FALSE)</f>
        <v>SBUX</v>
      </c>
    </row>
    <row r="460" spans="1:7" x14ac:dyDescent="0.25">
      <c r="A460" t="s">
        <v>5</v>
      </c>
      <c r="B460" s="1">
        <v>42795</v>
      </c>
      <c r="C460" t="s">
        <v>56</v>
      </c>
      <c r="D460">
        <v>6549.99</v>
      </c>
      <c r="E460" t="str">
        <f>VLOOKUP(C460,inf!$A$2:$B$7,2,FALSE)</f>
        <v>Current</v>
      </c>
      <c r="F460" t="str">
        <f t="shared" si="8"/>
        <v>03/01/2017</v>
      </c>
      <c r="G460" t="str">
        <f>VLOOKUP(A460,inf!$D$2:$E$76,2,FALSE)</f>
        <v>SBUX</v>
      </c>
    </row>
    <row r="461" spans="1:7" x14ac:dyDescent="0.25">
      <c r="A461" t="s">
        <v>5</v>
      </c>
      <c r="B461" s="1">
        <v>42795</v>
      </c>
      <c r="C461" t="s">
        <v>59</v>
      </c>
      <c r="D461">
        <v>5429.57</v>
      </c>
      <c r="E461" t="str">
        <f>VLOOKUP(C461,inf!$A$2:$B$7,2,FALSE)</f>
        <v>Over 90</v>
      </c>
      <c r="F461" t="str">
        <f t="shared" si="8"/>
        <v>03/01/2017</v>
      </c>
      <c r="G461" t="str">
        <f>VLOOKUP(A461,inf!$D$2:$E$76,2,FALSE)</f>
        <v>SBUX</v>
      </c>
    </row>
    <row r="462" spans="1:7" x14ac:dyDescent="0.25">
      <c r="A462" t="s">
        <v>6</v>
      </c>
      <c r="B462" s="1">
        <v>42795</v>
      </c>
      <c r="C462" t="s">
        <v>55</v>
      </c>
      <c r="D462" s="5">
        <v>474456.18999999808</v>
      </c>
      <c r="E462" t="str">
        <f>VLOOKUP(C462,inf!$A$2:$B$7,2,FALSE)</f>
        <v>Current</v>
      </c>
      <c r="F462" t="str">
        <f t="shared" si="8"/>
        <v>03/01/2017</v>
      </c>
      <c r="G462" t="str">
        <f>VLOOKUP(A462,inf!$D$2:$E$76,2,FALSE)</f>
        <v>SBUX</v>
      </c>
    </row>
    <row r="463" spans="1:7" x14ac:dyDescent="0.25">
      <c r="A463" t="s">
        <v>6</v>
      </c>
      <c r="B463" s="1">
        <v>42795</v>
      </c>
      <c r="C463" t="s">
        <v>60</v>
      </c>
      <c r="D463">
        <v>6859.1399999999994</v>
      </c>
      <c r="E463" t="str">
        <f>VLOOKUP(C463,inf!$A$2:$B$7,2,FALSE)</f>
        <v>Over 90</v>
      </c>
      <c r="F463" t="str">
        <f t="shared" si="8"/>
        <v>03/01/2017</v>
      </c>
      <c r="G463" t="str">
        <f>VLOOKUP(A463,inf!$D$2:$E$76,2,FALSE)</f>
        <v>SBUX</v>
      </c>
    </row>
    <row r="464" spans="1:7" x14ac:dyDescent="0.25">
      <c r="A464" t="s">
        <v>6</v>
      </c>
      <c r="B464" s="1">
        <v>42795</v>
      </c>
      <c r="C464" t="s">
        <v>57</v>
      </c>
      <c r="D464">
        <v>2233.2800000000002</v>
      </c>
      <c r="E464" t="str">
        <f>VLOOKUP(C464,inf!$A$2:$B$7,2,FALSE)</f>
        <v>31 to 60</v>
      </c>
      <c r="F464" t="str">
        <f t="shared" si="8"/>
        <v>03/01/2017</v>
      </c>
      <c r="G464" t="str">
        <f>VLOOKUP(A464,inf!$D$2:$E$76,2,FALSE)</f>
        <v>SBUX</v>
      </c>
    </row>
    <row r="465" spans="1:7" x14ac:dyDescent="0.25">
      <c r="A465" t="s">
        <v>6</v>
      </c>
      <c r="B465" s="1">
        <v>42795</v>
      </c>
      <c r="C465" t="s">
        <v>58</v>
      </c>
      <c r="D465">
        <v>966.64</v>
      </c>
      <c r="E465" t="str">
        <f>VLOOKUP(C465,inf!$A$2:$B$7,2,FALSE)</f>
        <v>61 to 90</v>
      </c>
      <c r="F465" t="str">
        <f t="shared" si="8"/>
        <v>03/01/2017</v>
      </c>
      <c r="G465" t="str">
        <f>VLOOKUP(A465,inf!$D$2:$E$76,2,FALSE)</f>
        <v>SBUX</v>
      </c>
    </row>
    <row r="466" spans="1:7" x14ac:dyDescent="0.25">
      <c r="A466" t="s">
        <v>6</v>
      </c>
      <c r="B466" s="1">
        <v>42795</v>
      </c>
      <c r="C466" t="s">
        <v>59</v>
      </c>
      <c r="D466">
        <v>192.1</v>
      </c>
      <c r="E466" t="str">
        <f>VLOOKUP(C466,inf!$A$2:$B$7,2,FALSE)</f>
        <v>Over 90</v>
      </c>
      <c r="F466" t="str">
        <f t="shared" si="8"/>
        <v>03/01/2017</v>
      </c>
      <c r="G466" t="str">
        <f>VLOOKUP(A466,inf!$D$2:$E$76,2,FALSE)</f>
        <v>SBUX</v>
      </c>
    </row>
    <row r="467" spans="1:7" x14ac:dyDescent="0.25">
      <c r="A467" t="s">
        <v>8</v>
      </c>
      <c r="B467" s="1">
        <v>42795</v>
      </c>
      <c r="C467" t="s">
        <v>55</v>
      </c>
      <c r="D467">
        <v>413580.12999999989</v>
      </c>
      <c r="E467" t="str">
        <f>VLOOKUP(C467,inf!$A$2:$B$7,2,FALSE)</f>
        <v>Current</v>
      </c>
      <c r="F467" t="str">
        <f t="shared" si="8"/>
        <v>03/01/2017</v>
      </c>
      <c r="G467" t="str">
        <f>VLOOKUP(A467,inf!$D$2:$E$76,2,FALSE)</f>
        <v>Target</v>
      </c>
    </row>
    <row r="468" spans="1:7" x14ac:dyDescent="0.25">
      <c r="A468" t="s">
        <v>8</v>
      </c>
      <c r="B468" s="1">
        <v>42795</v>
      </c>
      <c r="C468" t="s">
        <v>56</v>
      </c>
      <c r="D468">
        <v>29089.839999999986</v>
      </c>
      <c r="E468" t="str">
        <f>VLOOKUP(C468,inf!$A$2:$B$7,2,FALSE)</f>
        <v>Current</v>
      </c>
      <c r="F468" t="str">
        <f t="shared" si="8"/>
        <v>03/01/2017</v>
      </c>
      <c r="G468" t="str">
        <f>VLOOKUP(A468,inf!$D$2:$E$76,2,FALSE)</f>
        <v>Target</v>
      </c>
    </row>
    <row r="469" spans="1:7" x14ac:dyDescent="0.25">
      <c r="A469" t="s">
        <v>8</v>
      </c>
      <c r="B469" s="1">
        <v>42795</v>
      </c>
      <c r="C469" t="s">
        <v>60</v>
      </c>
      <c r="D469">
        <v>22566.320000000003</v>
      </c>
      <c r="E469" t="str">
        <f>VLOOKUP(C469,inf!$A$2:$B$7,2,FALSE)</f>
        <v>Over 90</v>
      </c>
      <c r="F469" t="str">
        <f t="shared" si="8"/>
        <v>03/01/2017</v>
      </c>
      <c r="G469" t="str">
        <f>VLOOKUP(A469,inf!$D$2:$E$76,2,FALSE)</f>
        <v>Target</v>
      </c>
    </row>
    <row r="470" spans="1:7" x14ac:dyDescent="0.25">
      <c r="A470" t="s">
        <v>8</v>
      </c>
      <c r="B470" s="1">
        <v>42795</v>
      </c>
      <c r="C470" t="s">
        <v>59</v>
      </c>
      <c r="D470">
        <v>2604.21</v>
      </c>
      <c r="E470" t="str">
        <f>VLOOKUP(C470,inf!$A$2:$B$7,2,FALSE)</f>
        <v>Over 90</v>
      </c>
      <c r="F470" t="str">
        <f t="shared" si="8"/>
        <v>03/01/2017</v>
      </c>
      <c r="G470" t="str">
        <f>VLOOKUP(A470,inf!$D$2:$E$76,2,FALSE)</f>
        <v>Target</v>
      </c>
    </row>
    <row r="471" spans="1:7" x14ac:dyDescent="0.25">
      <c r="A471" t="s">
        <v>8</v>
      </c>
      <c r="B471" s="1">
        <v>42795</v>
      </c>
      <c r="C471" t="s">
        <v>58</v>
      </c>
      <c r="D471">
        <v>953.19</v>
      </c>
      <c r="E471" t="str">
        <f>VLOOKUP(C471,inf!$A$2:$B$7,2,FALSE)</f>
        <v>61 to 90</v>
      </c>
      <c r="F471" t="str">
        <f t="shared" si="8"/>
        <v>03/01/2017</v>
      </c>
      <c r="G471" t="str">
        <f>VLOOKUP(A471,inf!$D$2:$E$76,2,FALSE)</f>
        <v>Target</v>
      </c>
    </row>
    <row r="472" spans="1:7" x14ac:dyDescent="0.25">
      <c r="A472" t="s">
        <v>8</v>
      </c>
      <c r="B472" s="1">
        <v>42795</v>
      </c>
      <c r="C472" t="s">
        <v>57</v>
      </c>
      <c r="D472">
        <v>952.49</v>
      </c>
      <c r="E472" t="str">
        <f>VLOOKUP(C472,inf!$A$2:$B$7,2,FALSE)</f>
        <v>31 to 60</v>
      </c>
      <c r="F472" t="str">
        <f t="shared" si="8"/>
        <v>03/01/2017</v>
      </c>
      <c r="G472" t="str">
        <f>VLOOKUP(A472,inf!$D$2:$E$76,2,FALSE)</f>
        <v>Target</v>
      </c>
    </row>
    <row r="473" spans="1:7" x14ac:dyDescent="0.25">
      <c r="A473" t="s">
        <v>54</v>
      </c>
      <c r="B473" s="1">
        <v>42795</v>
      </c>
      <c r="C473" t="s">
        <v>55</v>
      </c>
      <c r="D473">
        <v>906.2</v>
      </c>
      <c r="E473" t="str">
        <f>VLOOKUP(C473,inf!$A$2:$B$7,2,FALSE)</f>
        <v>Current</v>
      </c>
      <c r="F473" t="str">
        <f t="shared" si="8"/>
        <v>03/01/2017</v>
      </c>
      <c r="G473" t="str">
        <f>VLOOKUP(A473,inf!$D$2:$E$76,2,FALSE)</f>
        <v>Other</v>
      </c>
    </row>
    <row r="474" spans="1:7" x14ac:dyDescent="0.25">
      <c r="A474" t="s">
        <v>54</v>
      </c>
      <c r="B474" s="1">
        <v>42795</v>
      </c>
      <c r="C474" t="s">
        <v>56</v>
      </c>
      <c r="D474">
        <v>739.07999999999993</v>
      </c>
      <c r="E474" t="str">
        <f>VLOOKUP(C474,inf!$A$2:$B$7,2,FALSE)</f>
        <v>Current</v>
      </c>
      <c r="F474" t="str">
        <f t="shared" si="8"/>
        <v>03/01/2017</v>
      </c>
      <c r="G474" t="str">
        <f>VLOOKUP(A474,inf!$D$2:$E$76,2,FALSE)</f>
        <v>Other</v>
      </c>
    </row>
    <row r="475" spans="1:7" x14ac:dyDescent="0.25">
      <c r="A475" t="s">
        <v>54</v>
      </c>
      <c r="B475" s="1">
        <v>42795</v>
      </c>
      <c r="C475" t="s">
        <v>57</v>
      </c>
      <c r="D475">
        <v>498.61</v>
      </c>
      <c r="E475" t="str">
        <f>VLOOKUP(C475,inf!$A$2:$B$7,2,FALSE)</f>
        <v>31 to 60</v>
      </c>
      <c r="F475" t="str">
        <f t="shared" si="8"/>
        <v>03/01/2017</v>
      </c>
      <c r="G475" t="str">
        <f>VLOOKUP(A475,inf!$D$2:$E$76,2,FALSE)</f>
        <v>Other</v>
      </c>
    </row>
    <row r="476" spans="1:7" x14ac:dyDescent="0.25">
      <c r="A476" t="s">
        <v>15</v>
      </c>
      <c r="B476" s="1">
        <v>42795</v>
      </c>
      <c r="C476" t="s">
        <v>55</v>
      </c>
      <c r="D476">
        <v>460.99</v>
      </c>
      <c r="E476" t="str">
        <f>VLOOKUP(C476,inf!$A$2:$B$7,2,FALSE)</f>
        <v>Current</v>
      </c>
      <c r="F476" t="str">
        <f t="shared" si="8"/>
        <v>03/01/2017</v>
      </c>
      <c r="G476" t="str">
        <f>VLOOKUP(A476,inf!$D$2:$E$76,2,FALSE)</f>
        <v>Other</v>
      </c>
    </row>
    <row r="477" spans="1:7" x14ac:dyDescent="0.25">
      <c r="A477" t="s">
        <v>15</v>
      </c>
      <c r="B477" s="1">
        <v>42795</v>
      </c>
      <c r="C477" t="s">
        <v>56</v>
      </c>
      <c r="D477">
        <v>157.56</v>
      </c>
      <c r="E477" t="str">
        <f>VLOOKUP(C477,inf!$A$2:$B$7,2,FALSE)</f>
        <v>Current</v>
      </c>
      <c r="F477" t="str">
        <f t="shared" si="8"/>
        <v>03/01/2017</v>
      </c>
      <c r="G477" t="str">
        <f>VLOOKUP(A477,inf!$D$2:$E$76,2,FALSE)</f>
        <v>Other</v>
      </c>
    </row>
    <row r="478" spans="1:7" x14ac:dyDescent="0.25">
      <c r="A478" t="s">
        <v>15</v>
      </c>
      <c r="B478" s="1">
        <v>42795</v>
      </c>
      <c r="C478" t="s">
        <v>57</v>
      </c>
      <c r="D478">
        <v>126.05</v>
      </c>
      <c r="E478" t="str">
        <f>VLOOKUP(C478,inf!$A$2:$B$7,2,FALSE)</f>
        <v>31 to 60</v>
      </c>
      <c r="F478" t="str">
        <f t="shared" si="8"/>
        <v>03/01/2017</v>
      </c>
      <c r="G478" t="str">
        <f>VLOOKUP(A478,inf!$D$2:$E$76,2,FALSE)</f>
        <v>Other</v>
      </c>
    </row>
    <row r="479" spans="1:7" x14ac:dyDescent="0.25">
      <c r="A479" t="s">
        <v>4</v>
      </c>
      <c r="B479" s="1">
        <v>42802</v>
      </c>
      <c r="C479" t="s">
        <v>55</v>
      </c>
      <c r="D479">
        <v>507.33000000000004</v>
      </c>
      <c r="E479" t="str">
        <f>VLOOKUP(C479,inf!$A$2:$B$7,2,FALSE)</f>
        <v>Current</v>
      </c>
      <c r="F479" t="str">
        <f t="shared" si="8"/>
        <v>03/08/2017</v>
      </c>
      <c r="G479" t="str">
        <f>VLOOKUP(A479,inf!$D$2:$E$76,2,FALSE)</f>
        <v>Other</v>
      </c>
    </row>
    <row r="480" spans="1:7" x14ac:dyDescent="0.25">
      <c r="A480" t="s">
        <v>26</v>
      </c>
      <c r="B480" s="1">
        <v>42802</v>
      </c>
      <c r="C480" t="s">
        <v>59</v>
      </c>
      <c r="D480">
        <v>1380.77</v>
      </c>
      <c r="E480" t="str">
        <f>VLOOKUP(C480,inf!$A$2:$B$7,2,FALSE)</f>
        <v>Over 90</v>
      </c>
      <c r="F480" t="str">
        <f t="shared" si="8"/>
        <v>03/08/2017</v>
      </c>
      <c r="G480" t="str">
        <f>VLOOKUP(A480,inf!$D$2:$E$76,2,FALSE)</f>
        <v>Other</v>
      </c>
    </row>
    <row r="481" spans="1:7" x14ac:dyDescent="0.25">
      <c r="A481" t="s">
        <v>2</v>
      </c>
      <c r="B481" s="1">
        <v>42802</v>
      </c>
      <c r="C481" t="s">
        <v>59</v>
      </c>
      <c r="D481">
        <v>3717.8600000000006</v>
      </c>
      <c r="E481" t="str">
        <f>VLOOKUP(C481,inf!$A$2:$B$7,2,FALSE)</f>
        <v>Over 90</v>
      </c>
      <c r="F481" t="str">
        <f t="shared" si="8"/>
        <v>03/08/2017</v>
      </c>
      <c r="G481" t="str">
        <f>VLOOKUP(A481,inf!$D$2:$E$76,2,FALSE)</f>
        <v>Other</v>
      </c>
    </row>
    <row r="482" spans="1:7" x14ac:dyDescent="0.25">
      <c r="A482" t="s">
        <v>1</v>
      </c>
      <c r="B482" s="1">
        <v>42802</v>
      </c>
      <c r="C482" t="s">
        <v>58</v>
      </c>
      <c r="D482">
        <v>-850</v>
      </c>
      <c r="E482" t="str">
        <f>VLOOKUP(C482,inf!$A$2:$B$7,2,FALSE)</f>
        <v>61 to 90</v>
      </c>
      <c r="F482" t="str">
        <f t="shared" si="8"/>
        <v>03/08/2017</v>
      </c>
      <c r="G482" t="str">
        <f>VLOOKUP(A482,inf!$D$2:$E$76,2,FALSE)</f>
        <v>Other</v>
      </c>
    </row>
    <row r="483" spans="1:7" x14ac:dyDescent="0.25">
      <c r="A483" t="s">
        <v>1</v>
      </c>
      <c r="B483" s="1">
        <v>42802</v>
      </c>
      <c r="C483" t="s">
        <v>59</v>
      </c>
      <c r="D483">
        <v>-3117.63</v>
      </c>
      <c r="E483" t="str">
        <f>VLOOKUP(C483,inf!$A$2:$B$7,2,FALSE)</f>
        <v>Over 90</v>
      </c>
      <c r="F483" t="str">
        <f t="shared" si="8"/>
        <v>03/08/2017</v>
      </c>
      <c r="G483" t="str">
        <f>VLOOKUP(A483,inf!$D$2:$E$76,2,FALSE)</f>
        <v>Other</v>
      </c>
    </row>
    <row r="484" spans="1:7" x14ac:dyDescent="0.25">
      <c r="A484" t="s">
        <v>25</v>
      </c>
      <c r="B484" s="1">
        <v>42802</v>
      </c>
      <c r="C484" t="s">
        <v>56</v>
      </c>
      <c r="D484">
        <v>120.1</v>
      </c>
      <c r="E484" t="str">
        <f>VLOOKUP(C484,inf!$A$2:$B$7,2,FALSE)</f>
        <v>Current</v>
      </c>
      <c r="F484" t="str">
        <f t="shared" si="8"/>
        <v>03/08/2017</v>
      </c>
      <c r="G484" t="str">
        <f>VLOOKUP(A484,inf!$D$2:$E$76,2,FALSE)</f>
        <v>Other</v>
      </c>
    </row>
    <row r="485" spans="1:7" x14ac:dyDescent="0.25">
      <c r="A485" t="s">
        <v>21</v>
      </c>
      <c r="B485" s="1">
        <v>42802</v>
      </c>
      <c r="C485" t="s">
        <v>57</v>
      </c>
      <c r="D485">
        <v>365.84</v>
      </c>
      <c r="E485" t="str">
        <f>VLOOKUP(C485,inf!$A$2:$B$7,2,FALSE)</f>
        <v>31 to 60</v>
      </c>
      <c r="F485" t="str">
        <f t="shared" si="8"/>
        <v>03/08/2017</v>
      </c>
      <c r="G485" t="str">
        <f>VLOOKUP(A485,inf!$D$2:$E$76,2,FALSE)</f>
        <v>Other</v>
      </c>
    </row>
    <row r="486" spans="1:7" x14ac:dyDescent="0.25">
      <c r="A486" t="s">
        <v>30</v>
      </c>
      <c r="B486" s="1">
        <v>42802</v>
      </c>
      <c r="C486" t="s">
        <v>55</v>
      </c>
      <c r="D486">
        <v>610.83000000000004</v>
      </c>
      <c r="E486" t="str">
        <f>VLOOKUP(C486,inf!$A$2:$B$7,2,FALSE)</f>
        <v>Current</v>
      </c>
      <c r="F486" t="str">
        <f t="shared" si="8"/>
        <v>03/08/2017</v>
      </c>
      <c r="G486" t="str">
        <f>VLOOKUP(A486,inf!$D$2:$E$76,2,FALSE)</f>
        <v>Other</v>
      </c>
    </row>
    <row r="487" spans="1:7" x14ac:dyDescent="0.25">
      <c r="A487" t="s">
        <v>12</v>
      </c>
      <c r="B487" s="1">
        <v>42802</v>
      </c>
      <c r="C487" t="s">
        <v>59</v>
      </c>
      <c r="D487">
        <v>450.5</v>
      </c>
      <c r="E487" t="str">
        <f>VLOOKUP(C487,inf!$A$2:$B$7,2,FALSE)</f>
        <v>Over 90</v>
      </c>
      <c r="F487" t="str">
        <f t="shared" si="8"/>
        <v>03/08/2017</v>
      </c>
      <c r="G487" t="str">
        <f>VLOOKUP(A487,inf!$D$2:$E$76,2,FALSE)</f>
        <v>Other</v>
      </c>
    </row>
    <row r="488" spans="1:7" x14ac:dyDescent="0.25">
      <c r="A488" t="s">
        <v>7</v>
      </c>
      <c r="B488" s="1">
        <v>42802</v>
      </c>
      <c r="C488" t="s">
        <v>59</v>
      </c>
      <c r="D488">
        <v>639.64</v>
      </c>
      <c r="E488" t="str">
        <f>VLOOKUP(C488,inf!$A$2:$B$7,2,FALSE)</f>
        <v>Over 90</v>
      </c>
      <c r="F488" t="str">
        <f t="shared" si="8"/>
        <v>03/08/2017</v>
      </c>
      <c r="G488" t="str">
        <f>VLOOKUP(A488,inf!$D$2:$E$76,2,FALSE)</f>
        <v>SAFEWAY</v>
      </c>
    </row>
    <row r="489" spans="1:7" x14ac:dyDescent="0.25">
      <c r="A489" t="s">
        <v>7</v>
      </c>
      <c r="B489" s="1">
        <v>42802</v>
      </c>
      <c r="C489" t="s">
        <v>55</v>
      </c>
      <c r="D489">
        <v>401.56</v>
      </c>
      <c r="E489" t="str">
        <f>VLOOKUP(C489,inf!$A$2:$B$7,2,FALSE)</f>
        <v>Current</v>
      </c>
      <c r="F489" t="str">
        <f t="shared" si="8"/>
        <v>03/08/2017</v>
      </c>
      <c r="G489" t="str">
        <f>VLOOKUP(A489,inf!$D$2:$E$76,2,FALSE)</f>
        <v>SAFEWAY</v>
      </c>
    </row>
    <row r="490" spans="1:7" x14ac:dyDescent="0.25">
      <c r="A490" t="s">
        <v>7</v>
      </c>
      <c r="B490" s="1">
        <v>42802</v>
      </c>
      <c r="C490" t="s">
        <v>56</v>
      </c>
      <c r="D490">
        <v>264.52999999999997</v>
      </c>
      <c r="E490" t="str">
        <f>VLOOKUP(C490,inf!$A$2:$B$7,2,FALSE)</f>
        <v>Current</v>
      </c>
      <c r="F490" t="str">
        <f t="shared" si="8"/>
        <v>03/08/2017</v>
      </c>
      <c r="G490" t="str">
        <f>VLOOKUP(A490,inf!$D$2:$E$76,2,FALSE)</f>
        <v>SAFEWAY</v>
      </c>
    </row>
    <row r="491" spans="1:7" x14ac:dyDescent="0.25">
      <c r="A491" t="s">
        <v>5</v>
      </c>
      <c r="B491" s="1">
        <v>42802</v>
      </c>
      <c r="C491" t="s">
        <v>59</v>
      </c>
      <c r="D491">
        <v>68958.619999999981</v>
      </c>
      <c r="E491" t="str">
        <f>VLOOKUP(C491,inf!$A$2:$B$7,2,FALSE)</f>
        <v>Over 90</v>
      </c>
      <c r="F491" t="str">
        <f t="shared" si="8"/>
        <v>03/08/2017</v>
      </c>
      <c r="G491" t="str">
        <f>VLOOKUP(A491,inf!$D$2:$E$76,2,FALSE)</f>
        <v>SBUX</v>
      </c>
    </row>
    <row r="492" spans="1:7" x14ac:dyDescent="0.25">
      <c r="A492" t="s">
        <v>5</v>
      </c>
      <c r="B492" s="1">
        <v>42802</v>
      </c>
      <c r="C492" t="s">
        <v>56</v>
      </c>
      <c r="D492">
        <v>32813.80999999999</v>
      </c>
      <c r="E492" t="str">
        <f>VLOOKUP(C492,inf!$A$2:$B$7,2,FALSE)</f>
        <v>Current</v>
      </c>
      <c r="F492" t="str">
        <f t="shared" si="8"/>
        <v>03/08/2017</v>
      </c>
      <c r="G492" t="str">
        <f>VLOOKUP(A492,inf!$D$2:$E$76,2,FALSE)</f>
        <v>SBUX</v>
      </c>
    </row>
    <row r="493" spans="1:7" x14ac:dyDescent="0.25">
      <c r="A493" t="s">
        <v>5</v>
      </c>
      <c r="B493" s="1">
        <v>42802</v>
      </c>
      <c r="C493" t="s">
        <v>57</v>
      </c>
      <c r="D493">
        <v>8081.970000000003</v>
      </c>
      <c r="E493" t="str">
        <f>VLOOKUP(C493,inf!$A$2:$B$7,2,FALSE)</f>
        <v>31 to 60</v>
      </c>
      <c r="F493" t="str">
        <f t="shared" si="8"/>
        <v>03/08/2017</v>
      </c>
      <c r="G493" t="str">
        <f>VLOOKUP(A493,inf!$D$2:$E$76,2,FALSE)</f>
        <v>SBUX</v>
      </c>
    </row>
    <row r="494" spans="1:7" x14ac:dyDescent="0.25">
      <c r="A494" t="s">
        <v>5</v>
      </c>
      <c r="B494" s="1">
        <v>42802</v>
      </c>
      <c r="C494" t="s">
        <v>55</v>
      </c>
      <c r="D494">
        <v>7643.52</v>
      </c>
      <c r="E494" t="str">
        <f>VLOOKUP(C494,inf!$A$2:$B$7,2,FALSE)</f>
        <v>Current</v>
      </c>
      <c r="F494" t="str">
        <f t="shared" si="8"/>
        <v>03/08/2017</v>
      </c>
      <c r="G494" t="str">
        <f>VLOOKUP(A494,inf!$D$2:$E$76,2,FALSE)</f>
        <v>SBUX</v>
      </c>
    </row>
    <row r="495" spans="1:7" x14ac:dyDescent="0.25">
      <c r="A495" t="s">
        <v>5</v>
      </c>
      <c r="B495" s="1">
        <v>42802</v>
      </c>
      <c r="C495" t="s">
        <v>58</v>
      </c>
      <c r="D495">
        <v>3210.87</v>
      </c>
      <c r="E495" t="str">
        <f>VLOOKUP(C495,inf!$A$2:$B$7,2,FALSE)</f>
        <v>61 to 90</v>
      </c>
      <c r="F495" t="str">
        <f t="shared" si="8"/>
        <v>03/08/2017</v>
      </c>
      <c r="G495" t="str">
        <f>VLOOKUP(A495,inf!$D$2:$E$76,2,FALSE)</f>
        <v>SBUX</v>
      </c>
    </row>
    <row r="496" spans="1:7" x14ac:dyDescent="0.25">
      <c r="A496" t="s">
        <v>6</v>
      </c>
      <c r="B496" s="1">
        <v>42802</v>
      </c>
      <c r="C496" t="s">
        <v>59</v>
      </c>
      <c r="D496">
        <v>6859.1399999999994</v>
      </c>
      <c r="E496" t="str">
        <f>VLOOKUP(C496,inf!$A$2:$B$7,2,FALSE)</f>
        <v>Over 90</v>
      </c>
      <c r="F496" t="str">
        <f t="shared" si="8"/>
        <v>03/08/2017</v>
      </c>
      <c r="G496" t="str">
        <f>VLOOKUP(A496,inf!$D$2:$E$76,2,FALSE)</f>
        <v>SBUX</v>
      </c>
    </row>
    <row r="497" spans="1:7" x14ac:dyDescent="0.25">
      <c r="A497" t="s">
        <v>6</v>
      </c>
      <c r="B497" s="1">
        <v>42802</v>
      </c>
      <c r="C497" t="s">
        <v>55</v>
      </c>
      <c r="D497">
        <v>3305.21</v>
      </c>
      <c r="E497" t="str">
        <f>VLOOKUP(C497,inf!$A$2:$B$7,2,FALSE)</f>
        <v>Current</v>
      </c>
      <c r="F497" t="str">
        <f t="shared" si="8"/>
        <v>03/08/2017</v>
      </c>
      <c r="G497" t="str">
        <f>VLOOKUP(A497,inf!$D$2:$E$76,2,FALSE)</f>
        <v>SBUX</v>
      </c>
    </row>
    <row r="498" spans="1:7" x14ac:dyDescent="0.25">
      <c r="A498" t="s">
        <v>6</v>
      </c>
      <c r="B498" s="1">
        <v>42802</v>
      </c>
      <c r="C498" t="s">
        <v>56</v>
      </c>
      <c r="D498">
        <v>2233.2800000000002</v>
      </c>
      <c r="E498" t="str">
        <f>VLOOKUP(C498,inf!$A$2:$B$7,2,FALSE)</f>
        <v>Current</v>
      </c>
      <c r="F498" t="str">
        <f t="shared" si="8"/>
        <v>03/08/2017</v>
      </c>
      <c r="G498" t="str">
        <f>VLOOKUP(A498,inf!$D$2:$E$76,2,FALSE)</f>
        <v>SBUX</v>
      </c>
    </row>
    <row r="499" spans="1:7" x14ac:dyDescent="0.25">
      <c r="A499" t="s">
        <v>6</v>
      </c>
      <c r="B499" s="1">
        <v>42802</v>
      </c>
      <c r="C499" t="s">
        <v>57</v>
      </c>
      <c r="D499">
        <v>966.64</v>
      </c>
      <c r="E499" t="str">
        <f>VLOOKUP(C499,inf!$A$2:$B$7,2,FALSE)</f>
        <v>31 to 60</v>
      </c>
      <c r="F499" t="str">
        <f t="shared" si="8"/>
        <v>03/08/2017</v>
      </c>
      <c r="G499" t="str">
        <f>VLOOKUP(A499,inf!$D$2:$E$76,2,FALSE)</f>
        <v>SBUX</v>
      </c>
    </row>
    <row r="500" spans="1:7" x14ac:dyDescent="0.25">
      <c r="A500" t="s">
        <v>6</v>
      </c>
      <c r="B500" s="1">
        <v>42802</v>
      </c>
      <c r="C500" t="s">
        <v>58</v>
      </c>
      <c r="D500">
        <v>192.1</v>
      </c>
      <c r="E500" t="str">
        <f>VLOOKUP(C500,inf!$A$2:$B$7,2,FALSE)</f>
        <v>61 to 90</v>
      </c>
      <c r="F500" t="str">
        <f t="shared" si="8"/>
        <v>03/08/2017</v>
      </c>
      <c r="G500" t="str">
        <f>VLOOKUP(A500,inf!$D$2:$E$76,2,FALSE)</f>
        <v>SBUX</v>
      </c>
    </row>
    <row r="501" spans="1:7" x14ac:dyDescent="0.25">
      <c r="A501" t="s">
        <v>8</v>
      </c>
      <c r="B501" s="1">
        <v>42802</v>
      </c>
      <c r="C501" t="s">
        <v>59</v>
      </c>
      <c r="D501">
        <v>24236.730000000007</v>
      </c>
      <c r="E501" t="str">
        <f>VLOOKUP(C501,inf!$A$2:$B$7,2,FALSE)</f>
        <v>Over 90</v>
      </c>
      <c r="F501" t="str">
        <f t="shared" si="8"/>
        <v>03/08/2017</v>
      </c>
      <c r="G501" t="str">
        <f>VLOOKUP(A501,inf!$D$2:$E$76,2,FALSE)</f>
        <v>Target</v>
      </c>
    </row>
    <row r="502" spans="1:7" x14ac:dyDescent="0.25">
      <c r="A502" t="s">
        <v>8</v>
      </c>
      <c r="B502" s="1">
        <v>42802</v>
      </c>
      <c r="C502" t="s">
        <v>58</v>
      </c>
      <c r="D502">
        <v>3335.13</v>
      </c>
      <c r="E502" t="str">
        <f>VLOOKUP(C502,inf!$A$2:$B$7,2,FALSE)</f>
        <v>61 to 90</v>
      </c>
      <c r="F502" t="str">
        <f t="shared" si="8"/>
        <v>03/08/2017</v>
      </c>
      <c r="G502" t="str">
        <f>VLOOKUP(A502,inf!$D$2:$E$76,2,FALSE)</f>
        <v>Target</v>
      </c>
    </row>
    <row r="503" spans="1:7" x14ac:dyDescent="0.25">
      <c r="A503" t="s">
        <v>8</v>
      </c>
      <c r="B503" s="1">
        <v>42802</v>
      </c>
      <c r="C503" t="s">
        <v>57</v>
      </c>
      <c r="D503">
        <v>1174.76</v>
      </c>
      <c r="E503" t="str">
        <f>VLOOKUP(C503,inf!$A$2:$B$7,2,FALSE)</f>
        <v>31 to 60</v>
      </c>
      <c r="F503" t="str">
        <f t="shared" si="8"/>
        <v>03/08/2017</v>
      </c>
      <c r="G503" t="str">
        <f>VLOOKUP(A503,inf!$D$2:$E$76,2,FALSE)</f>
        <v>Target</v>
      </c>
    </row>
    <row r="504" spans="1:7" x14ac:dyDescent="0.25">
      <c r="A504" t="s">
        <v>8</v>
      </c>
      <c r="B504" s="1">
        <v>42802</v>
      </c>
      <c r="C504" t="s">
        <v>55</v>
      </c>
      <c r="D504">
        <v>597.32999999999993</v>
      </c>
      <c r="E504" t="str">
        <f>VLOOKUP(C504,inf!$A$2:$B$7,2,FALSE)</f>
        <v>Current</v>
      </c>
      <c r="F504" t="str">
        <f t="shared" si="8"/>
        <v>03/08/2017</v>
      </c>
      <c r="G504" t="str">
        <f>VLOOKUP(A504,inf!$D$2:$E$76,2,FALSE)</f>
        <v>Target</v>
      </c>
    </row>
    <row r="505" spans="1:7" x14ac:dyDescent="0.25">
      <c r="A505" t="s">
        <v>54</v>
      </c>
      <c r="B505" s="1">
        <v>42802</v>
      </c>
      <c r="C505" t="s">
        <v>55</v>
      </c>
      <c r="D505">
        <v>727.68</v>
      </c>
      <c r="E505" t="str">
        <f>VLOOKUP(C505,inf!$A$2:$B$7,2,FALSE)</f>
        <v>Current</v>
      </c>
      <c r="F505" t="str">
        <f t="shared" si="8"/>
        <v>03/08/2017</v>
      </c>
      <c r="G505" t="str">
        <f>VLOOKUP(A505,inf!$D$2:$E$76,2,FALSE)</f>
        <v>Other</v>
      </c>
    </row>
    <row r="506" spans="1:7" x14ac:dyDescent="0.25">
      <c r="A506" t="s">
        <v>54</v>
      </c>
      <c r="B506" s="1">
        <v>42802</v>
      </c>
      <c r="C506" t="s">
        <v>56</v>
      </c>
      <c r="D506">
        <v>510.01</v>
      </c>
      <c r="E506" t="str">
        <f>VLOOKUP(C506,inf!$A$2:$B$7,2,FALSE)</f>
        <v>Current</v>
      </c>
      <c r="F506" t="str">
        <f t="shared" si="8"/>
        <v>03/08/2017</v>
      </c>
      <c r="G506" t="str">
        <f>VLOOKUP(A506,inf!$D$2:$E$76,2,FALSE)</f>
        <v>Other</v>
      </c>
    </row>
    <row r="507" spans="1:7" x14ac:dyDescent="0.25">
      <c r="A507" t="s">
        <v>15</v>
      </c>
      <c r="B507" s="1">
        <v>42802</v>
      </c>
      <c r="C507" t="s">
        <v>55</v>
      </c>
      <c r="D507">
        <v>346.64</v>
      </c>
      <c r="E507" t="str">
        <f>VLOOKUP(C507,inf!$A$2:$B$7,2,FALSE)</f>
        <v>Current</v>
      </c>
      <c r="F507" t="str">
        <f t="shared" si="8"/>
        <v>03/08/2017</v>
      </c>
      <c r="G507" t="str">
        <f>VLOOKUP(A507,inf!$D$2:$E$76,2,FALSE)</f>
        <v>Other</v>
      </c>
    </row>
    <row r="508" spans="1:7" x14ac:dyDescent="0.25">
      <c r="A508" t="s">
        <v>15</v>
      </c>
      <c r="B508" s="1">
        <v>42802</v>
      </c>
      <c r="C508" t="s">
        <v>56</v>
      </c>
      <c r="D508">
        <v>126.05</v>
      </c>
      <c r="E508" t="str">
        <f>VLOOKUP(C508,inf!$A$2:$B$7,2,FALSE)</f>
        <v>Current</v>
      </c>
      <c r="F508" t="str">
        <f t="shared" si="8"/>
        <v>03/08/2017</v>
      </c>
      <c r="G508" t="str">
        <f>VLOOKUP(A508,inf!$D$2:$E$76,2,FALSE)</f>
        <v>Other</v>
      </c>
    </row>
    <row r="509" spans="1:7" x14ac:dyDescent="0.25">
      <c r="A509" t="s">
        <v>4</v>
      </c>
      <c r="B509" s="1">
        <v>42809</v>
      </c>
      <c r="C509" t="s">
        <v>55</v>
      </c>
      <c r="D509">
        <v>1527.03</v>
      </c>
      <c r="E509" s="12" t="str">
        <f>VLOOKUP(C509,inf!$A$2:$B$7,2,FALSE)</f>
        <v>Current</v>
      </c>
      <c r="F509" s="12" t="str">
        <f t="shared" si="8"/>
        <v>03/15/2017</v>
      </c>
      <c r="G509" t="str">
        <f>VLOOKUP(A509,inf!$D$2:$E$76,2,FALSE)</f>
        <v>Other</v>
      </c>
    </row>
    <row r="510" spans="1:7" x14ac:dyDescent="0.25">
      <c r="A510" t="s">
        <v>4</v>
      </c>
      <c r="B510" s="1">
        <v>42809</v>
      </c>
      <c r="C510" t="s">
        <v>56</v>
      </c>
      <c r="D510">
        <v>137.96</v>
      </c>
      <c r="E510" s="12" t="str">
        <f>VLOOKUP(C510,inf!$A$2:$B$7,2,FALSE)</f>
        <v>Current</v>
      </c>
      <c r="F510" s="12" t="str">
        <f t="shared" si="8"/>
        <v>03/15/2017</v>
      </c>
      <c r="G510" t="str">
        <f>VLOOKUP(A510,inf!$D$2:$E$76,2,FALSE)</f>
        <v>Other</v>
      </c>
    </row>
    <row r="511" spans="1:7" x14ac:dyDescent="0.25">
      <c r="A511" t="s">
        <v>26</v>
      </c>
      <c r="B511" s="1">
        <v>42809</v>
      </c>
      <c r="C511" t="s">
        <v>60</v>
      </c>
      <c r="D511">
        <v>1380.77</v>
      </c>
      <c r="E511" s="12" t="str">
        <f>VLOOKUP(C511,inf!$A$2:$B$7,2,FALSE)</f>
        <v>Over 90</v>
      </c>
      <c r="F511" s="12" t="str">
        <f t="shared" si="8"/>
        <v>03/15/2017</v>
      </c>
      <c r="G511" t="str">
        <f>VLOOKUP(A511,inf!$D$2:$E$76,2,FALSE)</f>
        <v>Other</v>
      </c>
    </row>
    <row r="512" spans="1:7" x14ac:dyDescent="0.25">
      <c r="A512" t="s">
        <v>2</v>
      </c>
      <c r="B512" s="1">
        <v>42809</v>
      </c>
      <c r="C512" t="s">
        <v>60</v>
      </c>
      <c r="D512">
        <v>3717.8600000000006</v>
      </c>
      <c r="E512" s="12" t="str">
        <f>VLOOKUP(C512,inf!$A$2:$B$7,2,FALSE)</f>
        <v>Over 90</v>
      </c>
      <c r="F512" s="12" t="str">
        <f t="shared" si="8"/>
        <v>03/15/2017</v>
      </c>
      <c r="G512" t="str">
        <f>VLOOKUP(A512,inf!$D$2:$E$76,2,FALSE)</f>
        <v>Other</v>
      </c>
    </row>
    <row r="513" spans="1:7" x14ac:dyDescent="0.25">
      <c r="A513" t="s">
        <v>1</v>
      </c>
      <c r="B513" s="1">
        <v>42809</v>
      </c>
      <c r="C513" t="s">
        <v>59</v>
      </c>
      <c r="D513">
        <v>-850</v>
      </c>
      <c r="E513" s="12" t="str">
        <f>VLOOKUP(C513,inf!$A$2:$B$7,2,FALSE)</f>
        <v>Over 90</v>
      </c>
      <c r="F513" s="12" t="str">
        <f t="shared" si="8"/>
        <v>03/15/2017</v>
      </c>
      <c r="G513" t="str">
        <f>VLOOKUP(A513,inf!$D$2:$E$76,2,FALSE)</f>
        <v>Other</v>
      </c>
    </row>
    <row r="514" spans="1:7" x14ac:dyDescent="0.25">
      <c r="A514" t="s">
        <v>1</v>
      </c>
      <c r="B514" s="1">
        <v>42809</v>
      </c>
      <c r="C514" t="s">
        <v>60</v>
      </c>
      <c r="D514">
        <v>-3117.63</v>
      </c>
      <c r="E514" s="12" t="str">
        <f>VLOOKUP(C514,inf!$A$2:$B$7,2,FALSE)</f>
        <v>Over 90</v>
      </c>
      <c r="F514" s="12" t="str">
        <f t="shared" si="8"/>
        <v>03/15/2017</v>
      </c>
      <c r="G514" t="str">
        <f>VLOOKUP(A514,inf!$D$2:$E$76,2,FALSE)</f>
        <v>Other</v>
      </c>
    </row>
    <row r="515" spans="1:7" x14ac:dyDescent="0.25">
      <c r="A515" t="s">
        <v>25</v>
      </c>
      <c r="B515" s="1">
        <v>42809</v>
      </c>
      <c r="C515" t="s">
        <v>58</v>
      </c>
      <c r="D515">
        <v>120.1</v>
      </c>
      <c r="E515" s="12" t="str">
        <f>VLOOKUP(C515,inf!$A$2:$B$7,2,FALSE)</f>
        <v>61 to 90</v>
      </c>
      <c r="F515" s="12" t="str">
        <f t="shared" ref="F515:F578" si="9">TEXT(B515,"MM/DD/YYYY")</f>
        <v>03/15/2017</v>
      </c>
      <c r="G515" t="str">
        <f>VLOOKUP(A515,inf!$D$2:$E$76,2,FALSE)</f>
        <v>Other</v>
      </c>
    </row>
    <row r="516" spans="1:7" x14ac:dyDescent="0.25">
      <c r="A516" t="s">
        <v>24</v>
      </c>
      <c r="B516" s="1">
        <v>42809</v>
      </c>
      <c r="C516" t="s">
        <v>55</v>
      </c>
      <c r="D516">
        <v>114.85</v>
      </c>
      <c r="E516" s="12" t="str">
        <f>VLOOKUP(C516,inf!$A$2:$B$7,2,FALSE)</f>
        <v>Current</v>
      </c>
      <c r="F516" s="12" t="str">
        <f t="shared" si="9"/>
        <v>03/15/2017</v>
      </c>
      <c r="G516" t="str">
        <f>VLOOKUP(A516,inf!$D$2:$E$76,2,FALSE)</f>
        <v>Other</v>
      </c>
    </row>
    <row r="517" spans="1:7" x14ac:dyDescent="0.25">
      <c r="A517" t="s">
        <v>18</v>
      </c>
      <c r="B517" s="1">
        <v>42809</v>
      </c>
      <c r="C517" t="s">
        <v>55</v>
      </c>
      <c r="D517">
        <v>248.85</v>
      </c>
      <c r="E517" s="12" t="str">
        <f>VLOOKUP(C517,inf!$A$2:$B$7,2,FALSE)</f>
        <v>Current</v>
      </c>
      <c r="F517" s="12" t="str">
        <f t="shared" si="9"/>
        <v>03/15/2017</v>
      </c>
      <c r="G517" t="str">
        <f>VLOOKUP(A517,inf!$D$2:$E$76,2,FALSE)</f>
        <v>Other</v>
      </c>
    </row>
    <row r="518" spans="1:7" x14ac:dyDescent="0.25">
      <c r="A518" t="s">
        <v>27</v>
      </c>
      <c r="B518" s="1">
        <v>42809</v>
      </c>
      <c r="C518" t="s">
        <v>55</v>
      </c>
      <c r="D518">
        <v>1620.93</v>
      </c>
      <c r="E518" s="12" t="str">
        <f>VLOOKUP(C518,inf!$A$2:$B$7,2,FALSE)</f>
        <v>Current</v>
      </c>
      <c r="F518" s="12" t="str">
        <f t="shared" si="9"/>
        <v>03/15/2017</v>
      </c>
      <c r="G518" t="str">
        <f>VLOOKUP(A518,inf!$D$2:$E$76,2,FALSE)</f>
        <v>Other</v>
      </c>
    </row>
    <row r="519" spans="1:7" x14ac:dyDescent="0.25">
      <c r="A519" t="s">
        <v>27</v>
      </c>
      <c r="B519" s="1">
        <v>42809</v>
      </c>
      <c r="C519" t="s">
        <v>56</v>
      </c>
      <c r="D519">
        <v>225.63</v>
      </c>
      <c r="E519" s="12" t="str">
        <f>VLOOKUP(C519,inf!$A$2:$B$7,2,FALSE)</f>
        <v>Current</v>
      </c>
      <c r="F519" s="12" t="str">
        <f t="shared" si="9"/>
        <v>03/15/2017</v>
      </c>
      <c r="G519" t="str">
        <f>VLOOKUP(A519,inf!$D$2:$E$76,2,FALSE)</f>
        <v>Other</v>
      </c>
    </row>
    <row r="520" spans="1:7" x14ac:dyDescent="0.25">
      <c r="A520" t="s">
        <v>62</v>
      </c>
      <c r="B520" s="1">
        <v>42809</v>
      </c>
      <c r="C520" t="s">
        <v>55</v>
      </c>
      <c r="D520">
        <v>238.6</v>
      </c>
      <c r="E520" s="12" t="str">
        <f>VLOOKUP(C520,inf!$A$2:$B$7,2,FALSE)</f>
        <v>Current</v>
      </c>
      <c r="F520" s="12" t="str">
        <f t="shared" si="9"/>
        <v>03/15/2017</v>
      </c>
      <c r="G520" t="str">
        <f>VLOOKUP(A520,inf!$D$2:$E$76,2,FALSE)</f>
        <v>Other</v>
      </c>
    </row>
    <row r="521" spans="1:7" x14ac:dyDescent="0.25">
      <c r="A521" t="s">
        <v>21</v>
      </c>
      <c r="B521" s="1">
        <v>42809</v>
      </c>
      <c r="C521" t="s">
        <v>55</v>
      </c>
      <c r="D521">
        <v>3532.48</v>
      </c>
      <c r="E521" s="12" t="str">
        <f>VLOOKUP(C521,inf!$A$2:$B$7,2,FALSE)</f>
        <v>Current</v>
      </c>
      <c r="F521" s="12" t="str">
        <f t="shared" si="9"/>
        <v>03/15/2017</v>
      </c>
      <c r="G521" t="str">
        <f>VLOOKUP(A521,inf!$D$2:$E$76,2,FALSE)</f>
        <v>Other</v>
      </c>
    </row>
    <row r="522" spans="1:7" x14ac:dyDescent="0.25">
      <c r="A522" t="s">
        <v>21</v>
      </c>
      <c r="B522" s="1">
        <v>42809</v>
      </c>
      <c r="C522" t="s">
        <v>57</v>
      </c>
      <c r="D522">
        <v>365.84</v>
      </c>
      <c r="E522" s="12" t="str">
        <f>VLOOKUP(C522,inf!$A$2:$B$7,2,FALSE)</f>
        <v>31 to 60</v>
      </c>
      <c r="F522" s="12" t="str">
        <f t="shared" si="9"/>
        <v>03/15/2017</v>
      </c>
      <c r="G522" t="str">
        <f>VLOOKUP(A522,inf!$D$2:$E$76,2,FALSE)</f>
        <v>Other</v>
      </c>
    </row>
    <row r="523" spans="1:7" x14ac:dyDescent="0.25">
      <c r="A523" t="s">
        <v>3</v>
      </c>
      <c r="B523" s="1">
        <v>42809</v>
      </c>
      <c r="C523" t="s">
        <v>55</v>
      </c>
      <c r="D523">
        <v>7402.619999999999</v>
      </c>
      <c r="E523" s="12" t="str">
        <f>VLOOKUP(C523,inf!$A$2:$B$7,2,FALSE)</f>
        <v>Current</v>
      </c>
      <c r="F523" s="12" t="str">
        <f t="shared" si="9"/>
        <v>03/15/2017</v>
      </c>
      <c r="G523" t="str">
        <f>VLOOKUP(A523,inf!$D$2:$E$76,2,FALSE)</f>
        <v>Other</v>
      </c>
    </row>
    <row r="524" spans="1:7" x14ac:dyDescent="0.25">
      <c r="A524" t="s">
        <v>30</v>
      </c>
      <c r="B524" s="1">
        <v>42809</v>
      </c>
      <c r="C524" t="s">
        <v>55</v>
      </c>
      <c r="D524">
        <v>1532.19</v>
      </c>
      <c r="E524" s="12" t="str">
        <f>VLOOKUP(C524,inf!$A$2:$B$7,2,FALSE)</f>
        <v>Current</v>
      </c>
      <c r="F524" s="12" t="str">
        <f t="shared" si="9"/>
        <v>03/15/2017</v>
      </c>
      <c r="G524" t="str">
        <f>VLOOKUP(A524,inf!$D$2:$E$76,2,FALSE)</f>
        <v>Other</v>
      </c>
    </row>
    <row r="525" spans="1:7" x14ac:dyDescent="0.25">
      <c r="A525" t="s">
        <v>30</v>
      </c>
      <c r="B525" s="1">
        <v>42809</v>
      </c>
      <c r="C525" t="s">
        <v>57</v>
      </c>
      <c r="D525">
        <v>610.83000000000004</v>
      </c>
      <c r="E525" s="12" t="str">
        <f>VLOOKUP(C525,inf!$A$2:$B$7,2,FALSE)</f>
        <v>31 to 60</v>
      </c>
      <c r="F525" s="12" t="str">
        <f t="shared" si="9"/>
        <v>03/15/2017</v>
      </c>
      <c r="G525" t="str">
        <f>VLOOKUP(A525,inf!$D$2:$E$76,2,FALSE)</f>
        <v>Other</v>
      </c>
    </row>
    <row r="526" spans="1:7" x14ac:dyDescent="0.25">
      <c r="A526" t="s">
        <v>12</v>
      </c>
      <c r="B526" s="1">
        <v>42809</v>
      </c>
      <c r="C526" t="s">
        <v>60</v>
      </c>
      <c r="D526">
        <v>450.5</v>
      </c>
      <c r="E526" s="12" t="str">
        <f>VLOOKUP(C526,inf!$A$2:$B$7,2,FALSE)</f>
        <v>Over 90</v>
      </c>
      <c r="F526" s="12" t="str">
        <f t="shared" si="9"/>
        <v>03/15/2017</v>
      </c>
      <c r="G526" t="str">
        <f>VLOOKUP(A526,inf!$D$2:$E$76,2,FALSE)</f>
        <v>Other</v>
      </c>
    </row>
    <row r="527" spans="1:7" x14ac:dyDescent="0.25">
      <c r="A527" t="s">
        <v>12</v>
      </c>
      <c r="B527" s="1">
        <v>42809</v>
      </c>
      <c r="C527" t="s">
        <v>55</v>
      </c>
      <c r="D527">
        <v>260</v>
      </c>
      <c r="E527" s="12" t="str">
        <f>VLOOKUP(C527,inf!$A$2:$B$7,2,FALSE)</f>
        <v>Current</v>
      </c>
      <c r="F527" s="12" t="str">
        <f t="shared" si="9"/>
        <v>03/15/2017</v>
      </c>
      <c r="G527" t="str">
        <f>VLOOKUP(A527,inf!$D$2:$E$76,2,FALSE)</f>
        <v>Other</v>
      </c>
    </row>
    <row r="528" spans="1:7" x14ac:dyDescent="0.25">
      <c r="A528" t="s">
        <v>7</v>
      </c>
      <c r="B528" s="1">
        <v>42809</v>
      </c>
      <c r="C528" t="s">
        <v>55</v>
      </c>
      <c r="D528">
        <v>50378.659999999945</v>
      </c>
      <c r="E528" s="12" t="str">
        <f>VLOOKUP(C528,inf!$A$2:$B$7,2,FALSE)</f>
        <v>Current</v>
      </c>
      <c r="F528" s="12" t="str">
        <f t="shared" si="9"/>
        <v>03/15/2017</v>
      </c>
      <c r="G528" t="str">
        <f>VLOOKUP(A528,inf!$D$2:$E$76,2,FALSE)</f>
        <v>SAFEWAY</v>
      </c>
    </row>
    <row r="529" spans="1:7" x14ac:dyDescent="0.25">
      <c r="A529" t="s">
        <v>7</v>
      </c>
      <c r="B529" s="1">
        <v>42809</v>
      </c>
      <c r="C529" t="s">
        <v>56</v>
      </c>
      <c r="D529">
        <v>1106.3699999999999</v>
      </c>
      <c r="E529" s="12" t="str">
        <f>VLOOKUP(C529,inf!$A$2:$B$7,2,FALSE)</f>
        <v>Current</v>
      </c>
      <c r="F529" s="12" t="str">
        <f t="shared" si="9"/>
        <v>03/15/2017</v>
      </c>
      <c r="G529" t="str">
        <f>VLOOKUP(A529,inf!$D$2:$E$76,2,FALSE)</f>
        <v>SAFEWAY</v>
      </c>
    </row>
    <row r="530" spans="1:7" x14ac:dyDescent="0.25">
      <c r="A530" t="s">
        <v>7</v>
      </c>
      <c r="B530" s="1">
        <v>42809</v>
      </c>
      <c r="C530" t="s">
        <v>60</v>
      </c>
      <c r="D530">
        <v>639.64</v>
      </c>
      <c r="E530" s="12" t="str">
        <f>VLOOKUP(C530,inf!$A$2:$B$7,2,FALSE)</f>
        <v>Over 90</v>
      </c>
      <c r="F530" s="12" t="str">
        <f t="shared" si="9"/>
        <v>03/15/2017</v>
      </c>
      <c r="G530" t="str">
        <f>VLOOKUP(A530,inf!$D$2:$E$76,2,FALSE)</f>
        <v>SAFEWAY</v>
      </c>
    </row>
    <row r="531" spans="1:7" x14ac:dyDescent="0.25">
      <c r="A531" t="s">
        <v>7</v>
      </c>
      <c r="B531" s="1">
        <v>42809</v>
      </c>
      <c r="C531" t="s">
        <v>57</v>
      </c>
      <c r="D531">
        <v>264.52999999999997</v>
      </c>
      <c r="E531" s="12" t="str">
        <f>VLOOKUP(C531,inf!$A$2:$B$7,2,FALSE)</f>
        <v>31 to 60</v>
      </c>
      <c r="F531" s="12" t="str">
        <f t="shared" si="9"/>
        <v>03/15/2017</v>
      </c>
      <c r="G531" t="str">
        <f>VLOOKUP(A531,inf!$D$2:$E$76,2,FALSE)</f>
        <v>SAFEWAY</v>
      </c>
    </row>
    <row r="532" spans="1:7" x14ac:dyDescent="0.25">
      <c r="A532" t="s">
        <v>5</v>
      </c>
      <c r="B532" s="1">
        <v>42809</v>
      </c>
      <c r="C532" t="s">
        <v>55</v>
      </c>
      <c r="D532">
        <v>5122810.8599995561</v>
      </c>
      <c r="E532" s="12" t="str">
        <f>VLOOKUP(C532,inf!$A$2:$B$7,2,FALSE)</f>
        <v>Current</v>
      </c>
      <c r="F532" s="12" t="str">
        <f t="shared" si="9"/>
        <v>03/15/2017</v>
      </c>
      <c r="G532" t="str">
        <f>VLOOKUP(A532,inf!$D$2:$E$76,2,FALSE)</f>
        <v>SBUX</v>
      </c>
    </row>
    <row r="533" spans="1:7" x14ac:dyDescent="0.25">
      <c r="A533" t="s">
        <v>5</v>
      </c>
      <c r="B533" s="1">
        <v>42809</v>
      </c>
      <c r="C533" t="s">
        <v>60</v>
      </c>
      <c r="D533">
        <v>69485.989999999976</v>
      </c>
      <c r="E533" s="12" t="str">
        <f>VLOOKUP(C533,inf!$A$2:$B$7,2,FALSE)</f>
        <v>Over 90</v>
      </c>
      <c r="F533" s="12" t="str">
        <f t="shared" si="9"/>
        <v>03/15/2017</v>
      </c>
      <c r="G533" t="str">
        <f>VLOOKUP(A533,inf!$D$2:$E$76,2,FALSE)</f>
        <v>SBUX</v>
      </c>
    </row>
    <row r="534" spans="1:7" x14ac:dyDescent="0.25">
      <c r="A534" t="s">
        <v>5</v>
      </c>
      <c r="B534" s="1">
        <v>42809</v>
      </c>
      <c r="C534" t="s">
        <v>57</v>
      </c>
      <c r="D534">
        <v>33863.039999999986</v>
      </c>
      <c r="E534" s="12" t="str">
        <f>VLOOKUP(C534,inf!$A$2:$B$7,2,FALSE)</f>
        <v>31 to 60</v>
      </c>
      <c r="F534" s="12" t="str">
        <f t="shared" si="9"/>
        <v>03/15/2017</v>
      </c>
      <c r="G534" t="str">
        <f>VLOOKUP(A534,inf!$D$2:$E$76,2,FALSE)</f>
        <v>SBUX</v>
      </c>
    </row>
    <row r="535" spans="1:7" x14ac:dyDescent="0.25">
      <c r="A535" t="s">
        <v>5</v>
      </c>
      <c r="B535" s="1">
        <v>42809</v>
      </c>
      <c r="C535" t="s">
        <v>56</v>
      </c>
      <c r="D535">
        <v>9100.39</v>
      </c>
      <c r="E535" s="12" t="str">
        <f>VLOOKUP(C535,inf!$A$2:$B$7,2,FALSE)</f>
        <v>Current</v>
      </c>
      <c r="F535" s="12" t="str">
        <f t="shared" si="9"/>
        <v>03/15/2017</v>
      </c>
      <c r="G535" t="str">
        <f>VLOOKUP(A535,inf!$D$2:$E$76,2,FALSE)</f>
        <v>SBUX</v>
      </c>
    </row>
    <row r="536" spans="1:7" x14ac:dyDescent="0.25">
      <c r="A536" t="s">
        <v>5</v>
      </c>
      <c r="B536" s="1">
        <v>42809</v>
      </c>
      <c r="C536" t="s">
        <v>58</v>
      </c>
      <c r="D536">
        <v>7853.1700000000028</v>
      </c>
      <c r="E536" s="12" t="str">
        <f>VLOOKUP(C536,inf!$A$2:$B$7,2,FALSE)</f>
        <v>61 to 90</v>
      </c>
      <c r="F536" s="12" t="str">
        <f t="shared" si="9"/>
        <v>03/15/2017</v>
      </c>
      <c r="G536" t="str">
        <f>VLOOKUP(A536,inf!$D$2:$E$76,2,FALSE)</f>
        <v>SBUX</v>
      </c>
    </row>
    <row r="537" spans="1:7" x14ac:dyDescent="0.25">
      <c r="A537" t="s">
        <v>5</v>
      </c>
      <c r="B537" s="1">
        <v>42809</v>
      </c>
      <c r="C537" t="s">
        <v>59</v>
      </c>
      <c r="D537">
        <v>2912.3</v>
      </c>
      <c r="E537" s="12" t="str">
        <f>VLOOKUP(C537,inf!$A$2:$B$7,2,FALSE)</f>
        <v>Over 90</v>
      </c>
      <c r="F537" s="12" t="str">
        <f t="shared" si="9"/>
        <v>03/15/2017</v>
      </c>
      <c r="G537" t="str">
        <f>VLOOKUP(A537,inf!$D$2:$E$76,2,FALSE)</f>
        <v>SBUX</v>
      </c>
    </row>
    <row r="538" spans="1:7" x14ac:dyDescent="0.25">
      <c r="A538" t="s">
        <v>6</v>
      </c>
      <c r="B538" s="1">
        <v>42809</v>
      </c>
      <c r="C538" t="s">
        <v>55</v>
      </c>
      <c r="D538">
        <v>527307.76999999757</v>
      </c>
      <c r="E538" s="12" t="str">
        <f>VLOOKUP(C538,inf!$A$2:$B$7,2,FALSE)</f>
        <v>Current</v>
      </c>
      <c r="F538" s="12" t="str">
        <f t="shared" si="9"/>
        <v>03/15/2017</v>
      </c>
      <c r="G538" t="str">
        <f>VLOOKUP(A538,inf!$D$2:$E$76,2,FALSE)</f>
        <v>SBUX</v>
      </c>
    </row>
    <row r="539" spans="1:7" x14ac:dyDescent="0.25">
      <c r="A539" t="s">
        <v>6</v>
      </c>
      <c r="B539" s="1">
        <v>42809</v>
      </c>
      <c r="C539" t="s">
        <v>60</v>
      </c>
      <c r="D539">
        <v>6859.1399999999994</v>
      </c>
      <c r="E539" s="12" t="str">
        <f>VLOOKUP(C539,inf!$A$2:$B$7,2,FALSE)</f>
        <v>Over 90</v>
      </c>
      <c r="F539" s="12" t="str">
        <f t="shared" si="9"/>
        <v>03/15/2017</v>
      </c>
      <c r="G539" t="str">
        <f>VLOOKUP(A539,inf!$D$2:$E$76,2,FALSE)</f>
        <v>SBUX</v>
      </c>
    </row>
    <row r="540" spans="1:7" x14ac:dyDescent="0.25">
      <c r="A540" t="s">
        <v>6</v>
      </c>
      <c r="B540" s="1">
        <v>42809</v>
      </c>
      <c r="C540" t="s">
        <v>56</v>
      </c>
      <c r="D540">
        <v>3198.99</v>
      </c>
      <c r="E540" s="12" t="str">
        <f>VLOOKUP(C540,inf!$A$2:$B$7,2,FALSE)</f>
        <v>Current</v>
      </c>
      <c r="F540" s="12" t="str">
        <f t="shared" si="9"/>
        <v>03/15/2017</v>
      </c>
      <c r="G540" t="str">
        <f>VLOOKUP(A540,inf!$D$2:$E$76,2,FALSE)</f>
        <v>SBUX</v>
      </c>
    </row>
    <row r="541" spans="1:7" x14ac:dyDescent="0.25">
      <c r="A541" t="s">
        <v>6</v>
      </c>
      <c r="B541" s="1">
        <v>42809</v>
      </c>
      <c r="C541" t="s">
        <v>57</v>
      </c>
      <c r="D541">
        <v>2233.2800000000002</v>
      </c>
      <c r="E541" s="12" t="str">
        <f>VLOOKUP(C541,inf!$A$2:$B$7,2,FALSE)</f>
        <v>31 to 60</v>
      </c>
      <c r="F541" s="12" t="str">
        <f t="shared" si="9"/>
        <v>03/15/2017</v>
      </c>
      <c r="G541" t="str">
        <f>VLOOKUP(A541,inf!$D$2:$E$76,2,FALSE)</f>
        <v>SBUX</v>
      </c>
    </row>
    <row r="542" spans="1:7" x14ac:dyDescent="0.25">
      <c r="A542" t="s">
        <v>6</v>
      </c>
      <c r="B542" s="1">
        <v>42809</v>
      </c>
      <c r="C542" t="s">
        <v>58</v>
      </c>
      <c r="D542">
        <v>966.64</v>
      </c>
      <c r="E542" s="12" t="str">
        <f>VLOOKUP(C542,inf!$A$2:$B$7,2,FALSE)</f>
        <v>61 to 90</v>
      </c>
      <c r="F542" s="12" t="str">
        <f t="shared" si="9"/>
        <v>03/15/2017</v>
      </c>
      <c r="G542" t="str">
        <f>VLOOKUP(A542,inf!$D$2:$E$76,2,FALSE)</f>
        <v>SBUX</v>
      </c>
    </row>
    <row r="543" spans="1:7" x14ac:dyDescent="0.25">
      <c r="A543" t="s">
        <v>6</v>
      </c>
      <c r="B543" s="1">
        <v>42809</v>
      </c>
      <c r="C543" t="s">
        <v>59</v>
      </c>
      <c r="D543">
        <v>192.1</v>
      </c>
      <c r="E543" s="12" t="str">
        <f>VLOOKUP(C543,inf!$A$2:$B$7,2,FALSE)</f>
        <v>Over 90</v>
      </c>
      <c r="F543" s="12" t="str">
        <f t="shared" si="9"/>
        <v>03/15/2017</v>
      </c>
      <c r="G543" t="str">
        <f>VLOOKUP(A543,inf!$D$2:$E$76,2,FALSE)</f>
        <v>SBUX</v>
      </c>
    </row>
    <row r="544" spans="1:7" x14ac:dyDescent="0.25">
      <c r="A544" t="s">
        <v>8</v>
      </c>
      <c r="B544" s="1">
        <v>42809</v>
      </c>
      <c r="C544" t="s">
        <v>55</v>
      </c>
      <c r="D544">
        <v>488067.23000000021</v>
      </c>
      <c r="E544" s="12" t="str">
        <f>VLOOKUP(C544,inf!$A$2:$B$7,2,FALSE)</f>
        <v>Current</v>
      </c>
      <c r="F544" s="12" t="str">
        <f t="shared" si="9"/>
        <v>03/15/2017</v>
      </c>
      <c r="G544" t="str">
        <f>VLOOKUP(A544,inf!$D$2:$E$76,2,FALSE)</f>
        <v>Target</v>
      </c>
    </row>
    <row r="545" spans="1:7" x14ac:dyDescent="0.25">
      <c r="A545" t="s">
        <v>8</v>
      </c>
      <c r="B545" s="1">
        <v>42809</v>
      </c>
      <c r="C545" t="s">
        <v>60</v>
      </c>
      <c r="D545">
        <v>24236.730000000007</v>
      </c>
      <c r="E545" s="12" t="str">
        <f>VLOOKUP(C545,inf!$A$2:$B$7,2,FALSE)</f>
        <v>Over 90</v>
      </c>
      <c r="F545" s="12" t="str">
        <f t="shared" si="9"/>
        <v>03/15/2017</v>
      </c>
      <c r="G545" t="str">
        <f>VLOOKUP(A545,inf!$D$2:$E$76,2,FALSE)</f>
        <v>Target</v>
      </c>
    </row>
    <row r="546" spans="1:7" x14ac:dyDescent="0.25">
      <c r="A546" t="s">
        <v>8</v>
      </c>
      <c r="B546" s="1">
        <v>42809</v>
      </c>
      <c r="C546" t="s">
        <v>59</v>
      </c>
      <c r="D546">
        <v>1886.99</v>
      </c>
      <c r="E546" s="12" t="str">
        <f>VLOOKUP(C546,inf!$A$2:$B$7,2,FALSE)</f>
        <v>Over 90</v>
      </c>
      <c r="F546" s="12" t="str">
        <f t="shared" si="9"/>
        <v>03/15/2017</v>
      </c>
      <c r="G546" t="str">
        <f>VLOOKUP(A546,inf!$D$2:$E$76,2,FALSE)</f>
        <v>Target</v>
      </c>
    </row>
    <row r="547" spans="1:7" x14ac:dyDescent="0.25">
      <c r="A547" t="s">
        <v>8</v>
      </c>
      <c r="B547" s="1">
        <v>42809</v>
      </c>
      <c r="C547" t="s">
        <v>58</v>
      </c>
      <c r="D547">
        <v>952.49</v>
      </c>
      <c r="E547" s="12" t="str">
        <f>VLOOKUP(C547,inf!$A$2:$B$7,2,FALSE)</f>
        <v>61 to 90</v>
      </c>
      <c r="F547" s="12" t="str">
        <f t="shared" si="9"/>
        <v>03/15/2017</v>
      </c>
      <c r="G547" t="str">
        <f>VLOOKUP(A547,inf!$D$2:$E$76,2,FALSE)</f>
        <v>Target</v>
      </c>
    </row>
    <row r="548" spans="1:7" x14ac:dyDescent="0.25">
      <c r="A548" t="s">
        <v>8</v>
      </c>
      <c r="B548" s="1">
        <v>42809</v>
      </c>
      <c r="C548" t="s">
        <v>56</v>
      </c>
      <c r="D548">
        <v>760.19</v>
      </c>
      <c r="E548" s="12" t="str">
        <f>VLOOKUP(C548,inf!$A$2:$B$7,2,FALSE)</f>
        <v>Current</v>
      </c>
      <c r="F548" s="12" t="str">
        <f t="shared" si="9"/>
        <v>03/15/2017</v>
      </c>
      <c r="G548" t="str">
        <f>VLOOKUP(A548,inf!$D$2:$E$76,2,FALSE)</f>
        <v>Target</v>
      </c>
    </row>
    <row r="549" spans="1:7" x14ac:dyDescent="0.25">
      <c r="A549" t="s">
        <v>8</v>
      </c>
      <c r="B549" s="1">
        <v>42809</v>
      </c>
      <c r="C549" t="s">
        <v>57</v>
      </c>
      <c r="D549">
        <v>172.28</v>
      </c>
      <c r="E549" s="12" t="str">
        <f>VLOOKUP(C549,inf!$A$2:$B$7,2,FALSE)</f>
        <v>31 to 60</v>
      </c>
      <c r="F549" s="12" t="str">
        <f t="shared" si="9"/>
        <v>03/15/2017</v>
      </c>
      <c r="G549" t="str">
        <f>VLOOKUP(A549,inf!$D$2:$E$76,2,FALSE)</f>
        <v>Target</v>
      </c>
    </row>
    <row r="550" spans="1:7" x14ac:dyDescent="0.25">
      <c r="A550" t="s">
        <v>54</v>
      </c>
      <c r="B550" s="1">
        <v>42809</v>
      </c>
      <c r="C550" t="s">
        <v>55</v>
      </c>
      <c r="D550">
        <v>906.2</v>
      </c>
      <c r="E550" s="12" t="str">
        <f>VLOOKUP(C550,inf!$A$2:$B$7,2,FALSE)</f>
        <v>Current</v>
      </c>
      <c r="F550" s="12" t="str">
        <f t="shared" si="9"/>
        <v>03/15/2017</v>
      </c>
      <c r="G550" t="str">
        <f>VLOOKUP(A550,inf!$D$2:$E$76,2,FALSE)</f>
        <v>Other</v>
      </c>
    </row>
    <row r="551" spans="1:7" x14ac:dyDescent="0.25">
      <c r="A551" t="s">
        <v>54</v>
      </c>
      <c r="B551" s="1">
        <v>42809</v>
      </c>
      <c r="C551" t="s">
        <v>56</v>
      </c>
      <c r="D551">
        <v>727.68</v>
      </c>
      <c r="E551" s="12" t="str">
        <f>VLOOKUP(C551,inf!$A$2:$B$7,2,FALSE)</f>
        <v>Current</v>
      </c>
      <c r="F551" s="12" t="str">
        <f t="shared" si="9"/>
        <v>03/15/2017</v>
      </c>
      <c r="G551" t="str">
        <f>VLOOKUP(A551,inf!$D$2:$E$76,2,FALSE)</f>
        <v>Other</v>
      </c>
    </row>
    <row r="552" spans="1:7" x14ac:dyDescent="0.25">
      <c r="A552" t="s">
        <v>54</v>
      </c>
      <c r="B552" s="1">
        <v>42809</v>
      </c>
      <c r="C552" t="s">
        <v>57</v>
      </c>
      <c r="D552">
        <v>504.39</v>
      </c>
      <c r="E552" s="12" t="str">
        <f>VLOOKUP(C552,inf!$A$2:$B$7,2,FALSE)</f>
        <v>31 to 60</v>
      </c>
      <c r="F552" s="12" t="str">
        <f t="shared" si="9"/>
        <v>03/15/2017</v>
      </c>
      <c r="G552" t="str">
        <f>VLOOKUP(A552,inf!$D$2:$E$76,2,FALSE)</f>
        <v>Other</v>
      </c>
    </row>
    <row r="553" spans="1:7" x14ac:dyDescent="0.25">
      <c r="A553" t="s">
        <v>54</v>
      </c>
      <c r="B553" s="1">
        <v>42809</v>
      </c>
      <c r="C553" t="s">
        <v>58</v>
      </c>
      <c r="D553">
        <v>5.62</v>
      </c>
      <c r="E553" s="12" t="str">
        <f>VLOOKUP(C553,inf!$A$2:$B$7,2,FALSE)</f>
        <v>61 to 90</v>
      </c>
      <c r="F553" s="12" t="str">
        <f t="shared" si="9"/>
        <v>03/15/2017</v>
      </c>
      <c r="G553" t="str">
        <f>VLOOKUP(A553,inf!$D$2:$E$76,2,FALSE)</f>
        <v>Other</v>
      </c>
    </row>
    <row r="554" spans="1:7" x14ac:dyDescent="0.25">
      <c r="A554" t="s">
        <v>15</v>
      </c>
      <c r="B554" s="1">
        <v>42809</v>
      </c>
      <c r="C554" t="s">
        <v>55</v>
      </c>
      <c r="D554">
        <v>271.91000000000003</v>
      </c>
      <c r="E554" s="12" t="str">
        <f>VLOOKUP(C554,inf!$A$2:$B$7,2,FALSE)</f>
        <v>Current</v>
      </c>
      <c r="F554" s="12" t="str">
        <f t="shared" si="9"/>
        <v>03/15/2017</v>
      </c>
      <c r="G554" t="str">
        <f>VLOOKUP(A554,inf!$D$2:$E$76,2,FALSE)</f>
        <v>Other</v>
      </c>
    </row>
    <row r="555" spans="1:7" x14ac:dyDescent="0.25">
      <c r="A555" t="s">
        <v>15</v>
      </c>
      <c r="B555" s="1">
        <v>42809</v>
      </c>
      <c r="C555" t="s">
        <v>56</v>
      </c>
      <c r="D555">
        <v>189.08</v>
      </c>
      <c r="E555" s="12" t="str">
        <f>VLOOKUP(C555,inf!$A$2:$B$7,2,FALSE)</f>
        <v>Current</v>
      </c>
      <c r="F555" s="12" t="str">
        <f t="shared" si="9"/>
        <v>03/15/2017</v>
      </c>
      <c r="G555" t="str">
        <f>VLOOKUP(A555,inf!$D$2:$E$76,2,FALSE)</f>
        <v>Other</v>
      </c>
    </row>
    <row r="556" spans="1:7" x14ac:dyDescent="0.25">
      <c r="A556" t="s">
        <v>15</v>
      </c>
      <c r="B556" s="1">
        <v>42809</v>
      </c>
      <c r="C556" t="s">
        <v>57</v>
      </c>
      <c r="D556">
        <v>126.05</v>
      </c>
      <c r="E556" s="12" t="str">
        <f>VLOOKUP(C556,inf!$A$2:$B$7,2,FALSE)</f>
        <v>31 to 60</v>
      </c>
      <c r="F556" s="12" t="str">
        <f t="shared" si="9"/>
        <v>03/15/2017</v>
      </c>
      <c r="G556" t="str">
        <f>VLOOKUP(A556,inf!$D$2:$E$76,2,FALSE)</f>
        <v>Other</v>
      </c>
    </row>
    <row r="557" spans="1:7" x14ac:dyDescent="0.25">
      <c r="A557" t="s">
        <v>4</v>
      </c>
      <c r="B557" s="1">
        <v>42816</v>
      </c>
      <c r="C557" t="s">
        <v>55</v>
      </c>
      <c r="D557">
        <v>4030.95</v>
      </c>
      <c r="E557" t="str">
        <f>VLOOKUP(C557,inf!$A$2:$B$7,2,FALSE)</f>
        <v>Current</v>
      </c>
      <c r="F557" t="str">
        <f t="shared" si="9"/>
        <v>03/22/2017</v>
      </c>
      <c r="G557" t="str">
        <f>VLOOKUP(A557,inf!$D$2:$E$76,2,FALSE)</f>
        <v>Other</v>
      </c>
    </row>
    <row r="558" spans="1:7" x14ac:dyDescent="0.25">
      <c r="A558" t="s">
        <v>4</v>
      </c>
      <c r="B558" s="1">
        <v>42816</v>
      </c>
      <c r="C558" t="s">
        <v>56</v>
      </c>
      <c r="D558">
        <v>318.51</v>
      </c>
      <c r="E558" t="str">
        <f>VLOOKUP(C558,inf!$A$2:$B$7,2,FALSE)</f>
        <v>Current</v>
      </c>
      <c r="F558" t="str">
        <f t="shared" si="9"/>
        <v>03/22/2017</v>
      </c>
      <c r="G558" t="str">
        <f>VLOOKUP(A558,inf!$D$2:$E$76,2,FALSE)</f>
        <v>Other</v>
      </c>
    </row>
    <row r="559" spans="1:7" x14ac:dyDescent="0.25">
      <c r="A559" t="s">
        <v>26</v>
      </c>
      <c r="B559" s="1">
        <v>42816</v>
      </c>
      <c r="C559" t="s">
        <v>60</v>
      </c>
      <c r="D559">
        <v>1380.77</v>
      </c>
      <c r="E559" t="str">
        <f>VLOOKUP(C559,inf!$A$2:$B$7,2,FALSE)</f>
        <v>Over 90</v>
      </c>
      <c r="F559" t="str">
        <f t="shared" si="9"/>
        <v>03/22/2017</v>
      </c>
      <c r="G559" t="str">
        <f>VLOOKUP(A559,inf!$D$2:$E$76,2,FALSE)</f>
        <v>Other</v>
      </c>
    </row>
    <row r="560" spans="1:7" x14ac:dyDescent="0.25">
      <c r="A560" t="s">
        <v>2</v>
      </c>
      <c r="B560" s="1">
        <v>42816</v>
      </c>
      <c r="C560" t="s">
        <v>60</v>
      </c>
      <c r="D560">
        <v>3717.8599999999992</v>
      </c>
      <c r="E560" t="str">
        <f>VLOOKUP(C560,inf!$A$2:$B$7,2,FALSE)</f>
        <v>Over 90</v>
      </c>
      <c r="F560" t="str">
        <f t="shared" si="9"/>
        <v>03/22/2017</v>
      </c>
      <c r="G560" t="str">
        <f>VLOOKUP(A560,inf!$D$2:$E$76,2,FALSE)</f>
        <v>Other</v>
      </c>
    </row>
    <row r="561" spans="1:7" x14ac:dyDescent="0.25">
      <c r="A561" t="s">
        <v>32</v>
      </c>
      <c r="B561" s="1">
        <v>42816</v>
      </c>
      <c r="C561" t="s">
        <v>55</v>
      </c>
      <c r="D561">
        <v>126.05</v>
      </c>
      <c r="E561" t="str">
        <f>VLOOKUP(C561,inf!$A$2:$B$7,2,FALSE)</f>
        <v>Current</v>
      </c>
      <c r="F561" t="str">
        <f t="shared" si="9"/>
        <v>03/22/2017</v>
      </c>
      <c r="G561" t="str">
        <f>VLOOKUP(A561,inf!$D$2:$E$76,2,FALSE)</f>
        <v>Other</v>
      </c>
    </row>
    <row r="562" spans="1:7" x14ac:dyDescent="0.25">
      <c r="A562" t="s">
        <v>1</v>
      </c>
      <c r="B562" s="1">
        <v>42816</v>
      </c>
      <c r="C562" t="s">
        <v>59</v>
      </c>
      <c r="D562">
        <v>-850</v>
      </c>
      <c r="E562" t="str">
        <f>VLOOKUP(C562,inf!$A$2:$B$7,2,FALSE)</f>
        <v>Over 90</v>
      </c>
      <c r="F562" t="str">
        <f t="shared" si="9"/>
        <v>03/22/2017</v>
      </c>
      <c r="G562" t="str">
        <f>VLOOKUP(A562,inf!$D$2:$E$76,2,FALSE)</f>
        <v>Other</v>
      </c>
    </row>
    <row r="563" spans="1:7" x14ac:dyDescent="0.25">
      <c r="A563" t="s">
        <v>1</v>
      </c>
      <c r="B563" s="1">
        <v>42816</v>
      </c>
      <c r="C563" t="s">
        <v>60</v>
      </c>
      <c r="D563">
        <v>-3117.63</v>
      </c>
      <c r="E563" t="str">
        <f>VLOOKUP(C563,inf!$A$2:$B$7,2,FALSE)</f>
        <v>Over 90</v>
      </c>
      <c r="F563" t="str">
        <f t="shared" si="9"/>
        <v>03/22/2017</v>
      </c>
      <c r="G563" t="str">
        <f>VLOOKUP(A563,inf!$D$2:$E$76,2,FALSE)</f>
        <v>Other</v>
      </c>
    </row>
    <row r="564" spans="1:7" x14ac:dyDescent="0.25">
      <c r="A564" t="s">
        <v>11</v>
      </c>
      <c r="B564" s="1">
        <v>42816</v>
      </c>
      <c r="C564" t="s">
        <v>55</v>
      </c>
      <c r="D564">
        <v>299.89999999999998</v>
      </c>
      <c r="E564" t="str">
        <f>VLOOKUP(C564,inf!$A$2:$B$7,2,FALSE)</f>
        <v>Current</v>
      </c>
      <c r="F564" t="str">
        <f t="shared" si="9"/>
        <v>03/22/2017</v>
      </c>
      <c r="G564" t="str">
        <f>VLOOKUP(A564,inf!$D$2:$E$76,2,FALSE)</f>
        <v>Other</v>
      </c>
    </row>
    <row r="565" spans="1:7" x14ac:dyDescent="0.25">
      <c r="A565" t="s">
        <v>25</v>
      </c>
      <c r="B565" s="1">
        <v>42816</v>
      </c>
      <c r="C565" t="s">
        <v>55</v>
      </c>
      <c r="D565">
        <v>713.54</v>
      </c>
      <c r="E565" t="str">
        <f>VLOOKUP(C565,inf!$A$2:$B$7,2,FALSE)</f>
        <v>Current</v>
      </c>
      <c r="F565" t="str">
        <f t="shared" si="9"/>
        <v>03/22/2017</v>
      </c>
      <c r="G565" t="str">
        <f>VLOOKUP(A565,inf!$D$2:$E$76,2,FALSE)</f>
        <v>Other</v>
      </c>
    </row>
    <row r="566" spans="1:7" x14ac:dyDescent="0.25">
      <c r="A566" t="s">
        <v>25</v>
      </c>
      <c r="B566" s="1">
        <v>42816</v>
      </c>
      <c r="C566" t="s">
        <v>58</v>
      </c>
      <c r="D566">
        <v>120.1</v>
      </c>
      <c r="E566" t="str">
        <f>VLOOKUP(C566,inf!$A$2:$B$7,2,FALSE)</f>
        <v>61 to 90</v>
      </c>
      <c r="F566" t="str">
        <f t="shared" si="9"/>
        <v>03/22/2017</v>
      </c>
      <c r="G566" t="str">
        <f>VLOOKUP(A566,inf!$D$2:$E$76,2,FALSE)</f>
        <v>Other</v>
      </c>
    </row>
    <row r="567" spans="1:7" x14ac:dyDescent="0.25">
      <c r="A567" t="s">
        <v>24</v>
      </c>
      <c r="B567" s="1">
        <v>42816</v>
      </c>
      <c r="C567" t="s">
        <v>55</v>
      </c>
      <c r="D567">
        <v>344.77</v>
      </c>
      <c r="E567" t="str">
        <f>VLOOKUP(C567,inf!$A$2:$B$7,2,FALSE)</f>
        <v>Current</v>
      </c>
      <c r="F567" t="str">
        <f t="shared" si="9"/>
        <v>03/22/2017</v>
      </c>
      <c r="G567" t="str">
        <f>VLOOKUP(A567,inf!$D$2:$E$76,2,FALSE)</f>
        <v>Other</v>
      </c>
    </row>
    <row r="568" spans="1:7" x14ac:dyDescent="0.25">
      <c r="A568" t="s">
        <v>18</v>
      </c>
      <c r="B568" s="1">
        <v>42816</v>
      </c>
      <c r="C568" t="s">
        <v>55</v>
      </c>
      <c r="D568">
        <v>736.96</v>
      </c>
      <c r="E568" t="str">
        <f>VLOOKUP(C568,inf!$A$2:$B$7,2,FALSE)</f>
        <v>Current</v>
      </c>
      <c r="F568" t="str">
        <f t="shared" si="9"/>
        <v>03/22/2017</v>
      </c>
      <c r="G568" t="str">
        <f>VLOOKUP(A568,inf!$D$2:$E$76,2,FALSE)</f>
        <v>Other</v>
      </c>
    </row>
    <row r="569" spans="1:7" x14ac:dyDescent="0.25">
      <c r="A569" t="s">
        <v>27</v>
      </c>
      <c r="B569" s="1">
        <v>42816</v>
      </c>
      <c r="C569" t="s">
        <v>55</v>
      </c>
      <c r="D569">
        <v>916.60000000000014</v>
      </c>
      <c r="E569" t="str">
        <f>VLOOKUP(C569,inf!$A$2:$B$7,2,FALSE)</f>
        <v>Current</v>
      </c>
      <c r="F569" t="str">
        <f t="shared" si="9"/>
        <v>03/22/2017</v>
      </c>
      <c r="G569" t="str">
        <f>VLOOKUP(A569,inf!$D$2:$E$76,2,FALSE)</f>
        <v>Other</v>
      </c>
    </row>
    <row r="570" spans="1:7" x14ac:dyDescent="0.25">
      <c r="A570" t="s">
        <v>62</v>
      </c>
      <c r="B570" s="1">
        <v>42816</v>
      </c>
      <c r="C570" t="s">
        <v>55</v>
      </c>
      <c r="D570">
        <v>238.6</v>
      </c>
      <c r="E570" t="str">
        <f>VLOOKUP(C570,inf!$A$2:$B$7,2,FALSE)</f>
        <v>Current</v>
      </c>
      <c r="F570" t="str">
        <f t="shared" si="9"/>
        <v>03/22/2017</v>
      </c>
      <c r="G570" t="str">
        <f>VLOOKUP(A570,inf!$D$2:$E$76,2,FALSE)</f>
        <v>Other</v>
      </c>
    </row>
    <row r="571" spans="1:7" x14ac:dyDescent="0.25">
      <c r="A571" t="s">
        <v>21</v>
      </c>
      <c r="B571" s="1">
        <v>42816</v>
      </c>
      <c r="C571" t="s">
        <v>55</v>
      </c>
      <c r="D571">
        <v>2900.7700000000004</v>
      </c>
      <c r="E571" t="str">
        <f>VLOOKUP(C571,inf!$A$2:$B$7,2,FALSE)</f>
        <v>Current</v>
      </c>
      <c r="F571" t="str">
        <f t="shared" si="9"/>
        <v>03/22/2017</v>
      </c>
      <c r="G571" t="str">
        <f>VLOOKUP(A571,inf!$D$2:$E$76,2,FALSE)</f>
        <v>Other</v>
      </c>
    </row>
    <row r="572" spans="1:7" x14ac:dyDescent="0.25">
      <c r="A572" t="s">
        <v>3</v>
      </c>
      <c r="B572" s="1">
        <v>42816</v>
      </c>
      <c r="C572" t="s">
        <v>55</v>
      </c>
      <c r="D572">
        <v>10998.779999999995</v>
      </c>
      <c r="E572" t="str">
        <f>VLOOKUP(C572,inf!$A$2:$B$7,2,FALSE)</f>
        <v>Current</v>
      </c>
      <c r="F572" t="str">
        <f t="shared" si="9"/>
        <v>03/22/2017</v>
      </c>
      <c r="G572" t="str">
        <f>VLOOKUP(A572,inf!$D$2:$E$76,2,FALSE)</f>
        <v>Other</v>
      </c>
    </row>
    <row r="573" spans="1:7" x14ac:dyDescent="0.25">
      <c r="A573" t="s">
        <v>30</v>
      </c>
      <c r="B573" s="1">
        <v>42816</v>
      </c>
      <c r="C573" t="s">
        <v>57</v>
      </c>
      <c r="D573">
        <v>610.83000000000004</v>
      </c>
      <c r="E573" t="str">
        <f>VLOOKUP(C573,inf!$A$2:$B$7,2,FALSE)</f>
        <v>31 to 60</v>
      </c>
      <c r="F573" t="str">
        <f t="shared" si="9"/>
        <v>03/22/2017</v>
      </c>
      <c r="G573" t="str">
        <f>VLOOKUP(A573,inf!$D$2:$E$76,2,FALSE)</f>
        <v>Other</v>
      </c>
    </row>
    <row r="574" spans="1:7" x14ac:dyDescent="0.25">
      <c r="A574" t="s">
        <v>30</v>
      </c>
      <c r="B574" s="1">
        <v>42816</v>
      </c>
      <c r="C574" t="s">
        <v>55</v>
      </c>
      <c r="D574">
        <v>346.57</v>
      </c>
      <c r="E574" t="str">
        <f>VLOOKUP(C574,inf!$A$2:$B$7,2,FALSE)</f>
        <v>Current</v>
      </c>
      <c r="F574" t="str">
        <f t="shared" si="9"/>
        <v>03/22/2017</v>
      </c>
      <c r="G574" t="str">
        <f>VLOOKUP(A574,inf!$D$2:$E$76,2,FALSE)</f>
        <v>Other</v>
      </c>
    </row>
    <row r="575" spans="1:7" x14ac:dyDescent="0.25">
      <c r="A575" t="s">
        <v>12</v>
      </c>
      <c r="B575" s="1">
        <v>42816</v>
      </c>
      <c r="C575" t="s">
        <v>55</v>
      </c>
      <c r="D575">
        <v>2324.13</v>
      </c>
      <c r="E575" t="str">
        <f>VLOOKUP(C575,inf!$A$2:$B$7,2,FALSE)</f>
        <v>Current</v>
      </c>
      <c r="F575" t="str">
        <f t="shared" si="9"/>
        <v>03/22/2017</v>
      </c>
      <c r="G575" t="str">
        <f>VLOOKUP(A575,inf!$D$2:$E$76,2,FALSE)</f>
        <v>Other</v>
      </c>
    </row>
    <row r="576" spans="1:7" x14ac:dyDescent="0.25">
      <c r="A576" t="s">
        <v>12</v>
      </c>
      <c r="B576" s="1">
        <v>42816</v>
      </c>
      <c r="C576" t="s">
        <v>60</v>
      </c>
      <c r="D576">
        <v>450.5</v>
      </c>
      <c r="E576" t="str">
        <f>VLOOKUP(C576,inf!$A$2:$B$7,2,FALSE)</f>
        <v>Over 90</v>
      </c>
      <c r="F576" t="str">
        <f t="shared" si="9"/>
        <v>03/22/2017</v>
      </c>
      <c r="G576" t="str">
        <f>VLOOKUP(A576,inf!$D$2:$E$76,2,FALSE)</f>
        <v>Other</v>
      </c>
    </row>
    <row r="577" spans="1:7" x14ac:dyDescent="0.25">
      <c r="A577" t="s">
        <v>12</v>
      </c>
      <c r="B577" s="1">
        <v>42816</v>
      </c>
      <c r="C577" t="s">
        <v>56</v>
      </c>
      <c r="D577">
        <v>260</v>
      </c>
      <c r="E577" t="str">
        <f>VLOOKUP(C577,inf!$A$2:$B$7,2,FALSE)</f>
        <v>Current</v>
      </c>
      <c r="F577" t="str">
        <f t="shared" si="9"/>
        <v>03/22/2017</v>
      </c>
      <c r="G577" t="str">
        <f>VLOOKUP(A577,inf!$D$2:$E$76,2,FALSE)</f>
        <v>Other</v>
      </c>
    </row>
    <row r="578" spans="1:7" x14ac:dyDescent="0.25">
      <c r="A578" t="s">
        <v>7</v>
      </c>
      <c r="B578" s="1">
        <v>42816</v>
      </c>
      <c r="C578" t="s">
        <v>55</v>
      </c>
      <c r="D578">
        <v>56122.46999999995</v>
      </c>
      <c r="E578" t="str">
        <f>VLOOKUP(C578,inf!$A$2:$B$7,2,FALSE)</f>
        <v>Current</v>
      </c>
      <c r="F578" t="str">
        <f t="shared" si="9"/>
        <v>03/22/2017</v>
      </c>
      <c r="G578" t="str">
        <f>VLOOKUP(A578,inf!$D$2:$E$76,2,FALSE)</f>
        <v>SAFEWAY</v>
      </c>
    </row>
    <row r="579" spans="1:7" x14ac:dyDescent="0.25">
      <c r="A579" t="s">
        <v>7</v>
      </c>
      <c r="B579" s="1">
        <v>42816</v>
      </c>
      <c r="C579" t="s">
        <v>56</v>
      </c>
      <c r="D579">
        <v>3856.4</v>
      </c>
      <c r="E579" t="str">
        <f>VLOOKUP(C579,inf!$A$2:$B$7,2,FALSE)</f>
        <v>Current</v>
      </c>
      <c r="F579" t="str">
        <f t="shared" ref="F579:F642" si="10">TEXT(B579,"MM/DD/YYYY")</f>
        <v>03/22/2017</v>
      </c>
      <c r="G579" t="str">
        <f>VLOOKUP(A579,inf!$D$2:$E$76,2,FALSE)</f>
        <v>SAFEWAY</v>
      </c>
    </row>
    <row r="580" spans="1:7" x14ac:dyDescent="0.25">
      <c r="A580" t="s">
        <v>7</v>
      </c>
      <c r="B580" s="1">
        <v>42816</v>
      </c>
      <c r="C580" t="s">
        <v>60</v>
      </c>
      <c r="D580">
        <v>639.64</v>
      </c>
      <c r="E580" t="str">
        <f>VLOOKUP(C580,inf!$A$2:$B$7,2,FALSE)</f>
        <v>Over 90</v>
      </c>
      <c r="F580" t="str">
        <f t="shared" si="10"/>
        <v>03/22/2017</v>
      </c>
      <c r="G580" t="str">
        <f>VLOOKUP(A580,inf!$D$2:$E$76,2,FALSE)</f>
        <v>SAFEWAY</v>
      </c>
    </row>
    <row r="581" spans="1:7" x14ac:dyDescent="0.25">
      <c r="A581" t="s">
        <v>7</v>
      </c>
      <c r="B581" s="1">
        <v>42816</v>
      </c>
      <c r="C581" t="s">
        <v>58</v>
      </c>
      <c r="D581">
        <v>264.52999999999997</v>
      </c>
      <c r="E581" t="str">
        <f>VLOOKUP(C581,inf!$A$2:$B$7,2,FALSE)</f>
        <v>61 to 90</v>
      </c>
      <c r="F581" t="str">
        <f t="shared" si="10"/>
        <v>03/22/2017</v>
      </c>
      <c r="G581" t="str">
        <f>VLOOKUP(A581,inf!$D$2:$E$76,2,FALSE)</f>
        <v>SAFEWAY</v>
      </c>
    </row>
    <row r="582" spans="1:7" x14ac:dyDescent="0.25">
      <c r="A582" t="s">
        <v>5</v>
      </c>
      <c r="B582" s="1">
        <v>42816</v>
      </c>
      <c r="C582" t="s">
        <v>55</v>
      </c>
      <c r="D582">
        <v>4858124.2099998537</v>
      </c>
      <c r="E582" t="str">
        <f>VLOOKUP(C582,inf!$A$2:$B$7,2,FALSE)</f>
        <v>Current</v>
      </c>
      <c r="F582" t="str">
        <f t="shared" si="10"/>
        <v>03/22/2017</v>
      </c>
      <c r="G582" t="str">
        <f>VLOOKUP(A582,inf!$D$2:$E$76,2,FALSE)</f>
        <v>SBUX</v>
      </c>
    </row>
    <row r="583" spans="1:7" x14ac:dyDescent="0.25">
      <c r="A583" t="s">
        <v>5</v>
      </c>
      <c r="B583" s="1">
        <v>42816</v>
      </c>
      <c r="C583" t="s">
        <v>60</v>
      </c>
      <c r="D583">
        <v>68879.819999999978</v>
      </c>
      <c r="E583" t="str">
        <f>VLOOKUP(C583,inf!$A$2:$B$7,2,FALSE)</f>
        <v>Over 90</v>
      </c>
      <c r="F583" t="str">
        <f t="shared" si="10"/>
        <v>03/22/2017</v>
      </c>
      <c r="G583" t="str">
        <f>VLOOKUP(A583,inf!$D$2:$E$76,2,FALSE)</f>
        <v>SBUX</v>
      </c>
    </row>
    <row r="584" spans="1:7" x14ac:dyDescent="0.25">
      <c r="A584" t="s">
        <v>5</v>
      </c>
      <c r="B584" s="1">
        <v>42816</v>
      </c>
      <c r="C584" t="s">
        <v>58</v>
      </c>
      <c r="D584" s="5">
        <v>27126.090000000004</v>
      </c>
      <c r="E584" t="str">
        <f>VLOOKUP(C584,inf!$A$2:$B$7,2,FALSE)</f>
        <v>61 to 90</v>
      </c>
      <c r="F584" t="str">
        <f t="shared" si="10"/>
        <v>03/22/2017</v>
      </c>
      <c r="G584" t="str">
        <f>VLOOKUP(A584,inf!$D$2:$E$76,2,FALSE)</f>
        <v>SBUX</v>
      </c>
    </row>
    <row r="585" spans="1:7" x14ac:dyDescent="0.25">
      <c r="A585" t="s">
        <v>5</v>
      </c>
      <c r="B585" s="1">
        <v>42816</v>
      </c>
      <c r="C585" t="s">
        <v>57</v>
      </c>
      <c r="D585">
        <v>16564.54</v>
      </c>
      <c r="E585" t="str">
        <f>VLOOKUP(C585,inf!$A$2:$B$7,2,FALSE)</f>
        <v>31 to 60</v>
      </c>
      <c r="F585" t="str">
        <f t="shared" si="10"/>
        <v>03/22/2017</v>
      </c>
      <c r="G585" t="str">
        <f>VLOOKUP(A585,inf!$D$2:$E$76,2,FALSE)</f>
        <v>SBUX</v>
      </c>
    </row>
    <row r="586" spans="1:7" x14ac:dyDescent="0.25">
      <c r="A586" t="s">
        <v>5</v>
      </c>
      <c r="B586" s="1">
        <v>42816</v>
      </c>
      <c r="C586" t="s">
        <v>56</v>
      </c>
      <c r="D586">
        <v>11889.810000000001</v>
      </c>
      <c r="E586" t="str">
        <f>VLOOKUP(C586,inf!$A$2:$B$7,2,FALSE)</f>
        <v>Current</v>
      </c>
      <c r="F586" t="str">
        <f t="shared" si="10"/>
        <v>03/22/2017</v>
      </c>
      <c r="G586" t="str">
        <f>VLOOKUP(A586,inf!$D$2:$E$76,2,FALSE)</f>
        <v>SBUX</v>
      </c>
    </row>
    <row r="587" spans="1:7" x14ac:dyDescent="0.25">
      <c r="A587" t="s">
        <v>5</v>
      </c>
      <c r="B587" s="1">
        <v>42816</v>
      </c>
      <c r="C587" t="s">
        <v>59</v>
      </c>
      <c r="D587">
        <v>2468.4700000000003</v>
      </c>
      <c r="E587" t="str">
        <f>VLOOKUP(C587,inf!$A$2:$B$7,2,FALSE)</f>
        <v>Over 90</v>
      </c>
      <c r="F587" t="str">
        <f t="shared" si="10"/>
        <v>03/22/2017</v>
      </c>
      <c r="G587" t="str">
        <f>VLOOKUP(A587,inf!$D$2:$E$76,2,FALSE)</f>
        <v>SBUX</v>
      </c>
    </row>
    <row r="588" spans="1:7" x14ac:dyDescent="0.25">
      <c r="A588" t="s">
        <v>6</v>
      </c>
      <c r="B588" s="1">
        <v>42816</v>
      </c>
      <c r="C588" t="s">
        <v>55</v>
      </c>
      <c r="D588">
        <v>560428.14999999758</v>
      </c>
      <c r="E588" t="str">
        <f>VLOOKUP(C588,inf!$A$2:$B$7,2,FALSE)</f>
        <v>Current</v>
      </c>
      <c r="F588" t="str">
        <f t="shared" si="10"/>
        <v>03/22/2017</v>
      </c>
      <c r="G588" t="str">
        <f>VLOOKUP(A588,inf!$D$2:$E$76,2,FALSE)</f>
        <v>SBUX</v>
      </c>
    </row>
    <row r="589" spans="1:7" x14ac:dyDescent="0.25">
      <c r="A589" t="s">
        <v>6</v>
      </c>
      <c r="B589" s="1">
        <v>42816</v>
      </c>
      <c r="C589" t="s">
        <v>60</v>
      </c>
      <c r="D589">
        <v>5203.95</v>
      </c>
      <c r="E589" t="str">
        <f>VLOOKUP(C589,inf!$A$2:$B$7,2,FALSE)</f>
        <v>Over 90</v>
      </c>
      <c r="F589" t="str">
        <f t="shared" si="10"/>
        <v>03/22/2017</v>
      </c>
      <c r="G589" t="str">
        <f>VLOOKUP(A589,inf!$D$2:$E$76,2,FALSE)</f>
        <v>SBUX</v>
      </c>
    </row>
    <row r="590" spans="1:7" x14ac:dyDescent="0.25">
      <c r="A590" t="s">
        <v>6</v>
      </c>
      <c r="B590" s="1">
        <v>42816</v>
      </c>
      <c r="C590" t="s">
        <v>56</v>
      </c>
      <c r="D590">
        <v>4257.49</v>
      </c>
      <c r="E590" t="str">
        <f>VLOOKUP(C590,inf!$A$2:$B$7,2,FALSE)</f>
        <v>Current</v>
      </c>
      <c r="F590" t="str">
        <f t="shared" si="10"/>
        <v>03/22/2017</v>
      </c>
      <c r="G590" t="str">
        <f>VLOOKUP(A590,inf!$D$2:$E$76,2,FALSE)</f>
        <v>SBUX</v>
      </c>
    </row>
    <row r="591" spans="1:7" x14ac:dyDescent="0.25">
      <c r="A591" t="s">
        <v>6</v>
      </c>
      <c r="B591" s="1">
        <v>42816</v>
      </c>
      <c r="C591" t="s">
        <v>57</v>
      </c>
      <c r="D591">
        <v>2233.2800000000002</v>
      </c>
      <c r="E591" t="str">
        <f>VLOOKUP(C591,inf!$A$2:$B$7,2,FALSE)</f>
        <v>31 to 60</v>
      </c>
      <c r="F591" t="str">
        <f t="shared" si="10"/>
        <v>03/22/2017</v>
      </c>
      <c r="G591" t="str">
        <f>VLOOKUP(A591,inf!$D$2:$E$76,2,FALSE)</f>
        <v>SBUX</v>
      </c>
    </row>
    <row r="592" spans="1:7" x14ac:dyDescent="0.25">
      <c r="A592" t="s">
        <v>6</v>
      </c>
      <c r="B592" s="1">
        <v>42816</v>
      </c>
      <c r="C592" t="s">
        <v>58</v>
      </c>
      <c r="D592">
        <v>661.54</v>
      </c>
      <c r="E592" t="str">
        <f>VLOOKUP(C592,inf!$A$2:$B$7,2,FALSE)</f>
        <v>61 to 90</v>
      </c>
      <c r="F592" t="str">
        <f t="shared" si="10"/>
        <v>03/22/2017</v>
      </c>
      <c r="G592" t="str">
        <f>VLOOKUP(A592,inf!$D$2:$E$76,2,FALSE)</f>
        <v>SBUX</v>
      </c>
    </row>
    <row r="593" spans="1:7" x14ac:dyDescent="0.25">
      <c r="A593" t="s">
        <v>6</v>
      </c>
      <c r="B593" s="1">
        <v>42816</v>
      </c>
      <c r="C593" t="s">
        <v>59</v>
      </c>
      <c r="D593">
        <v>497.20000000000005</v>
      </c>
      <c r="E593" t="str">
        <f>VLOOKUP(C593,inf!$A$2:$B$7,2,FALSE)</f>
        <v>Over 90</v>
      </c>
      <c r="F593" t="str">
        <f t="shared" si="10"/>
        <v>03/22/2017</v>
      </c>
      <c r="G593" t="str">
        <f>VLOOKUP(A593,inf!$D$2:$E$76,2,FALSE)</f>
        <v>SBUX</v>
      </c>
    </row>
    <row r="594" spans="1:7" x14ac:dyDescent="0.25">
      <c r="A594" t="s">
        <v>8</v>
      </c>
      <c r="B594" s="1">
        <v>42816</v>
      </c>
      <c r="C594" t="s">
        <v>55</v>
      </c>
      <c r="D594">
        <v>548829.5399999998</v>
      </c>
      <c r="E594" t="str">
        <f>VLOOKUP(C594,inf!$A$2:$B$7,2,FALSE)</f>
        <v>Current</v>
      </c>
      <c r="F594" t="str">
        <f t="shared" si="10"/>
        <v>03/22/2017</v>
      </c>
      <c r="G594" t="str">
        <f>VLOOKUP(A594,inf!$D$2:$E$76,2,FALSE)</f>
        <v>Target</v>
      </c>
    </row>
    <row r="595" spans="1:7" x14ac:dyDescent="0.25">
      <c r="A595" t="s">
        <v>8</v>
      </c>
      <c r="B595" s="1">
        <v>42816</v>
      </c>
      <c r="C595" t="s">
        <v>56</v>
      </c>
      <c r="D595">
        <v>33405.910000000003</v>
      </c>
      <c r="E595" t="str">
        <f>VLOOKUP(C595,inf!$A$2:$B$7,2,FALSE)</f>
        <v>Current</v>
      </c>
      <c r="F595" t="str">
        <f t="shared" si="10"/>
        <v>03/22/2017</v>
      </c>
      <c r="G595" t="str">
        <f>VLOOKUP(A595,inf!$D$2:$E$76,2,FALSE)</f>
        <v>Target</v>
      </c>
    </row>
    <row r="596" spans="1:7" x14ac:dyDescent="0.25">
      <c r="A596" t="s">
        <v>8</v>
      </c>
      <c r="B596" s="1">
        <v>42816</v>
      </c>
      <c r="C596" t="s">
        <v>60</v>
      </c>
      <c r="D596">
        <v>24733.96</v>
      </c>
      <c r="E596" t="str">
        <f>VLOOKUP(C596,inf!$A$2:$B$7,2,FALSE)</f>
        <v>Over 90</v>
      </c>
      <c r="F596" t="str">
        <f t="shared" si="10"/>
        <v>03/22/2017</v>
      </c>
      <c r="G596" t="str">
        <f>VLOOKUP(A596,inf!$D$2:$E$76,2,FALSE)</f>
        <v>Target</v>
      </c>
    </row>
    <row r="597" spans="1:7" x14ac:dyDescent="0.25">
      <c r="A597" t="s">
        <v>8</v>
      </c>
      <c r="B597" s="1">
        <v>42816</v>
      </c>
      <c r="C597" t="s">
        <v>59</v>
      </c>
      <c r="D597">
        <v>1389.76</v>
      </c>
      <c r="E597" t="str">
        <f>VLOOKUP(C597,inf!$A$2:$B$7,2,FALSE)</f>
        <v>Over 90</v>
      </c>
      <c r="F597" t="str">
        <f t="shared" si="10"/>
        <v>03/22/2017</v>
      </c>
      <c r="G597" t="str">
        <f>VLOOKUP(A597,inf!$D$2:$E$76,2,FALSE)</f>
        <v>Target</v>
      </c>
    </row>
    <row r="598" spans="1:7" x14ac:dyDescent="0.25">
      <c r="A598" t="s">
        <v>8</v>
      </c>
      <c r="B598" s="1">
        <v>42816</v>
      </c>
      <c r="C598" t="s">
        <v>58</v>
      </c>
      <c r="D598">
        <v>952.49</v>
      </c>
      <c r="E598" t="str">
        <f>VLOOKUP(C598,inf!$A$2:$B$7,2,FALSE)</f>
        <v>61 to 90</v>
      </c>
      <c r="F598" t="str">
        <f t="shared" si="10"/>
        <v>03/22/2017</v>
      </c>
      <c r="G598" t="str">
        <f>VLOOKUP(A598,inf!$D$2:$E$76,2,FALSE)</f>
        <v>Target</v>
      </c>
    </row>
    <row r="599" spans="1:7" x14ac:dyDescent="0.25">
      <c r="A599" t="s">
        <v>8</v>
      </c>
      <c r="B599" s="1">
        <v>42816</v>
      </c>
      <c r="C599" t="s">
        <v>57</v>
      </c>
      <c r="D599">
        <v>597.32999999999993</v>
      </c>
      <c r="E599" t="str">
        <f>VLOOKUP(C599,inf!$A$2:$B$7,2,FALSE)</f>
        <v>31 to 60</v>
      </c>
      <c r="F599" t="str">
        <f t="shared" si="10"/>
        <v>03/22/2017</v>
      </c>
      <c r="G599" t="str">
        <f>VLOOKUP(A599,inf!$D$2:$E$76,2,FALSE)</f>
        <v>Target</v>
      </c>
    </row>
    <row r="600" spans="1:7" x14ac:dyDescent="0.25">
      <c r="A600" t="s">
        <v>54</v>
      </c>
      <c r="B600" s="1">
        <v>42816</v>
      </c>
      <c r="C600" t="s">
        <v>55</v>
      </c>
      <c r="D600">
        <v>1222.04</v>
      </c>
      <c r="E600" t="str">
        <f>VLOOKUP(C600,inf!$A$2:$B$7,2,FALSE)</f>
        <v>Current</v>
      </c>
      <c r="F600" t="str">
        <f t="shared" si="10"/>
        <v>03/22/2017</v>
      </c>
      <c r="G600" t="str">
        <f>VLOOKUP(A600,inf!$D$2:$E$76,2,FALSE)</f>
        <v>Other</v>
      </c>
    </row>
    <row r="601" spans="1:7" x14ac:dyDescent="0.25">
      <c r="A601" t="s">
        <v>54</v>
      </c>
      <c r="B601" s="1">
        <v>42816</v>
      </c>
      <c r="C601" t="s">
        <v>58</v>
      </c>
      <c r="D601">
        <v>504.23</v>
      </c>
      <c r="E601" t="str">
        <f>VLOOKUP(C601,inf!$A$2:$B$7,2,FALSE)</f>
        <v>61 to 90</v>
      </c>
      <c r="F601" t="str">
        <f t="shared" si="10"/>
        <v>03/22/2017</v>
      </c>
      <c r="G601" t="str">
        <f>VLOOKUP(A601,inf!$D$2:$E$76,2,FALSE)</f>
        <v>Other</v>
      </c>
    </row>
    <row r="602" spans="1:7" x14ac:dyDescent="0.25">
      <c r="A602" t="s">
        <v>54</v>
      </c>
      <c r="B602" s="1">
        <v>42816</v>
      </c>
      <c r="C602" t="s">
        <v>57</v>
      </c>
      <c r="D602">
        <v>503.76</v>
      </c>
      <c r="E602" t="str">
        <f>VLOOKUP(C602,inf!$A$2:$B$7,2,FALSE)</f>
        <v>31 to 60</v>
      </c>
      <c r="F602" t="str">
        <f t="shared" si="10"/>
        <v>03/22/2017</v>
      </c>
      <c r="G602" t="str">
        <f>VLOOKUP(A602,inf!$D$2:$E$76,2,FALSE)</f>
        <v>Other</v>
      </c>
    </row>
    <row r="603" spans="1:7" x14ac:dyDescent="0.25">
      <c r="A603" t="s">
        <v>54</v>
      </c>
      <c r="B603" s="1">
        <v>42816</v>
      </c>
      <c r="C603" t="s">
        <v>56</v>
      </c>
      <c r="D603">
        <v>229.7</v>
      </c>
      <c r="E603" t="str">
        <f>VLOOKUP(C603,inf!$A$2:$B$7,2,FALSE)</f>
        <v>Current</v>
      </c>
      <c r="F603" t="str">
        <f t="shared" si="10"/>
        <v>03/22/2017</v>
      </c>
      <c r="G603" t="str">
        <f>VLOOKUP(A603,inf!$D$2:$E$76,2,FALSE)</f>
        <v>Other</v>
      </c>
    </row>
    <row r="604" spans="1:7" x14ac:dyDescent="0.25">
      <c r="A604" t="s">
        <v>15</v>
      </c>
      <c r="B604" s="1">
        <v>42816</v>
      </c>
      <c r="C604" t="s">
        <v>55</v>
      </c>
      <c r="D604">
        <v>468.24</v>
      </c>
      <c r="E604" t="str">
        <f>VLOOKUP(C604,inf!$A$2:$B$7,2,FALSE)</f>
        <v>Current</v>
      </c>
      <c r="F604" t="str">
        <f t="shared" si="10"/>
        <v>03/22/2017</v>
      </c>
      <c r="G604" t="str">
        <f>VLOOKUP(A604,inf!$D$2:$E$76,2,FALSE)</f>
        <v>Other</v>
      </c>
    </row>
    <row r="605" spans="1:7" x14ac:dyDescent="0.25">
      <c r="A605" t="s">
        <v>15</v>
      </c>
      <c r="B605" s="1">
        <v>42816</v>
      </c>
      <c r="C605" t="s">
        <v>57</v>
      </c>
      <c r="D605">
        <v>126.05</v>
      </c>
      <c r="E605" t="str">
        <f>VLOOKUP(C605,inf!$A$2:$B$7,2,FALSE)</f>
        <v>31 to 60</v>
      </c>
      <c r="F605" t="str">
        <f t="shared" si="10"/>
        <v>03/22/2017</v>
      </c>
      <c r="G605" t="str">
        <f>VLOOKUP(A605,inf!$D$2:$E$76,2,FALSE)</f>
        <v>Other</v>
      </c>
    </row>
    <row r="606" spans="1:7" x14ac:dyDescent="0.25">
      <c r="A606" t="s">
        <v>4</v>
      </c>
      <c r="B606" s="1">
        <v>42823</v>
      </c>
      <c r="C606" t="s">
        <v>55</v>
      </c>
      <c r="D606">
        <v>2865.97</v>
      </c>
      <c r="E606" t="str">
        <f>VLOOKUP(C606,inf!$A$2:$B$7,2,FALSE)</f>
        <v>Current</v>
      </c>
      <c r="F606" t="str">
        <f t="shared" si="10"/>
        <v>03/29/2017</v>
      </c>
      <c r="G606" t="str">
        <f>VLOOKUP(A606,inf!$D$2:$E$76,2,FALSE)</f>
        <v>Other</v>
      </c>
    </row>
    <row r="607" spans="1:7" x14ac:dyDescent="0.25">
      <c r="A607" t="s">
        <v>4</v>
      </c>
      <c r="B607" s="1">
        <v>42823</v>
      </c>
      <c r="C607" t="s">
        <v>56</v>
      </c>
      <c r="D607">
        <v>1664.99</v>
      </c>
      <c r="E607" t="str">
        <f>VLOOKUP(C607,inf!$A$2:$B$7,2,FALSE)</f>
        <v>Current</v>
      </c>
      <c r="F607" t="str">
        <f t="shared" si="10"/>
        <v>03/29/2017</v>
      </c>
      <c r="G607" t="str">
        <f>VLOOKUP(A607,inf!$D$2:$E$76,2,FALSE)</f>
        <v>Other</v>
      </c>
    </row>
    <row r="608" spans="1:7" x14ac:dyDescent="0.25">
      <c r="A608" t="s">
        <v>26</v>
      </c>
      <c r="B608" s="1">
        <v>42823</v>
      </c>
      <c r="C608" t="s">
        <v>60</v>
      </c>
      <c r="D608">
        <v>1380.77</v>
      </c>
      <c r="E608" t="str">
        <f>VLOOKUP(C608,inf!$A$2:$B$7,2,FALSE)</f>
        <v>Over 90</v>
      </c>
      <c r="F608" t="str">
        <f t="shared" si="10"/>
        <v>03/29/2017</v>
      </c>
      <c r="G608" t="str">
        <f>VLOOKUP(A608,inf!$D$2:$E$76,2,FALSE)</f>
        <v>Other</v>
      </c>
    </row>
    <row r="609" spans="1:7" x14ac:dyDescent="0.25">
      <c r="A609" t="s">
        <v>2</v>
      </c>
      <c r="B609" s="1">
        <v>42823</v>
      </c>
      <c r="C609" t="s">
        <v>60</v>
      </c>
      <c r="D609">
        <v>3717.8600000000006</v>
      </c>
      <c r="E609" t="str">
        <f>VLOOKUP(C609,inf!$A$2:$B$7,2,FALSE)</f>
        <v>Over 90</v>
      </c>
      <c r="F609" t="str">
        <f t="shared" si="10"/>
        <v>03/29/2017</v>
      </c>
      <c r="G609" t="str">
        <f>VLOOKUP(A609,inf!$D$2:$E$76,2,FALSE)</f>
        <v>Other</v>
      </c>
    </row>
    <row r="610" spans="1:7" x14ac:dyDescent="0.25">
      <c r="A610" t="s">
        <v>32</v>
      </c>
      <c r="B610" s="1">
        <v>42823</v>
      </c>
      <c r="C610" t="s">
        <v>55</v>
      </c>
      <c r="D610">
        <v>126.05</v>
      </c>
      <c r="E610" t="str">
        <f>VLOOKUP(C610,inf!$A$2:$B$7,2,FALSE)</f>
        <v>Current</v>
      </c>
      <c r="F610" t="str">
        <f t="shared" si="10"/>
        <v>03/29/2017</v>
      </c>
      <c r="G610" t="str">
        <f>VLOOKUP(A610,inf!$D$2:$E$76,2,FALSE)</f>
        <v>Other</v>
      </c>
    </row>
    <row r="611" spans="1:7" x14ac:dyDescent="0.25">
      <c r="A611" t="s">
        <v>1</v>
      </c>
      <c r="B611" s="1">
        <v>42823</v>
      </c>
      <c r="C611" t="s">
        <v>59</v>
      </c>
      <c r="D611">
        <v>-850</v>
      </c>
      <c r="E611" t="str">
        <f>VLOOKUP(C611,inf!$A$2:$B$7,2,FALSE)</f>
        <v>Over 90</v>
      </c>
      <c r="F611" t="str">
        <f t="shared" si="10"/>
        <v>03/29/2017</v>
      </c>
      <c r="G611" t="str">
        <f>VLOOKUP(A611,inf!$D$2:$E$76,2,FALSE)</f>
        <v>Other</v>
      </c>
    </row>
    <row r="612" spans="1:7" x14ac:dyDescent="0.25">
      <c r="A612" t="s">
        <v>1</v>
      </c>
      <c r="B612" s="1">
        <v>42823</v>
      </c>
      <c r="C612" t="s">
        <v>60</v>
      </c>
      <c r="D612">
        <v>-3117.63</v>
      </c>
      <c r="E612" t="str">
        <f>VLOOKUP(C612,inf!$A$2:$B$7,2,FALSE)</f>
        <v>Over 90</v>
      </c>
      <c r="F612" t="str">
        <f t="shared" si="10"/>
        <v>03/29/2017</v>
      </c>
      <c r="G612" t="str">
        <f>VLOOKUP(A612,inf!$D$2:$E$76,2,FALSE)</f>
        <v>Other</v>
      </c>
    </row>
    <row r="613" spans="1:7" x14ac:dyDescent="0.25">
      <c r="A613" t="s">
        <v>11</v>
      </c>
      <c r="B613" s="1">
        <v>42823</v>
      </c>
      <c r="C613" t="s">
        <v>55</v>
      </c>
      <c r="D613">
        <v>299.89999999999998</v>
      </c>
      <c r="E613" t="str">
        <f>VLOOKUP(C613,inf!$A$2:$B$7,2,FALSE)</f>
        <v>Current</v>
      </c>
      <c r="F613" t="str">
        <f t="shared" si="10"/>
        <v>03/29/2017</v>
      </c>
      <c r="G613" t="str">
        <f>VLOOKUP(A613,inf!$D$2:$E$76,2,FALSE)</f>
        <v>Other</v>
      </c>
    </row>
    <row r="614" spans="1:7" x14ac:dyDescent="0.25">
      <c r="A614" t="s">
        <v>19</v>
      </c>
      <c r="B614" s="1">
        <v>42823</v>
      </c>
      <c r="C614" t="s">
        <v>55</v>
      </c>
      <c r="D614">
        <v>565.36</v>
      </c>
      <c r="E614" t="str">
        <f>VLOOKUP(C614,inf!$A$2:$B$7,2,FALSE)</f>
        <v>Current</v>
      </c>
      <c r="F614" t="str">
        <f t="shared" si="10"/>
        <v>03/29/2017</v>
      </c>
      <c r="G614" t="str">
        <f>VLOOKUP(A614,inf!$D$2:$E$76,2,FALSE)</f>
        <v>Other</v>
      </c>
    </row>
    <row r="615" spans="1:7" x14ac:dyDescent="0.25">
      <c r="A615" t="s">
        <v>25</v>
      </c>
      <c r="B615" s="1">
        <v>42823</v>
      </c>
      <c r="C615" t="s">
        <v>55</v>
      </c>
      <c r="D615">
        <v>713.54</v>
      </c>
      <c r="E615" t="str">
        <f>VLOOKUP(C615,inf!$A$2:$B$7,2,FALSE)</f>
        <v>Current</v>
      </c>
      <c r="F615" t="str">
        <f t="shared" si="10"/>
        <v>03/29/2017</v>
      </c>
      <c r="G615" t="str">
        <f>VLOOKUP(A615,inf!$D$2:$E$76,2,FALSE)</f>
        <v>Other</v>
      </c>
    </row>
    <row r="616" spans="1:7" x14ac:dyDescent="0.25">
      <c r="A616" t="s">
        <v>25</v>
      </c>
      <c r="B616" s="1">
        <v>42823</v>
      </c>
      <c r="C616" t="s">
        <v>58</v>
      </c>
      <c r="D616">
        <v>120.1</v>
      </c>
      <c r="E616" t="str">
        <f>VLOOKUP(C616,inf!$A$2:$B$7,2,FALSE)</f>
        <v>61 to 90</v>
      </c>
      <c r="F616" t="str">
        <f t="shared" si="10"/>
        <v>03/29/2017</v>
      </c>
      <c r="G616" t="str">
        <f>VLOOKUP(A616,inf!$D$2:$E$76,2,FALSE)</f>
        <v>Other</v>
      </c>
    </row>
    <row r="617" spans="1:7" x14ac:dyDescent="0.25">
      <c r="A617" t="s">
        <v>31</v>
      </c>
      <c r="B617" s="1">
        <v>42823</v>
      </c>
      <c r="C617" t="s">
        <v>55</v>
      </c>
      <c r="D617">
        <v>1665</v>
      </c>
      <c r="E617" t="str">
        <f>VLOOKUP(C617,inf!$A$2:$B$7,2,FALSE)</f>
        <v>Current</v>
      </c>
      <c r="F617" t="str">
        <f t="shared" si="10"/>
        <v>03/29/2017</v>
      </c>
      <c r="G617" t="str">
        <f>VLOOKUP(A617,inf!$D$2:$E$76,2,FALSE)</f>
        <v>Other</v>
      </c>
    </row>
    <row r="618" spans="1:7" x14ac:dyDescent="0.25">
      <c r="A618" t="s">
        <v>24</v>
      </c>
      <c r="B618" s="1">
        <v>42823</v>
      </c>
      <c r="C618" t="s">
        <v>55</v>
      </c>
      <c r="D618">
        <v>344.77</v>
      </c>
      <c r="E618" t="str">
        <f>VLOOKUP(C618,inf!$A$2:$B$7,2,FALSE)</f>
        <v>Current</v>
      </c>
      <c r="F618" t="str">
        <f t="shared" si="10"/>
        <v>03/29/2017</v>
      </c>
      <c r="G618" t="str">
        <f>VLOOKUP(A618,inf!$D$2:$E$76,2,FALSE)</f>
        <v>Other</v>
      </c>
    </row>
    <row r="619" spans="1:7" x14ac:dyDescent="0.25">
      <c r="A619" t="s">
        <v>18</v>
      </c>
      <c r="B619" s="1">
        <v>42823</v>
      </c>
      <c r="C619" t="s">
        <v>55</v>
      </c>
      <c r="D619">
        <v>854.09</v>
      </c>
      <c r="E619" t="str">
        <f>VLOOKUP(C619,inf!$A$2:$B$7,2,FALSE)</f>
        <v>Current</v>
      </c>
      <c r="F619" t="str">
        <f t="shared" si="10"/>
        <v>03/29/2017</v>
      </c>
      <c r="G619" t="str">
        <f>VLOOKUP(A619,inf!$D$2:$E$76,2,FALSE)</f>
        <v>Other</v>
      </c>
    </row>
    <row r="620" spans="1:7" x14ac:dyDescent="0.25">
      <c r="A620" t="s">
        <v>27</v>
      </c>
      <c r="B620" s="1">
        <v>42823</v>
      </c>
      <c r="C620" t="s">
        <v>56</v>
      </c>
      <c r="D620">
        <v>599.42000000000007</v>
      </c>
      <c r="E620" t="str">
        <f>VLOOKUP(C620,inf!$A$2:$B$7,2,FALSE)</f>
        <v>Current</v>
      </c>
      <c r="F620" t="str">
        <f t="shared" si="10"/>
        <v>03/29/2017</v>
      </c>
      <c r="G620" t="str">
        <f>VLOOKUP(A620,inf!$D$2:$E$76,2,FALSE)</f>
        <v>Other</v>
      </c>
    </row>
    <row r="621" spans="1:7" x14ac:dyDescent="0.25">
      <c r="A621" t="s">
        <v>27</v>
      </c>
      <c r="B621" s="1">
        <v>42823</v>
      </c>
      <c r="C621" t="s">
        <v>55</v>
      </c>
      <c r="D621">
        <v>225.63</v>
      </c>
      <c r="E621" t="str">
        <f>VLOOKUP(C621,inf!$A$2:$B$7,2,FALSE)</f>
        <v>Current</v>
      </c>
      <c r="F621" t="str">
        <f t="shared" si="10"/>
        <v>03/29/2017</v>
      </c>
      <c r="G621" t="str">
        <f>VLOOKUP(A621,inf!$D$2:$E$76,2,FALSE)</f>
        <v>Other</v>
      </c>
    </row>
    <row r="622" spans="1:7" x14ac:dyDescent="0.25">
      <c r="A622" t="s">
        <v>62</v>
      </c>
      <c r="B622" s="1">
        <v>42823</v>
      </c>
      <c r="C622" t="s">
        <v>55</v>
      </c>
      <c r="D622">
        <v>238.6</v>
      </c>
      <c r="E622" t="str">
        <f>VLOOKUP(C622,inf!$A$2:$B$7,2,FALSE)</f>
        <v>Current</v>
      </c>
      <c r="F622" t="str">
        <f t="shared" si="10"/>
        <v>03/29/2017</v>
      </c>
      <c r="G622" t="str">
        <f>VLOOKUP(A622,inf!$D$2:$E$76,2,FALSE)</f>
        <v>Other</v>
      </c>
    </row>
    <row r="623" spans="1:7" x14ac:dyDescent="0.25">
      <c r="A623" t="s">
        <v>21</v>
      </c>
      <c r="B623" s="1">
        <v>42823</v>
      </c>
      <c r="C623" t="s">
        <v>55</v>
      </c>
      <c r="D623">
        <v>2900.7700000000004</v>
      </c>
      <c r="E623" t="str">
        <f>VLOOKUP(C623,inf!$A$2:$B$7,2,FALSE)</f>
        <v>Current</v>
      </c>
      <c r="F623" t="str">
        <f t="shared" si="10"/>
        <v>03/29/2017</v>
      </c>
      <c r="G623" t="str">
        <f>VLOOKUP(A623,inf!$D$2:$E$76,2,FALSE)</f>
        <v>Other</v>
      </c>
    </row>
    <row r="624" spans="1:7" x14ac:dyDescent="0.25">
      <c r="A624" t="s">
        <v>3</v>
      </c>
      <c r="B624" s="1">
        <v>42823</v>
      </c>
      <c r="C624" t="s">
        <v>55</v>
      </c>
      <c r="D624">
        <v>9519.5899999999983</v>
      </c>
      <c r="E624" t="str">
        <f>VLOOKUP(C624,inf!$A$2:$B$7,2,FALSE)</f>
        <v>Current</v>
      </c>
      <c r="F624" t="str">
        <f t="shared" si="10"/>
        <v>03/29/2017</v>
      </c>
      <c r="G624" t="str">
        <f>VLOOKUP(A624,inf!$D$2:$E$76,2,FALSE)</f>
        <v>Other</v>
      </c>
    </row>
    <row r="625" spans="1:7" x14ac:dyDescent="0.25">
      <c r="A625" t="s">
        <v>30</v>
      </c>
      <c r="B625" s="1">
        <v>42823</v>
      </c>
      <c r="C625" t="s">
        <v>55</v>
      </c>
      <c r="D625">
        <v>633.70000000000005</v>
      </c>
      <c r="E625" t="str">
        <f>VLOOKUP(C625,inf!$A$2:$B$7,2,FALSE)</f>
        <v>Current</v>
      </c>
      <c r="F625" t="str">
        <f t="shared" si="10"/>
        <v>03/29/2017</v>
      </c>
      <c r="G625" t="str">
        <f>VLOOKUP(A625,inf!$D$2:$E$76,2,FALSE)</f>
        <v>Other</v>
      </c>
    </row>
    <row r="626" spans="1:7" x14ac:dyDescent="0.25">
      <c r="A626" t="s">
        <v>30</v>
      </c>
      <c r="B626" s="1">
        <v>42823</v>
      </c>
      <c r="C626" t="s">
        <v>57</v>
      </c>
      <c r="D626">
        <v>610.83000000000004</v>
      </c>
      <c r="E626" t="str">
        <f>VLOOKUP(C626,inf!$A$2:$B$7,2,FALSE)</f>
        <v>31 to 60</v>
      </c>
      <c r="F626" t="str">
        <f t="shared" si="10"/>
        <v>03/29/2017</v>
      </c>
      <c r="G626" t="str">
        <f>VLOOKUP(A626,inf!$D$2:$E$76,2,FALSE)</f>
        <v>Other</v>
      </c>
    </row>
    <row r="627" spans="1:7" x14ac:dyDescent="0.25">
      <c r="A627" t="s">
        <v>12</v>
      </c>
      <c r="B627" s="1">
        <v>42823</v>
      </c>
      <c r="C627" t="s">
        <v>55</v>
      </c>
      <c r="D627">
        <v>2324.13</v>
      </c>
      <c r="E627" t="str">
        <f>VLOOKUP(C627,inf!$A$2:$B$7,2,FALSE)</f>
        <v>Current</v>
      </c>
      <c r="F627" t="str">
        <f t="shared" si="10"/>
        <v>03/29/2017</v>
      </c>
      <c r="G627" t="str">
        <f>VLOOKUP(A627,inf!$D$2:$E$76,2,FALSE)</f>
        <v>Other</v>
      </c>
    </row>
    <row r="628" spans="1:7" x14ac:dyDescent="0.25">
      <c r="A628" t="s">
        <v>12</v>
      </c>
      <c r="B628" s="1">
        <v>42823</v>
      </c>
      <c r="C628" t="s">
        <v>60</v>
      </c>
      <c r="D628">
        <v>450.5</v>
      </c>
      <c r="E628" t="str">
        <f>VLOOKUP(C628,inf!$A$2:$B$7,2,FALSE)</f>
        <v>Over 90</v>
      </c>
      <c r="F628" t="str">
        <f t="shared" si="10"/>
        <v>03/29/2017</v>
      </c>
      <c r="G628" t="str">
        <f>VLOOKUP(A628,inf!$D$2:$E$76,2,FALSE)</f>
        <v>Other</v>
      </c>
    </row>
    <row r="629" spans="1:7" x14ac:dyDescent="0.25">
      <c r="A629" t="s">
        <v>12</v>
      </c>
      <c r="B629" s="1">
        <v>42823</v>
      </c>
      <c r="C629" t="s">
        <v>56</v>
      </c>
      <c r="D629">
        <v>260</v>
      </c>
      <c r="E629" t="str">
        <f>VLOOKUP(C629,inf!$A$2:$B$7,2,FALSE)</f>
        <v>Current</v>
      </c>
      <c r="F629" t="str">
        <f t="shared" si="10"/>
        <v>03/29/2017</v>
      </c>
      <c r="G629" t="str">
        <f>VLOOKUP(A629,inf!$D$2:$E$76,2,FALSE)</f>
        <v>Other</v>
      </c>
    </row>
    <row r="630" spans="1:7" x14ac:dyDescent="0.25">
      <c r="A630" t="s">
        <v>7</v>
      </c>
      <c r="B630" s="1">
        <v>42823</v>
      </c>
      <c r="C630" t="s">
        <v>55</v>
      </c>
      <c r="D630">
        <v>60984.579999999944</v>
      </c>
      <c r="E630" t="str">
        <f>VLOOKUP(C630,inf!$A$2:$B$7,2,FALSE)</f>
        <v>Current</v>
      </c>
      <c r="F630" t="str">
        <f t="shared" si="10"/>
        <v>03/29/2017</v>
      </c>
      <c r="G630" t="str">
        <f>VLOOKUP(A630,inf!$D$2:$E$76,2,FALSE)</f>
        <v>SAFEWAY</v>
      </c>
    </row>
    <row r="631" spans="1:7" x14ac:dyDescent="0.25">
      <c r="A631" t="s">
        <v>7</v>
      </c>
      <c r="B631" s="1">
        <v>42823</v>
      </c>
      <c r="C631" t="s">
        <v>56</v>
      </c>
      <c r="D631">
        <v>2021.53</v>
      </c>
      <c r="E631" t="str">
        <f>VLOOKUP(C631,inf!$A$2:$B$7,2,FALSE)</f>
        <v>Current</v>
      </c>
      <c r="F631" t="str">
        <f t="shared" si="10"/>
        <v>03/29/2017</v>
      </c>
      <c r="G631" t="str">
        <f>VLOOKUP(A631,inf!$D$2:$E$76,2,FALSE)</f>
        <v>SAFEWAY</v>
      </c>
    </row>
    <row r="632" spans="1:7" x14ac:dyDescent="0.25">
      <c r="A632" t="s">
        <v>7</v>
      </c>
      <c r="B632" s="1">
        <v>42823</v>
      </c>
      <c r="C632" t="s">
        <v>60</v>
      </c>
      <c r="D632">
        <v>631.72</v>
      </c>
      <c r="E632" t="str">
        <f>VLOOKUP(C632,inf!$A$2:$B$7,2,FALSE)</f>
        <v>Over 90</v>
      </c>
      <c r="F632" t="str">
        <f t="shared" si="10"/>
        <v>03/29/2017</v>
      </c>
      <c r="G632" t="str">
        <f>VLOOKUP(A632,inf!$D$2:$E$76,2,FALSE)</f>
        <v>SAFEWAY</v>
      </c>
    </row>
    <row r="633" spans="1:7" x14ac:dyDescent="0.25">
      <c r="A633" t="s">
        <v>7</v>
      </c>
      <c r="B633" s="1">
        <v>42823</v>
      </c>
      <c r="C633" t="s">
        <v>58</v>
      </c>
      <c r="D633">
        <v>264.52999999999997</v>
      </c>
      <c r="E633" t="str">
        <f>VLOOKUP(C633,inf!$A$2:$B$7,2,FALSE)</f>
        <v>61 to 90</v>
      </c>
      <c r="F633" t="str">
        <f t="shared" si="10"/>
        <v>03/29/2017</v>
      </c>
      <c r="G633" t="str">
        <f>VLOOKUP(A633,inf!$D$2:$E$76,2,FALSE)</f>
        <v>SAFEWAY</v>
      </c>
    </row>
    <row r="634" spans="1:7" x14ac:dyDescent="0.25">
      <c r="A634" t="s">
        <v>5</v>
      </c>
      <c r="B634" s="1">
        <v>42823</v>
      </c>
      <c r="C634" t="s">
        <v>55</v>
      </c>
      <c r="D634" s="5">
        <v>4245649.2400001893</v>
      </c>
      <c r="E634" t="str">
        <f>VLOOKUP(C634,inf!$A$2:$B$7,2,FALSE)</f>
        <v>Current</v>
      </c>
      <c r="F634" t="str">
        <f t="shared" si="10"/>
        <v>03/29/2017</v>
      </c>
      <c r="G634" t="str">
        <f>VLOOKUP(A634,inf!$D$2:$E$76,2,FALSE)</f>
        <v>SBUX</v>
      </c>
    </row>
    <row r="635" spans="1:7" x14ac:dyDescent="0.25">
      <c r="A635" t="s">
        <v>5</v>
      </c>
      <c r="B635" s="1">
        <v>42823</v>
      </c>
      <c r="C635" t="s">
        <v>60</v>
      </c>
      <c r="D635" s="5">
        <v>70246.569999999992</v>
      </c>
      <c r="E635" t="str">
        <f>VLOOKUP(C635,inf!$A$2:$B$7,2,FALSE)</f>
        <v>Over 90</v>
      </c>
      <c r="F635" t="str">
        <f t="shared" si="10"/>
        <v>03/29/2017</v>
      </c>
      <c r="G635" t="str">
        <f>VLOOKUP(A635,inf!$D$2:$E$76,2,FALSE)</f>
        <v>SBUX</v>
      </c>
    </row>
    <row r="636" spans="1:7" x14ac:dyDescent="0.25">
      <c r="A636" t="s">
        <v>5</v>
      </c>
      <c r="B636" s="1">
        <v>42823</v>
      </c>
      <c r="C636" t="s">
        <v>58</v>
      </c>
      <c r="D636" s="5">
        <v>26933.869999999995</v>
      </c>
      <c r="E636" t="str">
        <f>VLOOKUP(C636,inf!$A$2:$B$7,2,FALSE)</f>
        <v>61 to 90</v>
      </c>
      <c r="F636" t="str">
        <f t="shared" si="10"/>
        <v>03/29/2017</v>
      </c>
      <c r="G636" t="str">
        <f>VLOOKUP(A636,inf!$D$2:$E$76,2,FALSE)</f>
        <v>SBUX</v>
      </c>
    </row>
    <row r="637" spans="1:7" x14ac:dyDescent="0.25">
      <c r="A637" t="s">
        <v>5</v>
      </c>
      <c r="B637" s="1">
        <v>42823</v>
      </c>
      <c r="C637" t="s">
        <v>57</v>
      </c>
      <c r="D637">
        <v>10635.819999999998</v>
      </c>
      <c r="E637" t="str">
        <f>VLOOKUP(C637,inf!$A$2:$B$7,2,FALSE)</f>
        <v>31 to 60</v>
      </c>
      <c r="F637" t="str">
        <f t="shared" si="10"/>
        <v>03/29/2017</v>
      </c>
      <c r="G637" t="str">
        <f>VLOOKUP(A637,inf!$D$2:$E$76,2,FALSE)</f>
        <v>SBUX</v>
      </c>
    </row>
    <row r="638" spans="1:7" x14ac:dyDescent="0.25">
      <c r="A638" t="s">
        <v>5</v>
      </c>
      <c r="B638" s="1">
        <v>42823</v>
      </c>
      <c r="C638" t="s">
        <v>56</v>
      </c>
      <c r="D638">
        <v>8299.1</v>
      </c>
      <c r="E638" t="str">
        <f>VLOOKUP(C638,inf!$A$2:$B$7,2,FALSE)</f>
        <v>Current</v>
      </c>
      <c r="F638" t="str">
        <f t="shared" si="10"/>
        <v>03/29/2017</v>
      </c>
      <c r="G638" t="str">
        <f>VLOOKUP(A638,inf!$D$2:$E$76,2,FALSE)</f>
        <v>SBUX</v>
      </c>
    </row>
    <row r="639" spans="1:7" x14ac:dyDescent="0.25">
      <c r="A639" t="s">
        <v>5</v>
      </c>
      <c r="B639" s="1">
        <v>42823</v>
      </c>
      <c r="C639" t="s">
        <v>59</v>
      </c>
      <c r="D639">
        <v>7175.350000000004</v>
      </c>
      <c r="E639" t="str">
        <f>VLOOKUP(C639,inf!$A$2:$B$7,2,FALSE)</f>
        <v>Over 90</v>
      </c>
      <c r="F639" t="str">
        <f t="shared" si="10"/>
        <v>03/29/2017</v>
      </c>
      <c r="G639" t="str">
        <f>VLOOKUP(A639,inf!$D$2:$E$76,2,FALSE)</f>
        <v>SBUX</v>
      </c>
    </row>
    <row r="640" spans="1:7" x14ac:dyDescent="0.25">
      <c r="A640" t="s">
        <v>6</v>
      </c>
      <c r="B640" s="1">
        <v>42823</v>
      </c>
      <c r="C640" t="s">
        <v>55</v>
      </c>
      <c r="D640">
        <v>495520.92999999842</v>
      </c>
      <c r="E640" t="str">
        <f>VLOOKUP(C640,inf!$A$2:$B$7,2,FALSE)</f>
        <v>Current</v>
      </c>
      <c r="F640" t="str">
        <f t="shared" si="10"/>
        <v>03/29/2017</v>
      </c>
      <c r="G640" t="str">
        <f>VLOOKUP(A640,inf!$D$2:$E$76,2,FALSE)</f>
        <v>SBUX</v>
      </c>
    </row>
    <row r="641" spans="1:7" x14ac:dyDescent="0.25">
      <c r="A641" t="s">
        <v>6</v>
      </c>
      <c r="B641" s="1">
        <v>42823</v>
      </c>
      <c r="C641" t="s">
        <v>60</v>
      </c>
      <c r="D641">
        <v>4984.95</v>
      </c>
      <c r="E641" t="str">
        <f>VLOOKUP(C641,inf!$A$2:$B$7,2,FALSE)</f>
        <v>Over 90</v>
      </c>
      <c r="F641" t="str">
        <f t="shared" si="10"/>
        <v>03/29/2017</v>
      </c>
      <c r="G641" t="str">
        <f>VLOOKUP(A641,inf!$D$2:$E$76,2,FALSE)</f>
        <v>SBUX</v>
      </c>
    </row>
    <row r="642" spans="1:7" x14ac:dyDescent="0.25">
      <c r="A642" t="s">
        <v>6</v>
      </c>
      <c r="B642" s="1">
        <v>42823</v>
      </c>
      <c r="C642" t="s">
        <v>56</v>
      </c>
      <c r="D642">
        <v>4100.7300000000005</v>
      </c>
      <c r="E642" t="str">
        <f>VLOOKUP(C642,inf!$A$2:$B$7,2,FALSE)</f>
        <v>Current</v>
      </c>
      <c r="F642" t="str">
        <f t="shared" si="10"/>
        <v>03/29/2017</v>
      </c>
      <c r="G642" t="str">
        <f>VLOOKUP(A642,inf!$D$2:$E$76,2,FALSE)</f>
        <v>SBUX</v>
      </c>
    </row>
    <row r="643" spans="1:7" x14ac:dyDescent="0.25">
      <c r="A643" t="s">
        <v>6</v>
      </c>
      <c r="B643" s="1">
        <v>42823</v>
      </c>
      <c r="C643" t="s">
        <v>58</v>
      </c>
      <c r="D643">
        <v>2233.2800000000002</v>
      </c>
      <c r="E643" t="str">
        <f>VLOOKUP(C643,inf!$A$2:$B$7,2,FALSE)</f>
        <v>61 to 90</v>
      </c>
      <c r="F643" t="str">
        <f t="shared" ref="F643:F706" si="11">TEXT(B643,"MM/DD/YYYY")</f>
        <v>03/29/2017</v>
      </c>
      <c r="G643" t="str">
        <f>VLOOKUP(A643,inf!$D$2:$E$76,2,FALSE)</f>
        <v>SBUX</v>
      </c>
    </row>
    <row r="644" spans="1:7" x14ac:dyDescent="0.25">
      <c r="A644" t="s">
        <v>6</v>
      </c>
      <c r="B644" s="1">
        <v>42823</v>
      </c>
      <c r="C644" t="s">
        <v>59</v>
      </c>
      <c r="D644">
        <v>966.64</v>
      </c>
      <c r="E644" t="str">
        <f>VLOOKUP(C644,inf!$A$2:$B$7,2,FALSE)</f>
        <v>Over 90</v>
      </c>
      <c r="F644" t="str">
        <f t="shared" si="11"/>
        <v>03/29/2017</v>
      </c>
      <c r="G644" t="str">
        <f>VLOOKUP(A644,inf!$D$2:$E$76,2,FALSE)</f>
        <v>SBUX</v>
      </c>
    </row>
    <row r="645" spans="1:7" x14ac:dyDescent="0.25">
      <c r="A645" t="s">
        <v>8</v>
      </c>
      <c r="B645" s="1">
        <v>42823</v>
      </c>
      <c r="C645" t="s">
        <v>55</v>
      </c>
      <c r="D645">
        <v>516253.7299999994</v>
      </c>
      <c r="E645" t="str">
        <f>VLOOKUP(C645,inf!$A$2:$B$7,2,FALSE)</f>
        <v>Current</v>
      </c>
      <c r="F645" t="str">
        <f t="shared" si="11"/>
        <v>03/29/2017</v>
      </c>
      <c r="G645" t="str">
        <f>VLOOKUP(A645,inf!$D$2:$E$76,2,FALSE)</f>
        <v>Target</v>
      </c>
    </row>
    <row r="646" spans="1:7" x14ac:dyDescent="0.25">
      <c r="A646" t="s">
        <v>8</v>
      </c>
      <c r="B646" s="1">
        <v>42823</v>
      </c>
      <c r="C646" t="s">
        <v>56</v>
      </c>
      <c r="D646">
        <v>71603.559999999939</v>
      </c>
      <c r="E646" t="str">
        <f>VLOOKUP(C646,inf!$A$2:$B$7,2,FALSE)</f>
        <v>Current</v>
      </c>
      <c r="F646" t="str">
        <f t="shared" si="11"/>
        <v>03/29/2017</v>
      </c>
      <c r="G646" t="str">
        <f>VLOOKUP(A646,inf!$D$2:$E$76,2,FALSE)</f>
        <v>Target</v>
      </c>
    </row>
    <row r="647" spans="1:7" x14ac:dyDescent="0.25">
      <c r="A647" t="s">
        <v>8</v>
      </c>
      <c r="B647" s="1">
        <v>42823</v>
      </c>
      <c r="C647" t="s">
        <v>60</v>
      </c>
      <c r="D647">
        <v>25170.530000000006</v>
      </c>
      <c r="E647" t="str">
        <f>VLOOKUP(C647,inf!$A$2:$B$7,2,FALSE)</f>
        <v>Over 90</v>
      </c>
      <c r="F647" t="str">
        <f t="shared" si="11"/>
        <v>03/29/2017</v>
      </c>
      <c r="G647" t="str">
        <f>VLOOKUP(A647,inf!$D$2:$E$76,2,FALSE)</f>
        <v>Target</v>
      </c>
    </row>
    <row r="648" spans="1:7" x14ac:dyDescent="0.25">
      <c r="A648" t="s">
        <v>8</v>
      </c>
      <c r="B648" s="1">
        <v>42823</v>
      </c>
      <c r="C648" t="s">
        <v>59</v>
      </c>
      <c r="D648">
        <v>953.19</v>
      </c>
      <c r="E648" t="str">
        <f>VLOOKUP(C648,inf!$A$2:$B$7,2,FALSE)</f>
        <v>Over 90</v>
      </c>
      <c r="F648" t="str">
        <f t="shared" si="11"/>
        <v>03/29/2017</v>
      </c>
      <c r="G648" t="str">
        <f>VLOOKUP(A648,inf!$D$2:$E$76,2,FALSE)</f>
        <v>Target</v>
      </c>
    </row>
    <row r="649" spans="1:7" x14ac:dyDescent="0.25">
      <c r="A649" t="s">
        <v>8</v>
      </c>
      <c r="B649" s="1">
        <v>42823</v>
      </c>
      <c r="C649" t="s">
        <v>58</v>
      </c>
      <c r="D649">
        <v>952.49</v>
      </c>
      <c r="E649" t="str">
        <f>VLOOKUP(C649,inf!$A$2:$B$7,2,FALSE)</f>
        <v>61 to 90</v>
      </c>
      <c r="F649" t="str">
        <f t="shared" si="11"/>
        <v>03/29/2017</v>
      </c>
      <c r="G649" t="str">
        <f>VLOOKUP(A649,inf!$D$2:$E$76,2,FALSE)</f>
        <v>Target</v>
      </c>
    </row>
    <row r="650" spans="1:7" x14ac:dyDescent="0.25">
      <c r="A650" t="s">
        <v>8</v>
      </c>
      <c r="B650" s="1">
        <v>42823</v>
      </c>
      <c r="C650" t="s">
        <v>57</v>
      </c>
      <c r="D650">
        <v>932.47</v>
      </c>
      <c r="E650" t="str">
        <f>VLOOKUP(C650,inf!$A$2:$B$7,2,FALSE)</f>
        <v>31 to 60</v>
      </c>
      <c r="F650" t="str">
        <f t="shared" si="11"/>
        <v>03/29/2017</v>
      </c>
      <c r="G650" t="str">
        <f>VLOOKUP(A650,inf!$D$2:$E$76,2,FALSE)</f>
        <v>Target</v>
      </c>
    </row>
    <row r="651" spans="1:7" x14ac:dyDescent="0.25">
      <c r="A651" t="s">
        <v>54</v>
      </c>
      <c r="B651" s="1">
        <v>42823</v>
      </c>
      <c r="C651" t="s">
        <v>55</v>
      </c>
      <c r="D651">
        <v>1222.04</v>
      </c>
      <c r="E651" t="str">
        <f>VLOOKUP(C651,inf!$A$2:$B$7,2,FALSE)</f>
        <v>Current</v>
      </c>
      <c r="F651" t="str">
        <f t="shared" si="11"/>
        <v>03/29/2017</v>
      </c>
      <c r="G651" t="str">
        <f>VLOOKUP(A651,inf!$D$2:$E$76,2,FALSE)</f>
        <v>Other</v>
      </c>
    </row>
    <row r="652" spans="1:7" x14ac:dyDescent="0.25">
      <c r="A652" t="s">
        <v>54</v>
      </c>
      <c r="B652" s="1">
        <v>42823</v>
      </c>
      <c r="C652" t="s">
        <v>57</v>
      </c>
      <c r="D652">
        <v>733.45999999999992</v>
      </c>
      <c r="E652" t="str">
        <f>VLOOKUP(C652,inf!$A$2:$B$7,2,FALSE)</f>
        <v>31 to 60</v>
      </c>
      <c r="F652" t="str">
        <f t="shared" si="11"/>
        <v>03/29/2017</v>
      </c>
      <c r="G652" t="str">
        <f>VLOOKUP(A652,inf!$D$2:$E$76,2,FALSE)</f>
        <v>Other</v>
      </c>
    </row>
    <row r="653" spans="1:7" x14ac:dyDescent="0.25">
      <c r="A653" t="s">
        <v>54</v>
      </c>
      <c r="B653" s="1">
        <v>42823</v>
      </c>
      <c r="C653" t="s">
        <v>58</v>
      </c>
      <c r="D653">
        <v>504.23</v>
      </c>
      <c r="E653" t="str">
        <f>VLOOKUP(C653,inf!$A$2:$B$7,2,FALSE)</f>
        <v>61 to 90</v>
      </c>
      <c r="F653" t="str">
        <f t="shared" si="11"/>
        <v>03/29/2017</v>
      </c>
      <c r="G653" t="str">
        <f>VLOOKUP(A653,inf!$D$2:$E$76,2,FALSE)</f>
        <v>Other</v>
      </c>
    </row>
    <row r="654" spans="1:7" x14ac:dyDescent="0.25">
      <c r="A654" t="s">
        <v>15</v>
      </c>
      <c r="B654" s="1">
        <v>42823</v>
      </c>
      <c r="C654" t="s">
        <v>55</v>
      </c>
      <c r="D654">
        <v>670.51</v>
      </c>
      <c r="E654" t="str">
        <f>VLOOKUP(C654,inf!$A$2:$B$7,2,FALSE)</f>
        <v>Current</v>
      </c>
      <c r="F654" t="str">
        <f t="shared" si="11"/>
        <v>03/29/2017</v>
      </c>
      <c r="G654" t="str">
        <f>VLOOKUP(A654,inf!$D$2:$E$76,2,FALSE)</f>
        <v>Other</v>
      </c>
    </row>
    <row r="655" spans="1:7" x14ac:dyDescent="0.25">
      <c r="A655" t="s">
        <v>15</v>
      </c>
      <c r="B655" s="1">
        <v>42823</v>
      </c>
      <c r="C655" t="s">
        <v>56</v>
      </c>
      <c r="D655">
        <v>271.91000000000003</v>
      </c>
      <c r="E655" t="str">
        <f>VLOOKUP(C655,inf!$A$2:$B$7,2,FALSE)</f>
        <v>Current</v>
      </c>
      <c r="F655" t="str">
        <f t="shared" si="11"/>
        <v>03/29/2017</v>
      </c>
      <c r="G655" t="str">
        <f>VLOOKUP(A655,inf!$D$2:$E$76,2,FALSE)</f>
        <v>Other</v>
      </c>
    </row>
    <row r="656" spans="1:7" x14ac:dyDescent="0.25">
      <c r="A656" t="s">
        <v>15</v>
      </c>
      <c r="B656" s="1">
        <v>42823</v>
      </c>
      <c r="C656" t="s">
        <v>57</v>
      </c>
      <c r="D656">
        <v>126.05</v>
      </c>
      <c r="E656" t="str">
        <f>VLOOKUP(C656,inf!$A$2:$B$7,2,FALSE)</f>
        <v>31 to 60</v>
      </c>
      <c r="F656" t="str">
        <f t="shared" si="11"/>
        <v>03/29/2017</v>
      </c>
      <c r="G656" t="str">
        <f>VLOOKUP(A656,inf!$D$2:$E$76,2,FALSE)</f>
        <v>Other</v>
      </c>
    </row>
    <row r="657" spans="1:7" x14ac:dyDescent="0.25">
      <c r="A657" t="s">
        <v>4</v>
      </c>
      <c r="B657" s="1">
        <v>42830</v>
      </c>
      <c r="C657" t="s">
        <v>55</v>
      </c>
      <c r="D657">
        <v>4080.7</v>
      </c>
      <c r="E657" t="str">
        <f>VLOOKUP(C657,inf!$A$2:$B$7,2,FALSE)</f>
        <v>Current</v>
      </c>
      <c r="F657" t="str">
        <f t="shared" si="11"/>
        <v>04/05/2017</v>
      </c>
      <c r="G657" t="str">
        <f>VLOOKUP(A657,inf!$D$2:$E$76,2,FALSE)</f>
        <v>Other</v>
      </c>
    </row>
    <row r="658" spans="1:7" x14ac:dyDescent="0.25">
      <c r="A658" t="s">
        <v>4</v>
      </c>
      <c r="B658" s="1">
        <v>42830</v>
      </c>
      <c r="C658" t="s">
        <v>56</v>
      </c>
      <c r="D658">
        <v>1527.03</v>
      </c>
      <c r="E658" t="str">
        <f>VLOOKUP(C658,inf!$A$2:$B$7,2,FALSE)</f>
        <v>Current</v>
      </c>
      <c r="F658" t="str">
        <f t="shared" si="11"/>
        <v>04/05/2017</v>
      </c>
      <c r="G658" t="str">
        <f>VLOOKUP(A658,inf!$D$2:$E$76,2,FALSE)</f>
        <v>Other</v>
      </c>
    </row>
    <row r="659" spans="1:7" x14ac:dyDescent="0.25">
      <c r="A659" t="s">
        <v>26</v>
      </c>
      <c r="B659" s="1">
        <v>42830</v>
      </c>
      <c r="C659" t="s">
        <v>60</v>
      </c>
      <c r="D659">
        <v>1380.77</v>
      </c>
      <c r="E659" t="str">
        <f>VLOOKUP(C659,inf!$A$2:$B$7,2,FALSE)</f>
        <v>Over 90</v>
      </c>
      <c r="F659" t="str">
        <f t="shared" si="11"/>
        <v>04/05/2017</v>
      </c>
      <c r="G659" t="str">
        <f>VLOOKUP(A659,inf!$D$2:$E$76,2,FALSE)</f>
        <v>Other</v>
      </c>
    </row>
    <row r="660" spans="1:7" x14ac:dyDescent="0.25">
      <c r="A660" t="s">
        <v>2</v>
      </c>
      <c r="B660" s="1">
        <v>42830</v>
      </c>
      <c r="C660" t="s">
        <v>60</v>
      </c>
      <c r="D660">
        <v>3717.8600000000006</v>
      </c>
      <c r="E660" t="str">
        <f>VLOOKUP(C660,inf!$A$2:$B$7,2,FALSE)</f>
        <v>Over 90</v>
      </c>
      <c r="F660" t="str">
        <f t="shared" si="11"/>
        <v>04/05/2017</v>
      </c>
      <c r="G660" t="str">
        <f>VLOOKUP(A660,inf!$D$2:$E$76,2,FALSE)</f>
        <v>Other</v>
      </c>
    </row>
    <row r="661" spans="1:7" x14ac:dyDescent="0.25">
      <c r="A661" t="s">
        <v>32</v>
      </c>
      <c r="B661" s="1">
        <v>42830</v>
      </c>
      <c r="C661" t="s">
        <v>55</v>
      </c>
      <c r="D661">
        <v>126.05</v>
      </c>
      <c r="E661" t="str">
        <f>VLOOKUP(C661,inf!$A$2:$B$7,2,FALSE)</f>
        <v>Current</v>
      </c>
      <c r="F661" t="str">
        <f t="shared" si="11"/>
        <v>04/05/2017</v>
      </c>
      <c r="G661" t="str">
        <f>VLOOKUP(A661,inf!$D$2:$E$76,2,FALSE)</f>
        <v>Other</v>
      </c>
    </row>
    <row r="662" spans="1:7" x14ac:dyDescent="0.25">
      <c r="A662" t="s">
        <v>1</v>
      </c>
      <c r="B662" s="1">
        <v>42830</v>
      </c>
      <c r="C662" t="s">
        <v>60</v>
      </c>
      <c r="D662">
        <v>-3967.63</v>
      </c>
      <c r="E662" t="str">
        <f>VLOOKUP(C662,inf!$A$2:$B$7,2,FALSE)</f>
        <v>Over 90</v>
      </c>
      <c r="F662" t="str">
        <f t="shared" si="11"/>
        <v>04/05/2017</v>
      </c>
      <c r="G662" t="str">
        <f>VLOOKUP(A662,inf!$D$2:$E$76,2,FALSE)</f>
        <v>Other</v>
      </c>
    </row>
    <row r="663" spans="1:7" x14ac:dyDescent="0.25">
      <c r="A663" t="s">
        <v>19</v>
      </c>
      <c r="B663" s="1">
        <v>42830</v>
      </c>
      <c r="C663" t="s">
        <v>55</v>
      </c>
      <c r="D663">
        <v>565.36</v>
      </c>
      <c r="E663" t="str">
        <f>VLOOKUP(C663,inf!$A$2:$B$7,2,FALSE)</f>
        <v>Current</v>
      </c>
      <c r="F663" t="str">
        <f t="shared" si="11"/>
        <v>04/05/2017</v>
      </c>
      <c r="G663" t="str">
        <f>VLOOKUP(A663,inf!$D$2:$E$76,2,FALSE)</f>
        <v>Other</v>
      </c>
    </row>
    <row r="664" spans="1:7" x14ac:dyDescent="0.25">
      <c r="A664" t="s">
        <v>25</v>
      </c>
      <c r="B664" s="1">
        <v>42830</v>
      </c>
      <c r="C664" t="s">
        <v>55</v>
      </c>
      <c r="D664">
        <v>713.54</v>
      </c>
      <c r="E664" t="str">
        <f>VLOOKUP(C664,inf!$A$2:$B$7,2,FALSE)</f>
        <v>Current</v>
      </c>
      <c r="F664" t="str">
        <f t="shared" si="11"/>
        <v>04/05/2017</v>
      </c>
      <c r="G664" t="str">
        <f>VLOOKUP(A664,inf!$D$2:$E$76,2,FALSE)</f>
        <v>Other</v>
      </c>
    </row>
    <row r="665" spans="1:7" x14ac:dyDescent="0.25">
      <c r="A665" t="s">
        <v>25</v>
      </c>
      <c r="B665" s="1">
        <v>42830</v>
      </c>
      <c r="C665" t="s">
        <v>58</v>
      </c>
      <c r="D665">
        <v>120.1</v>
      </c>
      <c r="E665" t="str">
        <f>VLOOKUP(C665,inf!$A$2:$B$7,2,FALSE)</f>
        <v>61 to 90</v>
      </c>
      <c r="F665" t="str">
        <f t="shared" si="11"/>
        <v>04/05/2017</v>
      </c>
      <c r="G665" t="str">
        <f>VLOOKUP(A665,inf!$D$2:$E$76,2,FALSE)</f>
        <v>Other</v>
      </c>
    </row>
    <row r="666" spans="1:7" x14ac:dyDescent="0.25">
      <c r="A666" t="s">
        <v>31</v>
      </c>
      <c r="B666" s="1">
        <v>42830</v>
      </c>
      <c r="C666" t="s">
        <v>55</v>
      </c>
      <c r="D666">
        <v>1665</v>
      </c>
      <c r="E666" t="str">
        <f>VLOOKUP(C666,inf!$A$2:$B$7,2,FALSE)</f>
        <v>Current</v>
      </c>
      <c r="F666" t="str">
        <f t="shared" si="11"/>
        <v>04/05/2017</v>
      </c>
      <c r="G666" t="str">
        <f>VLOOKUP(A666,inf!$D$2:$E$76,2,FALSE)</f>
        <v>Other</v>
      </c>
    </row>
    <row r="667" spans="1:7" x14ac:dyDescent="0.25">
      <c r="A667" t="s">
        <v>24</v>
      </c>
      <c r="B667" s="1">
        <v>42830</v>
      </c>
      <c r="C667" t="s">
        <v>55</v>
      </c>
      <c r="D667">
        <v>192.41</v>
      </c>
      <c r="E667" t="str">
        <f>VLOOKUP(C667,inf!$A$2:$B$7,2,FALSE)</f>
        <v>Current</v>
      </c>
      <c r="F667" t="str">
        <f t="shared" si="11"/>
        <v>04/05/2017</v>
      </c>
      <c r="G667" t="str">
        <f>VLOOKUP(A667,inf!$D$2:$E$76,2,FALSE)</f>
        <v>Other</v>
      </c>
    </row>
    <row r="668" spans="1:7" x14ac:dyDescent="0.25">
      <c r="A668" t="s">
        <v>18</v>
      </c>
      <c r="B668" s="1">
        <v>42830</v>
      </c>
      <c r="C668" t="s">
        <v>55</v>
      </c>
      <c r="D668">
        <v>739.24</v>
      </c>
      <c r="E668" t="str">
        <f>VLOOKUP(C668,inf!$A$2:$B$7,2,FALSE)</f>
        <v>Current</v>
      </c>
      <c r="F668" t="str">
        <f t="shared" si="11"/>
        <v>04/05/2017</v>
      </c>
      <c r="G668" t="str">
        <f>VLOOKUP(A668,inf!$D$2:$E$76,2,FALSE)</f>
        <v>Other</v>
      </c>
    </row>
    <row r="669" spans="1:7" x14ac:dyDescent="0.25">
      <c r="A669" t="s">
        <v>27</v>
      </c>
      <c r="B669" s="1">
        <v>42830</v>
      </c>
      <c r="C669" t="s">
        <v>55</v>
      </c>
      <c r="D669">
        <v>848.56000000000006</v>
      </c>
      <c r="E669" t="str">
        <f>VLOOKUP(C669,inf!$A$2:$B$7,2,FALSE)</f>
        <v>Current</v>
      </c>
      <c r="F669" t="str">
        <f t="shared" si="11"/>
        <v>04/05/2017</v>
      </c>
      <c r="G669" t="str">
        <f>VLOOKUP(A669,inf!$D$2:$E$76,2,FALSE)</f>
        <v>Other</v>
      </c>
    </row>
    <row r="670" spans="1:7" x14ac:dyDescent="0.25">
      <c r="A670" t="s">
        <v>27</v>
      </c>
      <c r="B670" s="1">
        <v>42830</v>
      </c>
      <c r="C670" t="s">
        <v>56</v>
      </c>
      <c r="D670">
        <v>599.42000000000007</v>
      </c>
      <c r="E670" t="str">
        <f>VLOOKUP(C670,inf!$A$2:$B$7,2,FALSE)</f>
        <v>Current</v>
      </c>
      <c r="F670" t="str">
        <f t="shared" si="11"/>
        <v>04/05/2017</v>
      </c>
      <c r="G670" t="str">
        <f>VLOOKUP(A670,inf!$D$2:$E$76,2,FALSE)</f>
        <v>Other</v>
      </c>
    </row>
    <row r="671" spans="1:7" x14ac:dyDescent="0.25">
      <c r="A671" t="s">
        <v>62</v>
      </c>
      <c r="B671" s="1">
        <v>42830</v>
      </c>
      <c r="C671" t="s">
        <v>55</v>
      </c>
      <c r="D671">
        <v>238.6</v>
      </c>
      <c r="E671" t="str">
        <f>VLOOKUP(C671,inf!$A$2:$B$7,2,FALSE)</f>
        <v>Current</v>
      </c>
      <c r="F671" t="str">
        <f t="shared" si="11"/>
        <v>04/05/2017</v>
      </c>
      <c r="G671" t="str">
        <f>VLOOKUP(A671,inf!$D$2:$E$76,2,FALSE)</f>
        <v>Other</v>
      </c>
    </row>
    <row r="672" spans="1:7" x14ac:dyDescent="0.25">
      <c r="A672" t="s">
        <v>21</v>
      </c>
      <c r="B672" s="1">
        <v>42830</v>
      </c>
      <c r="C672" t="s">
        <v>55</v>
      </c>
      <c r="D672">
        <v>2900.7700000000004</v>
      </c>
      <c r="E672" t="str">
        <f>VLOOKUP(C672,inf!$A$2:$B$7,2,FALSE)</f>
        <v>Current</v>
      </c>
      <c r="F672" t="str">
        <f t="shared" si="11"/>
        <v>04/05/2017</v>
      </c>
      <c r="G672" t="str">
        <f>VLOOKUP(A672,inf!$D$2:$E$76,2,FALSE)</f>
        <v>Other</v>
      </c>
    </row>
    <row r="673" spans="1:7" x14ac:dyDescent="0.25">
      <c r="A673" t="s">
        <v>3</v>
      </c>
      <c r="B673" s="1">
        <v>42830</v>
      </c>
      <c r="C673" t="s">
        <v>56</v>
      </c>
      <c r="D673">
        <v>4896.4799999999987</v>
      </c>
      <c r="E673" t="str">
        <f>VLOOKUP(C673,inf!$A$2:$B$7,2,FALSE)</f>
        <v>Current</v>
      </c>
      <c r="F673" t="str">
        <f t="shared" si="11"/>
        <v>04/05/2017</v>
      </c>
      <c r="G673" t="str">
        <f>VLOOKUP(A673,inf!$D$2:$E$76,2,FALSE)</f>
        <v>Other</v>
      </c>
    </row>
    <row r="674" spans="1:7" x14ac:dyDescent="0.25">
      <c r="A674" t="s">
        <v>3</v>
      </c>
      <c r="B674" s="1">
        <v>42830</v>
      </c>
      <c r="C674" t="s">
        <v>55</v>
      </c>
      <c r="D674">
        <v>4623.1099999999997</v>
      </c>
      <c r="E674" t="str">
        <f>VLOOKUP(C674,inf!$A$2:$B$7,2,FALSE)</f>
        <v>Current</v>
      </c>
      <c r="F674" t="str">
        <f t="shared" si="11"/>
        <v>04/05/2017</v>
      </c>
      <c r="G674" t="str">
        <f>VLOOKUP(A674,inf!$D$2:$E$76,2,FALSE)</f>
        <v>Other</v>
      </c>
    </row>
    <row r="675" spans="1:7" x14ac:dyDescent="0.25">
      <c r="A675" t="s">
        <v>30</v>
      </c>
      <c r="B675" s="1">
        <v>42830</v>
      </c>
      <c r="C675" t="s">
        <v>55</v>
      </c>
      <c r="D675">
        <v>633.70000000000005</v>
      </c>
      <c r="E675" t="str">
        <f>VLOOKUP(C675,inf!$A$2:$B$7,2,FALSE)</f>
        <v>Current</v>
      </c>
      <c r="F675" t="str">
        <f t="shared" si="11"/>
        <v>04/05/2017</v>
      </c>
      <c r="G675" t="str">
        <f>VLOOKUP(A675,inf!$D$2:$E$76,2,FALSE)</f>
        <v>Other</v>
      </c>
    </row>
    <row r="676" spans="1:7" x14ac:dyDescent="0.25">
      <c r="A676" t="s">
        <v>30</v>
      </c>
      <c r="B676" s="1">
        <v>42830</v>
      </c>
      <c r="C676" t="s">
        <v>57</v>
      </c>
      <c r="D676">
        <v>610.83000000000004</v>
      </c>
      <c r="E676" t="str">
        <f>VLOOKUP(C676,inf!$A$2:$B$7,2,FALSE)</f>
        <v>31 to 60</v>
      </c>
      <c r="F676" t="str">
        <f t="shared" si="11"/>
        <v>04/05/2017</v>
      </c>
      <c r="G676" t="str">
        <f>VLOOKUP(A676,inf!$D$2:$E$76,2,FALSE)</f>
        <v>Other</v>
      </c>
    </row>
    <row r="677" spans="1:7" x14ac:dyDescent="0.25">
      <c r="A677" t="s">
        <v>12</v>
      </c>
      <c r="B677" s="1">
        <v>42830</v>
      </c>
      <c r="C677" t="s">
        <v>55</v>
      </c>
      <c r="D677">
        <v>2324.13</v>
      </c>
      <c r="E677" t="str">
        <f>VLOOKUP(C677,inf!$A$2:$B$7,2,FALSE)</f>
        <v>Current</v>
      </c>
      <c r="F677" t="str">
        <f t="shared" si="11"/>
        <v>04/05/2017</v>
      </c>
      <c r="G677" t="str">
        <f>VLOOKUP(A677,inf!$D$2:$E$76,2,FALSE)</f>
        <v>Other</v>
      </c>
    </row>
    <row r="678" spans="1:7" x14ac:dyDescent="0.25">
      <c r="A678" t="s">
        <v>12</v>
      </c>
      <c r="B678" s="1">
        <v>42830</v>
      </c>
      <c r="C678" t="s">
        <v>60</v>
      </c>
      <c r="D678">
        <v>450.5</v>
      </c>
      <c r="E678" t="str">
        <f>VLOOKUP(C678,inf!$A$2:$B$7,2,FALSE)</f>
        <v>Over 90</v>
      </c>
      <c r="F678" t="str">
        <f t="shared" si="11"/>
        <v>04/05/2017</v>
      </c>
      <c r="G678" t="str">
        <f>VLOOKUP(A678,inf!$D$2:$E$76,2,FALSE)</f>
        <v>Other</v>
      </c>
    </row>
    <row r="679" spans="1:7" x14ac:dyDescent="0.25">
      <c r="A679" t="s">
        <v>7</v>
      </c>
      <c r="B679" s="1">
        <v>42830</v>
      </c>
      <c r="C679" t="s">
        <v>55</v>
      </c>
      <c r="D679">
        <v>70142.669999999955</v>
      </c>
      <c r="E679" t="str">
        <f>VLOOKUP(C679,inf!$A$2:$B$7,2,FALSE)</f>
        <v>Current</v>
      </c>
      <c r="F679" t="str">
        <f t="shared" si="11"/>
        <v>04/05/2017</v>
      </c>
      <c r="G679" t="str">
        <f>VLOOKUP(A679,inf!$D$2:$E$76,2,FALSE)</f>
        <v>SAFEWAY</v>
      </c>
    </row>
    <row r="680" spans="1:7" x14ac:dyDescent="0.25">
      <c r="A680" t="s">
        <v>7</v>
      </c>
      <c r="B680" s="1">
        <v>42830</v>
      </c>
      <c r="C680" t="s">
        <v>56</v>
      </c>
      <c r="D680">
        <v>4016.0000000000005</v>
      </c>
      <c r="E680" t="str">
        <f>VLOOKUP(C680,inf!$A$2:$B$7,2,FALSE)</f>
        <v>Current</v>
      </c>
      <c r="F680" t="str">
        <f t="shared" si="11"/>
        <v>04/05/2017</v>
      </c>
      <c r="G680" t="str">
        <f>VLOOKUP(A680,inf!$D$2:$E$76,2,FALSE)</f>
        <v>SAFEWAY</v>
      </c>
    </row>
    <row r="681" spans="1:7" x14ac:dyDescent="0.25">
      <c r="A681" t="s">
        <v>7</v>
      </c>
      <c r="B681" s="1">
        <v>42830</v>
      </c>
      <c r="C681" t="s">
        <v>60</v>
      </c>
      <c r="D681">
        <v>631.72</v>
      </c>
      <c r="E681" t="str">
        <f>VLOOKUP(C681,inf!$A$2:$B$7,2,FALSE)</f>
        <v>Over 90</v>
      </c>
      <c r="F681" t="str">
        <f t="shared" si="11"/>
        <v>04/05/2017</v>
      </c>
      <c r="G681" t="str">
        <f>VLOOKUP(A681,inf!$D$2:$E$76,2,FALSE)</f>
        <v>SAFEWAY</v>
      </c>
    </row>
    <row r="682" spans="1:7" x14ac:dyDescent="0.25">
      <c r="A682" t="s">
        <v>7</v>
      </c>
      <c r="B682" s="1">
        <v>42830</v>
      </c>
      <c r="C682" t="s">
        <v>58</v>
      </c>
      <c r="D682">
        <v>264.52999999999997</v>
      </c>
      <c r="E682" t="str">
        <f>VLOOKUP(C682,inf!$A$2:$B$7,2,FALSE)</f>
        <v>61 to 90</v>
      </c>
      <c r="F682" t="str">
        <f t="shared" si="11"/>
        <v>04/05/2017</v>
      </c>
      <c r="G682" t="str">
        <f>VLOOKUP(A682,inf!$D$2:$E$76,2,FALSE)</f>
        <v>SAFEWAY</v>
      </c>
    </row>
    <row r="683" spans="1:7" x14ac:dyDescent="0.25">
      <c r="A683" t="s">
        <v>5</v>
      </c>
      <c r="B683" s="1">
        <v>42830</v>
      </c>
      <c r="C683" t="s">
        <v>55</v>
      </c>
      <c r="D683">
        <v>4302609.9400000535</v>
      </c>
      <c r="E683" t="str">
        <f>VLOOKUP(C683,inf!$A$2:$B$7,2,FALSE)</f>
        <v>Current</v>
      </c>
      <c r="F683" t="str">
        <f t="shared" si="11"/>
        <v>04/05/2017</v>
      </c>
      <c r="G683" t="str">
        <f>VLOOKUP(A683,inf!$D$2:$E$76,2,FALSE)</f>
        <v>SBUX</v>
      </c>
    </row>
    <row r="684" spans="1:7" x14ac:dyDescent="0.25">
      <c r="A684" t="s">
        <v>5</v>
      </c>
      <c r="B684" s="1">
        <v>42830</v>
      </c>
      <c r="C684" t="s">
        <v>60</v>
      </c>
      <c r="D684">
        <v>70246.569999999992</v>
      </c>
      <c r="E684" t="str">
        <f>VLOOKUP(C684,inf!$A$2:$B$7,2,FALSE)</f>
        <v>Over 90</v>
      </c>
      <c r="F684" t="str">
        <f t="shared" si="11"/>
        <v>04/05/2017</v>
      </c>
      <c r="G684" t="str">
        <f>VLOOKUP(A684,inf!$D$2:$E$76,2,FALSE)</f>
        <v>SBUX</v>
      </c>
    </row>
    <row r="685" spans="1:7" x14ac:dyDescent="0.25">
      <c r="A685" t="s">
        <v>5</v>
      </c>
      <c r="B685" s="1">
        <v>42830</v>
      </c>
      <c r="C685" t="s">
        <v>58</v>
      </c>
      <c r="D685">
        <v>17614.980000000003</v>
      </c>
      <c r="E685" t="str">
        <f>VLOOKUP(C685,inf!$A$2:$B$7,2,FALSE)</f>
        <v>61 to 90</v>
      </c>
      <c r="F685" t="str">
        <f t="shared" si="11"/>
        <v>04/05/2017</v>
      </c>
      <c r="G685" t="str">
        <f>VLOOKUP(A685,inf!$D$2:$E$76,2,FALSE)</f>
        <v>SBUX</v>
      </c>
    </row>
    <row r="686" spans="1:7" x14ac:dyDescent="0.25">
      <c r="A686" t="s">
        <v>5</v>
      </c>
      <c r="B686" s="1">
        <v>42830</v>
      </c>
      <c r="C686" t="s">
        <v>59</v>
      </c>
      <c r="D686">
        <v>7201.8800000000037</v>
      </c>
      <c r="E686" t="str">
        <f>VLOOKUP(C686,inf!$A$2:$B$7,2,FALSE)</f>
        <v>Over 90</v>
      </c>
      <c r="F686" t="str">
        <f t="shared" si="11"/>
        <v>04/05/2017</v>
      </c>
      <c r="G686" t="str">
        <f>VLOOKUP(A686,inf!$D$2:$E$76,2,FALSE)</f>
        <v>SBUX</v>
      </c>
    </row>
    <row r="687" spans="1:7" x14ac:dyDescent="0.25">
      <c r="A687" t="s">
        <v>5</v>
      </c>
      <c r="B687" s="1">
        <v>42830</v>
      </c>
      <c r="C687" t="s">
        <v>56</v>
      </c>
      <c r="D687">
        <v>4894.72</v>
      </c>
      <c r="E687" t="str">
        <f>VLOOKUP(C687,inf!$A$2:$B$7,2,FALSE)</f>
        <v>Current</v>
      </c>
      <c r="F687" t="str">
        <f t="shared" si="11"/>
        <v>04/05/2017</v>
      </c>
      <c r="G687" t="str">
        <f>VLOOKUP(A687,inf!$D$2:$E$76,2,FALSE)</f>
        <v>SBUX</v>
      </c>
    </row>
    <row r="688" spans="1:7" x14ac:dyDescent="0.25">
      <c r="A688" t="s">
        <v>5</v>
      </c>
      <c r="B688" s="1">
        <v>42830</v>
      </c>
      <c r="C688" t="s">
        <v>57</v>
      </c>
      <c r="D688">
        <v>2453.94</v>
      </c>
      <c r="E688" t="str">
        <f>VLOOKUP(C688,inf!$A$2:$B$7,2,FALSE)</f>
        <v>31 to 60</v>
      </c>
      <c r="F688" t="str">
        <f t="shared" si="11"/>
        <v>04/05/2017</v>
      </c>
      <c r="G688" t="str">
        <f>VLOOKUP(A688,inf!$D$2:$E$76,2,FALSE)</f>
        <v>SBUX</v>
      </c>
    </row>
    <row r="689" spans="1:7" x14ac:dyDescent="0.25">
      <c r="A689" t="s">
        <v>6</v>
      </c>
      <c r="B689" s="1">
        <v>42830</v>
      </c>
      <c r="C689" t="s">
        <v>55</v>
      </c>
      <c r="D689">
        <v>413753.00999999931</v>
      </c>
      <c r="E689" t="str">
        <f>VLOOKUP(C689,inf!$A$2:$B$7,2,FALSE)</f>
        <v>Current</v>
      </c>
      <c r="F689" t="str">
        <f t="shared" si="11"/>
        <v>04/05/2017</v>
      </c>
      <c r="G689" t="str">
        <f>VLOOKUP(A689,inf!$D$2:$E$76,2,FALSE)</f>
        <v>SBUX</v>
      </c>
    </row>
    <row r="690" spans="1:7" x14ac:dyDescent="0.25">
      <c r="A690" t="s">
        <v>6</v>
      </c>
      <c r="B690" s="1">
        <v>42830</v>
      </c>
      <c r="C690" t="s">
        <v>60</v>
      </c>
      <c r="D690">
        <v>4984.95</v>
      </c>
      <c r="E690" t="str">
        <f>VLOOKUP(C690,inf!$A$2:$B$7,2,FALSE)</f>
        <v>Over 90</v>
      </c>
      <c r="F690" t="str">
        <f t="shared" si="11"/>
        <v>04/05/2017</v>
      </c>
      <c r="G690" t="str">
        <f>VLOOKUP(A690,inf!$D$2:$E$76,2,FALSE)</f>
        <v>SBUX</v>
      </c>
    </row>
    <row r="691" spans="1:7" x14ac:dyDescent="0.25">
      <c r="A691" t="s">
        <v>6</v>
      </c>
      <c r="B691" s="1">
        <v>42830</v>
      </c>
      <c r="C691" t="s">
        <v>56</v>
      </c>
      <c r="D691">
        <v>3665.4</v>
      </c>
      <c r="E691" t="str">
        <f>VLOOKUP(C691,inf!$A$2:$B$7,2,FALSE)</f>
        <v>Current</v>
      </c>
      <c r="F691" t="str">
        <f t="shared" si="11"/>
        <v>04/05/2017</v>
      </c>
      <c r="G691" t="str">
        <f>VLOOKUP(A691,inf!$D$2:$E$76,2,FALSE)</f>
        <v>SBUX</v>
      </c>
    </row>
    <row r="692" spans="1:7" x14ac:dyDescent="0.25">
      <c r="A692" t="s">
        <v>6</v>
      </c>
      <c r="B692" s="1">
        <v>42830</v>
      </c>
      <c r="C692" t="s">
        <v>58</v>
      </c>
      <c r="D692">
        <v>2233.2800000000002</v>
      </c>
      <c r="E692" t="str">
        <f>VLOOKUP(C692,inf!$A$2:$B$7,2,FALSE)</f>
        <v>61 to 90</v>
      </c>
      <c r="F692" t="str">
        <f t="shared" si="11"/>
        <v>04/05/2017</v>
      </c>
      <c r="G692" t="str">
        <f>VLOOKUP(A692,inf!$D$2:$E$76,2,FALSE)</f>
        <v>SBUX</v>
      </c>
    </row>
    <row r="693" spans="1:7" x14ac:dyDescent="0.25">
      <c r="A693" t="s">
        <v>6</v>
      </c>
      <c r="B693" s="1">
        <v>42830</v>
      </c>
      <c r="C693" t="s">
        <v>59</v>
      </c>
      <c r="D693">
        <v>966.64</v>
      </c>
      <c r="E693" t="str">
        <f>VLOOKUP(C693,inf!$A$2:$B$7,2,FALSE)</f>
        <v>Over 90</v>
      </c>
      <c r="F693" t="str">
        <f t="shared" si="11"/>
        <v>04/05/2017</v>
      </c>
      <c r="G693" t="str">
        <f>VLOOKUP(A693,inf!$D$2:$E$76,2,FALSE)</f>
        <v>SBUX</v>
      </c>
    </row>
    <row r="694" spans="1:7" x14ac:dyDescent="0.25">
      <c r="A694" t="s">
        <v>6</v>
      </c>
      <c r="B694" s="1">
        <v>42830</v>
      </c>
      <c r="C694" t="s">
        <v>57</v>
      </c>
      <c r="D694">
        <v>435.33</v>
      </c>
      <c r="E694" t="str">
        <f>VLOOKUP(C694,inf!$A$2:$B$7,2,FALSE)</f>
        <v>31 to 60</v>
      </c>
      <c r="F694" t="str">
        <f t="shared" si="11"/>
        <v>04/05/2017</v>
      </c>
      <c r="G694" t="str">
        <f>VLOOKUP(A694,inf!$D$2:$E$76,2,FALSE)</f>
        <v>SBUX</v>
      </c>
    </row>
    <row r="695" spans="1:7" x14ac:dyDescent="0.25">
      <c r="A695" t="s">
        <v>51</v>
      </c>
      <c r="B695" s="1">
        <v>42830</v>
      </c>
      <c r="C695" t="s">
        <v>55</v>
      </c>
      <c r="D695">
        <v>235.2</v>
      </c>
      <c r="E695" t="str">
        <f>VLOOKUP(C695,inf!$A$2:$B$7,2,FALSE)</f>
        <v>Current</v>
      </c>
      <c r="F695" t="str">
        <f t="shared" si="11"/>
        <v>04/05/2017</v>
      </c>
      <c r="G695" t="str">
        <f>VLOOKUP(A695,inf!$D$2:$E$76,2,FALSE)</f>
        <v>Other</v>
      </c>
    </row>
    <row r="696" spans="1:7" x14ac:dyDescent="0.25">
      <c r="A696" t="s">
        <v>8</v>
      </c>
      <c r="B696" s="1">
        <v>42830</v>
      </c>
      <c r="C696" t="s">
        <v>55</v>
      </c>
      <c r="D696">
        <v>496657.66999999911</v>
      </c>
      <c r="E696" t="str">
        <f>VLOOKUP(C696,inf!$A$2:$B$7,2,FALSE)</f>
        <v>Current</v>
      </c>
      <c r="F696" t="str">
        <f t="shared" si="11"/>
        <v>04/05/2017</v>
      </c>
      <c r="G696" t="str">
        <f>VLOOKUP(A696,inf!$D$2:$E$76,2,FALSE)</f>
        <v>Target</v>
      </c>
    </row>
    <row r="697" spans="1:7" x14ac:dyDescent="0.25">
      <c r="A697" t="s">
        <v>8</v>
      </c>
      <c r="B697" s="1">
        <v>42830</v>
      </c>
      <c r="C697" t="s">
        <v>60</v>
      </c>
      <c r="D697">
        <v>25901.450000000008</v>
      </c>
      <c r="E697" t="str">
        <f>VLOOKUP(C697,inf!$A$2:$B$7,2,FALSE)</f>
        <v>Over 90</v>
      </c>
      <c r="F697" t="str">
        <f t="shared" si="11"/>
        <v>04/05/2017</v>
      </c>
      <c r="G697" t="str">
        <f>VLOOKUP(A697,inf!$D$2:$E$76,2,FALSE)</f>
        <v>Target</v>
      </c>
    </row>
    <row r="698" spans="1:7" x14ac:dyDescent="0.25">
      <c r="A698" t="s">
        <v>8</v>
      </c>
      <c r="B698" s="1">
        <v>42830</v>
      </c>
      <c r="C698" t="s">
        <v>56</v>
      </c>
      <c r="D698">
        <v>5760.23</v>
      </c>
      <c r="E698" t="str">
        <f>VLOOKUP(C698,inf!$A$2:$B$7,2,FALSE)</f>
        <v>Current</v>
      </c>
      <c r="F698" t="str">
        <f t="shared" si="11"/>
        <v>04/05/2017</v>
      </c>
      <c r="G698" t="str">
        <f>VLOOKUP(A698,inf!$D$2:$E$76,2,FALSE)</f>
        <v>Target</v>
      </c>
    </row>
    <row r="699" spans="1:7" x14ac:dyDescent="0.25">
      <c r="A699" t="s">
        <v>8</v>
      </c>
      <c r="B699" s="1">
        <v>42830</v>
      </c>
      <c r="C699" t="s">
        <v>58</v>
      </c>
      <c r="D699">
        <v>952.49</v>
      </c>
      <c r="E699" t="str">
        <f>VLOOKUP(C699,inf!$A$2:$B$7,2,FALSE)</f>
        <v>61 to 90</v>
      </c>
      <c r="F699" t="str">
        <f t="shared" si="11"/>
        <v>04/05/2017</v>
      </c>
      <c r="G699" t="str">
        <f>VLOOKUP(A699,inf!$D$2:$E$76,2,FALSE)</f>
        <v>Target</v>
      </c>
    </row>
    <row r="700" spans="1:7" x14ac:dyDescent="0.25">
      <c r="A700" t="s">
        <v>8</v>
      </c>
      <c r="B700" s="1">
        <v>42830</v>
      </c>
      <c r="C700" t="s">
        <v>57</v>
      </c>
      <c r="D700">
        <v>597.32999999999993</v>
      </c>
      <c r="E700" t="str">
        <f>VLOOKUP(C700,inf!$A$2:$B$7,2,FALSE)</f>
        <v>31 to 60</v>
      </c>
      <c r="F700" t="str">
        <f t="shared" si="11"/>
        <v>04/05/2017</v>
      </c>
      <c r="G700" t="str">
        <f>VLOOKUP(A700,inf!$D$2:$E$76,2,FALSE)</f>
        <v>Target</v>
      </c>
    </row>
    <row r="701" spans="1:7" x14ac:dyDescent="0.25">
      <c r="A701" t="s">
        <v>8</v>
      </c>
      <c r="B701" s="1">
        <v>42830</v>
      </c>
      <c r="C701" t="s">
        <v>59</v>
      </c>
      <c r="D701">
        <v>222.27</v>
      </c>
      <c r="E701" t="str">
        <f>VLOOKUP(C701,inf!$A$2:$B$7,2,FALSE)</f>
        <v>Over 90</v>
      </c>
      <c r="F701" t="str">
        <f t="shared" si="11"/>
        <v>04/05/2017</v>
      </c>
      <c r="G701" t="str">
        <f>VLOOKUP(A701,inf!$D$2:$E$76,2,FALSE)</f>
        <v>Target</v>
      </c>
    </row>
    <row r="702" spans="1:7" x14ac:dyDescent="0.25">
      <c r="A702" t="s">
        <v>54</v>
      </c>
      <c r="B702" s="1">
        <v>42830</v>
      </c>
      <c r="C702" t="s">
        <v>55</v>
      </c>
      <c r="D702">
        <v>1222.04</v>
      </c>
      <c r="E702" t="str">
        <f>VLOOKUP(C702,inf!$A$2:$B$7,2,FALSE)</f>
        <v>Current</v>
      </c>
      <c r="F702" t="str">
        <f t="shared" si="11"/>
        <v>04/05/2017</v>
      </c>
      <c r="G702" t="str">
        <f>VLOOKUP(A702,inf!$D$2:$E$76,2,FALSE)</f>
        <v>Other</v>
      </c>
    </row>
    <row r="703" spans="1:7" x14ac:dyDescent="0.25">
      <c r="A703" t="s">
        <v>54</v>
      </c>
      <c r="B703" s="1">
        <v>42830</v>
      </c>
      <c r="C703" t="s">
        <v>58</v>
      </c>
      <c r="D703">
        <v>887.52</v>
      </c>
      <c r="E703" t="str">
        <f>VLOOKUP(C703,inf!$A$2:$B$7,2,FALSE)</f>
        <v>61 to 90</v>
      </c>
      <c r="F703" t="str">
        <f t="shared" si="11"/>
        <v>04/05/2017</v>
      </c>
      <c r="G703" t="str">
        <f>VLOOKUP(A703,inf!$D$2:$E$76,2,FALSE)</f>
        <v>Other</v>
      </c>
    </row>
    <row r="704" spans="1:7" x14ac:dyDescent="0.25">
      <c r="A704" t="s">
        <v>54</v>
      </c>
      <c r="B704" s="1">
        <v>42830</v>
      </c>
      <c r="C704" t="s">
        <v>57</v>
      </c>
      <c r="D704">
        <v>344.54999999999995</v>
      </c>
      <c r="E704" t="str">
        <f>VLOOKUP(C704,inf!$A$2:$B$7,2,FALSE)</f>
        <v>31 to 60</v>
      </c>
      <c r="F704" t="str">
        <f t="shared" si="11"/>
        <v>04/05/2017</v>
      </c>
      <c r="G704" t="str">
        <f>VLOOKUP(A704,inf!$D$2:$E$76,2,FALSE)</f>
        <v>Other</v>
      </c>
    </row>
    <row r="705" spans="1:7" x14ac:dyDescent="0.25">
      <c r="A705" t="s">
        <v>54</v>
      </c>
      <c r="B705" s="1">
        <v>42830</v>
      </c>
      <c r="C705" t="s">
        <v>59</v>
      </c>
      <c r="D705">
        <v>5.62</v>
      </c>
      <c r="E705" t="str">
        <f>VLOOKUP(C705,inf!$A$2:$B$7,2,FALSE)</f>
        <v>Over 90</v>
      </c>
      <c r="F705" t="str">
        <f t="shared" si="11"/>
        <v>04/05/2017</v>
      </c>
      <c r="G705" t="str">
        <f>VLOOKUP(A705,inf!$D$2:$E$76,2,FALSE)</f>
        <v>Other</v>
      </c>
    </row>
    <row r="706" spans="1:7" x14ac:dyDescent="0.25">
      <c r="A706" t="s">
        <v>15</v>
      </c>
      <c r="B706" s="1">
        <v>42830</v>
      </c>
      <c r="C706" t="s">
        <v>55</v>
      </c>
      <c r="D706">
        <v>670.51</v>
      </c>
      <c r="E706" t="str">
        <f>VLOOKUP(C706,inf!$A$2:$B$7,2,FALSE)</f>
        <v>Current</v>
      </c>
      <c r="F706" t="str">
        <f t="shared" si="11"/>
        <v>04/05/2017</v>
      </c>
      <c r="G706" t="str">
        <f>VLOOKUP(A706,inf!$D$2:$E$76,2,FALSE)</f>
        <v>Other</v>
      </c>
    </row>
    <row r="707" spans="1:7" x14ac:dyDescent="0.25">
      <c r="A707" t="s">
        <v>15</v>
      </c>
      <c r="B707" s="1">
        <v>42830</v>
      </c>
      <c r="C707" t="s">
        <v>56</v>
      </c>
      <c r="D707">
        <v>271.91000000000003</v>
      </c>
      <c r="E707" t="str">
        <f>VLOOKUP(C707,inf!$A$2:$B$7,2,FALSE)</f>
        <v>Current</v>
      </c>
      <c r="F707" t="str">
        <f t="shared" ref="F707:F770" si="12">TEXT(B707,"MM/DD/YYYY")</f>
        <v>04/05/2017</v>
      </c>
      <c r="G707" t="str">
        <f>VLOOKUP(A707,inf!$D$2:$E$76,2,FALSE)</f>
        <v>Other</v>
      </c>
    </row>
    <row r="708" spans="1:7" x14ac:dyDescent="0.25">
      <c r="A708" t="s">
        <v>15</v>
      </c>
      <c r="B708" s="1">
        <v>42830</v>
      </c>
      <c r="C708" t="s">
        <v>58</v>
      </c>
      <c r="D708">
        <v>126.05</v>
      </c>
      <c r="E708" t="str">
        <f>VLOOKUP(C708,inf!$A$2:$B$7,2,FALSE)</f>
        <v>61 to 90</v>
      </c>
      <c r="F708" t="str">
        <f t="shared" si="12"/>
        <v>04/05/2017</v>
      </c>
      <c r="G708" t="str">
        <f>VLOOKUP(A708,inf!$D$2:$E$76,2,FALSE)</f>
        <v>Other</v>
      </c>
    </row>
    <row r="709" spans="1:7" x14ac:dyDescent="0.25">
      <c r="A709" t="s">
        <v>4</v>
      </c>
      <c r="B709" s="1">
        <v>42837</v>
      </c>
      <c r="C709" t="s">
        <v>55</v>
      </c>
      <c r="D709">
        <v>4080.7</v>
      </c>
      <c r="E709" t="str">
        <f>VLOOKUP(C709,inf!$A$2:$B$7,2,FALSE)</f>
        <v>Current</v>
      </c>
      <c r="F709" t="str">
        <f t="shared" si="12"/>
        <v>04/12/2017</v>
      </c>
      <c r="G709" t="str">
        <f>VLOOKUP(A709,inf!$D$2:$E$76,2,FALSE)</f>
        <v>Other</v>
      </c>
    </row>
    <row r="710" spans="1:7" x14ac:dyDescent="0.25">
      <c r="A710" t="s">
        <v>4</v>
      </c>
      <c r="B710" s="1">
        <v>42837</v>
      </c>
      <c r="C710" t="s">
        <v>56</v>
      </c>
      <c r="D710">
        <v>1527.03</v>
      </c>
      <c r="E710" t="str">
        <f>VLOOKUP(C710,inf!$A$2:$B$7,2,FALSE)</f>
        <v>Current</v>
      </c>
      <c r="F710" t="str">
        <f t="shared" si="12"/>
        <v>04/12/2017</v>
      </c>
      <c r="G710" t="str">
        <f>VLOOKUP(A710,inf!$D$2:$E$76,2,FALSE)</f>
        <v>Other</v>
      </c>
    </row>
    <row r="711" spans="1:7" x14ac:dyDescent="0.25">
      <c r="A711" t="s">
        <v>26</v>
      </c>
      <c r="B711" s="1">
        <v>42837</v>
      </c>
      <c r="C711" t="s">
        <v>60</v>
      </c>
      <c r="D711">
        <v>1380.77</v>
      </c>
      <c r="E711" t="str">
        <f>VLOOKUP(C711,inf!$A$2:$B$7,2,FALSE)</f>
        <v>Over 90</v>
      </c>
      <c r="F711" t="str">
        <f t="shared" si="12"/>
        <v>04/12/2017</v>
      </c>
      <c r="G711" t="str">
        <f>VLOOKUP(A711,inf!$D$2:$E$76,2,FALSE)</f>
        <v>Other</v>
      </c>
    </row>
    <row r="712" spans="1:7" x14ac:dyDescent="0.25">
      <c r="A712" t="s">
        <v>2</v>
      </c>
      <c r="B712" s="1">
        <v>42837</v>
      </c>
      <c r="C712" t="s">
        <v>60</v>
      </c>
      <c r="D712">
        <v>3717.8600000000006</v>
      </c>
      <c r="E712" t="str">
        <f>VLOOKUP(C712,inf!$A$2:$B$7,2,FALSE)</f>
        <v>Over 90</v>
      </c>
      <c r="F712" t="str">
        <f t="shared" si="12"/>
        <v>04/12/2017</v>
      </c>
      <c r="G712" t="str">
        <f>VLOOKUP(A712,inf!$D$2:$E$76,2,FALSE)</f>
        <v>Other</v>
      </c>
    </row>
    <row r="713" spans="1:7" x14ac:dyDescent="0.25">
      <c r="A713" t="s">
        <v>32</v>
      </c>
      <c r="B713" s="1">
        <v>42837</v>
      </c>
      <c r="C713" t="s">
        <v>55</v>
      </c>
      <c r="D713">
        <v>126.05</v>
      </c>
      <c r="E713" t="str">
        <f>VLOOKUP(C713,inf!$A$2:$B$7,2,FALSE)</f>
        <v>Current</v>
      </c>
      <c r="F713" t="str">
        <f t="shared" si="12"/>
        <v>04/12/2017</v>
      </c>
      <c r="G713" t="str">
        <f>VLOOKUP(A713,inf!$D$2:$E$76,2,FALSE)</f>
        <v>Other</v>
      </c>
    </row>
    <row r="714" spans="1:7" x14ac:dyDescent="0.25">
      <c r="A714" t="s">
        <v>1</v>
      </c>
      <c r="B714" s="1">
        <v>42837</v>
      </c>
      <c r="C714" t="s">
        <v>60</v>
      </c>
      <c r="D714">
        <v>-3967.63</v>
      </c>
      <c r="E714" t="str">
        <f>VLOOKUP(C714,inf!$A$2:$B$7,2,FALSE)</f>
        <v>Over 90</v>
      </c>
      <c r="F714" t="str">
        <f t="shared" si="12"/>
        <v>04/12/2017</v>
      </c>
      <c r="G714" t="str">
        <f>VLOOKUP(A714,inf!$D$2:$E$76,2,FALSE)</f>
        <v>Other</v>
      </c>
    </row>
    <row r="715" spans="1:7" x14ac:dyDescent="0.25">
      <c r="A715" t="s">
        <v>19</v>
      </c>
      <c r="B715" s="1">
        <v>42837</v>
      </c>
      <c r="C715" t="s">
        <v>55</v>
      </c>
      <c r="D715">
        <v>565.36</v>
      </c>
      <c r="E715" t="str">
        <f>VLOOKUP(C715,inf!$A$2:$B$7,2,FALSE)</f>
        <v>Current</v>
      </c>
      <c r="F715" t="str">
        <f t="shared" si="12"/>
        <v>04/12/2017</v>
      </c>
      <c r="G715" t="str">
        <f>VLOOKUP(A715,inf!$D$2:$E$76,2,FALSE)</f>
        <v>Other</v>
      </c>
    </row>
    <row r="716" spans="1:7" x14ac:dyDescent="0.25">
      <c r="A716" t="s">
        <v>25</v>
      </c>
      <c r="B716" s="1">
        <v>42837</v>
      </c>
      <c r="C716" t="s">
        <v>55</v>
      </c>
      <c r="D716">
        <v>713.54</v>
      </c>
      <c r="E716" t="str">
        <f>VLOOKUP(C716,inf!$A$2:$B$7,2,FALSE)</f>
        <v>Current</v>
      </c>
      <c r="F716" t="str">
        <f t="shared" si="12"/>
        <v>04/12/2017</v>
      </c>
      <c r="G716" t="str">
        <f>VLOOKUP(A716,inf!$D$2:$E$76,2,FALSE)</f>
        <v>Other</v>
      </c>
    </row>
    <row r="717" spans="1:7" x14ac:dyDescent="0.25">
      <c r="A717" t="s">
        <v>25</v>
      </c>
      <c r="B717" s="1">
        <v>42837</v>
      </c>
      <c r="C717" t="s">
        <v>58</v>
      </c>
      <c r="D717">
        <v>120.1</v>
      </c>
      <c r="E717" t="str">
        <f>VLOOKUP(C717,inf!$A$2:$B$7,2,FALSE)</f>
        <v>61 to 90</v>
      </c>
      <c r="F717" t="str">
        <f t="shared" si="12"/>
        <v>04/12/2017</v>
      </c>
      <c r="G717" t="str">
        <f>VLOOKUP(A717,inf!$D$2:$E$76,2,FALSE)</f>
        <v>Other</v>
      </c>
    </row>
    <row r="718" spans="1:7" x14ac:dyDescent="0.25">
      <c r="A718" t="s">
        <v>31</v>
      </c>
      <c r="B718" s="1">
        <v>42837</v>
      </c>
      <c r="C718" t="s">
        <v>55</v>
      </c>
      <c r="D718">
        <v>2053.7799999999997</v>
      </c>
      <c r="E718" t="str">
        <f>VLOOKUP(C718,inf!$A$2:$B$7,2,FALSE)</f>
        <v>Current</v>
      </c>
      <c r="F718" t="str">
        <f t="shared" si="12"/>
        <v>04/12/2017</v>
      </c>
      <c r="G718" t="str">
        <f>VLOOKUP(A718,inf!$D$2:$E$76,2,FALSE)</f>
        <v>Other</v>
      </c>
    </row>
    <row r="719" spans="1:7" x14ac:dyDescent="0.25">
      <c r="A719" t="s">
        <v>18</v>
      </c>
      <c r="B719" s="1">
        <v>42837</v>
      </c>
      <c r="C719" t="s">
        <v>55</v>
      </c>
      <c r="D719">
        <v>2844.59</v>
      </c>
      <c r="E719" t="str">
        <f>VLOOKUP(C719,inf!$A$2:$B$7,2,FALSE)</f>
        <v>Current</v>
      </c>
      <c r="F719" t="str">
        <f t="shared" si="12"/>
        <v>04/12/2017</v>
      </c>
      <c r="G719" t="str">
        <f>VLOOKUP(A719,inf!$D$2:$E$76,2,FALSE)</f>
        <v>Other</v>
      </c>
    </row>
    <row r="720" spans="1:7" x14ac:dyDescent="0.25">
      <c r="A720" t="s">
        <v>62</v>
      </c>
      <c r="B720" s="1">
        <v>42837</v>
      </c>
      <c r="C720" t="s">
        <v>56</v>
      </c>
      <c r="D720">
        <v>238.6</v>
      </c>
      <c r="E720" t="str">
        <f>VLOOKUP(C720,inf!$A$2:$B$7,2,FALSE)</f>
        <v>Current</v>
      </c>
      <c r="F720" t="str">
        <f t="shared" si="12"/>
        <v>04/12/2017</v>
      </c>
      <c r="G720" t="str">
        <f>VLOOKUP(A720,inf!$D$2:$E$76,2,FALSE)</f>
        <v>Other</v>
      </c>
    </row>
    <row r="721" spans="1:7" x14ac:dyDescent="0.25">
      <c r="A721" t="s">
        <v>21</v>
      </c>
      <c r="B721" s="1">
        <v>42837</v>
      </c>
      <c r="C721" t="s">
        <v>55</v>
      </c>
      <c r="D721">
        <v>2900.7700000000004</v>
      </c>
      <c r="E721" t="str">
        <f>VLOOKUP(C721,inf!$A$2:$B$7,2,FALSE)</f>
        <v>Current</v>
      </c>
      <c r="F721" t="str">
        <f t="shared" si="12"/>
        <v>04/12/2017</v>
      </c>
      <c r="G721" t="str">
        <f>VLOOKUP(A721,inf!$D$2:$E$76,2,FALSE)</f>
        <v>Other</v>
      </c>
    </row>
    <row r="722" spans="1:7" x14ac:dyDescent="0.25">
      <c r="A722" t="s">
        <v>3</v>
      </c>
      <c r="B722" s="1">
        <v>42837</v>
      </c>
      <c r="C722" t="s">
        <v>56</v>
      </c>
      <c r="D722">
        <v>4896.4799999999987</v>
      </c>
      <c r="E722" t="str">
        <f>VLOOKUP(C722,inf!$A$2:$B$7,2,FALSE)</f>
        <v>Current</v>
      </c>
      <c r="F722" t="str">
        <f t="shared" si="12"/>
        <v>04/12/2017</v>
      </c>
      <c r="G722" t="str">
        <f>VLOOKUP(A722,inf!$D$2:$E$76,2,FALSE)</f>
        <v>Other</v>
      </c>
    </row>
    <row r="723" spans="1:7" x14ac:dyDescent="0.25">
      <c r="A723" t="s">
        <v>3</v>
      </c>
      <c r="B723" s="1">
        <v>42837</v>
      </c>
      <c r="C723" t="s">
        <v>55</v>
      </c>
      <c r="D723">
        <v>3424.55</v>
      </c>
      <c r="E723" t="str">
        <f>VLOOKUP(C723,inf!$A$2:$B$7,2,FALSE)</f>
        <v>Current</v>
      </c>
      <c r="F723" t="str">
        <f t="shared" si="12"/>
        <v>04/12/2017</v>
      </c>
      <c r="G723" t="str">
        <f>VLOOKUP(A723,inf!$D$2:$E$76,2,FALSE)</f>
        <v>Other</v>
      </c>
    </row>
    <row r="724" spans="1:7" x14ac:dyDescent="0.25">
      <c r="A724" t="s">
        <v>30</v>
      </c>
      <c r="B724" s="1">
        <v>42837</v>
      </c>
      <c r="C724" t="s">
        <v>57</v>
      </c>
      <c r="D724">
        <v>610.83000000000004</v>
      </c>
      <c r="E724" t="str">
        <f>VLOOKUP(C724,inf!$A$2:$B$7,2,FALSE)</f>
        <v>31 to 60</v>
      </c>
      <c r="F724" t="str">
        <f t="shared" si="12"/>
        <v>04/12/2017</v>
      </c>
      <c r="G724" t="str">
        <f>VLOOKUP(A724,inf!$D$2:$E$76,2,FALSE)</f>
        <v>Other</v>
      </c>
    </row>
    <row r="725" spans="1:7" x14ac:dyDescent="0.25">
      <c r="A725" t="s">
        <v>30</v>
      </c>
      <c r="B725" s="1">
        <v>42837</v>
      </c>
      <c r="C725" t="s">
        <v>55</v>
      </c>
      <c r="D725">
        <v>287.13</v>
      </c>
      <c r="E725" t="str">
        <f>VLOOKUP(C725,inf!$A$2:$B$7,2,FALSE)</f>
        <v>Current</v>
      </c>
      <c r="F725" t="str">
        <f t="shared" si="12"/>
        <v>04/12/2017</v>
      </c>
      <c r="G725" t="str">
        <f>VLOOKUP(A725,inf!$D$2:$E$76,2,FALSE)</f>
        <v>Other</v>
      </c>
    </row>
    <row r="726" spans="1:7" x14ac:dyDescent="0.25">
      <c r="A726" t="s">
        <v>12</v>
      </c>
      <c r="B726" s="1">
        <v>42837</v>
      </c>
      <c r="C726" t="s">
        <v>55</v>
      </c>
      <c r="D726">
        <v>2324.13</v>
      </c>
      <c r="E726" t="str">
        <f>VLOOKUP(C726,inf!$A$2:$B$7,2,FALSE)</f>
        <v>Current</v>
      </c>
      <c r="F726" t="str">
        <f t="shared" si="12"/>
        <v>04/12/2017</v>
      </c>
      <c r="G726" t="str">
        <f>VLOOKUP(A726,inf!$D$2:$E$76,2,FALSE)</f>
        <v>Other</v>
      </c>
    </row>
    <row r="727" spans="1:7" x14ac:dyDescent="0.25">
      <c r="A727" t="s">
        <v>12</v>
      </c>
      <c r="B727" s="1">
        <v>42837</v>
      </c>
      <c r="C727" t="s">
        <v>60</v>
      </c>
      <c r="D727">
        <v>450.5</v>
      </c>
      <c r="E727" t="str">
        <f>VLOOKUP(C727,inf!$A$2:$B$7,2,FALSE)</f>
        <v>Over 90</v>
      </c>
      <c r="F727" t="str">
        <f t="shared" si="12"/>
        <v>04/12/2017</v>
      </c>
      <c r="G727" t="str">
        <f>VLOOKUP(A727,inf!$D$2:$E$76,2,FALSE)</f>
        <v>Other</v>
      </c>
    </row>
    <row r="728" spans="1:7" x14ac:dyDescent="0.25">
      <c r="A728" t="s">
        <v>7</v>
      </c>
      <c r="B728" s="1">
        <v>42837</v>
      </c>
      <c r="C728" t="s">
        <v>55</v>
      </c>
      <c r="D728" s="5">
        <v>62069.269999999924</v>
      </c>
      <c r="E728" t="str">
        <f>VLOOKUP(C728,inf!$A$2:$B$7,2,FALSE)</f>
        <v>Current</v>
      </c>
      <c r="F728" t="str">
        <f t="shared" si="12"/>
        <v>04/12/2017</v>
      </c>
      <c r="G728" t="str">
        <f>VLOOKUP(A728,inf!$D$2:$E$76,2,FALSE)</f>
        <v>SAFEWAY</v>
      </c>
    </row>
    <row r="729" spans="1:7" x14ac:dyDescent="0.25">
      <c r="A729" t="s">
        <v>7</v>
      </c>
      <c r="B729" s="1">
        <v>42837</v>
      </c>
      <c r="C729" t="s">
        <v>56</v>
      </c>
      <c r="D729">
        <v>11633.760000000002</v>
      </c>
      <c r="E729" t="str">
        <f>VLOOKUP(C729,inf!$A$2:$B$7,2,FALSE)</f>
        <v>Current</v>
      </c>
      <c r="F729" t="str">
        <f t="shared" si="12"/>
        <v>04/12/2017</v>
      </c>
      <c r="G729" t="str">
        <f>VLOOKUP(A729,inf!$D$2:$E$76,2,FALSE)</f>
        <v>SAFEWAY</v>
      </c>
    </row>
    <row r="730" spans="1:7" x14ac:dyDescent="0.25">
      <c r="A730" t="s">
        <v>7</v>
      </c>
      <c r="B730" s="1">
        <v>42837</v>
      </c>
      <c r="C730" t="s">
        <v>58</v>
      </c>
      <c r="D730">
        <v>264.52999999999997</v>
      </c>
      <c r="E730" t="str">
        <f>VLOOKUP(C730,inf!$A$2:$B$7,2,FALSE)</f>
        <v>61 to 90</v>
      </c>
      <c r="F730" t="str">
        <f t="shared" si="12"/>
        <v>04/12/2017</v>
      </c>
      <c r="G730" t="str">
        <f>VLOOKUP(A730,inf!$D$2:$E$76,2,FALSE)</f>
        <v>SAFEWAY</v>
      </c>
    </row>
    <row r="731" spans="1:7" x14ac:dyDescent="0.25">
      <c r="A731" t="s">
        <v>5</v>
      </c>
      <c r="B731" s="1">
        <v>42837</v>
      </c>
      <c r="C731" t="s">
        <v>55</v>
      </c>
      <c r="D731">
        <v>3695498.2500000484</v>
      </c>
      <c r="E731" t="str">
        <f>VLOOKUP(C731,inf!$A$2:$B$7,2,FALSE)</f>
        <v>Current</v>
      </c>
      <c r="F731" t="str">
        <f t="shared" si="12"/>
        <v>04/12/2017</v>
      </c>
      <c r="G731" t="str">
        <f>VLOOKUP(A731,inf!$D$2:$E$76,2,FALSE)</f>
        <v>SBUX</v>
      </c>
    </row>
    <row r="732" spans="1:7" x14ac:dyDescent="0.25">
      <c r="A732" t="s">
        <v>5</v>
      </c>
      <c r="B732" s="1">
        <v>42837</v>
      </c>
      <c r="C732" t="s">
        <v>60</v>
      </c>
      <c r="D732" s="5">
        <v>70475.37</v>
      </c>
      <c r="E732" t="str">
        <f>VLOOKUP(C732,inf!$A$2:$B$7,2,FALSE)</f>
        <v>Over 90</v>
      </c>
      <c r="F732" t="str">
        <f t="shared" si="12"/>
        <v>04/12/2017</v>
      </c>
      <c r="G732" t="str">
        <f>VLOOKUP(A732,inf!$D$2:$E$76,2,FALSE)</f>
        <v>SBUX</v>
      </c>
    </row>
    <row r="733" spans="1:7" x14ac:dyDescent="0.25">
      <c r="A733" t="s">
        <v>5</v>
      </c>
      <c r="B733" s="1">
        <v>42837</v>
      </c>
      <c r="C733" t="s">
        <v>58</v>
      </c>
      <c r="D733">
        <v>16984.29</v>
      </c>
      <c r="E733" t="str">
        <f>VLOOKUP(C733,inf!$A$2:$B$7,2,FALSE)</f>
        <v>61 to 90</v>
      </c>
      <c r="F733" t="str">
        <f t="shared" si="12"/>
        <v>04/12/2017</v>
      </c>
      <c r="G733" t="str">
        <f>VLOOKUP(A733,inf!$D$2:$E$76,2,FALSE)</f>
        <v>SBUX</v>
      </c>
    </row>
    <row r="734" spans="1:7" x14ac:dyDescent="0.25">
      <c r="A734" t="s">
        <v>5</v>
      </c>
      <c r="B734" s="1">
        <v>42837</v>
      </c>
      <c r="C734" t="s">
        <v>59</v>
      </c>
      <c r="D734">
        <v>7603.7700000000032</v>
      </c>
      <c r="E734" t="str">
        <f>VLOOKUP(C734,inf!$A$2:$B$7,2,FALSE)</f>
        <v>Over 90</v>
      </c>
      <c r="F734" t="str">
        <f t="shared" si="12"/>
        <v>04/12/2017</v>
      </c>
      <c r="G734" t="str">
        <f>VLOOKUP(A734,inf!$D$2:$E$76,2,FALSE)</f>
        <v>SBUX</v>
      </c>
    </row>
    <row r="735" spans="1:7" x14ac:dyDescent="0.25">
      <c r="A735" t="s">
        <v>5</v>
      </c>
      <c r="B735" s="1">
        <v>42837</v>
      </c>
      <c r="C735" t="s">
        <v>56</v>
      </c>
      <c r="D735">
        <v>4567.79</v>
      </c>
      <c r="E735" t="str">
        <f>VLOOKUP(C735,inf!$A$2:$B$7,2,FALSE)</f>
        <v>Current</v>
      </c>
      <c r="F735" t="str">
        <f t="shared" si="12"/>
        <v>04/12/2017</v>
      </c>
      <c r="G735" t="str">
        <f>VLOOKUP(A735,inf!$D$2:$E$76,2,FALSE)</f>
        <v>SBUX</v>
      </c>
    </row>
    <row r="736" spans="1:7" x14ac:dyDescent="0.25">
      <c r="A736" t="s">
        <v>5</v>
      </c>
      <c r="B736" s="1">
        <v>42837</v>
      </c>
      <c r="C736" t="s">
        <v>57</v>
      </c>
      <c r="D736">
        <v>3776.85</v>
      </c>
      <c r="E736" t="str">
        <f>VLOOKUP(C736,inf!$A$2:$B$7,2,FALSE)</f>
        <v>31 to 60</v>
      </c>
      <c r="F736" t="str">
        <f t="shared" si="12"/>
        <v>04/12/2017</v>
      </c>
      <c r="G736" t="str">
        <f>VLOOKUP(A736,inf!$D$2:$E$76,2,FALSE)</f>
        <v>SBUX</v>
      </c>
    </row>
    <row r="737" spans="1:7" x14ac:dyDescent="0.25">
      <c r="A737" t="s">
        <v>6</v>
      </c>
      <c r="B737" s="1">
        <v>42837</v>
      </c>
      <c r="C737" t="s">
        <v>55</v>
      </c>
      <c r="D737">
        <v>326678.73</v>
      </c>
      <c r="E737" t="str">
        <f>VLOOKUP(C737,inf!$A$2:$B$7,2,FALSE)</f>
        <v>Current</v>
      </c>
      <c r="F737" t="str">
        <f t="shared" si="12"/>
        <v>04/12/2017</v>
      </c>
      <c r="G737" t="str">
        <f>VLOOKUP(A737,inf!$D$2:$E$76,2,FALSE)</f>
        <v>SBUX</v>
      </c>
    </row>
    <row r="738" spans="1:7" x14ac:dyDescent="0.25">
      <c r="A738" t="s">
        <v>6</v>
      </c>
      <c r="B738" s="1">
        <v>42837</v>
      </c>
      <c r="C738" t="s">
        <v>60</v>
      </c>
      <c r="D738">
        <v>4984.95</v>
      </c>
      <c r="E738" t="str">
        <f>VLOOKUP(C738,inf!$A$2:$B$7,2,FALSE)</f>
        <v>Over 90</v>
      </c>
      <c r="F738" t="str">
        <f t="shared" si="12"/>
        <v>04/12/2017</v>
      </c>
      <c r="G738" t="str">
        <f>VLOOKUP(A738,inf!$D$2:$E$76,2,FALSE)</f>
        <v>SBUX</v>
      </c>
    </row>
    <row r="739" spans="1:7" x14ac:dyDescent="0.25">
      <c r="A739" t="s">
        <v>6</v>
      </c>
      <c r="B739" s="1">
        <v>42837</v>
      </c>
      <c r="C739" t="s">
        <v>57</v>
      </c>
      <c r="D739">
        <v>2813.79</v>
      </c>
      <c r="E739" t="str">
        <f>VLOOKUP(C739,inf!$A$2:$B$7,2,FALSE)</f>
        <v>31 to 60</v>
      </c>
      <c r="F739" t="str">
        <f t="shared" si="12"/>
        <v>04/12/2017</v>
      </c>
      <c r="G739" t="str">
        <f>VLOOKUP(A739,inf!$D$2:$E$76,2,FALSE)</f>
        <v>SBUX</v>
      </c>
    </row>
    <row r="740" spans="1:7" x14ac:dyDescent="0.25">
      <c r="A740" t="s">
        <v>6</v>
      </c>
      <c r="B740" s="1">
        <v>42837</v>
      </c>
      <c r="C740" t="s">
        <v>58</v>
      </c>
      <c r="D740">
        <v>2233.2800000000002</v>
      </c>
      <c r="E740" t="str">
        <f>VLOOKUP(C740,inf!$A$2:$B$7,2,FALSE)</f>
        <v>61 to 90</v>
      </c>
      <c r="F740" t="str">
        <f t="shared" si="12"/>
        <v>04/12/2017</v>
      </c>
      <c r="G740" t="str">
        <f>VLOOKUP(A740,inf!$D$2:$E$76,2,FALSE)</f>
        <v>SBUX</v>
      </c>
    </row>
    <row r="741" spans="1:7" x14ac:dyDescent="0.25">
      <c r="A741" t="s">
        <v>6</v>
      </c>
      <c r="B741" s="1">
        <v>42837</v>
      </c>
      <c r="C741" t="s">
        <v>56</v>
      </c>
      <c r="D741">
        <v>1286.94</v>
      </c>
      <c r="E741" t="str">
        <f>VLOOKUP(C741,inf!$A$2:$B$7,2,FALSE)</f>
        <v>Current</v>
      </c>
      <c r="F741" t="str">
        <f t="shared" si="12"/>
        <v>04/12/2017</v>
      </c>
      <c r="G741" t="str">
        <f>VLOOKUP(A741,inf!$D$2:$E$76,2,FALSE)</f>
        <v>SBUX</v>
      </c>
    </row>
    <row r="742" spans="1:7" x14ac:dyDescent="0.25">
      <c r="A742" t="s">
        <v>6</v>
      </c>
      <c r="B742" s="1">
        <v>42837</v>
      </c>
      <c r="C742" t="s">
        <v>59</v>
      </c>
      <c r="D742">
        <v>966.64</v>
      </c>
      <c r="E742" t="str">
        <f>VLOOKUP(C742,inf!$A$2:$B$7,2,FALSE)</f>
        <v>Over 90</v>
      </c>
      <c r="F742" t="str">
        <f t="shared" si="12"/>
        <v>04/12/2017</v>
      </c>
      <c r="G742" t="str">
        <f>VLOOKUP(A742,inf!$D$2:$E$76,2,FALSE)</f>
        <v>SBUX</v>
      </c>
    </row>
    <row r="743" spans="1:7" x14ac:dyDescent="0.25">
      <c r="A743" t="s">
        <v>51</v>
      </c>
      <c r="B743" s="1">
        <v>42837</v>
      </c>
      <c r="C743" t="s">
        <v>55</v>
      </c>
      <c r="D743">
        <v>235.2</v>
      </c>
      <c r="E743" t="str">
        <f>VLOOKUP(C743,inf!$A$2:$B$7,2,FALSE)</f>
        <v>Current</v>
      </c>
      <c r="F743" t="str">
        <f t="shared" si="12"/>
        <v>04/12/2017</v>
      </c>
      <c r="G743" t="str">
        <f>VLOOKUP(A743,inf!$D$2:$E$76,2,FALSE)</f>
        <v>Other</v>
      </c>
    </row>
    <row r="744" spans="1:7" x14ac:dyDescent="0.25">
      <c r="A744" t="s">
        <v>8</v>
      </c>
      <c r="B744" s="1">
        <v>42837</v>
      </c>
      <c r="C744" t="s">
        <v>55</v>
      </c>
      <c r="D744">
        <v>590878.95999999775</v>
      </c>
      <c r="E744" t="str">
        <f>VLOOKUP(C744,inf!$A$2:$B$7,2,FALSE)</f>
        <v>Current</v>
      </c>
      <c r="F744" t="str">
        <f t="shared" si="12"/>
        <v>04/12/2017</v>
      </c>
      <c r="G744" t="str">
        <f>VLOOKUP(A744,inf!$D$2:$E$76,2,FALSE)</f>
        <v>Target</v>
      </c>
    </row>
    <row r="745" spans="1:7" x14ac:dyDescent="0.25">
      <c r="A745" t="s">
        <v>8</v>
      </c>
      <c r="B745" s="1">
        <v>42837</v>
      </c>
      <c r="C745" t="s">
        <v>60</v>
      </c>
      <c r="D745">
        <v>26123.720000000008</v>
      </c>
      <c r="E745" t="str">
        <f>VLOOKUP(C745,inf!$A$2:$B$7,2,FALSE)</f>
        <v>Over 90</v>
      </c>
      <c r="F745" t="str">
        <f t="shared" si="12"/>
        <v>04/12/2017</v>
      </c>
      <c r="G745" t="str">
        <f>VLOOKUP(A745,inf!$D$2:$E$76,2,FALSE)</f>
        <v>Target</v>
      </c>
    </row>
    <row r="746" spans="1:7" x14ac:dyDescent="0.25">
      <c r="A746" t="s">
        <v>8</v>
      </c>
      <c r="B746" s="1">
        <v>42837</v>
      </c>
      <c r="C746" t="s">
        <v>56</v>
      </c>
      <c r="D746">
        <v>5385.1899999999987</v>
      </c>
      <c r="E746" t="str">
        <f>VLOOKUP(C746,inf!$A$2:$B$7,2,FALSE)</f>
        <v>Current</v>
      </c>
      <c r="F746" t="str">
        <f t="shared" si="12"/>
        <v>04/12/2017</v>
      </c>
      <c r="G746" t="str">
        <f>VLOOKUP(A746,inf!$D$2:$E$76,2,FALSE)</f>
        <v>Target</v>
      </c>
    </row>
    <row r="747" spans="1:7" x14ac:dyDescent="0.25">
      <c r="A747" t="s">
        <v>8</v>
      </c>
      <c r="B747" s="1">
        <v>42837</v>
      </c>
      <c r="C747" t="s">
        <v>59</v>
      </c>
      <c r="D747">
        <v>952.49</v>
      </c>
      <c r="E747" t="str">
        <f>VLOOKUP(C747,inf!$A$2:$B$7,2,FALSE)</f>
        <v>Over 90</v>
      </c>
      <c r="F747" t="str">
        <f t="shared" si="12"/>
        <v>04/12/2017</v>
      </c>
      <c r="G747" t="str">
        <f>VLOOKUP(A747,inf!$D$2:$E$76,2,FALSE)</f>
        <v>Target</v>
      </c>
    </row>
    <row r="748" spans="1:7" x14ac:dyDescent="0.25">
      <c r="A748" t="s">
        <v>8</v>
      </c>
      <c r="B748" s="1">
        <v>42837</v>
      </c>
      <c r="C748" t="s">
        <v>57</v>
      </c>
      <c r="D748">
        <v>597.32999999999993</v>
      </c>
      <c r="E748" t="str">
        <f>VLOOKUP(C748,inf!$A$2:$B$7,2,FALSE)</f>
        <v>31 to 60</v>
      </c>
      <c r="F748" t="str">
        <f t="shared" si="12"/>
        <v>04/12/2017</v>
      </c>
      <c r="G748" t="str">
        <f>VLOOKUP(A748,inf!$D$2:$E$76,2,FALSE)</f>
        <v>Target</v>
      </c>
    </row>
    <row r="749" spans="1:7" x14ac:dyDescent="0.25">
      <c r="A749" t="s">
        <v>54</v>
      </c>
      <c r="B749" s="1">
        <v>42837</v>
      </c>
      <c r="C749" t="s">
        <v>58</v>
      </c>
      <c r="D749">
        <v>5.78</v>
      </c>
      <c r="E749" t="str">
        <f>VLOOKUP(C749,inf!$A$2:$B$7,2,FALSE)</f>
        <v>61 to 90</v>
      </c>
      <c r="F749" t="str">
        <f t="shared" si="12"/>
        <v>04/12/2017</v>
      </c>
      <c r="G749" t="str">
        <f>VLOOKUP(A749,inf!$D$2:$E$76,2,FALSE)</f>
        <v>Other</v>
      </c>
    </row>
    <row r="750" spans="1:7" x14ac:dyDescent="0.25">
      <c r="A750" t="s">
        <v>54</v>
      </c>
      <c r="B750" s="1">
        <v>42837</v>
      </c>
      <c r="C750" t="s">
        <v>59</v>
      </c>
      <c r="D750">
        <v>5.62</v>
      </c>
      <c r="E750" t="str">
        <f>VLOOKUP(C750,inf!$A$2:$B$7,2,FALSE)</f>
        <v>Over 90</v>
      </c>
      <c r="F750" t="str">
        <f t="shared" si="12"/>
        <v>04/12/2017</v>
      </c>
      <c r="G750" t="str">
        <f>VLOOKUP(A750,inf!$D$2:$E$76,2,FALSE)</f>
        <v>Other</v>
      </c>
    </row>
    <row r="751" spans="1:7" x14ac:dyDescent="0.25">
      <c r="A751" t="s">
        <v>15</v>
      </c>
      <c r="B751" s="1">
        <v>42837</v>
      </c>
      <c r="C751" t="s">
        <v>55</v>
      </c>
      <c r="D751">
        <v>670.51</v>
      </c>
      <c r="E751" t="str">
        <f>VLOOKUP(C751,inf!$A$2:$B$7,2,FALSE)</f>
        <v>Current</v>
      </c>
      <c r="F751" t="str">
        <f t="shared" si="12"/>
        <v>04/12/2017</v>
      </c>
      <c r="G751" t="str">
        <f>VLOOKUP(A751,inf!$D$2:$E$76,2,FALSE)</f>
        <v>Other</v>
      </c>
    </row>
    <row r="752" spans="1:7" x14ac:dyDescent="0.25">
      <c r="A752" t="s">
        <v>15</v>
      </c>
      <c r="B752" s="1">
        <v>42837</v>
      </c>
      <c r="C752" t="s">
        <v>56</v>
      </c>
      <c r="D752">
        <v>271.91000000000003</v>
      </c>
      <c r="E752" t="str">
        <f>VLOOKUP(C752,inf!$A$2:$B$7,2,FALSE)</f>
        <v>Current</v>
      </c>
      <c r="F752" t="str">
        <f t="shared" si="12"/>
        <v>04/12/2017</v>
      </c>
      <c r="G752" t="str">
        <f>VLOOKUP(A752,inf!$D$2:$E$76,2,FALSE)</f>
        <v>Other</v>
      </c>
    </row>
    <row r="753" spans="1:7" x14ac:dyDescent="0.25">
      <c r="A753" t="s">
        <v>15</v>
      </c>
      <c r="B753" s="1">
        <v>42837</v>
      </c>
      <c r="C753" t="s">
        <v>58</v>
      </c>
      <c r="D753">
        <v>126.05</v>
      </c>
      <c r="E753" t="str">
        <f>VLOOKUP(C753,inf!$A$2:$B$7,2,FALSE)</f>
        <v>61 to 90</v>
      </c>
      <c r="F753" t="str">
        <f t="shared" si="12"/>
        <v>04/12/2017</v>
      </c>
      <c r="G753" t="str">
        <f>VLOOKUP(A753,inf!$D$2:$E$76,2,FALSE)</f>
        <v>Other</v>
      </c>
    </row>
    <row r="754" spans="1:7" x14ac:dyDescent="0.25">
      <c r="A754" t="s">
        <v>4</v>
      </c>
      <c r="B754" s="1">
        <v>42844</v>
      </c>
      <c r="C754" t="s">
        <v>56</v>
      </c>
      <c r="D754">
        <v>2487.8399999999997</v>
      </c>
      <c r="E754" t="str">
        <f>VLOOKUP(C754,inf!$A$2:$B$7,2,FALSE)</f>
        <v>Current</v>
      </c>
      <c r="F754" t="str">
        <f t="shared" si="12"/>
        <v>04/19/2017</v>
      </c>
      <c r="G754" t="str">
        <f>VLOOKUP(A754,inf!$D$2:$E$76,2,FALSE)</f>
        <v>Other</v>
      </c>
    </row>
    <row r="755" spans="1:7" x14ac:dyDescent="0.25">
      <c r="A755" t="s">
        <v>4</v>
      </c>
      <c r="B755" s="1">
        <v>42844</v>
      </c>
      <c r="C755" t="s">
        <v>55</v>
      </c>
      <c r="D755">
        <v>2019.03</v>
      </c>
      <c r="E755" t="str">
        <f>VLOOKUP(C755,inf!$A$2:$B$7,2,FALSE)</f>
        <v>Current</v>
      </c>
      <c r="F755" t="str">
        <f t="shared" si="12"/>
        <v>04/19/2017</v>
      </c>
      <c r="G755" t="str">
        <f>VLOOKUP(A755,inf!$D$2:$E$76,2,FALSE)</f>
        <v>Other</v>
      </c>
    </row>
    <row r="756" spans="1:7" x14ac:dyDescent="0.25">
      <c r="A756" t="s">
        <v>26</v>
      </c>
      <c r="B756" s="1">
        <v>42844</v>
      </c>
      <c r="C756" t="s">
        <v>60</v>
      </c>
      <c r="D756">
        <v>1380.77</v>
      </c>
      <c r="E756" t="str">
        <f>VLOOKUP(C756,inf!$A$2:$B$7,2,FALSE)</f>
        <v>Over 90</v>
      </c>
      <c r="F756" t="str">
        <f t="shared" si="12"/>
        <v>04/19/2017</v>
      </c>
      <c r="G756" t="str">
        <f>VLOOKUP(A756,inf!$D$2:$E$76,2,FALSE)</f>
        <v>Other</v>
      </c>
    </row>
    <row r="757" spans="1:7" x14ac:dyDescent="0.25">
      <c r="A757" t="s">
        <v>2</v>
      </c>
      <c r="B757" s="1">
        <v>42844</v>
      </c>
      <c r="C757" t="s">
        <v>60</v>
      </c>
      <c r="D757">
        <v>3717.8600000000006</v>
      </c>
      <c r="E757" t="str">
        <f>VLOOKUP(C757,inf!$A$2:$B$7,2,FALSE)</f>
        <v>Over 90</v>
      </c>
      <c r="F757" t="str">
        <f t="shared" si="12"/>
        <v>04/19/2017</v>
      </c>
      <c r="G757" t="str">
        <f>VLOOKUP(A757,inf!$D$2:$E$76,2,FALSE)</f>
        <v>Other</v>
      </c>
    </row>
    <row r="758" spans="1:7" x14ac:dyDescent="0.25">
      <c r="A758" t="s">
        <v>32</v>
      </c>
      <c r="B758" s="1">
        <v>42844</v>
      </c>
      <c r="C758" t="s">
        <v>56</v>
      </c>
      <c r="D758">
        <v>126.05</v>
      </c>
      <c r="E758" t="str">
        <f>VLOOKUP(C758,inf!$A$2:$B$7,2,FALSE)</f>
        <v>Current</v>
      </c>
      <c r="F758" t="str">
        <f t="shared" si="12"/>
        <v>04/19/2017</v>
      </c>
      <c r="G758" t="str">
        <f>VLOOKUP(A758,inf!$D$2:$E$76,2,FALSE)</f>
        <v>Other</v>
      </c>
    </row>
    <row r="759" spans="1:7" x14ac:dyDescent="0.25">
      <c r="A759" t="s">
        <v>47</v>
      </c>
      <c r="B759" s="1">
        <v>42844</v>
      </c>
      <c r="C759" t="s">
        <v>55</v>
      </c>
      <c r="D759">
        <v>314.85000000000002</v>
      </c>
      <c r="E759" t="str">
        <f>VLOOKUP(C759,inf!$A$2:$B$7,2,FALSE)</f>
        <v>Current</v>
      </c>
      <c r="F759" t="str">
        <f t="shared" si="12"/>
        <v>04/19/2017</v>
      </c>
      <c r="G759" t="str">
        <f>VLOOKUP(A759,inf!$D$2:$E$76,2,FALSE)</f>
        <v>Other</v>
      </c>
    </row>
    <row r="760" spans="1:7" x14ac:dyDescent="0.25">
      <c r="A760" t="s">
        <v>19</v>
      </c>
      <c r="B760" s="1">
        <v>42844</v>
      </c>
      <c r="C760" t="s">
        <v>55</v>
      </c>
      <c r="D760">
        <v>565.36</v>
      </c>
      <c r="E760" t="str">
        <f>VLOOKUP(C760,inf!$A$2:$B$7,2,FALSE)</f>
        <v>Current</v>
      </c>
      <c r="F760" t="str">
        <f t="shared" si="12"/>
        <v>04/19/2017</v>
      </c>
      <c r="G760" t="str">
        <f>VLOOKUP(A760,inf!$D$2:$E$76,2,FALSE)</f>
        <v>Other</v>
      </c>
    </row>
    <row r="761" spans="1:7" x14ac:dyDescent="0.25">
      <c r="A761" t="s">
        <v>25</v>
      </c>
      <c r="B761" s="1">
        <v>42844</v>
      </c>
      <c r="C761" t="s">
        <v>56</v>
      </c>
      <c r="D761">
        <v>469.55</v>
      </c>
      <c r="E761" t="str">
        <f>VLOOKUP(C761,inf!$A$2:$B$7,2,FALSE)</f>
        <v>Current</v>
      </c>
      <c r="F761" t="str">
        <f t="shared" si="12"/>
        <v>04/19/2017</v>
      </c>
      <c r="G761" t="str">
        <f>VLOOKUP(A761,inf!$D$2:$E$76,2,FALSE)</f>
        <v>Other</v>
      </c>
    </row>
    <row r="762" spans="1:7" x14ac:dyDescent="0.25">
      <c r="A762" t="s">
        <v>25</v>
      </c>
      <c r="B762" s="1">
        <v>42844</v>
      </c>
      <c r="C762" t="s">
        <v>55</v>
      </c>
      <c r="D762">
        <v>243.99</v>
      </c>
      <c r="E762" t="str">
        <f>VLOOKUP(C762,inf!$A$2:$B$7,2,FALSE)</f>
        <v>Current</v>
      </c>
      <c r="F762" t="str">
        <f t="shared" si="12"/>
        <v>04/19/2017</v>
      </c>
      <c r="G762" t="str">
        <f>VLOOKUP(A762,inf!$D$2:$E$76,2,FALSE)</f>
        <v>Other</v>
      </c>
    </row>
    <row r="763" spans="1:7" x14ac:dyDescent="0.25">
      <c r="A763" t="s">
        <v>25</v>
      </c>
      <c r="B763" s="1">
        <v>42844</v>
      </c>
      <c r="C763" t="s">
        <v>59</v>
      </c>
      <c r="D763">
        <v>120.1</v>
      </c>
      <c r="E763" t="str">
        <f>VLOOKUP(C763,inf!$A$2:$B$7,2,FALSE)</f>
        <v>Over 90</v>
      </c>
      <c r="F763" t="str">
        <f t="shared" si="12"/>
        <v>04/19/2017</v>
      </c>
      <c r="G763" t="str">
        <f>VLOOKUP(A763,inf!$D$2:$E$76,2,FALSE)</f>
        <v>Other</v>
      </c>
    </row>
    <row r="764" spans="1:7" x14ac:dyDescent="0.25">
      <c r="A764" t="s">
        <v>31</v>
      </c>
      <c r="B764" s="1">
        <v>42844</v>
      </c>
      <c r="C764" t="s">
        <v>55</v>
      </c>
      <c r="D764">
        <v>3550.8699999999994</v>
      </c>
      <c r="E764" t="str">
        <f>VLOOKUP(C764,inf!$A$2:$B$7,2,FALSE)</f>
        <v>Current</v>
      </c>
      <c r="F764" t="str">
        <f t="shared" si="12"/>
        <v>04/19/2017</v>
      </c>
      <c r="G764" t="str">
        <f>VLOOKUP(A764,inf!$D$2:$E$76,2,FALSE)</f>
        <v>Other</v>
      </c>
    </row>
    <row r="765" spans="1:7" x14ac:dyDescent="0.25">
      <c r="A765" t="s">
        <v>24</v>
      </c>
      <c r="B765" s="1">
        <v>42844</v>
      </c>
      <c r="C765" t="s">
        <v>55</v>
      </c>
      <c r="D765">
        <v>308.7</v>
      </c>
      <c r="E765" t="str">
        <f>VLOOKUP(C765,inf!$A$2:$B$7,2,FALSE)</f>
        <v>Current</v>
      </c>
      <c r="F765" t="str">
        <f t="shared" si="12"/>
        <v>04/19/2017</v>
      </c>
      <c r="G765" t="str">
        <f>VLOOKUP(A765,inf!$D$2:$E$76,2,FALSE)</f>
        <v>Other</v>
      </c>
    </row>
    <row r="766" spans="1:7" x14ac:dyDescent="0.25">
      <c r="A766" t="s">
        <v>18</v>
      </c>
      <c r="B766" s="1">
        <v>42844</v>
      </c>
      <c r="C766" t="s">
        <v>56</v>
      </c>
      <c r="D766">
        <v>373.26</v>
      </c>
      <c r="E766" t="str">
        <f>VLOOKUP(C766,inf!$A$2:$B$7,2,FALSE)</f>
        <v>Current</v>
      </c>
      <c r="F766" t="str">
        <f t="shared" si="12"/>
        <v>04/19/2017</v>
      </c>
      <c r="G766" t="str">
        <f>VLOOKUP(A766,inf!$D$2:$E$76,2,FALSE)</f>
        <v>Other</v>
      </c>
    </row>
    <row r="767" spans="1:7" x14ac:dyDescent="0.25">
      <c r="A767" t="s">
        <v>27</v>
      </c>
      <c r="B767" s="1">
        <v>42844</v>
      </c>
      <c r="C767" t="s">
        <v>55</v>
      </c>
      <c r="D767">
        <v>888.71</v>
      </c>
      <c r="E767" t="str">
        <f>VLOOKUP(C767,inf!$A$2:$B$7,2,FALSE)</f>
        <v>Current</v>
      </c>
      <c r="F767" t="str">
        <f t="shared" si="12"/>
        <v>04/19/2017</v>
      </c>
      <c r="G767" t="str">
        <f>VLOOKUP(A767,inf!$D$2:$E$76,2,FALSE)</f>
        <v>Other</v>
      </c>
    </row>
    <row r="768" spans="1:7" x14ac:dyDescent="0.25">
      <c r="A768" t="s">
        <v>62</v>
      </c>
      <c r="B768" s="1">
        <v>42844</v>
      </c>
      <c r="C768" t="s">
        <v>55</v>
      </c>
      <c r="D768">
        <v>321.24</v>
      </c>
      <c r="E768" t="str">
        <f>VLOOKUP(C768,inf!$A$2:$B$7,2,FALSE)</f>
        <v>Current</v>
      </c>
      <c r="F768" t="str">
        <f t="shared" si="12"/>
        <v>04/19/2017</v>
      </c>
      <c r="G768" t="str">
        <f>VLOOKUP(A768,inf!$D$2:$E$76,2,FALSE)</f>
        <v>Other</v>
      </c>
    </row>
    <row r="769" spans="1:7" x14ac:dyDescent="0.25">
      <c r="A769" t="s">
        <v>62</v>
      </c>
      <c r="B769" s="1">
        <v>42844</v>
      </c>
      <c r="C769" t="s">
        <v>56</v>
      </c>
      <c r="D769">
        <v>238.6</v>
      </c>
      <c r="E769" t="str">
        <f>VLOOKUP(C769,inf!$A$2:$B$7,2,FALSE)</f>
        <v>Current</v>
      </c>
      <c r="F769" t="str">
        <f t="shared" si="12"/>
        <v>04/19/2017</v>
      </c>
      <c r="G769" t="str">
        <f>VLOOKUP(A769,inf!$D$2:$E$76,2,FALSE)</f>
        <v>Other</v>
      </c>
    </row>
    <row r="770" spans="1:7" x14ac:dyDescent="0.25">
      <c r="A770" t="s">
        <v>21</v>
      </c>
      <c r="B770" s="1">
        <v>42844</v>
      </c>
      <c r="C770" t="s">
        <v>55</v>
      </c>
      <c r="D770">
        <v>3223.08</v>
      </c>
      <c r="E770" t="str">
        <f>VLOOKUP(C770,inf!$A$2:$B$7,2,FALSE)</f>
        <v>Current</v>
      </c>
      <c r="F770" t="str">
        <f t="shared" si="12"/>
        <v>04/19/2017</v>
      </c>
      <c r="G770" t="str">
        <f>VLOOKUP(A770,inf!$D$2:$E$76,2,FALSE)</f>
        <v>Other</v>
      </c>
    </row>
    <row r="771" spans="1:7" x14ac:dyDescent="0.25">
      <c r="A771" t="s">
        <v>21</v>
      </c>
      <c r="B771" s="1">
        <v>42844</v>
      </c>
      <c r="C771" t="s">
        <v>56</v>
      </c>
      <c r="D771">
        <v>172.28</v>
      </c>
      <c r="E771" t="str">
        <f>VLOOKUP(C771,inf!$A$2:$B$7,2,FALSE)</f>
        <v>Current</v>
      </c>
      <c r="F771" t="str">
        <f t="shared" ref="F771:F834" si="13">TEXT(B771,"MM/DD/YYYY")</f>
        <v>04/19/2017</v>
      </c>
      <c r="G771" t="str">
        <f>VLOOKUP(A771,inf!$D$2:$E$76,2,FALSE)</f>
        <v>Other</v>
      </c>
    </row>
    <row r="772" spans="1:7" x14ac:dyDescent="0.25">
      <c r="A772" t="s">
        <v>3</v>
      </c>
      <c r="B772" s="1">
        <v>42844</v>
      </c>
      <c r="C772" t="s">
        <v>56</v>
      </c>
      <c r="D772">
        <v>7015.9999999999982</v>
      </c>
      <c r="E772" t="str">
        <f>VLOOKUP(C772,inf!$A$2:$B$7,2,FALSE)</f>
        <v>Current</v>
      </c>
      <c r="F772" t="str">
        <f t="shared" si="13"/>
        <v>04/19/2017</v>
      </c>
      <c r="G772" t="str">
        <f>VLOOKUP(A772,inf!$D$2:$E$76,2,FALSE)</f>
        <v>Other</v>
      </c>
    </row>
    <row r="773" spans="1:7" x14ac:dyDescent="0.25">
      <c r="A773" t="s">
        <v>3</v>
      </c>
      <c r="B773" s="1">
        <v>42844</v>
      </c>
      <c r="C773" t="s">
        <v>55</v>
      </c>
      <c r="D773">
        <v>1026.95</v>
      </c>
      <c r="E773" t="str">
        <f>VLOOKUP(C773,inf!$A$2:$B$7,2,FALSE)</f>
        <v>Current</v>
      </c>
      <c r="F773" t="str">
        <f t="shared" si="13"/>
        <v>04/19/2017</v>
      </c>
      <c r="G773" t="str">
        <f>VLOOKUP(A773,inf!$D$2:$E$76,2,FALSE)</f>
        <v>Other</v>
      </c>
    </row>
    <row r="774" spans="1:7" x14ac:dyDescent="0.25">
      <c r="A774" t="s">
        <v>30</v>
      </c>
      <c r="B774" s="1">
        <v>42844</v>
      </c>
      <c r="C774" t="s">
        <v>58</v>
      </c>
      <c r="D774">
        <v>347.48</v>
      </c>
      <c r="E774" t="str">
        <f>VLOOKUP(C774,inf!$A$2:$B$7,2,FALSE)</f>
        <v>61 to 90</v>
      </c>
      <c r="F774" t="str">
        <f t="shared" si="13"/>
        <v>04/19/2017</v>
      </c>
      <c r="G774" t="str">
        <f>VLOOKUP(A774,inf!$D$2:$E$76,2,FALSE)</f>
        <v>Other</v>
      </c>
    </row>
    <row r="775" spans="1:7" x14ac:dyDescent="0.25">
      <c r="A775" t="s">
        <v>30</v>
      </c>
      <c r="B775" s="1">
        <v>42844</v>
      </c>
      <c r="C775" t="s">
        <v>55</v>
      </c>
      <c r="D775">
        <v>287.13</v>
      </c>
      <c r="E775" t="str">
        <f>VLOOKUP(C775,inf!$A$2:$B$7,2,FALSE)</f>
        <v>Current</v>
      </c>
      <c r="F775" t="str">
        <f t="shared" si="13"/>
        <v>04/19/2017</v>
      </c>
      <c r="G775" t="str">
        <f>VLOOKUP(A775,inf!$D$2:$E$76,2,FALSE)</f>
        <v>Other</v>
      </c>
    </row>
    <row r="776" spans="1:7" x14ac:dyDescent="0.25">
      <c r="A776" t="s">
        <v>30</v>
      </c>
      <c r="B776" s="1">
        <v>42844</v>
      </c>
      <c r="C776" t="s">
        <v>57</v>
      </c>
      <c r="D776">
        <v>263.35000000000002</v>
      </c>
      <c r="E776" t="str">
        <f>VLOOKUP(C776,inf!$A$2:$B$7,2,FALSE)</f>
        <v>31 to 60</v>
      </c>
      <c r="F776" t="str">
        <f t="shared" si="13"/>
        <v>04/19/2017</v>
      </c>
      <c r="G776" t="str">
        <f>VLOOKUP(A776,inf!$D$2:$E$76,2,FALSE)</f>
        <v>Other</v>
      </c>
    </row>
    <row r="777" spans="1:7" x14ac:dyDescent="0.25">
      <c r="A777" t="s">
        <v>12</v>
      </c>
      <c r="B777" s="1">
        <v>42844</v>
      </c>
      <c r="C777" t="s">
        <v>56</v>
      </c>
      <c r="D777">
        <v>2239.13</v>
      </c>
      <c r="E777" t="str">
        <f>VLOOKUP(C777,inf!$A$2:$B$7,2,FALSE)</f>
        <v>Current</v>
      </c>
      <c r="F777" t="str">
        <f t="shared" si="13"/>
        <v>04/19/2017</v>
      </c>
      <c r="G777" t="str">
        <f>VLOOKUP(A777,inf!$D$2:$E$76,2,FALSE)</f>
        <v>Other</v>
      </c>
    </row>
    <row r="778" spans="1:7" x14ac:dyDescent="0.25">
      <c r="A778" t="s">
        <v>12</v>
      </c>
      <c r="B778" s="1">
        <v>42844</v>
      </c>
      <c r="C778" t="s">
        <v>60</v>
      </c>
      <c r="D778">
        <v>450.5</v>
      </c>
      <c r="E778" t="str">
        <f>VLOOKUP(C778,inf!$A$2:$B$7,2,FALSE)</f>
        <v>Over 90</v>
      </c>
      <c r="F778" t="str">
        <f t="shared" si="13"/>
        <v>04/19/2017</v>
      </c>
      <c r="G778" t="str">
        <f>VLOOKUP(A778,inf!$D$2:$E$76,2,FALSE)</f>
        <v>Other</v>
      </c>
    </row>
    <row r="779" spans="1:7" x14ac:dyDescent="0.25">
      <c r="A779" t="s">
        <v>12</v>
      </c>
      <c r="B779" s="1">
        <v>42844</v>
      </c>
      <c r="C779" t="s">
        <v>55</v>
      </c>
      <c r="D779">
        <v>390.09000000000003</v>
      </c>
      <c r="E779" t="str">
        <f>VLOOKUP(C779,inf!$A$2:$B$7,2,FALSE)</f>
        <v>Current</v>
      </c>
      <c r="F779" t="str">
        <f t="shared" si="13"/>
        <v>04/19/2017</v>
      </c>
      <c r="G779" t="str">
        <f>VLOOKUP(A779,inf!$D$2:$E$76,2,FALSE)</f>
        <v>Other</v>
      </c>
    </row>
    <row r="780" spans="1:7" x14ac:dyDescent="0.25">
      <c r="A780" t="s">
        <v>7</v>
      </c>
      <c r="B780" s="1">
        <v>42844</v>
      </c>
      <c r="C780" t="s">
        <v>55</v>
      </c>
      <c r="D780">
        <v>85364.29</v>
      </c>
      <c r="E780" t="str">
        <f>VLOOKUP(C780,inf!$A$2:$B$7,2,FALSE)</f>
        <v>Current</v>
      </c>
      <c r="F780" t="str">
        <f t="shared" si="13"/>
        <v>04/19/2017</v>
      </c>
      <c r="G780" t="str">
        <f>VLOOKUP(A780,inf!$D$2:$E$76,2,FALSE)</f>
        <v>SAFEWAY</v>
      </c>
    </row>
    <row r="781" spans="1:7" x14ac:dyDescent="0.25">
      <c r="A781" t="s">
        <v>7</v>
      </c>
      <c r="B781" s="1">
        <v>42844</v>
      </c>
      <c r="C781" t="s">
        <v>56</v>
      </c>
      <c r="D781">
        <v>9610.82</v>
      </c>
      <c r="E781" t="str">
        <f>VLOOKUP(C781,inf!$A$2:$B$7,2,FALSE)</f>
        <v>Current</v>
      </c>
      <c r="F781" t="str">
        <f t="shared" si="13"/>
        <v>04/19/2017</v>
      </c>
      <c r="G781" t="str">
        <f>VLOOKUP(A781,inf!$D$2:$E$76,2,FALSE)</f>
        <v>SAFEWAY</v>
      </c>
    </row>
    <row r="782" spans="1:7" x14ac:dyDescent="0.25">
      <c r="A782" t="s">
        <v>7</v>
      </c>
      <c r="B782" s="1">
        <v>42844</v>
      </c>
      <c r="C782" t="s">
        <v>57</v>
      </c>
      <c r="D782">
        <v>624.54</v>
      </c>
      <c r="E782" t="str">
        <f>VLOOKUP(C782,inf!$A$2:$B$7,2,FALSE)</f>
        <v>31 to 60</v>
      </c>
      <c r="F782" t="str">
        <f t="shared" si="13"/>
        <v>04/19/2017</v>
      </c>
      <c r="G782" t="str">
        <f>VLOOKUP(A782,inf!$D$2:$E$76,2,FALSE)</f>
        <v>SAFEWAY</v>
      </c>
    </row>
    <row r="783" spans="1:7" x14ac:dyDescent="0.25">
      <c r="A783" t="s">
        <v>7</v>
      </c>
      <c r="B783" s="1">
        <v>42844</v>
      </c>
      <c r="C783" t="s">
        <v>58</v>
      </c>
      <c r="D783">
        <v>264.52999999999997</v>
      </c>
      <c r="E783" t="str">
        <f>VLOOKUP(C783,inf!$A$2:$B$7,2,FALSE)</f>
        <v>61 to 90</v>
      </c>
      <c r="F783" t="str">
        <f t="shared" si="13"/>
        <v>04/19/2017</v>
      </c>
      <c r="G783" t="str">
        <f>VLOOKUP(A783,inf!$D$2:$E$76,2,FALSE)</f>
        <v>SAFEWAY</v>
      </c>
    </row>
    <row r="784" spans="1:7" x14ac:dyDescent="0.25">
      <c r="A784" t="s">
        <v>5</v>
      </c>
      <c r="B784" s="1">
        <v>42844</v>
      </c>
      <c r="C784" t="s">
        <v>55</v>
      </c>
      <c r="D784" s="5">
        <v>3993641.3800000576</v>
      </c>
      <c r="E784" t="str">
        <f>VLOOKUP(C784,inf!$A$2:$B$7,2,FALSE)</f>
        <v>Current</v>
      </c>
      <c r="F784" t="str">
        <f t="shared" si="13"/>
        <v>04/19/2017</v>
      </c>
      <c r="G784" t="str">
        <f>VLOOKUP(A784,inf!$D$2:$E$76,2,FALSE)</f>
        <v>SBUX</v>
      </c>
    </row>
    <row r="785" spans="1:7" x14ac:dyDescent="0.25">
      <c r="A785" t="s">
        <v>5</v>
      </c>
      <c r="B785" s="1">
        <v>42844</v>
      </c>
      <c r="C785" t="s">
        <v>60</v>
      </c>
      <c r="D785" s="1">
        <v>70000.759999999995</v>
      </c>
      <c r="E785" t="str">
        <f>VLOOKUP(C785,inf!$A$2:$B$7,2,FALSE)</f>
        <v>Over 90</v>
      </c>
      <c r="F785" t="str">
        <f t="shared" si="13"/>
        <v>04/19/2017</v>
      </c>
      <c r="G785" t="str">
        <f>VLOOKUP(A785,inf!$D$2:$E$76,2,FALSE)</f>
        <v>SBUX</v>
      </c>
    </row>
    <row r="786" spans="1:7" x14ac:dyDescent="0.25">
      <c r="A786" t="s">
        <v>5</v>
      </c>
      <c r="B786" s="1">
        <v>42844</v>
      </c>
      <c r="C786" t="s">
        <v>58</v>
      </c>
      <c r="D786">
        <v>16418.12</v>
      </c>
      <c r="E786" t="str">
        <f>VLOOKUP(C786,inf!$A$2:$B$7,2,FALSE)</f>
        <v>61 to 90</v>
      </c>
      <c r="F786" t="str">
        <f t="shared" si="13"/>
        <v>04/19/2017</v>
      </c>
      <c r="G786" t="str">
        <f>VLOOKUP(A786,inf!$D$2:$E$76,2,FALSE)</f>
        <v>SBUX</v>
      </c>
    </row>
    <row r="787" spans="1:7" x14ac:dyDescent="0.25">
      <c r="A787" t="s">
        <v>5</v>
      </c>
      <c r="B787" s="1">
        <v>42844</v>
      </c>
      <c r="C787" t="s">
        <v>56</v>
      </c>
      <c r="D787">
        <v>4505.4399999999996</v>
      </c>
      <c r="E787" t="str">
        <f>VLOOKUP(C787,inf!$A$2:$B$7,2,FALSE)</f>
        <v>Current</v>
      </c>
      <c r="F787" t="str">
        <f t="shared" si="13"/>
        <v>04/19/2017</v>
      </c>
      <c r="G787" t="str">
        <f>VLOOKUP(A787,inf!$D$2:$E$76,2,FALSE)</f>
        <v>SBUX</v>
      </c>
    </row>
    <row r="788" spans="1:7" x14ac:dyDescent="0.25">
      <c r="A788" t="s">
        <v>5</v>
      </c>
      <c r="B788" s="1">
        <v>42844</v>
      </c>
      <c r="C788" t="s">
        <v>57</v>
      </c>
      <c r="D788">
        <v>3150.35</v>
      </c>
      <c r="E788" t="str">
        <f>VLOOKUP(C788,inf!$A$2:$B$7,2,FALSE)</f>
        <v>31 to 60</v>
      </c>
      <c r="F788" t="str">
        <f t="shared" si="13"/>
        <v>04/19/2017</v>
      </c>
      <c r="G788" t="str">
        <f>VLOOKUP(A788,inf!$D$2:$E$76,2,FALSE)</f>
        <v>SBUX</v>
      </c>
    </row>
    <row r="789" spans="1:7" x14ac:dyDescent="0.25">
      <c r="A789" t="s">
        <v>5</v>
      </c>
      <c r="B789" s="1">
        <v>42844</v>
      </c>
      <c r="C789" t="s">
        <v>59</v>
      </c>
      <c r="D789">
        <v>2320.9899999999998</v>
      </c>
      <c r="E789" t="str">
        <f>VLOOKUP(C789,inf!$A$2:$B$7,2,FALSE)</f>
        <v>Over 90</v>
      </c>
      <c r="F789" t="str">
        <f t="shared" si="13"/>
        <v>04/19/2017</v>
      </c>
      <c r="G789" t="str">
        <f>VLOOKUP(A789,inf!$D$2:$E$76,2,FALSE)</f>
        <v>SBUX</v>
      </c>
    </row>
    <row r="790" spans="1:7" x14ac:dyDescent="0.25">
      <c r="A790" t="s">
        <v>6</v>
      </c>
      <c r="B790" s="1">
        <v>42844</v>
      </c>
      <c r="C790" t="s">
        <v>55</v>
      </c>
      <c r="D790">
        <v>378226.40000000037</v>
      </c>
      <c r="E790" t="str">
        <f>VLOOKUP(C790,inf!$A$2:$B$7,2,FALSE)</f>
        <v>Current</v>
      </c>
      <c r="F790" t="str">
        <f t="shared" si="13"/>
        <v>04/19/2017</v>
      </c>
      <c r="G790" t="str">
        <f>VLOOKUP(A790,inf!$D$2:$E$76,2,FALSE)</f>
        <v>SBUX</v>
      </c>
    </row>
    <row r="791" spans="1:7" x14ac:dyDescent="0.25">
      <c r="A791" t="s">
        <v>6</v>
      </c>
      <c r="B791" s="1">
        <v>42844</v>
      </c>
      <c r="C791" t="s">
        <v>60</v>
      </c>
      <c r="D791">
        <v>5290.05</v>
      </c>
      <c r="E791" t="str">
        <f>VLOOKUP(C791,inf!$A$2:$B$7,2,FALSE)</f>
        <v>Over 90</v>
      </c>
      <c r="F791" t="str">
        <f t="shared" si="13"/>
        <v>04/19/2017</v>
      </c>
      <c r="G791" t="str">
        <f>VLOOKUP(A791,inf!$D$2:$E$76,2,FALSE)</f>
        <v>SBUX</v>
      </c>
    </row>
    <row r="792" spans="1:7" x14ac:dyDescent="0.25">
      <c r="A792" t="s">
        <v>6</v>
      </c>
      <c r="B792" s="1">
        <v>42844</v>
      </c>
      <c r="C792" t="s">
        <v>57</v>
      </c>
      <c r="D792">
        <v>3978.69</v>
      </c>
      <c r="E792" t="str">
        <f>VLOOKUP(C792,inf!$A$2:$B$7,2,FALSE)</f>
        <v>31 to 60</v>
      </c>
      <c r="F792" t="str">
        <f t="shared" si="13"/>
        <v>04/19/2017</v>
      </c>
      <c r="G792" t="str">
        <f>VLOOKUP(A792,inf!$D$2:$E$76,2,FALSE)</f>
        <v>SBUX</v>
      </c>
    </row>
    <row r="793" spans="1:7" x14ac:dyDescent="0.25">
      <c r="A793" t="s">
        <v>6</v>
      </c>
      <c r="B793" s="1">
        <v>42844</v>
      </c>
      <c r="C793" t="s">
        <v>58</v>
      </c>
      <c r="D793">
        <v>2233.2800000000002</v>
      </c>
      <c r="E793" t="str">
        <f>VLOOKUP(C793,inf!$A$2:$B$7,2,FALSE)</f>
        <v>61 to 90</v>
      </c>
      <c r="F793" t="str">
        <f t="shared" si="13"/>
        <v>04/19/2017</v>
      </c>
      <c r="G793" t="str">
        <f>VLOOKUP(A793,inf!$D$2:$E$76,2,FALSE)</f>
        <v>SBUX</v>
      </c>
    </row>
    <row r="794" spans="1:7" x14ac:dyDescent="0.25">
      <c r="A794" t="s">
        <v>6</v>
      </c>
      <c r="B794" s="1">
        <v>42844</v>
      </c>
      <c r="C794" t="s">
        <v>56</v>
      </c>
      <c r="D794">
        <v>418.67</v>
      </c>
      <c r="E794" t="str">
        <f>VLOOKUP(C794,inf!$A$2:$B$7,2,FALSE)</f>
        <v>Current</v>
      </c>
      <c r="F794" t="str">
        <f t="shared" si="13"/>
        <v>04/19/2017</v>
      </c>
      <c r="G794" t="str">
        <f>VLOOKUP(A794,inf!$D$2:$E$76,2,FALSE)</f>
        <v>SBUX</v>
      </c>
    </row>
    <row r="795" spans="1:7" x14ac:dyDescent="0.25">
      <c r="A795" t="s">
        <v>51</v>
      </c>
      <c r="B795" s="1">
        <v>42844</v>
      </c>
      <c r="C795" t="s">
        <v>55</v>
      </c>
      <c r="D795">
        <v>235.2</v>
      </c>
      <c r="E795" t="str">
        <f>VLOOKUP(C795,inf!$A$2:$B$7,2,FALSE)</f>
        <v>Current</v>
      </c>
      <c r="F795" t="str">
        <f t="shared" si="13"/>
        <v>04/19/2017</v>
      </c>
      <c r="G795" t="str">
        <f>VLOOKUP(A795,inf!$D$2:$E$76,2,FALSE)</f>
        <v>Other</v>
      </c>
    </row>
    <row r="796" spans="1:7" x14ac:dyDescent="0.25">
      <c r="A796" t="s">
        <v>8</v>
      </c>
      <c r="B796" s="1">
        <v>42844</v>
      </c>
      <c r="C796" t="s">
        <v>55</v>
      </c>
      <c r="D796" s="5">
        <v>592718.06999999855</v>
      </c>
      <c r="E796" t="str">
        <f>VLOOKUP(C796,inf!$A$2:$B$7,2,FALSE)</f>
        <v>Current</v>
      </c>
      <c r="F796" t="str">
        <f t="shared" si="13"/>
        <v>04/19/2017</v>
      </c>
      <c r="G796" t="str">
        <f>VLOOKUP(A796,inf!$D$2:$E$76,2,FALSE)</f>
        <v>Target</v>
      </c>
    </row>
    <row r="797" spans="1:7" x14ac:dyDescent="0.25">
      <c r="A797" t="s">
        <v>8</v>
      </c>
      <c r="B797" s="1">
        <v>42844</v>
      </c>
      <c r="C797" t="s">
        <v>60</v>
      </c>
      <c r="D797">
        <v>26777.380000000008</v>
      </c>
      <c r="E797" t="str">
        <f>VLOOKUP(C797,inf!$A$2:$B$7,2,FALSE)</f>
        <v>Over 90</v>
      </c>
      <c r="F797" t="str">
        <f t="shared" si="13"/>
        <v>04/19/2017</v>
      </c>
      <c r="G797" t="str">
        <f>VLOOKUP(A797,inf!$D$2:$E$76,2,FALSE)</f>
        <v>Target</v>
      </c>
    </row>
    <row r="798" spans="1:7" x14ac:dyDescent="0.25">
      <c r="A798" t="s">
        <v>8</v>
      </c>
      <c r="B798" s="1">
        <v>42844</v>
      </c>
      <c r="C798" t="s">
        <v>57</v>
      </c>
      <c r="D798">
        <v>5100.7899999999991</v>
      </c>
      <c r="E798" t="str">
        <f>VLOOKUP(C798,inf!$A$2:$B$7,2,FALSE)</f>
        <v>31 to 60</v>
      </c>
      <c r="F798" t="str">
        <f t="shared" si="13"/>
        <v>04/19/2017</v>
      </c>
      <c r="G798" t="str">
        <f>VLOOKUP(A798,inf!$D$2:$E$76,2,FALSE)</f>
        <v>Target</v>
      </c>
    </row>
    <row r="799" spans="1:7" x14ac:dyDescent="0.25">
      <c r="A799" t="s">
        <v>8</v>
      </c>
      <c r="B799" s="1">
        <v>42844</v>
      </c>
      <c r="C799" t="s">
        <v>59</v>
      </c>
      <c r="D799">
        <v>952.49</v>
      </c>
      <c r="E799" t="str">
        <f>VLOOKUP(C799,inf!$A$2:$B$7,2,FALSE)</f>
        <v>Over 90</v>
      </c>
      <c r="F799" t="str">
        <f t="shared" si="13"/>
        <v>04/19/2017</v>
      </c>
      <c r="G799" t="str">
        <f>VLOOKUP(A799,inf!$D$2:$E$76,2,FALSE)</f>
        <v>Target</v>
      </c>
    </row>
    <row r="800" spans="1:7" x14ac:dyDescent="0.25">
      <c r="A800" t="s">
        <v>8</v>
      </c>
      <c r="B800" s="1">
        <v>42844</v>
      </c>
      <c r="C800" t="s">
        <v>58</v>
      </c>
      <c r="D800">
        <v>597.32999999999993</v>
      </c>
      <c r="E800" t="str">
        <f>VLOOKUP(C800,inf!$A$2:$B$7,2,FALSE)</f>
        <v>61 to 90</v>
      </c>
      <c r="F800" t="str">
        <f t="shared" si="13"/>
        <v>04/19/2017</v>
      </c>
      <c r="G800" t="str">
        <f>VLOOKUP(A800,inf!$D$2:$E$76,2,FALSE)</f>
        <v>Target</v>
      </c>
    </row>
    <row r="801" spans="1:7" x14ac:dyDescent="0.25">
      <c r="A801" t="s">
        <v>8</v>
      </c>
      <c r="B801" s="1">
        <v>42844</v>
      </c>
      <c r="C801" t="s">
        <v>56</v>
      </c>
      <c r="D801">
        <v>585.34</v>
      </c>
      <c r="E801" t="str">
        <f>VLOOKUP(C801,inf!$A$2:$B$7,2,FALSE)</f>
        <v>Current</v>
      </c>
      <c r="F801" t="str">
        <f t="shared" si="13"/>
        <v>04/19/2017</v>
      </c>
      <c r="G801" t="str">
        <f>VLOOKUP(A801,inf!$D$2:$E$76,2,FALSE)</f>
        <v>Target</v>
      </c>
    </row>
    <row r="802" spans="1:7" x14ac:dyDescent="0.25">
      <c r="A802" t="s">
        <v>54</v>
      </c>
      <c r="B802" s="1">
        <v>42844</v>
      </c>
      <c r="C802" t="s">
        <v>55</v>
      </c>
      <c r="D802">
        <v>114.85</v>
      </c>
      <c r="E802" t="str">
        <f>VLOOKUP(C802,inf!$A$2:$B$7,2,FALSE)</f>
        <v>Current</v>
      </c>
      <c r="F802" t="str">
        <f t="shared" si="13"/>
        <v>04/19/2017</v>
      </c>
      <c r="G802" t="str">
        <f>VLOOKUP(A802,inf!$D$2:$E$76,2,FALSE)</f>
        <v>Other</v>
      </c>
    </row>
    <row r="803" spans="1:7" x14ac:dyDescent="0.25">
      <c r="A803" t="s">
        <v>15</v>
      </c>
      <c r="B803" s="1">
        <v>42844</v>
      </c>
      <c r="C803" t="s">
        <v>55</v>
      </c>
      <c r="D803">
        <v>474.18</v>
      </c>
      <c r="E803" t="str">
        <f>VLOOKUP(C803,inf!$A$2:$B$7,2,FALSE)</f>
        <v>Current</v>
      </c>
      <c r="F803" t="str">
        <f t="shared" si="13"/>
        <v>04/19/2017</v>
      </c>
      <c r="G803" t="str">
        <f>VLOOKUP(A803,inf!$D$2:$E$76,2,FALSE)</f>
        <v>Other</v>
      </c>
    </row>
    <row r="804" spans="1:7" x14ac:dyDescent="0.25">
      <c r="A804" t="s">
        <v>15</v>
      </c>
      <c r="B804" s="1">
        <v>42844</v>
      </c>
      <c r="C804" t="s">
        <v>56</v>
      </c>
      <c r="D804">
        <v>468.24</v>
      </c>
      <c r="E804" t="str">
        <f>VLOOKUP(C804,inf!$A$2:$B$7,2,FALSE)</f>
        <v>Current</v>
      </c>
      <c r="F804" t="str">
        <f t="shared" si="13"/>
        <v>04/19/2017</v>
      </c>
      <c r="G804" t="str">
        <f>VLOOKUP(A804,inf!$D$2:$E$76,2,FALSE)</f>
        <v>Other</v>
      </c>
    </row>
    <row r="805" spans="1:7" x14ac:dyDescent="0.25">
      <c r="A805" t="s">
        <v>15</v>
      </c>
      <c r="B805" s="1">
        <v>42844</v>
      </c>
      <c r="C805" t="s">
        <v>58</v>
      </c>
      <c r="D805">
        <v>126.05</v>
      </c>
      <c r="E805" t="str">
        <f>VLOOKUP(C805,inf!$A$2:$B$7,2,FALSE)</f>
        <v>61 to 90</v>
      </c>
      <c r="F805" t="str">
        <f t="shared" si="13"/>
        <v>04/19/2017</v>
      </c>
      <c r="G805" t="str">
        <f>VLOOKUP(A805,inf!$D$2:$E$76,2,FALSE)</f>
        <v>Other</v>
      </c>
    </row>
    <row r="806" spans="1:7" x14ac:dyDescent="0.25">
      <c r="A806" t="s">
        <v>4</v>
      </c>
      <c r="B806" s="1">
        <v>42851</v>
      </c>
      <c r="C806" t="s">
        <v>55</v>
      </c>
      <c r="D806">
        <v>5655.28</v>
      </c>
      <c r="E806" t="str">
        <f>VLOOKUP(C806,inf!$A$2:$B$7,2,FALSE)</f>
        <v>Current</v>
      </c>
      <c r="F806" t="str">
        <f t="shared" si="13"/>
        <v>04/26/2017</v>
      </c>
      <c r="G806" t="str">
        <f>VLOOKUP(A806,inf!$D$2:$E$76,2,FALSE)</f>
        <v>Other</v>
      </c>
    </row>
    <row r="807" spans="1:7" x14ac:dyDescent="0.25">
      <c r="A807" t="s">
        <v>4</v>
      </c>
      <c r="B807" s="1">
        <v>42851</v>
      </c>
      <c r="C807" t="s">
        <v>56</v>
      </c>
      <c r="D807">
        <v>2669.3399999999997</v>
      </c>
      <c r="E807" t="str">
        <f>VLOOKUP(C807,inf!$A$2:$B$7,2,FALSE)</f>
        <v>Current</v>
      </c>
      <c r="F807" t="str">
        <f t="shared" si="13"/>
        <v>04/26/2017</v>
      </c>
      <c r="G807" t="str">
        <f>VLOOKUP(A807,inf!$D$2:$E$76,2,FALSE)</f>
        <v>Other</v>
      </c>
    </row>
    <row r="808" spans="1:7" x14ac:dyDescent="0.25">
      <c r="A808" t="s">
        <v>26</v>
      </c>
      <c r="B808" s="1">
        <v>42851</v>
      </c>
      <c r="C808" t="s">
        <v>60</v>
      </c>
      <c r="D808">
        <v>1380.77</v>
      </c>
      <c r="E808" t="str">
        <f>VLOOKUP(C808,inf!$A$2:$B$7,2,FALSE)</f>
        <v>Over 90</v>
      </c>
      <c r="F808" t="str">
        <f t="shared" si="13"/>
        <v>04/26/2017</v>
      </c>
      <c r="G808" t="str">
        <f>VLOOKUP(A808,inf!$D$2:$E$76,2,FALSE)</f>
        <v>Other</v>
      </c>
    </row>
    <row r="809" spans="1:7" x14ac:dyDescent="0.25">
      <c r="A809" t="s">
        <v>2</v>
      </c>
      <c r="B809" s="1">
        <v>42851</v>
      </c>
      <c r="C809" t="s">
        <v>60</v>
      </c>
      <c r="D809">
        <v>3717.8600000000006</v>
      </c>
      <c r="E809" t="str">
        <f>VLOOKUP(C809,inf!$A$2:$B$7,2,FALSE)</f>
        <v>Over 90</v>
      </c>
      <c r="F809" t="str">
        <f t="shared" si="13"/>
        <v>04/26/2017</v>
      </c>
      <c r="G809" t="str">
        <f>VLOOKUP(A809,inf!$D$2:$E$76,2,FALSE)</f>
        <v>Other</v>
      </c>
    </row>
    <row r="810" spans="1:7" x14ac:dyDescent="0.25">
      <c r="A810" t="s">
        <v>32</v>
      </c>
      <c r="B810" s="1">
        <v>42851</v>
      </c>
      <c r="C810" t="s">
        <v>55</v>
      </c>
      <c r="D810">
        <v>130.02000000000001</v>
      </c>
      <c r="E810" t="str">
        <f>VLOOKUP(C810,inf!$A$2:$B$7,2,FALSE)</f>
        <v>Current</v>
      </c>
      <c r="F810" t="str">
        <f t="shared" si="13"/>
        <v>04/26/2017</v>
      </c>
      <c r="G810" t="str">
        <f>VLOOKUP(A810,inf!$D$2:$E$76,2,FALSE)</f>
        <v>Other</v>
      </c>
    </row>
    <row r="811" spans="1:7" x14ac:dyDescent="0.25">
      <c r="A811" t="s">
        <v>47</v>
      </c>
      <c r="B811" s="1">
        <v>42851</v>
      </c>
      <c r="C811" t="s">
        <v>55</v>
      </c>
      <c r="D811">
        <v>314.85000000000002</v>
      </c>
      <c r="E811" t="str">
        <f>VLOOKUP(C811,inf!$A$2:$B$7,2,FALSE)</f>
        <v>Current</v>
      </c>
      <c r="F811" t="str">
        <f t="shared" si="13"/>
        <v>04/26/2017</v>
      </c>
      <c r="G811" t="str">
        <f>VLOOKUP(A811,inf!$D$2:$E$76,2,FALSE)</f>
        <v>Other</v>
      </c>
    </row>
    <row r="812" spans="1:7" x14ac:dyDescent="0.25">
      <c r="A812" t="s">
        <v>19</v>
      </c>
      <c r="B812" s="1">
        <v>42851</v>
      </c>
      <c r="C812" t="s">
        <v>55</v>
      </c>
      <c r="D812">
        <v>565.36</v>
      </c>
      <c r="E812" t="str">
        <f>VLOOKUP(C812,inf!$A$2:$B$7,2,FALSE)</f>
        <v>Current</v>
      </c>
      <c r="F812" t="str">
        <f t="shared" si="13"/>
        <v>04/26/2017</v>
      </c>
      <c r="G812" t="str">
        <f>VLOOKUP(A812,inf!$D$2:$E$76,2,FALSE)</f>
        <v>Other</v>
      </c>
    </row>
    <row r="813" spans="1:7" x14ac:dyDescent="0.25">
      <c r="A813" t="s">
        <v>25</v>
      </c>
      <c r="B813" s="1">
        <v>42851</v>
      </c>
      <c r="C813" t="s">
        <v>59</v>
      </c>
      <c r="D813">
        <v>120.1</v>
      </c>
      <c r="E813" t="str">
        <f>VLOOKUP(C813,inf!$A$2:$B$7,2,FALSE)</f>
        <v>Over 90</v>
      </c>
      <c r="F813" t="str">
        <f t="shared" si="13"/>
        <v>04/26/2017</v>
      </c>
      <c r="G813" t="str">
        <f>VLOOKUP(A813,inf!$D$2:$E$76,2,FALSE)</f>
        <v>Other</v>
      </c>
    </row>
    <row r="814" spans="1:7" x14ac:dyDescent="0.25">
      <c r="A814" t="s">
        <v>31</v>
      </c>
      <c r="B814" s="1">
        <v>42851</v>
      </c>
      <c r="C814" t="s">
        <v>55</v>
      </c>
      <c r="D814">
        <v>4369.2</v>
      </c>
      <c r="E814" t="str">
        <f>VLOOKUP(C814,inf!$A$2:$B$7,2,FALSE)</f>
        <v>Current</v>
      </c>
      <c r="F814" t="str">
        <f t="shared" si="13"/>
        <v>04/26/2017</v>
      </c>
      <c r="G814" t="str">
        <f>VLOOKUP(A814,inf!$D$2:$E$76,2,FALSE)</f>
        <v>Other</v>
      </c>
    </row>
    <row r="815" spans="1:7" x14ac:dyDescent="0.25">
      <c r="A815" t="s">
        <v>24</v>
      </c>
      <c r="B815" s="1">
        <v>42851</v>
      </c>
      <c r="C815" t="s">
        <v>55</v>
      </c>
      <c r="D815">
        <v>1290.6100000000001</v>
      </c>
      <c r="E815" t="str">
        <f>VLOOKUP(C815,inf!$A$2:$B$7,2,FALSE)</f>
        <v>Current</v>
      </c>
      <c r="F815" t="str">
        <f t="shared" si="13"/>
        <v>04/26/2017</v>
      </c>
      <c r="G815" t="str">
        <f>VLOOKUP(A815,inf!$D$2:$E$76,2,FALSE)</f>
        <v>Other</v>
      </c>
    </row>
    <row r="816" spans="1:7" x14ac:dyDescent="0.25">
      <c r="A816" t="s">
        <v>18</v>
      </c>
      <c r="B816" s="1">
        <v>42851</v>
      </c>
      <c r="C816" t="s">
        <v>56</v>
      </c>
      <c r="D816">
        <v>373.26</v>
      </c>
      <c r="E816" t="str">
        <f>VLOOKUP(C816,inf!$A$2:$B$7,2,FALSE)</f>
        <v>Current</v>
      </c>
      <c r="F816" t="str">
        <f t="shared" si="13"/>
        <v>04/26/2017</v>
      </c>
      <c r="G816" t="str">
        <f>VLOOKUP(A816,inf!$D$2:$E$76,2,FALSE)</f>
        <v>Other</v>
      </c>
    </row>
    <row r="817" spans="1:7" x14ac:dyDescent="0.25">
      <c r="A817" t="s">
        <v>27</v>
      </c>
      <c r="B817" s="1">
        <v>42851</v>
      </c>
      <c r="C817" t="s">
        <v>55</v>
      </c>
      <c r="D817">
        <v>618.96</v>
      </c>
      <c r="E817" t="str">
        <f>VLOOKUP(C817,inf!$A$2:$B$7,2,FALSE)</f>
        <v>Current</v>
      </c>
      <c r="F817" t="str">
        <f t="shared" si="13"/>
        <v>04/26/2017</v>
      </c>
      <c r="G817" t="str">
        <f>VLOOKUP(A817,inf!$D$2:$E$76,2,FALSE)</f>
        <v>Other</v>
      </c>
    </row>
    <row r="818" spans="1:7" x14ac:dyDescent="0.25">
      <c r="A818" t="s">
        <v>62</v>
      </c>
      <c r="B818" s="1">
        <v>42851</v>
      </c>
      <c r="C818" t="s">
        <v>56</v>
      </c>
      <c r="D818">
        <v>238.6</v>
      </c>
      <c r="E818" t="str">
        <f>VLOOKUP(C818,inf!$A$2:$B$7,2,FALSE)</f>
        <v>Current</v>
      </c>
      <c r="F818" t="str">
        <f t="shared" si="13"/>
        <v>04/26/2017</v>
      </c>
      <c r="G818" t="str">
        <f>VLOOKUP(A818,inf!$D$2:$E$76,2,FALSE)</f>
        <v>Other</v>
      </c>
    </row>
    <row r="819" spans="1:7" x14ac:dyDescent="0.25">
      <c r="A819" t="s">
        <v>21</v>
      </c>
      <c r="B819" s="1">
        <v>42851</v>
      </c>
      <c r="C819" t="s">
        <v>56</v>
      </c>
      <c r="D819">
        <v>2728.4900000000002</v>
      </c>
      <c r="E819" t="str">
        <f>VLOOKUP(C819,inf!$A$2:$B$7,2,FALSE)</f>
        <v>Current</v>
      </c>
      <c r="F819" t="str">
        <f t="shared" si="13"/>
        <v>04/26/2017</v>
      </c>
      <c r="G819" t="str">
        <f>VLOOKUP(A819,inf!$D$2:$E$76,2,FALSE)</f>
        <v>Other</v>
      </c>
    </row>
    <row r="820" spans="1:7" x14ac:dyDescent="0.25">
      <c r="A820" t="s">
        <v>21</v>
      </c>
      <c r="B820" s="1">
        <v>42851</v>
      </c>
      <c r="C820" t="s">
        <v>55</v>
      </c>
      <c r="D820">
        <v>666.87</v>
      </c>
      <c r="E820" t="str">
        <f>VLOOKUP(C820,inf!$A$2:$B$7,2,FALSE)</f>
        <v>Current</v>
      </c>
      <c r="F820" t="str">
        <f t="shared" si="13"/>
        <v>04/26/2017</v>
      </c>
      <c r="G820" t="str">
        <f>VLOOKUP(A820,inf!$D$2:$E$76,2,FALSE)</f>
        <v>Other</v>
      </c>
    </row>
    <row r="821" spans="1:7" x14ac:dyDescent="0.25">
      <c r="A821" t="s">
        <v>3</v>
      </c>
      <c r="B821" s="1">
        <v>42851</v>
      </c>
      <c r="C821" t="s">
        <v>56</v>
      </c>
      <c r="D821">
        <v>7015.9999999999982</v>
      </c>
      <c r="E821" t="str">
        <f>VLOOKUP(C821,inf!$A$2:$B$7,2,FALSE)</f>
        <v>Current</v>
      </c>
      <c r="F821" t="str">
        <f t="shared" si="13"/>
        <v>04/26/2017</v>
      </c>
      <c r="G821" t="str">
        <f>VLOOKUP(A821,inf!$D$2:$E$76,2,FALSE)</f>
        <v>Other</v>
      </c>
    </row>
    <row r="822" spans="1:7" x14ac:dyDescent="0.25">
      <c r="A822" t="s">
        <v>3</v>
      </c>
      <c r="B822" s="1">
        <v>42851</v>
      </c>
      <c r="C822" t="s">
        <v>55</v>
      </c>
      <c r="D822">
        <v>2563.1000000000004</v>
      </c>
      <c r="E822" t="str">
        <f>VLOOKUP(C822,inf!$A$2:$B$7,2,FALSE)</f>
        <v>Current</v>
      </c>
      <c r="F822" t="str">
        <f t="shared" si="13"/>
        <v>04/26/2017</v>
      </c>
      <c r="G822" t="str">
        <f>VLOOKUP(A822,inf!$D$2:$E$76,2,FALSE)</f>
        <v>Other</v>
      </c>
    </row>
    <row r="823" spans="1:7" x14ac:dyDescent="0.25">
      <c r="A823" t="s">
        <v>30</v>
      </c>
      <c r="B823" s="1">
        <v>42851</v>
      </c>
      <c r="C823" t="s">
        <v>55</v>
      </c>
      <c r="D823">
        <v>1136.58</v>
      </c>
      <c r="E823" t="str">
        <f>VLOOKUP(C823,inf!$A$2:$B$7,2,FALSE)</f>
        <v>Current</v>
      </c>
      <c r="F823" t="str">
        <f t="shared" si="13"/>
        <v>04/26/2017</v>
      </c>
      <c r="G823" t="str">
        <f>VLOOKUP(A823,inf!$D$2:$E$76,2,FALSE)</f>
        <v>Other</v>
      </c>
    </row>
    <row r="824" spans="1:7" x14ac:dyDescent="0.25">
      <c r="A824" t="s">
        <v>30</v>
      </c>
      <c r="B824" s="1">
        <v>42851</v>
      </c>
      <c r="C824" t="s">
        <v>58</v>
      </c>
      <c r="D824">
        <v>347.48</v>
      </c>
      <c r="E824" t="str">
        <f>VLOOKUP(C824,inf!$A$2:$B$7,2,FALSE)</f>
        <v>61 to 90</v>
      </c>
      <c r="F824" t="str">
        <f t="shared" si="13"/>
        <v>04/26/2017</v>
      </c>
      <c r="G824" t="str">
        <f>VLOOKUP(A824,inf!$D$2:$E$76,2,FALSE)</f>
        <v>Other</v>
      </c>
    </row>
    <row r="825" spans="1:7" x14ac:dyDescent="0.25">
      <c r="A825" t="s">
        <v>30</v>
      </c>
      <c r="B825" s="1">
        <v>42851</v>
      </c>
      <c r="C825" t="s">
        <v>57</v>
      </c>
      <c r="D825">
        <v>263.35000000000002</v>
      </c>
      <c r="E825" t="str">
        <f>VLOOKUP(C825,inf!$A$2:$B$7,2,FALSE)</f>
        <v>31 to 60</v>
      </c>
      <c r="F825" t="str">
        <f t="shared" si="13"/>
        <v>04/26/2017</v>
      </c>
      <c r="G825" t="str">
        <f>VLOOKUP(A825,inf!$D$2:$E$76,2,FALSE)</f>
        <v>Other</v>
      </c>
    </row>
    <row r="826" spans="1:7" x14ac:dyDescent="0.25">
      <c r="A826" t="s">
        <v>12</v>
      </c>
      <c r="B826" s="1">
        <v>42851</v>
      </c>
      <c r="C826" t="s">
        <v>56</v>
      </c>
      <c r="D826">
        <v>2239.13</v>
      </c>
      <c r="E826" t="str">
        <f>VLOOKUP(C826,inf!$A$2:$B$7,2,FALSE)</f>
        <v>Current</v>
      </c>
      <c r="F826" t="str">
        <f t="shared" si="13"/>
        <v>04/26/2017</v>
      </c>
      <c r="G826" t="str">
        <f>VLOOKUP(A826,inf!$D$2:$E$76,2,FALSE)</f>
        <v>Other</v>
      </c>
    </row>
    <row r="827" spans="1:7" x14ac:dyDescent="0.25">
      <c r="A827" t="s">
        <v>12</v>
      </c>
      <c r="B827" s="1">
        <v>42851</v>
      </c>
      <c r="C827" t="s">
        <v>55</v>
      </c>
      <c r="D827">
        <v>629.49</v>
      </c>
      <c r="E827" t="str">
        <f>VLOOKUP(C827,inf!$A$2:$B$7,2,FALSE)</f>
        <v>Current</v>
      </c>
      <c r="F827" t="str">
        <f t="shared" si="13"/>
        <v>04/26/2017</v>
      </c>
      <c r="G827" t="str">
        <f>VLOOKUP(A827,inf!$D$2:$E$76,2,FALSE)</f>
        <v>Other</v>
      </c>
    </row>
    <row r="828" spans="1:7" x14ac:dyDescent="0.25">
      <c r="A828" t="s">
        <v>12</v>
      </c>
      <c r="B828" s="1">
        <v>42851</v>
      </c>
      <c r="C828" t="s">
        <v>60</v>
      </c>
      <c r="D828">
        <v>450.5</v>
      </c>
      <c r="E828" t="str">
        <f>VLOOKUP(C828,inf!$A$2:$B$7,2,FALSE)</f>
        <v>Over 90</v>
      </c>
      <c r="F828" t="str">
        <f t="shared" si="13"/>
        <v>04/26/2017</v>
      </c>
      <c r="G828" t="str">
        <f>VLOOKUP(A828,inf!$D$2:$E$76,2,FALSE)</f>
        <v>Other</v>
      </c>
    </row>
    <row r="829" spans="1:7" x14ac:dyDescent="0.25">
      <c r="A829" t="s">
        <v>23</v>
      </c>
      <c r="B829" s="1">
        <v>42851</v>
      </c>
      <c r="C829" t="s">
        <v>55</v>
      </c>
      <c r="D829">
        <v>574.45000000000005</v>
      </c>
      <c r="E829" t="str">
        <f>VLOOKUP(C829,inf!$A$2:$B$7,2,FALSE)</f>
        <v>Current</v>
      </c>
      <c r="F829" t="str">
        <f t="shared" si="13"/>
        <v>04/26/2017</v>
      </c>
      <c r="G829" t="str">
        <f>VLOOKUP(A829,inf!$D$2:$E$76,2,FALSE)</f>
        <v>Other</v>
      </c>
    </row>
    <row r="830" spans="1:7" x14ac:dyDescent="0.25">
      <c r="A830" t="s">
        <v>7</v>
      </c>
      <c r="B830" s="1">
        <v>42851</v>
      </c>
      <c r="C830" t="s">
        <v>55</v>
      </c>
      <c r="D830">
        <v>91182.41</v>
      </c>
      <c r="E830" t="str">
        <f>VLOOKUP(C830,inf!$A$2:$B$7,2,FALSE)</f>
        <v>Current</v>
      </c>
      <c r="F830" t="str">
        <f t="shared" si="13"/>
        <v>04/26/2017</v>
      </c>
      <c r="G830" t="str">
        <f>VLOOKUP(A830,inf!$D$2:$E$76,2,FALSE)</f>
        <v>SAFEWAY</v>
      </c>
    </row>
    <row r="831" spans="1:7" x14ac:dyDescent="0.25">
      <c r="A831" t="s">
        <v>7</v>
      </c>
      <c r="B831" s="1">
        <v>42851</v>
      </c>
      <c r="C831" t="s">
        <v>56</v>
      </c>
      <c r="D831">
        <v>5189.7900000000009</v>
      </c>
      <c r="E831" t="str">
        <f>VLOOKUP(C831,inf!$A$2:$B$7,2,FALSE)</f>
        <v>Current</v>
      </c>
      <c r="F831" t="str">
        <f t="shared" si="13"/>
        <v>04/26/2017</v>
      </c>
      <c r="G831" t="str">
        <f>VLOOKUP(A831,inf!$D$2:$E$76,2,FALSE)</f>
        <v>SAFEWAY</v>
      </c>
    </row>
    <row r="832" spans="1:7" x14ac:dyDescent="0.25">
      <c r="A832" t="s">
        <v>7</v>
      </c>
      <c r="B832" s="1">
        <v>42851</v>
      </c>
      <c r="C832" t="s">
        <v>57</v>
      </c>
      <c r="D832">
        <v>624.54</v>
      </c>
      <c r="E832" t="str">
        <f>VLOOKUP(C832,inf!$A$2:$B$7,2,FALSE)</f>
        <v>31 to 60</v>
      </c>
      <c r="F832" t="str">
        <f t="shared" si="13"/>
        <v>04/26/2017</v>
      </c>
      <c r="G832" t="str">
        <f>VLOOKUP(A832,inf!$D$2:$E$76,2,FALSE)</f>
        <v>SAFEWAY</v>
      </c>
    </row>
    <row r="833" spans="1:7" x14ac:dyDescent="0.25">
      <c r="A833" t="s">
        <v>7</v>
      </c>
      <c r="B833" s="1">
        <v>42851</v>
      </c>
      <c r="C833" t="s">
        <v>59</v>
      </c>
      <c r="D833">
        <v>264.52999999999997</v>
      </c>
      <c r="E833" t="str">
        <f>VLOOKUP(C833,inf!$A$2:$B$7,2,FALSE)</f>
        <v>Over 90</v>
      </c>
      <c r="F833" t="str">
        <f t="shared" si="13"/>
        <v>04/26/2017</v>
      </c>
      <c r="G833" t="str">
        <f>VLOOKUP(A833,inf!$D$2:$E$76,2,FALSE)</f>
        <v>SAFEWAY</v>
      </c>
    </row>
    <row r="834" spans="1:7" x14ac:dyDescent="0.25">
      <c r="A834" t="s">
        <v>5</v>
      </c>
      <c r="B834" s="1">
        <v>42851</v>
      </c>
      <c r="C834" t="s">
        <v>55</v>
      </c>
      <c r="D834">
        <v>4261128.7300002035</v>
      </c>
      <c r="E834" t="str">
        <f>VLOOKUP(C834,inf!$A$2:$B$7,2,FALSE)</f>
        <v>Current</v>
      </c>
      <c r="F834" t="str">
        <f t="shared" si="13"/>
        <v>04/26/2017</v>
      </c>
      <c r="G834" t="str">
        <f>VLOOKUP(A834,inf!$D$2:$E$76,2,FALSE)</f>
        <v>SBUX</v>
      </c>
    </row>
    <row r="835" spans="1:7" x14ac:dyDescent="0.25">
      <c r="A835" t="s">
        <v>5</v>
      </c>
      <c r="B835" s="1">
        <v>42851</v>
      </c>
      <c r="C835" t="s">
        <v>60</v>
      </c>
      <c r="D835">
        <v>70819.03</v>
      </c>
      <c r="E835" t="str">
        <f>VLOOKUP(C835,inf!$A$2:$B$7,2,FALSE)</f>
        <v>Over 90</v>
      </c>
      <c r="F835" t="str">
        <f t="shared" ref="F835:F898" si="14">TEXT(B835,"MM/DD/YYYY")</f>
        <v>04/26/2017</v>
      </c>
      <c r="G835" t="str">
        <f>VLOOKUP(A835,inf!$D$2:$E$76,2,FALSE)</f>
        <v>SBUX</v>
      </c>
    </row>
    <row r="836" spans="1:7" x14ac:dyDescent="0.25">
      <c r="A836" t="s">
        <v>5</v>
      </c>
      <c r="B836" s="1">
        <v>42851</v>
      </c>
      <c r="C836" t="s">
        <v>58</v>
      </c>
      <c r="D836">
        <v>9461.0599999999977</v>
      </c>
      <c r="E836" t="str">
        <f>VLOOKUP(C836,inf!$A$2:$B$7,2,FALSE)</f>
        <v>61 to 90</v>
      </c>
      <c r="F836" t="str">
        <f t="shared" si="14"/>
        <v>04/26/2017</v>
      </c>
      <c r="G836" t="str">
        <f>VLOOKUP(A836,inf!$D$2:$E$76,2,FALSE)</f>
        <v>SBUX</v>
      </c>
    </row>
    <row r="837" spans="1:7" x14ac:dyDescent="0.25">
      <c r="A837" t="s">
        <v>5</v>
      </c>
      <c r="B837" s="1">
        <v>42851</v>
      </c>
      <c r="C837" t="s">
        <v>59</v>
      </c>
      <c r="D837">
        <v>9342.2000000000007</v>
      </c>
      <c r="E837" t="str">
        <f>VLOOKUP(C837,inf!$A$2:$B$7,2,FALSE)</f>
        <v>Over 90</v>
      </c>
      <c r="F837" t="str">
        <f t="shared" si="14"/>
        <v>04/26/2017</v>
      </c>
      <c r="G837" t="str">
        <f>VLOOKUP(A837,inf!$D$2:$E$76,2,FALSE)</f>
        <v>SBUX</v>
      </c>
    </row>
    <row r="838" spans="1:7" x14ac:dyDescent="0.25">
      <c r="A838" t="s">
        <v>5</v>
      </c>
      <c r="B838" s="1">
        <v>42851</v>
      </c>
      <c r="C838" t="s">
        <v>56</v>
      </c>
      <c r="D838">
        <v>6151.64</v>
      </c>
      <c r="E838" t="str">
        <f>VLOOKUP(C838,inf!$A$2:$B$7,2,FALSE)</f>
        <v>Current</v>
      </c>
      <c r="F838" t="str">
        <f t="shared" si="14"/>
        <v>04/26/2017</v>
      </c>
      <c r="G838" t="str">
        <f>VLOOKUP(A838,inf!$D$2:$E$76,2,FALSE)</f>
        <v>SBUX</v>
      </c>
    </row>
    <row r="839" spans="1:7" x14ac:dyDescent="0.25">
      <c r="A839" t="s">
        <v>5</v>
      </c>
      <c r="B839" s="1">
        <v>42851</v>
      </c>
      <c r="C839" t="s">
        <v>57</v>
      </c>
      <c r="D839">
        <v>3896.5099999999998</v>
      </c>
      <c r="E839" t="str">
        <f>VLOOKUP(C839,inf!$A$2:$B$7,2,FALSE)</f>
        <v>31 to 60</v>
      </c>
      <c r="F839" t="str">
        <f t="shared" si="14"/>
        <v>04/26/2017</v>
      </c>
      <c r="G839" t="str">
        <f>VLOOKUP(A839,inf!$D$2:$E$76,2,FALSE)</f>
        <v>SBUX</v>
      </c>
    </row>
    <row r="840" spans="1:7" x14ac:dyDescent="0.25">
      <c r="A840" t="s">
        <v>6</v>
      </c>
      <c r="B840" s="1">
        <v>42851</v>
      </c>
      <c r="C840" t="s">
        <v>55</v>
      </c>
      <c r="D840">
        <v>429435.14000000048</v>
      </c>
      <c r="E840" t="str">
        <f>VLOOKUP(C840,inf!$A$2:$B$7,2,FALSE)</f>
        <v>Current</v>
      </c>
      <c r="F840" t="str">
        <f t="shared" si="14"/>
        <v>04/26/2017</v>
      </c>
      <c r="G840" t="str">
        <f>VLOOKUP(A840,inf!$D$2:$E$76,2,FALSE)</f>
        <v>SBUX</v>
      </c>
    </row>
    <row r="841" spans="1:7" x14ac:dyDescent="0.25">
      <c r="A841" t="s">
        <v>6</v>
      </c>
      <c r="B841" s="1">
        <v>42851</v>
      </c>
      <c r="C841" t="s">
        <v>60</v>
      </c>
      <c r="D841">
        <v>5290.05</v>
      </c>
      <c r="E841" t="str">
        <f>VLOOKUP(C841,inf!$A$2:$B$7,2,FALSE)</f>
        <v>Over 90</v>
      </c>
      <c r="F841" t="str">
        <f t="shared" si="14"/>
        <v>04/26/2017</v>
      </c>
      <c r="G841" t="str">
        <f>VLOOKUP(A841,inf!$D$2:$E$76,2,FALSE)</f>
        <v>SBUX</v>
      </c>
    </row>
    <row r="842" spans="1:7" x14ac:dyDescent="0.25">
      <c r="A842" t="s">
        <v>6</v>
      </c>
      <c r="B842" s="1">
        <v>42851</v>
      </c>
      <c r="C842" t="s">
        <v>57</v>
      </c>
      <c r="D842">
        <v>4100.7300000000005</v>
      </c>
      <c r="E842" t="str">
        <f>VLOOKUP(C842,inf!$A$2:$B$7,2,FALSE)</f>
        <v>31 to 60</v>
      </c>
      <c r="F842" t="str">
        <f t="shared" si="14"/>
        <v>04/26/2017</v>
      </c>
      <c r="G842" t="str">
        <f>VLOOKUP(A842,inf!$D$2:$E$76,2,FALSE)</f>
        <v>SBUX</v>
      </c>
    </row>
    <row r="843" spans="1:7" x14ac:dyDescent="0.25">
      <c r="A843" t="s">
        <v>6</v>
      </c>
      <c r="B843" s="1">
        <v>42851</v>
      </c>
      <c r="C843" t="s">
        <v>59</v>
      </c>
      <c r="D843">
        <v>2233.2800000000002</v>
      </c>
      <c r="E843" t="str">
        <f>VLOOKUP(C843,inf!$A$2:$B$7,2,FALSE)</f>
        <v>Over 90</v>
      </c>
      <c r="F843" t="str">
        <f t="shared" si="14"/>
        <v>04/26/2017</v>
      </c>
      <c r="G843" t="str">
        <f>VLOOKUP(A843,inf!$D$2:$E$76,2,FALSE)</f>
        <v>SBUX</v>
      </c>
    </row>
    <row r="844" spans="1:7" x14ac:dyDescent="0.25">
      <c r="A844" t="s">
        <v>6</v>
      </c>
      <c r="B844" s="1">
        <v>42851</v>
      </c>
      <c r="C844" t="s">
        <v>56</v>
      </c>
      <c r="D844">
        <v>1265.54</v>
      </c>
      <c r="E844" t="str">
        <f>VLOOKUP(C844,inf!$A$2:$B$7,2,FALSE)</f>
        <v>Current</v>
      </c>
      <c r="F844" t="str">
        <f t="shared" si="14"/>
        <v>04/26/2017</v>
      </c>
      <c r="G844" t="str">
        <f>VLOOKUP(A844,inf!$D$2:$E$76,2,FALSE)</f>
        <v>SBUX</v>
      </c>
    </row>
    <row r="845" spans="1:7" x14ac:dyDescent="0.25">
      <c r="A845" t="s">
        <v>51</v>
      </c>
      <c r="B845" s="1">
        <v>42851</v>
      </c>
      <c r="C845" t="s">
        <v>55</v>
      </c>
      <c r="D845">
        <v>235.2</v>
      </c>
      <c r="E845" t="str">
        <f>VLOOKUP(C845,inf!$A$2:$B$7,2,FALSE)</f>
        <v>Current</v>
      </c>
      <c r="F845" t="str">
        <f t="shared" si="14"/>
        <v>04/26/2017</v>
      </c>
      <c r="G845" t="str">
        <f>VLOOKUP(A845,inf!$D$2:$E$76,2,FALSE)</f>
        <v>Other</v>
      </c>
    </row>
    <row r="846" spans="1:7" x14ac:dyDescent="0.25">
      <c r="A846" t="s">
        <v>8</v>
      </c>
      <c r="B846" s="1">
        <v>42851</v>
      </c>
      <c r="C846" t="s">
        <v>55</v>
      </c>
      <c r="D846" s="5">
        <v>529778.26999999839</v>
      </c>
      <c r="E846" t="str">
        <f>VLOOKUP(C846,inf!$A$2:$B$7,2,FALSE)</f>
        <v>Current</v>
      </c>
      <c r="F846" t="str">
        <f t="shared" si="14"/>
        <v>04/26/2017</v>
      </c>
      <c r="G846" t="str">
        <f>VLOOKUP(A846,inf!$D$2:$E$76,2,FALSE)</f>
        <v>Target</v>
      </c>
    </row>
    <row r="847" spans="1:7" x14ac:dyDescent="0.25">
      <c r="A847" t="s">
        <v>8</v>
      </c>
      <c r="B847" s="1">
        <v>42851</v>
      </c>
      <c r="C847" t="s">
        <v>60</v>
      </c>
      <c r="D847">
        <v>26777.380000000008</v>
      </c>
      <c r="E847" t="str">
        <f>VLOOKUP(C847,inf!$A$2:$B$7,2,FALSE)</f>
        <v>Over 90</v>
      </c>
      <c r="F847" t="str">
        <f t="shared" si="14"/>
        <v>04/26/2017</v>
      </c>
      <c r="G847" t="str">
        <f>VLOOKUP(A847,inf!$D$2:$E$76,2,FALSE)</f>
        <v>Target</v>
      </c>
    </row>
    <row r="848" spans="1:7" x14ac:dyDescent="0.25">
      <c r="A848" t="s">
        <v>8</v>
      </c>
      <c r="B848" s="1">
        <v>42851</v>
      </c>
      <c r="C848" t="s">
        <v>56</v>
      </c>
      <c r="D848">
        <v>17868.240000000002</v>
      </c>
      <c r="E848" t="str">
        <f>VLOOKUP(C848,inf!$A$2:$B$7,2,FALSE)</f>
        <v>Current</v>
      </c>
      <c r="F848" t="str">
        <f t="shared" si="14"/>
        <v>04/26/2017</v>
      </c>
      <c r="G848" t="str">
        <f>VLOOKUP(A848,inf!$D$2:$E$76,2,FALSE)</f>
        <v>Target</v>
      </c>
    </row>
    <row r="849" spans="1:7" x14ac:dyDescent="0.25">
      <c r="A849" t="s">
        <v>8</v>
      </c>
      <c r="B849" s="1">
        <v>42851</v>
      </c>
      <c r="C849" t="s">
        <v>57</v>
      </c>
      <c r="D849">
        <v>5385.1899999999987</v>
      </c>
      <c r="E849" t="str">
        <f>VLOOKUP(C849,inf!$A$2:$B$7,2,FALSE)</f>
        <v>31 to 60</v>
      </c>
      <c r="F849" t="str">
        <f t="shared" si="14"/>
        <v>04/26/2017</v>
      </c>
      <c r="G849" t="str">
        <f>VLOOKUP(A849,inf!$D$2:$E$76,2,FALSE)</f>
        <v>Target</v>
      </c>
    </row>
    <row r="850" spans="1:7" x14ac:dyDescent="0.25">
      <c r="A850" t="s">
        <v>8</v>
      </c>
      <c r="B850" s="1">
        <v>42851</v>
      </c>
      <c r="C850" t="s">
        <v>59</v>
      </c>
      <c r="D850">
        <v>952.49</v>
      </c>
      <c r="E850" t="str">
        <f>VLOOKUP(C850,inf!$A$2:$B$7,2,FALSE)</f>
        <v>Over 90</v>
      </c>
      <c r="F850" t="str">
        <f t="shared" si="14"/>
        <v>04/26/2017</v>
      </c>
      <c r="G850" t="str">
        <f>VLOOKUP(A850,inf!$D$2:$E$76,2,FALSE)</f>
        <v>Target</v>
      </c>
    </row>
    <row r="851" spans="1:7" x14ac:dyDescent="0.25">
      <c r="A851" t="s">
        <v>8</v>
      </c>
      <c r="B851" s="1">
        <v>42851</v>
      </c>
      <c r="C851" t="s">
        <v>58</v>
      </c>
      <c r="D851">
        <v>597.32999999999993</v>
      </c>
      <c r="E851" t="str">
        <f>VLOOKUP(C851,inf!$A$2:$B$7,2,FALSE)</f>
        <v>61 to 90</v>
      </c>
      <c r="F851" t="str">
        <f t="shared" si="14"/>
        <v>04/26/2017</v>
      </c>
      <c r="G851" t="str">
        <f>VLOOKUP(A851,inf!$D$2:$E$76,2,FALSE)</f>
        <v>Target</v>
      </c>
    </row>
    <row r="852" spans="1:7" x14ac:dyDescent="0.25">
      <c r="A852" t="s">
        <v>54</v>
      </c>
      <c r="B852" s="1">
        <v>42851</v>
      </c>
      <c r="C852" t="s">
        <v>55</v>
      </c>
      <c r="D852">
        <v>114.85</v>
      </c>
      <c r="E852" t="str">
        <f>VLOOKUP(C852,inf!$A$2:$B$7,2,FALSE)</f>
        <v>Current</v>
      </c>
      <c r="F852" t="str">
        <f t="shared" si="14"/>
        <v>04/26/2017</v>
      </c>
      <c r="G852" t="str">
        <f>VLOOKUP(A852,inf!$D$2:$E$76,2,FALSE)</f>
        <v>Other</v>
      </c>
    </row>
    <row r="853" spans="1:7" x14ac:dyDescent="0.25">
      <c r="A853" t="s">
        <v>15</v>
      </c>
      <c r="B853" s="1">
        <v>42851</v>
      </c>
      <c r="C853" t="s">
        <v>55</v>
      </c>
      <c r="D853">
        <v>730.63</v>
      </c>
      <c r="E853" t="str">
        <f>VLOOKUP(C853,inf!$A$2:$B$7,2,FALSE)</f>
        <v>Current</v>
      </c>
      <c r="F853" t="str">
        <f t="shared" si="14"/>
        <v>04/26/2017</v>
      </c>
      <c r="G853" t="str">
        <f>VLOOKUP(A853,inf!$D$2:$E$76,2,FALSE)</f>
        <v>Other</v>
      </c>
    </row>
    <row r="854" spans="1:7" x14ac:dyDescent="0.25">
      <c r="A854" t="s">
        <v>15</v>
      </c>
      <c r="B854" s="1">
        <v>42851</v>
      </c>
      <c r="C854" t="s">
        <v>57</v>
      </c>
      <c r="D854">
        <v>271.91000000000003</v>
      </c>
      <c r="E854" t="str">
        <f>VLOOKUP(C854,inf!$A$2:$B$7,2,FALSE)</f>
        <v>31 to 60</v>
      </c>
      <c r="F854" t="str">
        <f t="shared" si="14"/>
        <v>04/26/2017</v>
      </c>
      <c r="G854" t="str">
        <f>VLOOKUP(A854,inf!$D$2:$E$76,2,FALSE)</f>
        <v>Other</v>
      </c>
    </row>
    <row r="855" spans="1:7" x14ac:dyDescent="0.25">
      <c r="A855" t="s">
        <v>15</v>
      </c>
      <c r="B855" s="1">
        <v>42851</v>
      </c>
      <c r="C855" t="s">
        <v>56</v>
      </c>
      <c r="D855">
        <v>196.33</v>
      </c>
      <c r="E855" t="str">
        <f>VLOOKUP(C855,inf!$A$2:$B$7,2,FALSE)</f>
        <v>Current</v>
      </c>
      <c r="F855" t="str">
        <f t="shared" si="14"/>
        <v>04/26/2017</v>
      </c>
      <c r="G855" t="str">
        <f>VLOOKUP(A855,inf!$D$2:$E$76,2,FALSE)</f>
        <v>Other</v>
      </c>
    </row>
    <row r="856" spans="1:7" x14ac:dyDescent="0.25">
      <c r="A856" t="s">
        <v>15</v>
      </c>
      <c r="B856" s="1">
        <v>42851</v>
      </c>
      <c r="C856" t="s">
        <v>58</v>
      </c>
      <c r="D856">
        <v>126.05</v>
      </c>
      <c r="E856" t="str">
        <f>VLOOKUP(C856,inf!$A$2:$B$7,2,FALSE)</f>
        <v>61 to 90</v>
      </c>
      <c r="F856" t="str">
        <f t="shared" si="14"/>
        <v>04/26/2017</v>
      </c>
      <c r="G856" t="str">
        <f>VLOOKUP(A856,inf!$D$2:$E$76,2,FALSE)</f>
        <v>Other</v>
      </c>
    </row>
    <row r="857" spans="1:7" x14ac:dyDescent="0.25">
      <c r="A857" t="s">
        <v>4</v>
      </c>
      <c r="B857" s="1">
        <v>42858</v>
      </c>
      <c r="C857" t="s">
        <v>55</v>
      </c>
      <c r="D857">
        <v>7379.85</v>
      </c>
      <c r="E857" t="str">
        <f>VLOOKUP(C857,inf!$A$2:$B$7,2,FALSE)</f>
        <v>Current</v>
      </c>
      <c r="F857" t="str">
        <f t="shared" si="14"/>
        <v>05/03/2017</v>
      </c>
      <c r="G857" t="str">
        <f>VLOOKUP(A857,inf!$D$2:$E$76,2,FALSE)</f>
        <v>Other</v>
      </c>
    </row>
    <row r="858" spans="1:7" x14ac:dyDescent="0.25">
      <c r="A858" t="s">
        <v>4</v>
      </c>
      <c r="B858" s="1">
        <v>42858</v>
      </c>
      <c r="C858" t="s">
        <v>56</v>
      </c>
      <c r="D858">
        <v>1396.23</v>
      </c>
      <c r="E858" t="str">
        <f>VLOOKUP(C858,inf!$A$2:$B$7,2,FALSE)</f>
        <v>Current</v>
      </c>
      <c r="F858" t="str">
        <f t="shared" si="14"/>
        <v>05/03/2017</v>
      </c>
      <c r="G858" t="str">
        <f>VLOOKUP(A858,inf!$D$2:$E$76,2,FALSE)</f>
        <v>Other</v>
      </c>
    </row>
    <row r="859" spans="1:7" x14ac:dyDescent="0.25">
      <c r="A859" t="s">
        <v>26</v>
      </c>
      <c r="B859" s="1">
        <v>42858</v>
      </c>
      <c r="C859" t="s">
        <v>60</v>
      </c>
      <c r="D859">
        <v>1380.77</v>
      </c>
      <c r="E859" t="str">
        <f>VLOOKUP(C859,inf!$A$2:$B$7,2,FALSE)</f>
        <v>Over 90</v>
      </c>
      <c r="F859" t="str">
        <f t="shared" si="14"/>
        <v>05/03/2017</v>
      </c>
      <c r="G859" t="str">
        <f>VLOOKUP(A859,inf!$D$2:$E$76,2,FALSE)</f>
        <v>Other</v>
      </c>
    </row>
    <row r="860" spans="1:7" x14ac:dyDescent="0.25">
      <c r="A860" t="s">
        <v>2</v>
      </c>
      <c r="B860" s="1">
        <v>42858</v>
      </c>
      <c r="C860" t="s">
        <v>60</v>
      </c>
      <c r="D860">
        <v>3717.86</v>
      </c>
      <c r="E860" t="str">
        <f>VLOOKUP(C860,inf!$A$2:$B$7,2,FALSE)</f>
        <v>Over 90</v>
      </c>
      <c r="F860" t="str">
        <f t="shared" si="14"/>
        <v>05/03/2017</v>
      </c>
      <c r="G860" t="str">
        <f>VLOOKUP(A860,inf!$D$2:$E$76,2,FALSE)</f>
        <v>Other</v>
      </c>
    </row>
    <row r="861" spans="1:7" x14ac:dyDescent="0.25">
      <c r="A861" t="s">
        <v>32</v>
      </c>
      <c r="B861" s="1">
        <v>42858</v>
      </c>
      <c r="C861" t="s">
        <v>55</v>
      </c>
      <c r="D861">
        <v>130.02000000000001</v>
      </c>
      <c r="E861" t="str">
        <f>VLOOKUP(C861,inf!$A$2:$B$7,2,FALSE)</f>
        <v>Current</v>
      </c>
      <c r="F861" t="str">
        <f t="shared" si="14"/>
        <v>05/03/2017</v>
      </c>
      <c r="G861" t="str">
        <f>VLOOKUP(A861,inf!$D$2:$E$76,2,FALSE)</f>
        <v>Other</v>
      </c>
    </row>
    <row r="862" spans="1:7" x14ac:dyDescent="0.25">
      <c r="A862" t="s">
        <v>47</v>
      </c>
      <c r="B862" s="1">
        <v>42858</v>
      </c>
      <c r="C862" t="s">
        <v>55</v>
      </c>
      <c r="D862">
        <v>314.85000000000002</v>
      </c>
      <c r="E862" t="str">
        <f>VLOOKUP(C862,inf!$A$2:$B$7,2,FALSE)</f>
        <v>Current</v>
      </c>
      <c r="F862" t="str">
        <f t="shared" si="14"/>
        <v>05/03/2017</v>
      </c>
      <c r="G862" t="str">
        <f>VLOOKUP(A862,inf!$D$2:$E$76,2,FALSE)</f>
        <v>Other</v>
      </c>
    </row>
    <row r="863" spans="1:7" x14ac:dyDescent="0.25">
      <c r="A863" t="s">
        <v>19</v>
      </c>
      <c r="B863" s="1">
        <v>42858</v>
      </c>
      <c r="C863" t="s">
        <v>56</v>
      </c>
      <c r="D863">
        <v>565.36</v>
      </c>
      <c r="E863" t="str">
        <f>VLOOKUP(C863,inf!$A$2:$B$7,2,FALSE)</f>
        <v>Current</v>
      </c>
      <c r="F863" t="str">
        <f t="shared" si="14"/>
        <v>05/03/2017</v>
      </c>
      <c r="G863" t="str">
        <f>VLOOKUP(A863,inf!$D$2:$E$76,2,FALSE)</f>
        <v>Other</v>
      </c>
    </row>
    <row r="864" spans="1:7" x14ac:dyDescent="0.25">
      <c r="A864" t="s">
        <v>25</v>
      </c>
      <c r="B864" s="1">
        <v>42858</v>
      </c>
      <c r="C864" t="s">
        <v>59</v>
      </c>
      <c r="D864">
        <v>120.1</v>
      </c>
      <c r="E864" t="str">
        <f>VLOOKUP(C864,inf!$A$2:$B$7,2,FALSE)</f>
        <v>Over 90</v>
      </c>
      <c r="F864" t="str">
        <f t="shared" si="14"/>
        <v>05/03/2017</v>
      </c>
      <c r="G864" t="str">
        <f>VLOOKUP(A864,inf!$D$2:$E$76,2,FALSE)</f>
        <v>Other</v>
      </c>
    </row>
    <row r="865" spans="1:7" x14ac:dyDescent="0.25">
      <c r="A865" t="s">
        <v>31</v>
      </c>
      <c r="B865" s="1">
        <v>42858</v>
      </c>
      <c r="C865" t="s">
        <v>55</v>
      </c>
      <c r="D865">
        <v>3482.2</v>
      </c>
      <c r="E865" t="str">
        <f>VLOOKUP(C865,inf!$A$2:$B$7,2,FALSE)</f>
        <v>Current</v>
      </c>
      <c r="F865" t="str">
        <f t="shared" si="14"/>
        <v>05/03/2017</v>
      </c>
      <c r="G865" t="str">
        <f>VLOOKUP(A865,inf!$D$2:$E$76,2,FALSE)</f>
        <v>Other</v>
      </c>
    </row>
    <row r="866" spans="1:7" x14ac:dyDescent="0.25">
      <c r="A866" t="s">
        <v>31</v>
      </c>
      <c r="B866" s="1">
        <v>42858</v>
      </c>
      <c r="C866" t="s">
        <v>56</v>
      </c>
      <c r="D866">
        <v>887</v>
      </c>
      <c r="E866" t="str">
        <f>VLOOKUP(C866,inf!$A$2:$B$7,2,FALSE)</f>
        <v>Current</v>
      </c>
      <c r="F866" t="str">
        <f t="shared" si="14"/>
        <v>05/03/2017</v>
      </c>
      <c r="G866" t="str">
        <f>VLOOKUP(A866,inf!$D$2:$E$76,2,FALSE)</f>
        <v>Other</v>
      </c>
    </row>
    <row r="867" spans="1:7" x14ac:dyDescent="0.25">
      <c r="A867" t="s">
        <v>24</v>
      </c>
      <c r="B867" s="1">
        <v>42858</v>
      </c>
      <c r="C867" t="s">
        <v>55</v>
      </c>
      <c r="D867">
        <v>1290.6100000000001</v>
      </c>
      <c r="E867" t="str">
        <f>VLOOKUP(C867,inf!$A$2:$B$7,2,FALSE)</f>
        <v>Current</v>
      </c>
      <c r="F867" t="str">
        <f t="shared" si="14"/>
        <v>05/03/2017</v>
      </c>
      <c r="G867" t="str">
        <f>VLOOKUP(A867,inf!$D$2:$E$76,2,FALSE)</f>
        <v>Other</v>
      </c>
    </row>
    <row r="868" spans="1:7" x14ac:dyDescent="0.25">
      <c r="A868" t="s">
        <v>18</v>
      </c>
      <c r="B868" s="1">
        <v>42858</v>
      </c>
      <c r="C868" t="s">
        <v>56</v>
      </c>
      <c r="D868">
        <v>373.26</v>
      </c>
      <c r="E868" t="str">
        <f>VLOOKUP(C868,inf!$A$2:$B$7,2,FALSE)</f>
        <v>Current</v>
      </c>
      <c r="F868" t="str">
        <f t="shared" si="14"/>
        <v>05/03/2017</v>
      </c>
      <c r="G868" t="str">
        <f>VLOOKUP(A868,inf!$D$2:$E$76,2,FALSE)</f>
        <v>Other</v>
      </c>
    </row>
    <row r="869" spans="1:7" x14ac:dyDescent="0.25">
      <c r="A869" t="s">
        <v>62</v>
      </c>
      <c r="B869" s="1">
        <v>42858</v>
      </c>
      <c r="C869" t="s">
        <v>56</v>
      </c>
      <c r="D869">
        <v>238.6</v>
      </c>
      <c r="E869" t="str">
        <f>VLOOKUP(C869,inf!$A$2:$B$7,2,FALSE)</f>
        <v>Current</v>
      </c>
      <c r="F869" t="str">
        <f t="shared" si="14"/>
        <v>05/03/2017</v>
      </c>
      <c r="G869" t="str">
        <f>VLOOKUP(A869,inf!$D$2:$E$76,2,FALSE)</f>
        <v>Other</v>
      </c>
    </row>
    <row r="870" spans="1:7" x14ac:dyDescent="0.25">
      <c r="A870" t="s">
        <v>21</v>
      </c>
      <c r="B870" s="1">
        <v>42858</v>
      </c>
      <c r="C870" t="s">
        <v>56</v>
      </c>
      <c r="D870">
        <v>2728.4900000000002</v>
      </c>
      <c r="E870" t="str">
        <f>VLOOKUP(C870,inf!$A$2:$B$7,2,FALSE)</f>
        <v>Current</v>
      </c>
      <c r="F870" t="str">
        <f t="shared" si="14"/>
        <v>05/03/2017</v>
      </c>
      <c r="G870" t="str">
        <f>VLOOKUP(A870,inf!$D$2:$E$76,2,FALSE)</f>
        <v>Other</v>
      </c>
    </row>
    <row r="871" spans="1:7" x14ac:dyDescent="0.25">
      <c r="A871" t="s">
        <v>21</v>
      </c>
      <c r="B871" s="1">
        <v>42858</v>
      </c>
      <c r="C871" t="s">
        <v>55</v>
      </c>
      <c r="D871">
        <v>666.87</v>
      </c>
      <c r="E871" t="str">
        <f>VLOOKUP(C871,inf!$A$2:$B$7,2,FALSE)</f>
        <v>Current</v>
      </c>
      <c r="F871" t="str">
        <f t="shared" si="14"/>
        <v>05/03/2017</v>
      </c>
      <c r="G871" t="str">
        <f>VLOOKUP(A871,inf!$D$2:$E$76,2,FALSE)</f>
        <v>Other</v>
      </c>
    </row>
    <row r="872" spans="1:7" x14ac:dyDescent="0.25">
      <c r="A872" t="s">
        <v>3</v>
      </c>
      <c r="B872" s="1">
        <v>42858</v>
      </c>
      <c r="C872" t="s">
        <v>57</v>
      </c>
      <c r="D872">
        <v>4896.4799999999996</v>
      </c>
      <c r="E872" t="str">
        <f>VLOOKUP(C872,inf!$A$2:$B$7,2,FALSE)</f>
        <v>31 to 60</v>
      </c>
      <c r="F872" t="str">
        <f t="shared" si="14"/>
        <v>05/03/2017</v>
      </c>
      <c r="G872" t="str">
        <f>VLOOKUP(A872,inf!$D$2:$E$76,2,FALSE)</f>
        <v>Other</v>
      </c>
    </row>
    <row r="873" spans="1:7" x14ac:dyDescent="0.25">
      <c r="A873" t="s">
        <v>3</v>
      </c>
      <c r="B873" s="1">
        <v>42858</v>
      </c>
      <c r="C873" t="s">
        <v>56</v>
      </c>
      <c r="D873">
        <v>3146.4700000000003</v>
      </c>
      <c r="E873" t="str">
        <f>VLOOKUP(C873,inf!$A$2:$B$7,2,FALSE)</f>
        <v>Current</v>
      </c>
      <c r="F873" t="str">
        <f t="shared" si="14"/>
        <v>05/03/2017</v>
      </c>
      <c r="G873" t="str">
        <f>VLOOKUP(A873,inf!$D$2:$E$76,2,FALSE)</f>
        <v>Other</v>
      </c>
    </row>
    <row r="874" spans="1:7" x14ac:dyDescent="0.25">
      <c r="A874" t="s">
        <v>3</v>
      </c>
      <c r="B874" s="1">
        <v>42858</v>
      </c>
      <c r="C874" t="s">
        <v>55</v>
      </c>
      <c r="D874">
        <v>1536.15</v>
      </c>
      <c r="E874" t="str">
        <f>VLOOKUP(C874,inf!$A$2:$B$7,2,FALSE)</f>
        <v>Current</v>
      </c>
      <c r="F874" t="str">
        <f t="shared" si="14"/>
        <v>05/03/2017</v>
      </c>
      <c r="G874" t="str">
        <f>VLOOKUP(A874,inf!$D$2:$E$76,2,FALSE)</f>
        <v>Other</v>
      </c>
    </row>
    <row r="875" spans="1:7" x14ac:dyDescent="0.25">
      <c r="A875" t="s">
        <v>30</v>
      </c>
      <c r="B875" s="1">
        <v>42858</v>
      </c>
      <c r="C875" t="s">
        <v>55</v>
      </c>
      <c r="D875">
        <v>849.45</v>
      </c>
      <c r="E875" t="str">
        <f>VLOOKUP(C875,inf!$A$2:$B$7,2,FALSE)</f>
        <v>Current</v>
      </c>
      <c r="F875" t="str">
        <f t="shared" si="14"/>
        <v>05/03/2017</v>
      </c>
      <c r="G875" t="str">
        <f>VLOOKUP(A875,inf!$D$2:$E$76,2,FALSE)</f>
        <v>Other</v>
      </c>
    </row>
    <row r="876" spans="1:7" x14ac:dyDescent="0.25">
      <c r="A876" t="s">
        <v>30</v>
      </c>
      <c r="B876" s="1">
        <v>42858</v>
      </c>
      <c r="C876" t="s">
        <v>58</v>
      </c>
      <c r="D876">
        <v>610.83000000000004</v>
      </c>
      <c r="E876" t="str">
        <f>VLOOKUP(C876,inf!$A$2:$B$7,2,FALSE)</f>
        <v>61 to 90</v>
      </c>
      <c r="F876" t="str">
        <f t="shared" si="14"/>
        <v>05/03/2017</v>
      </c>
      <c r="G876" t="str">
        <f>VLOOKUP(A876,inf!$D$2:$E$76,2,FALSE)</f>
        <v>Other</v>
      </c>
    </row>
    <row r="877" spans="1:7" x14ac:dyDescent="0.25">
      <c r="A877" t="s">
        <v>30</v>
      </c>
      <c r="B877" s="1">
        <v>42858</v>
      </c>
      <c r="C877" t="s">
        <v>56</v>
      </c>
      <c r="D877">
        <v>287.13</v>
      </c>
      <c r="E877" t="str">
        <f>VLOOKUP(C877,inf!$A$2:$B$7,2,FALSE)</f>
        <v>Current</v>
      </c>
      <c r="F877" t="str">
        <f t="shared" si="14"/>
        <v>05/03/2017</v>
      </c>
      <c r="G877" t="str">
        <f>VLOOKUP(A877,inf!$D$2:$E$76,2,FALSE)</f>
        <v>Other</v>
      </c>
    </row>
    <row r="878" spans="1:7" x14ac:dyDescent="0.25">
      <c r="A878" t="s">
        <v>12</v>
      </c>
      <c r="B878" s="1">
        <v>42858</v>
      </c>
      <c r="C878" t="s">
        <v>56</v>
      </c>
      <c r="D878">
        <v>1013.61</v>
      </c>
      <c r="E878" t="str">
        <f>VLOOKUP(C878,inf!$A$2:$B$7,2,FALSE)</f>
        <v>Current</v>
      </c>
      <c r="F878" t="str">
        <f t="shared" si="14"/>
        <v>05/03/2017</v>
      </c>
      <c r="G878" t="str">
        <f>VLOOKUP(A878,inf!$D$2:$E$76,2,FALSE)</f>
        <v>Other</v>
      </c>
    </row>
    <row r="879" spans="1:7" x14ac:dyDescent="0.25">
      <c r="A879" t="s">
        <v>12</v>
      </c>
      <c r="B879" s="1">
        <v>42858</v>
      </c>
      <c r="C879" t="s">
        <v>55</v>
      </c>
      <c r="D879">
        <v>629.49</v>
      </c>
      <c r="E879" t="str">
        <f>VLOOKUP(C879,inf!$A$2:$B$7,2,FALSE)</f>
        <v>Current</v>
      </c>
      <c r="F879" t="str">
        <f t="shared" si="14"/>
        <v>05/03/2017</v>
      </c>
      <c r="G879" t="str">
        <f>VLOOKUP(A879,inf!$D$2:$E$76,2,FALSE)</f>
        <v>Other</v>
      </c>
    </row>
    <row r="880" spans="1:7" x14ac:dyDescent="0.25">
      <c r="A880" t="s">
        <v>12</v>
      </c>
      <c r="B880" s="1">
        <v>42858</v>
      </c>
      <c r="C880" t="s">
        <v>60</v>
      </c>
      <c r="D880">
        <v>450.5</v>
      </c>
      <c r="E880" t="str">
        <f>VLOOKUP(C880,inf!$A$2:$B$7,2,FALSE)</f>
        <v>Over 90</v>
      </c>
      <c r="F880" t="str">
        <f t="shared" si="14"/>
        <v>05/03/2017</v>
      </c>
      <c r="G880" t="str">
        <f>VLOOKUP(A880,inf!$D$2:$E$76,2,FALSE)</f>
        <v>Other</v>
      </c>
    </row>
    <row r="881" spans="1:7" x14ac:dyDescent="0.25">
      <c r="A881" t="s">
        <v>23</v>
      </c>
      <c r="B881" s="1">
        <v>42858</v>
      </c>
      <c r="C881" t="s">
        <v>55</v>
      </c>
      <c r="D881">
        <v>574.45000000000005</v>
      </c>
      <c r="E881" t="str">
        <f>VLOOKUP(C881,inf!$A$2:$B$7,2,FALSE)</f>
        <v>Current</v>
      </c>
      <c r="F881" t="str">
        <f t="shared" si="14"/>
        <v>05/03/2017</v>
      </c>
      <c r="G881" t="str">
        <f>VLOOKUP(A881,inf!$D$2:$E$76,2,FALSE)</f>
        <v>Other</v>
      </c>
    </row>
    <row r="882" spans="1:7" x14ac:dyDescent="0.25">
      <c r="A882" t="s">
        <v>7</v>
      </c>
      <c r="B882" s="1">
        <v>42858</v>
      </c>
      <c r="C882" t="s">
        <v>55</v>
      </c>
      <c r="D882">
        <v>86327.610000000015</v>
      </c>
      <c r="E882" t="str">
        <f>VLOOKUP(C882,inf!$A$2:$B$7,2,FALSE)</f>
        <v>Current</v>
      </c>
      <c r="F882" t="str">
        <f t="shared" si="14"/>
        <v>05/03/2017</v>
      </c>
      <c r="G882" t="str">
        <f>VLOOKUP(A882,inf!$D$2:$E$76,2,FALSE)</f>
        <v>SAFEWAY</v>
      </c>
    </row>
    <row r="883" spans="1:7" x14ac:dyDescent="0.25">
      <c r="A883" t="s">
        <v>7</v>
      </c>
      <c r="B883" s="1">
        <v>42858</v>
      </c>
      <c r="C883" t="s">
        <v>56</v>
      </c>
      <c r="D883">
        <v>21738.38</v>
      </c>
      <c r="E883" t="str">
        <f>VLOOKUP(C883,inf!$A$2:$B$7,2,FALSE)</f>
        <v>Current</v>
      </c>
      <c r="F883" t="str">
        <f t="shared" si="14"/>
        <v>05/03/2017</v>
      </c>
      <c r="G883" t="str">
        <f>VLOOKUP(A883,inf!$D$2:$E$76,2,FALSE)</f>
        <v>SAFEWAY</v>
      </c>
    </row>
    <row r="884" spans="1:7" x14ac:dyDescent="0.25">
      <c r="A884" t="s">
        <v>7</v>
      </c>
      <c r="B884" s="1">
        <v>42858</v>
      </c>
      <c r="C884" t="s">
        <v>57</v>
      </c>
      <c r="D884">
        <v>624.54</v>
      </c>
      <c r="E884" t="str">
        <f>VLOOKUP(C884,inf!$A$2:$B$7,2,FALSE)</f>
        <v>31 to 60</v>
      </c>
      <c r="F884" t="str">
        <f t="shared" si="14"/>
        <v>05/03/2017</v>
      </c>
      <c r="G884" t="str">
        <f>VLOOKUP(A884,inf!$D$2:$E$76,2,FALSE)</f>
        <v>SAFEWAY</v>
      </c>
    </row>
    <row r="885" spans="1:7" x14ac:dyDescent="0.25">
      <c r="A885" t="s">
        <v>7</v>
      </c>
      <c r="B885" s="1">
        <v>42858</v>
      </c>
      <c r="C885" t="s">
        <v>59</v>
      </c>
      <c r="D885">
        <v>264.52999999999997</v>
      </c>
      <c r="E885" t="str">
        <f>VLOOKUP(C885,inf!$A$2:$B$7,2,FALSE)</f>
        <v>Over 90</v>
      </c>
      <c r="F885" t="str">
        <f t="shared" si="14"/>
        <v>05/03/2017</v>
      </c>
      <c r="G885" t="str">
        <f>VLOOKUP(A885,inf!$D$2:$E$76,2,FALSE)</f>
        <v>SAFEWAY</v>
      </c>
    </row>
    <row r="886" spans="1:7" x14ac:dyDescent="0.25">
      <c r="A886" t="s">
        <v>5</v>
      </c>
      <c r="B886" s="1">
        <v>42858</v>
      </c>
      <c r="C886" t="s">
        <v>55</v>
      </c>
      <c r="D886">
        <v>5368296.0899998965</v>
      </c>
      <c r="E886" t="str">
        <f>VLOOKUP(C886,inf!$A$2:$B$7,2,FALSE)</f>
        <v>Current</v>
      </c>
      <c r="F886" t="str">
        <f t="shared" si="14"/>
        <v>05/03/2017</v>
      </c>
      <c r="G886" t="str">
        <f>VLOOKUP(A886,inf!$D$2:$E$76,2,FALSE)</f>
        <v>SBUX</v>
      </c>
    </row>
    <row r="887" spans="1:7" x14ac:dyDescent="0.25">
      <c r="A887" t="s">
        <v>5</v>
      </c>
      <c r="B887" s="1">
        <v>42858</v>
      </c>
      <c r="C887" t="s">
        <v>60</v>
      </c>
      <c r="D887">
        <v>70230.449999999983</v>
      </c>
      <c r="E887" t="str">
        <f>VLOOKUP(C887,inf!$A$2:$B$7,2,FALSE)</f>
        <v>Over 90</v>
      </c>
      <c r="F887" t="str">
        <f t="shared" si="14"/>
        <v>05/03/2017</v>
      </c>
      <c r="G887" t="str">
        <f>VLOOKUP(A887,inf!$D$2:$E$76,2,FALSE)</f>
        <v>SBUX</v>
      </c>
    </row>
    <row r="888" spans="1:7" x14ac:dyDescent="0.25">
      <c r="A888" t="s">
        <v>5</v>
      </c>
      <c r="B888" s="1">
        <v>42858</v>
      </c>
      <c r="C888" t="s">
        <v>59</v>
      </c>
      <c r="D888">
        <v>14406.5</v>
      </c>
      <c r="E888" t="str">
        <f>VLOOKUP(C888,inf!$A$2:$B$7,2,FALSE)</f>
        <v>Over 90</v>
      </c>
      <c r="F888" t="str">
        <f t="shared" si="14"/>
        <v>05/03/2017</v>
      </c>
      <c r="G888" t="str">
        <f>VLOOKUP(A888,inf!$D$2:$E$76,2,FALSE)</f>
        <v>SBUX</v>
      </c>
    </row>
    <row r="889" spans="1:7" x14ac:dyDescent="0.25">
      <c r="A889" t="s">
        <v>5</v>
      </c>
      <c r="B889" s="1">
        <v>42858</v>
      </c>
      <c r="C889" t="s">
        <v>58</v>
      </c>
      <c r="D889">
        <v>4405.41</v>
      </c>
      <c r="E889" t="str">
        <f>VLOOKUP(C889,inf!$A$2:$B$7,2,FALSE)</f>
        <v>61 to 90</v>
      </c>
      <c r="F889" t="str">
        <f t="shared" si="14"/>
        <v>05/03/2017</v>
      </c>
      <c r="G889" t="str">
        <f>VLOOKUP(A889,inf!$D$2:$E$76,2,FALSE)</f>
        <v>SBUX</v>
      </c>
    </row>
    <row r="890" spans="1:7" x14ac:dyDescent="0.25">
      <c r="A890" t="s">
        <v>5</v>
      </c>
      <c r="B890" s="1">
        <v>42858</v>
      </c>
      <c r="C890" t="s">
        <v>56</v>
      </c>
      <c r="D890">
        <v>3198.93</v>
      </c>
      <c r="E890" t="str">
        <f>VLOOKUP(C890,inf!$A$2:$B$7,2,FALSE)</f>
        <v>Current</v>
      </c>
      <c r="F890" t="str">
        <f t="shared" si="14"/>
        <v>05/03/2017</v>
      </c>
      <c r="G890" t="str">
        <f>VLOOKUP(A890,inf!$D$2:$E$76,2,FALSE)</f>
        <v>SBUX</v>
      </c>
    </row>
    <row r="891" spans="1:7" x14ac:dyDescent="0.25">
      <c r="A891" t="s">
        <v>5</v>
      </c>
      <c r="B891" s="1">
        <v>42858</v>
      </c>
      <c r="C891" t="s">
        <v>57</v>
      </c>
      <c r="D891">
        <v>1616.5100000000002</v>
      </c>
      <c r="E891" t="str">
        <f>VLOOKUP(C891,inf!$A$2:$B$7,2,FALSE)</f>
        <v>31 to 60</v>
      </c>
      <c r="F891" t="str">
        <f t="shared" si="14"/>
        <v>05/03/2017</v>
      </c>
      <c r="G891" t="str">
        <f>VLOOKUP(A891,inf!$D$2:$E$76,2,FALSE)</f>
        <v>SBUX</v>
      </c>
    </row>
    <row r="892" spans="1:7" x14ac:dyDescent="0.25">
      <c r="A892" t="s">
        <v>6</v>
      </c>
      <c r="B892" s="1">
        <v>42858</v>
      </c>
      <c r="C892" t="s">
        <v>55</v>
      </c>
      <c r="D892">
        <v>472806.28999999852</v>
      </c>
      <c r="E892" t="str">
        <f>VLOOKUP(C892,inf!$A$2:$B$7,2,FALSE)</f>
        <v>Current</v>
      </c>
      <c r="F892" t="str">
        <f t="shared" si="14"/>
        <v>05/03/2017</v>
      </c>
      <c r="G892" t="str">
        <f>VLOOKUP(A892,inf!$D$2:$E$76,2,FALSE)</f>
        <v>SBUX</v>
      </c>
    </row>
    <row r="893" spans="1:7" x14ac:dyDescent="0.25">
      <c r="A893" t="s">
        <v>6</v>
      </c>
      <c r="B893" s="1">
        <v>42858</v>
      </c>
      <c r="C893" t="s">
        <v>60</v>
      </c>
      <c r="D893">
        <v>5290.0499999999993</v>
      </c>
      <c r="E893" t="str">
        <f>VLOOKUP(C893,inf!$A$2:$B$7,2,FALSE)</f>
        <v>Over 90</v>
      </c>
      <c r="F893" t="str">
        <f t="shared" si="14"/>
        <v>05/03/2017</v>
      </c>
      <c r="G893" t="str">
        <f>VLOOKUP(A893,inf!$D$2:$E$76,2,FALSE)</f>
        <v>SBUX</v>
      </c>
    </row>
    <row r="894" spans="1:7" x14ac:dyDescent="0.25">
      <c r="A894" t="s">
        <v>6</v>
      </c>
      <c r="B894" s="1">
        <v>42858</v>
      </c>
      <c r="C894" t="s">
        <v>57</v>
      </c>
      <c r="D894">
        <v>4100.7300000000005</v>
      </c>
      <c r="E894" t="str">
        <f>VLOOKUP(C894,inf!$A$2:$B$7,2,FALSE)</f>
        <v>31 to 60</v>
      </c>
      <c r="F894" t="str">
        <f t="shared" si="14"/>
        <v>05/03/2017</v>
      </c>
      <c r="G894" t="str">
        <f>VLOOKUP(A894,inf!$D$2:$E$76,2,FALSE)</f>
        <v>SBUX</v>
      </c>
    </row>
    <row r="895" spans="1:7" x14ac:dyDescent="0.25">
      <c r="A895" t="s">
        <v>6</v>
      </c>
      <c r="B895" s="1">
        <v>42858</v>
      </c>
      <c r="C895" t="s">
        <v>56</v>
      </c>
      <c r="D895">
        <v>1367.24</v>
      </c>
      <c r="E895" t="str">
        <f>VLOOKUP(C895,inf!$A$2:$B$7,2,FALSE)</f>
        <v>Current</v>
      </c>
      <c r="F895" t="str">
        <f t="shared" si="14"/>
        <v>05/03/2017</v>
      </c>
      <c r="G895" t="str">
        <f>VLOOKUP(A895,inf!$D$2:$E$76,2,FALSE)</f>
        <v>SBUX</v>
      </c>
    </row>
    <row r="896" spans="1:7" x14ac:dyDescent="0.25">
      <c r="A896" t="s">
        <v>6</v>
      </c>
      <c r="B896" s="1">
        <v>42858</v>
      </c>
      <c r="C896" t="s">
        <v>59</v>
      </c>
      <c r="D896">
        <v>178.3</v>
      </c>
      <c r="E896" t="str">
        <f>VLOOKUP(C896,inf!$A$2:$B$7,2,FALSE)</f>
        <v>Over 90</v>
      </c>
      <c r="F896" t="str">
        <f t="shared" si="14"/>
        <v>05/03/2017</v>
      </c>
      <c r="G896" t="str">
        <f>VLOOKUP(A896,inf!$D$2:$E$76,2,FALSE)</f>
        <v>SBUX</v>
      </c>
    </row>
    <row r="897" spans="1:7" x14ac:dyDescent="0.25">
      <c r="A897" t="s">
        <v>51</v>
      </c>
      <c r="B897" s="1">
        <v>42858</v>
      </c>
      <c r="C897" t="s">
        <v>55</v>
      </c>
      <c r="D897">
        <v>235.2</v>
      </c>
      <c r="E897" t="str">
        <f>VLOOKUP(C897,inf!$A$2:$B$7,2,FALSE)</f>
        <v>Current</v>
      </c>
      <c r="F897" t="str">
        <f t="shared" si="14"/>
        <v>05/03/2017</v>
      </c>
      <c r="G897" t="str">
        <f>VLOOKUP(A897,inf!$D$2:$E$76,2,FALSE)</f>
        <v>Other</v>
      </c>
    </row>
    <row r="898" spans="1:7" x14ac:dyDescent="0.25">
      <c r="A898" t="s">
        <v>8</v>
      </c>
      <c r="B898" s="1">
        <v>42858</v>
      </c>
      <c r="C898" t="s">
        <v>55</v>
      </c>
      <c r="D898">
        <v>483431.48999999725</v>
      </c>
      <c r="E898" t="str">
        <f>VLOOKUP(C898,inf!$A$2:$B$7,2,FALSE)</f>
        <v>Current</v>
      </c>
      <c r="F898" t="str">
        <f t="shared" si="14"/>
        <v>05/03/2017</v>
      </c>
      <c r="G898" t="str">
        <f>VLOOKUP(A898,inf!$D$2:$E$76,2,FALSE)</f>
        <v>Target</v>
      </c>
    </row>
    <row r="899" spans="1:7" x14ac:dyDescent="0.25">
      <c r="A899" t="s">
        <v>8</v>
      </c>
      <c r="B899" s="1">
        <v>42858</v>
      </c>
      <c r="C899" t="s">
        <v>60</v>
      </c>
      <c r="D899">
        <v>23177.619999999984</v>
      </c>
      <c r="E899" t="str">
        <f>VLOOKUP(C899,inf!$A$2:$B$7,2,FALSE)</f>
        <v>Over 90</v>
      </c>
      <c r="F899" t="str">
        <f t="shared" ref="F899:F962" si="15">TEXT(B899,"MM/DD/YYYY")</f>
        <v>05/03/2017</v>
      </c>
      <c r="G899" t="str">
        <f>VLOOKUP(A899,inf!$D$2:$E$76,2,FALSE)</f>
        <v>Target</v>
      </c>
    </row>
    <row r="900" spans="1:7" x14ac:dyDescent="0.25">
      <c r="A900" t="s">
        <v>8</v>
      </c>
      <c r="B900" s="1">
        <v>42858</v>
      </c>
      <c r="C900" t="s">
        <v>56</v>
      </c>
      <c r="D900">
        <v>9133.9499999999989</v>
      </c>
      <c r="E900" t="str">
        <f>VLOOKUP(C900,inf!$A$2:$B$7,2,FALSE)</f>
        <v>Current</v>
      </c>
      <c r="F900" t="str">
        <f t="shared" si="15"/>
        <v>05/03/2017</v>
      </c>
      <c r="G900" t="str">
        <f>VLOOKUP(A900,inf!$D$2:$E$76,2,FALSE)</f>
        <v>Target</v>
      </c>
    </row>
    <row r="901" spans="1:7" x14ac:dyDescent="0.25">
      <c r="A901" t="s">
        <v>8</v>
      </c>
      <c r="B901" s="1">
        <v>42858</v>
      </c>
      <c r="C901" t="s">
        <v>57</v>
      </c>
      <c r="D901">
        <v>5385.19</v>
      </c>
      <c r="E901" t="str">
        <f>VLOOKUP(C901,inf!$A$2:$B$7,2,FALSE)</f>
        <v>31 to 60</v>
      </c>
      <c r="F901" t="str">
        <f t="shared" si="15"/>
        <v>05/03/2017</v>
      </c>
      <c r="G901" t="str">
        <f>VLOOKUP(A901,inf!$D$2:$E$76,2,FALSE)</f>
        <v>Target</v>
      </c>
    </row>
    <row r="902" spans="1:7" x14ac:dyDescent="0.25">
      <c r="A902" t="s">
        <v>8</v>
      </c>
      <c r="B902" s="1">
        <v>42858</v>
      </c>
      <c r="C902" t="s">
        <v>59</v>
      </c>
      <c r="D902">
        <v>952.49</v>
      </c>
      <c r="E902" t="str">
        <f>VLOOKUP(C902,inf!$A$2:$B$7,2,FALSE)</f>
        <v>Over 90</v>
      </c>
      <c r="F902" t="str">
        <f t="shared" si="15"/>
        <v>05/03/2017</v>
      </c>
      <c r="G902" t="str">
        <f>VLOOKUP(A902,inf!$D$2:$E$76,2,FALSE)</f>
        <v>Target</v>
      </c>
    </row>
    <row r="903" spans="1:7" x14ac:dyDescent="0.25">
      <c r="A903" t="s">
        <v>8</v>
      </c>
      <c r="B903" s="1">
        <v>42858</v>
      </c>
      <c r="C903" t="s">
        <v>58</v>
      </c>
      <c r="D903">
        <v>597.33000000000004</v>
      </c>
      <c r="E903" t="str">
        <f>VLOOKUP(C903,inf!$A$2:$B$7,2,FALSE)</f>
        <v>61 to 90</v>
      </c>
      <c r="F903" t="str">
        <f t="shared" si="15"/>
        <v>05/03/2017</v>
      </c>
      <c r="G903" t="str">
        <f>VLOOKUP(A903,inf!$D$2:$E$76,2,FALSE)</f>
        <v>Target</v>
      </c>
    </row>
    <row r="904" spans="1:7" x14ac:dyDescent="0.25">
      <c r="A904" t="s">
        <v>54</v>
      </c>
      <c r="B904" s="1">
        <v>42858</v>
      </c>
      <c r="C904" t="s">
        <v>56</v>
      </c>
      <c r="D904">
        <v>114.85</v>
      </c>
      <c r="E904" t="str">
        <f>VLOOKUP(C904,inf!$A$2:$B$7,2,FALSE)</f>
        <v>Current</v>
      </c>
      <c r="F904" t="str">
        <f t="shared" si="15"/>
        <v>05/03/2017</v>
      </c>
      <c r="G904" t="str">
        <f>VLOOKUP(A904,inf!$D$2:$E$76,2,FALSE)</f>
        <v>Other</v>
      </c>
    </row>
    <row r="905" spans="1:7" x14ac:dyDescent="0.25">
      <c r="A905" t="s">
        <v>15</v>
      </c>
      <c r="B905" s="1">
        <v>42858</v>
      </c>
      <c r="C905" t="s">
        <v>56</v>
      </c>
      <c r="D905">
        <v>670.51</v>
      </c>
      <c r="E905" t="str">
        <f>VLOOKUP(C905,inf!$A$2:$B$7,2,FALSE)</f>
        <v>Current</v>
      </c>
      <c r="F905" t="str">
        <f t="shared" si="15"/>
        <v>05/03/2017</v>
      </c>
      <c r="G905" t="str">
        <f>VLOOKUP(A905,inf!$D$2:$E$76,2,FALSE)</f>
        <v>Other</v>
      </c>
    </row>
    <row r="906" spans="1:7" x14ac:dyDescent="0.25">
      <c r="A906" t="s">
        <v>15</v>
      </c>
      <c r="B906" s="1">
        <v>42858</v>
      </c>
      <c r="C906" t="s">
        <v>57</v>
      </c>
      <c r="D906">
        <v>271.91000000000003</v>
      </c>
      <c r="E906" t="str">
        <f>VLOOKUP(C906,inf!$A$2:$B$7,2,FALSE)</f>
        <v>31 to 60</v>
      </c>
      <c r="F906" t="str">
        <f t="shared" si="15"/>
        <v>05/03/2017</v>
      </c>
      <c r="G906" t="str">
        <f>VLOOKUP(A906,inf!$D$2:$E$76,2,FALSE)</f>
        <v>Other</v>
      </c>
    </row>
    <row r="907" spans="1:7" x14ac:dyDescent="0.25">
      <c r="A907" t="s">
        <v>15</v>
      </c>
      <c r="B907" s="1">
        <v>42858</v>
      </c>
      <c r="C907" t="s">
        <v>55</v>
      </c>
      <c r="D907">
        <v>256.45</v>
      </c>
      <c r="E907" t="str">
        <f>VLOOKUP(C907,inf!$A$2:$B$7,2,FALSE)</f>
        <v>Current</v>
      </c>
      <c r="F907" t="str">
        <f t="shared" si="15"/>
        <v>05/03/2017</v>
      </c>
      <c r="G907" t="str">
        <f>VLOOKUP(A907,inf!$D$2:$E$76,2,FALSE)</f>
        <v>Other</v>
      </c>
    </row>
    <row r="908" spans="1:7" x14ac:dyDescent="0.25">
      <c r="A908" t="s">
        <v>15</v>
      </c>
      <c r="B908" s="1">
        <v>42858</v>
      </c>
      <c r="C908" t="s">
        <v>58</v>
      </c>
      <c r="D908">
        <v>126.05</v>
      </c>
      <c r="E908" t="str">
        <f>VLOOKUP(C908,inf!$A$2:$B$7,2,FALSE)</f>
        <v>61 to 90</v>
      </c>
      <c r="F908" t="str">
        <f t="shared" si="15"/>
        <v>05/03/2017</v>
      </c>
      <c r="G908" t="str">
        <f>VLOOKUP(A908,inf!$D$2:$E$76,2,FALSE)</f>
        <v>Other</v>
      </c>
    </row>
    <row r="909" spans="1:7" x14ac:dyDescent="0.25">
      <c r="A909" t="s">
        <v>4</v>
      </c>
      <c r="B909" s="1">
        <v>42865</v>
      </c>
      <c r="C909" t="s">
        <v>55</v>
      </c>
      <c r="D909">
        <v>9484.81</v>
      </c>
      <c r="E909" t="str">
        <f>VLOOKUP(C909,inf!$A$2:$B$7,2,FALSE)</f>
        <v>Current</v>
      </c>
      <c r="F909" t="str">
        <f t="shared" si="15"/>
        <v>05/10/2017</v>
      </c>
      <c r="G909" t="str">
        <f>VLOOKUP(A909,inf!$D$2:$E$76,2,FALSE)</f>
        <v>Other</v>
      </c>
    </row>
    <row r="910" spans="1:7" x14ac:dyDescent="0.25">
      <c r="A910" t="s">
        <v>26</v>
      </c>
      <c r="B910" s="1">
        <v>42865</v>
      </c>
      <c r="C910" t="s">
        <v>60</v>
      </c>
      <c r="D910">
        <v>1380.77</v>
      </c>
      <c r="E910" t="str">
        <f>VLOOKUP(C910,inf!$A$2:$B$7,2,FALSE)</f>
        <v>Over 90</v>
      </c>
      <c r="F910" t="str">
        <f t="shared" si="15"/>
        <v>05/10/2017</v>
      </c>
      <c r="G910" t="str">
        <f>VLOOKUP(A910,inf!$D$2:$E$76,2,FALSE)</f>
        <v>Other</v>
      </c>
    </row>
    <row r="911" spans="1:7" x14ac:dyDescent="0.25">
      <c r="A911" t="s">
        <v>2</v>
      </c>
      <c r="B911" s="1">
        <v>42865</v>
      </c>
      <c r="C911" t="s">
        <v>60</v>
      </c>
      <c r="D911">
        <v>3717.8600000000006</v>
      </c>
      <c r="E911" t="str">
        <f>VLOOKUP(C911,inf!$A$2:$B$7,2,FALSE)</f>
        <v>Over 90</v>
      </c>
      <c r="F911" t="str">
        <f t="shared" si="15"/>
        <v>05/10/2017</v>
      </c>
      <c r="G911" t="str">
        <f>VLOOKUP(A911,inf!$D$2:$E$76,2,FALSE)</f>
        <v>Other</v>
      </c>
    </row>
    <row r="912" spans="1:7" x14ac:dyDescent="0.25">
      <c r="A912" t="s">
        <v>32</v>
      </c>
      <c r="B912" s="1">
        <v>42865</v>
      </c>
      <c r="C912" t="s">
        <v>55</v>
      </c>
      <c r="D912">
        <v>130.02000000000001</v>
      </c>
      <c r="E912" t="str">
        <f>VLOOKUP(C912,inf!$A$2:$B$7,2,FALSE)</f>
        <v>Current</v>
      </c>
      <c r="F912" t="str">
        <f t="shared" si="15"/>
        <v>05/10/2017</v>
      </c>
      <c r="G912" t="str">
        <f>VLOOKUP(A912,inf!$D$2:$E$76,2,FALSE)</f>
        <v>Other</v>
      </c>
    </row>
    <row r="913" spans="1:7" x14ac:dyDescent="0.25">
      <c r="A913" t="s">
        <v>47</v>
      </c>
      <c r="B913" s="1">
        <v>42865</v>
      </c>
      <c r="C913" t="s">
        <v>55</v>
      </c>
      <c r="D913">
        <v>251.91</v>
      </c>
      <c r="E913" t="str">
        <f>VLOOKUP(C913,inf!$A$2:$B$7,2,FALSE)</f>
        <v>Current</v>
      </c>
      <c r="F913" t="str">
        <f t="shared" si="15"/>
        <v>05/10/2017</v>
      </c>
      <c r="G913" t="str">
        <f>VLOOKUP(A913,inf!$D$2:$E$76,2,FALSE)</f>
        <v>Other</v>
      </c>
    </row>
    <row r="914" spans="1:7" x14ac:dyDescent="0.25">
      <c r="A914" t="s">
        <v>19</v>
      </c>
      <c r="B914" s="1">
        <v>42865</v>
      </c>
      <c r="C914" t="s">
        <v>56</v>
      </c>
      <c r="D914">
        <v>565.36</v>
      </c>
      <c r="E914" t="str">
        <f>VLOOKUP(C914,inf!$A$2:$B$7,2,FALSE)</f>
        <v>Current</v>
      </c>
      <c r="F914" t="str">
        <f t="shared" si="15"/>
        <v>05/10/2017</v>
      </c>
      <c r="G914" t="str">
        <f>VLOOKUP(A914,inf!$D$2:$E$76,2,FALSE)</f>
        <v>Other</v>
      </c>
    </row>
    <row r="915" spans="1:7" x14ac:dyDescent="0.25">
      <c r="A915" t="s">
        <v>25</v>
      </c>
      <c r="B915" s="1">
        <v>42865</v>
      </c>
      <c r="C915" t="s">
        <v>59</v>
      </c>
      <c r="D915">
        <v>120.1</v>
      </c>
      <c r="E915" t="str">
        <f>VLOOKUP(C915,inf!$A$2:$B$7,2,FALSE)</f>
        <v>Over 90</v>
      </c>
      <c r="F915" t="str">
        <f t="shared" si="15"/>
        <v>05/10/2017</v>
      </c>
      <c r="G915" t="str">
        <f>VLOOKUP(A915,inf!$D$2:$E$76,2,FALSE)</f>
        <v>Other</v>
      </c>
    </row>
    <row r="916" spans="1:7" x14ac:dyDescent="0.25">
      <c r="A916" t="s">
        <v>31</v>
      </c>
      <c r="B916" s="1">
        <v>42865</v>
      </c>
      <c r="C916" t="s">
        <v>55</v>
      </c>
      <c r="D916">
        <v>3622.22</v>
      </c>
      <c r="E916" t="str">
        <f>VLOOKUP(C916,inf!$A$2:$B$7,2,FALSE)</f>
        <v>Current</v>
      </c>
      <c r="F916" t="str">
        <f t="shared" si="15"/>
        <v>05/10/2017</v>
      </c>
      <c r="G916" t="str">
        <f>VLOOKUP(A916,inf!$D$2:$E$76,2,FALSE)</f>
        <v>Other</v>
      </c>
    </row>
    <row r="917" spans="1:7" x14ac:dyDescent="0.25">
      <c r="A917" t="s">
        <v>31</v>
      </c>
      <c r="B917" s="1">
        <v>42865</v>
      </c>
      <c r="C917" t="s">
        <v>56</v>
      </c>
      <c r="D917">
        <v>1275.78</v>
      </c>
      <c r="E917" t="str">
        <f>VLOOKUP(C917,inf!$A$2:$B$7,2,FALSE)</f>
        <v>Current</v>
      </c>
      <c r="F917" t="str">
        <f t="shared" si="15"/>
        <v>05/10/2017</v>
      </c>
      <c r="G917" t="str">
        <f>VLOOKUP(A917,inf!$D$2:$E$76,2,FALSE)</f>
        <v>Other</v>
      </c>
    </row>
    <row r="918" spans="1:7" x14ac:dyDescent="0.25">
      <c r="A918" t="s">
        <v>24</v>
      </c>
      <c r="B918" s="1">
        <v>42865</v>
      </c>
      <c r="C918" t="s">
        <v>55</v>
      </c>
      <c r="D918">
        <v>1290.6100000000001</v>
      </c>
      <c r="E918" t="str">
        <f>VLOOKUP(C918,inf!$A$2:$B$7,2,FALSE)</f>
        <v>Current</v>
      </c>
      <c r="F918" t="str">
        <f t="shared" si="15"/>
        <v>05/10/2017</v>
      </c>
      <c r="G918" t="str">
        <f>VLOOKUP(A918,inf!$D$2:$E$76,2,FALSE)</f>
        <v>Other</v>
      </c>
    </row>
    <row r="919" spans="1:7" x14ac:dyDescent="0.25">
      <c r="A919" t="s">
        <v>18</v>
      </c>
      <c r="B919" s="1">
        <v>42865</v>
      </c>
      <c r="C919" t="s">
        <v>56</v>
      </c>
      <c r="D919">
        <v>373.26</v>
      </c>
      <c r="E919" t="str">
        <f>VLOOKUP(C919,inf!$A$2:$B$7,2,FALSE)</f>
        <v>Current</v>
      </c>
      <c r="F919" t="str">
        <f t="shared" si="15"/>
        <v>05/10/2017</v>
      </c>
      <c r="G919" t="str">
        <f>VLOOKUP(A919,inf!$D$2:$E$76,2,FALSE)</f>
        <v>Other</v>
      </c>
    </row>
    <row r="920" spans="1:7" x14ac:dyDescent="0.25">
      <c r="A920" t="s">
        <v>27</v>
      </c>
      <c r="B920" s="1">
        <v>42865</v>
      </c>
      <c r="C920" t="s">
        <v>55</v>
      </c>
      <c r="D920">
        <v>298.45999999999998</v>
      </c>
      <c r="E920" t="str">
        <f>VLOOKUP(C920,inf!$A$2:$B$7,2,FALSE)</f>
        <v>Current</v>
      </c>
      <c r="F920" t="str">
        <f t="shared" si="15"/>
        <v>05/10/2017</v>
      </c>
      <c r="G920" t="str">
        <f>VLOOKUP(A920,inf!$D$2:$E$76,2,FALSE)</f>
        <v>Other</v>
      </c>
    </row>
    <row r="921" spans="1:7" x14ac:dyDescent="0.25">
      <c r="A921" t="s">
        <v>62</v>
      </c>
      <c r="B921" s="1">
        <v>42865</v>
      </c>
      <c r="C921" t="s">
        <v>57</v>
      </c>
      <c r="D921">
        <v>238.6</v>
      </c>
      <c r="E921" t="str">
        <f>VLOOKUP(C921,inf!$A$2:$B$7,2,FALSE)</f>
        <v>31 to 60</v>
      </c>
      <c r="F921" t="str">
        <f t="shared" si="15"/>
        <v>05/10/2017</v>
      </c>
      <c r="G921" t="str">
        <f>VLOOKUP(A921,inf!$D$2:$E$76,2,FALSE)</f>
        <v>Other</v>
      </c>
    </row>
    <row r="922" spans="1:7" x14ac:dyDescent="0.25">
      <c r="A922" t="s">
        <v>21</v>
      </c>
      <c r="B922" s="1">
        <v>42865</v>
      </c>
      <c r="C922" t="s">
        <v>56</v>
      </c>
      <c r="D922">
        <v>2728.4900000000002</v>
      </c>
      <c r="E922" t="str">
        <f>VLOOKUP(C922,inf!$A$2:$B$7,2,FALSE)</f>
        <v>Current</v>
      </c>
      <c r="F922" t="str">
        <f t="shared" si="15"/>
        <v>05/10/2017</v>
      </c>
      <c r="G922" t="str">
        <f>VLOOKUP(A922,inf!$D$2:$E$76,2,FALSE)</f>
        <v>Other</v>
      </c>
    </row>
    <row r="923" spans="1:7" x14ac:dyDescent="0.25">
      <c r="A923" t="s">
        <v>21</v>
      </c>
      <c r="B923" s="1">
        <v>42865</v>
      </c>
      <c r="C923" t="s">
        <v>55</v>
      </c>
      <c r="D923">
        <v>666.87</v>
      </c>
      <c r="E923" t="str">
        <f>VLOOKUP(C923,inf!$A$2:$B$7,2,FALSE)</f>
        <v>Current</v>
      </c>
      <c r="F923" t="str">
        <f t="shared" si="15"/>
        <v>05/10/2017</v>
      </c>
      <c r="G923" t="str">
        <f>VLOOKUP(A923,inf!$D$2:$E$76,2,FALSE)</f>
        <v>Other</v>
      </c>
    </row>
    <row r="924" spans="1:7" x14ac:dyDescent="0.25">
      <c r="A924" t="s">
        <v>3</v>
      </c>
      <c r="B924" s="1">
        <v>42865</v>
      </c>
      <c r="C924" t="s">
        <v>57</v>
      </c>
      <c r="D924">
        <v>4896.4799999999987</v>
      </c>
      <c r="E924" t="str">
        <f>VLOOKUP(C924,inf!$A$2:$B$7,2,FALSE)</f>
        <v>31 to 60</v>
      </c>
      <c r="F924" t="str">
        <f t="shared" si="15"/>
        <v>05/10/2017</v>
      </c>
      <c r="G924" t="str">
        <f>VLOOKUP(A924,inf!$D$2:$E$76,2,FALSE)</f>
        <v>Other</v>
      </c>
    </row>
    <row r="925" spans="1:7" x14ac:dyDescent="0.25">
      <c r="A925" t="s">
        <v>3</v>
      </c>
      <c r="B925" s="1">
        <v>42865</v>
      </c>
      <c r="C925" t="s">
        <v>56</v>
      </c>
      <c r="D925">
        <v>2119.52</v>
      </c>
      <c r="E925" t="str">
        <f>VLOOKUP(C925,inf!$A$2:$B$7,2,FALSE)</f>
        <v>Current</v>
      </c>
      <c r="F925" t="str">
        <f t="shared" si="15"/>
        <v>05/10/2017</v>
      </c>
      <c r="G925" t="str">
        <f>VLOOKUP(A925,inf!$D$2:$E$76,2,FALSE)</f>
        <v>Other</v>
      </c>
    </row>
    <row r="926" spans="1:7" x14ac:dyDescent="0.25">
      <c r="A926" t="s">
        <v>3</v>
      </c>
      <c r="B926" s="1">
        <v>42865</v>
      </c>
      <c r="C926" t="s">
        <v>55</v>
      </c>
      <c r="D926">
        <v>1536.15</v>
      </c>
      <c r="E926" t="str">
        <f>VLOOKUP(C926,inf!$A$2:$B$7,2,FALSE)</f>
        <v>Current</v>
      </c>
      <c r="F926" t="str">
        <f t="shared" si="15"/>
        <v>05/10/2017</v>
      </c>
      <c r="G926" t="str">
        <f>VLOOKUP(A926,inf!$D$2:$E$76,2,FALSE)</f>
        <v>Other</v>
      </c>
    </row>
    <row r="927" spans="1:7" x14ac:dyDescent="0.25">
      <c r="A927" t="s">
        <v>30</v>
      </c>
      <c r="B927" s="1">
        <v>42865</v>
      </c>
      <c r="C927" t="s">
        <v>55</v>
      </c>
      <c r="D927">
        <v>849.45</v>
      </c>
      <c r="E927" t="str">
        <f>VLOOKUP(C927,inf!$A$2:$B$7,2,FALSE)</f>
        <v>Current</v>
      </c>
      <c r="F927" t="str">
        <f t="shared" si="15"/>
        <v>05/10/2017</v>
      </c>
      <c r="G927" t="str">
        <f>VLOOKUP(A927,inf!$D$2:$E$76,2,FALSE)</f>
        <v>Other</v>
      </c>
    </row>
    <row r="928" spans="1:7" x14ac:dyDescent="0.25">
      <c r="A928" t="s">
        <v>30</v>
      </c>
      <c r="B928" s="1">
        <v>42865</v>
      </c>
      <c r="C928" t="s">
        <v>58</v>
      </c>
      <c r="D928">
        <v>610.83000000000004</v>
      </c>
      <c r="E928" t="str">
        <f>VLOOKUP(C928,inf!$A$2:$B$7,2,FALSE)</f>
        <v>61 to 90</v>
      </c>
      <c r="F928" t="str">
        <f t="shared" si="15"/>
        <v>05/10/2017</v>
      </c>
      <c r="G928" t="str">
        <f>VLOOKUP(A928,inf!$D$2:$E$76,2,FALSE)</f>
        <v>Other</v>
      </c>
    </row>
    <row r="929" spans="1:7" x14ac:dyDescent="0.25">
      <c r="A929" t="s">
        <v>30</v>
      </c>
      <c r="B929" s="1">
        <v>42865</v>
      </c>
      <c r="C929" t="s">
        <v>56</v>
      </c>
      <c r="D929">
        <v>287.13</v>
      </c>
      <c r="E929" t="str">
        <f>VLOOKUP(C929,inf!$A$2:$B$7,2,FALSE)</f>
        <v>Current</v>
      </c>
      <c r="F929" t="str">
        <f t="shared" si="15"/>
        <v>05/10/2017</v>
      </c>
      <c r="G929" t="str">
        <f>VLOOKUP(A929,inf!$D$2:$E$76,2,FALSE)</f>
        <v>Other</v>
      </c>
    </row>
    <row r="930" spans="1:7" x14ac:dyDescent="0.25">
      <c r="A930" t="s">
        <v>12</v>
      </c>
      <c r="B930" s="1">
        <v>42865</v>
      </c>
      <c r="C930" t="s">
        <v>55</v>
      </c>
      <c r="D930">
        <v>1105.7</v>
      </c>
      <c r="E930" t="str">
        <f>VLOOKUP(C930,inf!$A$2:$B$7,2,FALSE)</f>
        <v>Current</v>
      </c>
      <c r="F930" t="str">
        <f t="shared" si="15"/>
        <v>05/10/2017</v>
      </c>
      <c r="G930" t="str">
        <f>VLOOKUP(A930,inf!$D$2:$E$76,2,FALSE)</f>
        <v>Other</v>
      </c>
    </row>
    <row r="931" spans="1:7" x14ac:dyDescent="0.25">
      <c r="A931" t="s">
        <v>12</v>
      </c>
      <c r="B931" s="1">
        <v>42865</v>
      </c>
      <c r="C931" t="s">
        <v>56</v>
      </c>
      <c r="D931">
        <v>1013.61</v>
      </c>
      <c r="E931" t="str">
        <f>VLOOKUP(C931,inf!$A$2:$B$7,2,FALSE)</f>
        <v>Current</v>
      </c>
      <c r="F931" t="str">
        <f t="shared" si="15"/>
        <v>05/10/2017</v>
      </c>
      <c r="G931" t="str">
        <f>VLOOKUP(A931,inf!$D$2:$E$76,2,FALSE)</f>
        <v>Other</v>
      </c>
    </row>
    <row r="932" spans="1:7" x14ac:dyDescent="0.25">
      <c r="A932" t="s">
        <v>12</v>
      </c>
      <c r="B932" s="1">
        <v>42865</v>
      </c>
      <c r="C932" t="s">
        <v>60</v>
      </c>
      <c r="D932">
        <v>450.5</v>
      </c>
      <c r="E932" t="str">
        <f>VLOOKUP(C932,inf!$A$2:$B$7,2,FALSE)</f>
        <v>Over 90</v>
      </c>
      <c r="F932" t="str">
        <f t="shared" si="15"/>
        <v>05/10/2017</v>
      </c>
      <c r="G932" t="str">
        <f>VLOOKUP(A932,inf!$D$2:$E$76,2,FALSE)</f>
        <v>Other</v>
      </c>
    </row>
    <row r="933" spans="1:7" x14ac:dyDescent="0.25">
      <c r="A933" t="s">
        <v>23</v>
      </c>
      <c r="B933" s="1">
        <v>42865</v>
      </c>
      <c r="C933" t="s">
        <v>55</v>
      </c>
      <c r="D933">
        <v>574.45000000000005</v>
      </c>
      <c r="E933" t="str">
        <f>VLOOKUP(C933,inf!$A$2:$B$7,2,FALSE)</f>
        <v>Current</v>
      </c>
      <c r="F933" t="str">
        <f t="shared" si="15"/>
        <v>05/10/2017</v>
      </c>
      <c r="G933" t="str">
        <f>VLOOKUP(A933,inf!$D$2:$E$76,2,FALSE)</f>
        <v>Other</v>
      </c>
    </row>
    <row r="934" spans="1:7" x14ac:dyDescent="0.25">
      <c r="A934" t="s">
        <v>7</v>
      </c>
      <c r="B934" s="1">
        <v>42865</v>
      </c>
      <c r="C934" t="s">
        <v>55</v>
      </c>
      <c r="D934">
        <v>86908.219999999914</v>
      </c>
      <c r="E934" t="str">
        <f>VLOOKUP(C934,inf!$A$2:$B$7,2,FALSE)</f>
        <v>Current</v>
      </c>
      <c r="F934" t="str">
        <f t="shared" si="15"/>
        <v>05/10/2017</v>
      </c>
      <c r="G934" t="str">
        <f>VLOOKUP(A934,inf!$D$2:$E$76,2,FALSE)</f>
        <v>SAFEWAY</v>
      </c>
    </row>
    <row r="935" spans="1:7" x14ac:dyDescent="0.25">
      <c r="A935" t="s">
        <v>7</v>
      </c>
      <c r="B935" s="1">
        <v>42865</v>
      </c>
      <c r="C935" t="s">
        <v>56</v>
      </c>
      <c r="D935">
        <v>20633.179999999993</v>
      </c>
      <c r="E935" t="str">
        <f>VLOOKUP(C935,inf!$A$2:$B$7,2,FALSE)</f>
        <v>Current</v>
      </c>
      <c r="F935" t="str">
        <f t="shared" si="15"/>
        <v>05/10/2017</v>
      </c>
      <c r="G935" t="str">
        <f>VLOOKUP(A935,inf!$D$2:$E$76,2,FALSE)</f>
        <v>SAFEWAY</v>
      </c>
    </row>
    <row r="936" spans="1:7" x14ac:dyDescent="0.25">
      <c r="A936" t="s">
        <v>7</v>
      </c>
      <c r="B936" s="1">
        <v>42865</v>
      </c>
      <c r="C936" t="s">
        <v>57</v>
      </c>
      <c r="D936">
        <v>624.54</v>
      </c>
      <c r="E936" t="str">
        <f>VLOOKUP(C936,inf!$A$2:$B$7,2,FALSE)</f>
        <v>31 to 60</v>
      </c>
      <c r="F936" t="str">
        <f t="shared" si="15"/>
        <v>05/10/2017</v>
      </c>
      <c r="G936" t="str">
        <f>VLOOKUP(A936,inf!$D$2:$E$76,2,FALSE)</f>
        <v>SAFEWAY</v>
      </c>
    </row>
    <row r="937" spans="1:7" x14ac:dyDescent="0.25">
      <c r="A937" t="s">
        <v>7</v>
      </c>
      <c r="B937" s="1">
        <v>42865</v>
      </c>
      <c r="C937" t="s">
        <v>59</v>
      </c>
      <c r="D937">
        <v>264.52999999999997</v>
      </c>
      <c r="E937" t="str">
        <f>VLOOKUP(C937,inf!$A$2:$B$7,2,FALSE)</f>
        <v>Over 90</v>
      </c>
      <c r="F937" t="str">
        <f t="shared" si="15"/>
        <v>05/10/2017</v>
      </c>
      <c r="G937" t="str">
        <f>VLOOKUP(A937,inf!$D$2:$E$76,2,FALSE)</f>
        <v>SAFEWAY</v>
      </c>
    </row>
    <row r="938" spans="1:7" x14ac:dyDescent="0.25">
      <c r="A938" t="s">
        <v>5</v>
      </c>
      <c r="B938" s="1">
        <v>42865</v>
      </c>
      <c r="C938" t="s">
        <v>55</v>
      </c>
      <c r="D938">
        <v>5435543.0200000349</v>
      </c>
      <c r="E938" t="str">
        <f>VLOOKUP(C938,inf!$A$2:$B$7,2,FALSE)</f>
        <v>Current</v>
      </c>
      <c r="F938" t="str">
        <f t="shared" si="15"/>
        <v>05/10/2017</v>
      </c>
      <c r="G938" t="str">
        <f>VLOOKUP(A938,inf!$D$2:$E$76,2,FALSE)</f>
        <v>SBUX</v>
      </c>
    </row>
    <row r="939" spans="1:7" x14ac:dyDescent="0.25">
      <c r="A939" t="s">
        <v>5</v>
      </c>
      <c r="B939" s="1">
        <v>42865</v>
      </c>
      <c r="C939" t="s">
        <v>60</v>
      </c>
      <c r="D939">
        <v>70861.14</v>
      </c>
      <c r="E939" t="str">
        <f>VLOOKUP(C939,inf!$A$2:$B$7,2,FALSE)</f>
        <v>Over 90</v>
      </c>
      <c r="F939" t="str">
        <f t="shared" si="15"/>
        <v>05/10/2017</v>
      </c>
      <c r="G939" t="str">
        <f>VLOOKUP(A939,inf!$D$2:$E$76,2,FALSE)</f>
        <v>SBUX</v>
      </c>
    </row>
    <row r="940" spans="1:7" x14ac:dyDescent="0.25">
      <c r="A940" t="s">
        <v>5</v>
      </c>
      <c r="B940" s="1">
        <v>42865</v>
      </c>
      <c r="C940" t="s">
        <v>59</v>
      </c>
      <c r="D940">
        <v>16206.29</v>
      </c>
      <c r="E940" t="str">
        <f>VLOOKUP(C940,inf!$A$2:$B$7,2,FALSE)</f>
        <v>Over 90</v>
      </c>
      <c r="F940" t="str">
        <f t="shared" si="15"/>
        <v>05/10/2017</v>
      </c>
      <c r="G940" t="str">
        <f>VLOOKUP(A940,inf!$D$2:$E$76,2,FALSE)</f>
        <v>SBUX</v>
      </c>
    </row>
    <row r="941" spans="1:7" x14ac:dyDescent="0.25">
      <c r="A941" t="s">
        <v>5</v>
      </c>
      <c r="B941" s="1">
        <v>42865</v>
      </c>
      <c r="C941" t="s">
        <v>56</v>
      </c>
      <c r="D941">
        <v>2990.27</v>
      </c>
      <c r="E941" t="str">
        <f>VLOOKUP(C941,inf!$A$2:$B$7,2,FALSE)</f>
        <v>Current</v>
      </c>
      <c r="F941" t="str">
        <f t="shared" si="15"/>
        <v>05/10/2017</v>
      </c>
      <c r="G941" t="str">
        <f>VLOOKUP(A941,inf!$D$2:$E$76,2,FALSE)</f>
        <v>SBUX</v>
      </c>
    </row>
    <row r="942" spans="1:7" x14ac:dyDescent="0.25">
      <c r="A942" t="s">
        <v>5</v>
      </c>
      <c r="B942" s="1">
        <v>42865</v>
      </c>
      <c r="C942" t="s">
        <v>58</v>
      </c>
      <c r="D942">
        <v>1831.4500000000003</v>
      </c>
      <c r="E942" t="str">
        <f>VLOOKUP(C942,inf!$A$2:$B$7,2,FALSE)</f>
        <v>61 to 90</v>
      </c>
      <c r="F942" t="str">
        <f t="shared" si="15"/>
        <v>05/10/2017</v>
      </c>
      <c r="G942" t="str">
        <f>VLOOKUP(A942,inf!$D$2:$E$76,2,FALSE)</f>
        <v>SBUX</v>
      </c>
    </row>
    <row r="943" spans="1:7" x14ac:dyDescent="0.25">
      <c r="A943" t="s">
        <v>5</v>
      </c>
      <c r="B943" s="1">
        <v>42865</v>
      </c>
      <c r="C943" t="s">
        <v>57</v>
      </c>
      <c r="D943">
        <v>1789.99</v>
      </c>
      <c r="E943" t="str">
        <f>VLOOKUP(C943,inf!$A$2:$B$7,2,FALSE)</f>
        <v>31 to 60</v>
      </c>
      <c r="F943" t="str">
        <f t="shared" si="15"/>
        <v>05/10/2017</v>
      </c>
      <c r="G943" t="str">
        <f>VLOOKUP(A943,inf!$D$2:$E$76,2,FALSE)</f>
        <v>SBUX</v>
      </c>
    </row>
    <row r="944" spans="1:7" x14ac:dyDescent="0.25">
      <c r="A944" t="s">
        <v>6</v>
      </c>
      <c r="B944" s="1">
        <v>42865</v>
      </c>
      <c r="C944" t="s">
        <v>55</v>
      </c>
      <c r="D944" s="5">
        <v>498746.4999999986</v>
      </c>
      <c r="E944" t="str">
        <f>VLOOKUP(C944,inf!$A$2:$B$7,2,FALSE)</f>
        <v>Current</v>
      </c>
      <c r="F944" t="str">
        <f t="shared" si="15"/>
        <v>05/10/2017</v>
      </c>
      <c r="G944" t="str">
        <f>VLOOKUP(A944,inf!$D$2:$E$76,2,FALSE)</f>
        <v>SBUX</v>
      </c>
    </row>
    <row r="945" spans="1:7" x14ac:dyDescent="0.25">
      <c r="A945" t="s">
        <v>6</v>
      </c>
      <c r="B945" s="1">
        <v>42865</v>
      </c>
      <c r="C945" t="s">
        <v>60</v>
      </c>
      <c r="D945">
        <v>5290.05</v>
      </c>
      <c r="E945" t="str">
        <f>VLOOKUP(C945,inf!$A$2:$B$7,2,FALSE)</f>
        <v>Over 90</v>
      </c>
      <c r="F945" t="str">
        <f t="shared" si="15"/>
        <v>05/10/2017</v>
      </c>
      <c r="G945" t="str">
        <f>VLOOKUP(A945,inf!$D$2:$E$76,2,FALSE)</f>
        <v>SBUX</v>
      </c>
    </row>
    <row r="946" spans="1:7" x14ac:dyDescent="0.25">
      <c r="A946" t="s">
        <v>6</v>
      </c>
      <c r="B946" s="1">
        <v>42865</v>
      </c>
      <c r="C946" t="s">
        <v>57</v>
      </c>
      <c r="D946">
        <v>3665.4</v>
      </c>
      <c r="E946" t="str">
        <f>VLOOKUP(C946,inf!$A$2:$B$7,2,FALSE)</f>
        <v>31 to 60</v>
      </c>
      <c r="F946" t="str">
        <f t="shared" si="15"/>
        <v>05/10/2017</v>
      </c>
      <c r="G946" t="str">
        <f>VLOOKUP(A946,inf!$D$2:$E$76,2,FALSE)</f>
        <v>SBUX</v>
      </c>
    </row>
    <row r="947" spans="1:7" x14ac:dyDescent="0.25">
      <c r="A947" t="s">
        <v>6</v>
      </c>
      <c r="B947" s="1">
        <v>42865</v>
      </c>
      <c r="C947" t="s">
        <v>56</v>
      </c>
      <c r="D947">
        <v>1367.2400000000002</v>
      </c>
      <c r="E947" t="str">
        <f>VLOOKUP(C947,inf!$A$2:$B$7,2,FALSE)</f>
        <v>Current</v>
      </c>
      <c r="F947" t="str">
        <f t="shared" si="15"/>
        <v>05/10/2017</v>
      </c>
      <c r="G947" t="str">
        <f>VLOOKUP(A947,inf!$D$2:$E$76,2,FALSE)</f>
        <v>SBUX</v>
      </c>
    </row>
    <row r="948" spans="1:7" x14ac:dyDescent="0.25">
      <c r="A948" t="s">
        <v>6</v>
      </c>
      <c r="B948" s="1">
        <v>42865</v>
      </c>
      <c r="C948" t="s">
        <v>58</v>
      </c>
      <c r="D948">
        <v>435.33</v>
      </c>
      <c r="E948" t="str">
        <f>VLOOKUP(C948,inf!$A$2:$B$7,2,FALSE)</f>
        <v>61 to 90</v>
      </c>
      <c r="F948" t="str">
        <f t="shared" si="15"/>
        <v>05/10/2017</v>
      </c>
      <c r="G948" t="str">
        <f>VLOOKUP(A948,inf!$D$2:$E$76,2,FALSE)</f>
        <v>SBUX</v>
      </c>
    </row>
    <row r="949" spans="1:7" x14ac:dyDescent="0.25">
      <c r="A949" t="s">
        <v>6</v>
      </c>
      <c r="B949" s="1">
        <v>42865</v>
      </c>
      <c r="C949" t="s">
        <v>59</v>
      </c>
      <c r="D949">
        <v>178.3</v>
      </c>
      <c r="E949" t="str">
        <f>VLOOKUP(C949,inf!$A$2:$B$7,2,FALSE)</f>
        <v>Over 90</v>
      </c>
      <c r="F949" t="str">
        <f t="shared" si="15"/>
        <v>05/10/2017</v>
      </c>
      <c r="G949" t="str">
        <f>VLOOKUP(A949,inf!$D$2:$E$76,2,FALSE)</f>
        <v>SBUX</v>
      </c>
    </row>
    <row r="950" spans="1:7" x14ac:dyDescent="0.25">
      <c r="A950" t="s">
        <v>51</v>
      </c>
      <c r="B950" s="1">
        <v>42865</v>
      </c>
      <c r="C950" t="s">
        <v>56</v>
      </c>
      <c r="D950">
        <v>235.2</v>
      </c>
      <c r="E950" t="str">
        <f>VLOOKUP(C950,inf!$A$2:$B$7,2,FALSE)</f>
        <v>Current</v>
      </c>
      <c r="F950" t="str">
        <f t="shared" si="15"/>
        <v>05/10/2017</v>
      </c>
      <c r="G950" t="str">
        <f>VLOOKUP(A950,inf!$D$2:$E$76,2,FALSE)</f>
        <v>Other</v>
      </c>
    </row>
    <row r="951" spans="1:7" x14ac:dyDescent="0.25">
      <c r="A951" t="s">
        <v>8</v>
      </c>
      <c r="B951" s="1">
        <v>42865</v>
      </c>
      <c r="C951" t="s">
        <v>55</v>
      </c>
      <c r="D951">
        <v>443869.22999999905</v>
      </c>
      <c r="E951" t="str">
        <f>VLOOKUP(C951,inf!$A$2:$B$7,2,FALSE)</f>
        <v>Current</v>
      </c>
      <c r="F951" t="str">
        <f t="shared" si="15"/>
        <v>05/10/2017</v>
      </c>
      <c r="G951" t="str">
        <f>VLOOKUP(A951,inf!$D$2:$E$76,2,FALSE)</f>
        <v>Target</v>
      </c>
    </row>
    <row r="952" spans="1:7" x14ac:dyDescent="0.25">
      <c r="A952" t="s">
        <v>8</v>
      </c>
      <c r="B952" s="1">
        <v>42865</v>
      </c>
      <c r="C952" t="s">
        <v>60</v>
      </c>
      <c r="D952">
        <v>24130.110000000011</v>
      </c>
      <c r="E952" t="str">
        <f>VLOOKUP(C952,inf!$A$2:$B$7,2,FALSE)</f>
        <v>Over 90</v>
      </c>
      <c r="F952" t="str">
        <f t="shared" si="15"/>
        <v>05/10/2017</v>
      </c>
      <c r="G952" t="str">
        <f>VLOOKUP(A952,inf!$D$2:$E$76,2,FALSE)</f>
        <v>Target</v>
      </c>
    </row>
    <row r="953" spans="1:7" x14ac:dyDescent="0.25">
      <c r="A953" t="s">
        <v>8</v>
      </c>
      <c r="B953" s="1">
        <v>42865</v>
      </c>
      <c r="C953" t="s">
        <v>56</v>
      </c>
      <c r="D953">
        <v>10958.890000000001</v>
      </c>
      <c r="E953" t="str">
        <f>VLOOKUP(C953,inf!$A$2:$B$7,2,FALSE)</f>
        <v>Current</v>
      </c>
      <c r="F953" t="str">
        <f t="shared" si="15"/>
        <v>05/10/2017</v>
      </c>
      <c r="G953" t="str">
        <f>VLOOKUP(A953,inf!$D$2:$E$76,2,FALSE)</f>
        <v>Target</v>
      </c>
    </row>
    <row r="954" spans="1:7" x14ac:dyDescent="0.25">
      <c r="A954" t="s">
        <v>8</v>
      </c>
      <c r="B954" s="1">
        <v>42865</v>
      </c>
      <c r="C954" t="s">
        <v>57</v>
      </c>
      <c r="D954">
        <v>5385.1899999999987</v>
      </c>
      <c r="E954" t="str">
        <f>VLOOKUP(C954,inf!$A$2:$B$7,2,FALSE)</f>
        <v>31 to 60</v>
      </c>
      <c r="F954" t="str">
        <f t="shared" si="15"/>
        <v>05/10/2017</v>
      </c>
      <c r="G954" t="str">
        <f>VLOOKUP(A954,inf!$D$2:$E$76,2,FALSE)</f>
        <v>Target</v>
      </c>
    </row>
    <row r="955" spans="1:7" x14ac:dyDescent="0.25">
      <c r="A955" t="s">
        <v>8</v>
      </c>
      <c r="B955" s="1">
        <v>42865</v>
      </c>
      <c r="C955" t="s">
        <v>58</v>
      </c>
      <c r="D955">
        <v>597.32999999999993</v>
      </c>
      <c r="E955" t="str">
        <f>VLOOKUP(C955,inf!$A$2:$B$7,2,FALSE)</f>
        <v>61 to 90</v>
      </c>
      <c r="F955" t="str">
        <f t="shared" si="15"/>
        <v>05/10/2017</v>
      </c>
      <c r="G955" t="str">
        <f>VLOOKUP(A955,inf!$D$2:$E$76,2,FALSE)</f>
        <v>Target</v>
      </c>
    </row>
    <row r="956" spans="1:7" x14ac:dyDescent="0.25">
      <c r="A956" t="s">
        <v>54</v>
      </c>
      <c r="B956" s="1">
        <v>42865</v>
      </c>
      <c r="C956" t="s">
        <v>56</v>
      </c>
      <c r="D956">
        <v>114.85</v>
      </c>
      <c r="E956" t="str">
        <f>VLOOKUP(C956,inf!$A$2:$B$7,2,FALSE)</f>
        <v>Current</v>
      </c>
      <c r="F956" t="str">
        <f t="shared" si="15"/>
        <v>05/10/2017</v>
      </c>
      <c r="G956" t="str">
        <f>VLOOKUP(A956,inf!$D$2:$E$76,2,FALSE)</f>
        <v>Other</v>
      </c>
    </row>
    <row r="957" spans="1:7" x14ac:dyDescent="0.25">
      <c r="A957" t="s">
        <v>15</v>
      </c>
      <c r="B957" s="1">
        <v>42865</v>
      </c>
      <c r="C957" t="s">
        <v>57</v>
      </c>
      <c r="D957">
        <v>271.91000000000003</v>
      </c>
      <c r="E957" t="str">
        <f>VLOOKUP(C957,inf!$A$2:$B$7,2,FALSE)</f>
        <v>31 to 60</v>
      </c>
      <c r="F957" t="str">
        <f t="shared" si="15"/>
        <v>05/10/2017</v>
      </c>
      <c r="G957" t="str">
        <f>VLOOKUP(A957,inf!$D$2:$E$76,2,FALSE)</f>
        <v>Other</v>
      </c>
    </row>
    <row r="958" spans="1:7" x14ac:dyDescent="0.25">
      <c r="A958" t="s">
        <v>15</v>
      </c>
      <c r="B958" s="1">
        <v>42865</v>
      </c>
      <c r="C958" t="s">
        <v>55</v>
      </c>
      <c r="D958">
        <v>256.45</v>
      </c>
      <c r="E958" t="str">
        <f>VLOOKUP(C958,inf!$A$2:$B$7,2,FALSE)</f>
        <v>Current</v>
      </c>
      <c r="F958" t="str">
        <f t="shared" si="15"/>
        <v>05/10/2017</v>
      </c>
      <c r="G958" t="str">
        <f>VLOOKUP(A958,inf!$D$2:$E$76,2,FALSE)</f>
        <v>Other</v>
      </c>
    </row>
    <row r="959" spans="1:7" x14ac:dyDescent="0.25">
      <c r="A959" t="s">
        <v>15</v>
      </c>
      <c r="B959" s="1">
        <v>42865</v>
      </c>
      <c r="C959" t="s">
        <v>56</v>
      </c>
      <c r="D959">
        <v>196.33</v>
      </c>
      <c r="E959" t="str">
        <f>VLOOKUP(C959,inf!$A$2:$B$7,2,FALSE)</f>
        <v>Current</v>
      </c>
      <c r="F959" t="str">
        <f t="shared" si="15"/>
        <v>05/10/2017</v>
      </c>
      <c r="G959" t="str">
        <f>VLOOKUP(A959,inf!$D$2:$E$76,2,FALSE)</f>
        <v>Other</v>
      </c>
    </row>
    <row r="960" spans="1:7" x14ac:dyDescent="0.25">
      <c r="A960" t="s">
        <v>15</v>
      </c>
      <c r="B960" s="1">
        <v>42865</v>
      </c>
      <c r="C960" t="s">
        <v>59</v>
      </c>
      <c r="D960">
        <v>126.05</v>
      </c>
      <c r="E960" t="str">
        <f>VLOOKUP(C960,inf!$A$2:$B$7,2,FALSE)</f>
        <v>Over 90</v>
      </c>
      <c r="F960" t="str">
        <f t="shared" si="15"/>
        <v>05/10/2017</v>
      </c>
      <c r="G960" t="str">
        <f>VLOOKUP(A960,inf!$D$2:$E$76,2,FALSE)</f>
        <v>Other</v>
      </c>
    </row>
    <row r="961" spans="1:7" x14ac:dyDescent="0.25">
      <c r="A961" t="s">
        <v>4</v>
      </c>
      <c r="B961" s="1">
        <v>42872</v>
      </c>
      <c r="C961" t="s">
        <v>55</v>
      </c>
      <c r="D961">
        <v>8862.01</v>
      </c>
      <c r="E961" t="str">
        <f>VLOOKUP(C961,inf!$A$2:$B$7,2,FALSE)</f>
        <v>Current</v>
      </c>
      <c r="F961" t="str">
        <f t="shared" si="15"/>
        <v>05/17/2017</v>
      </c>
      <c r="G961" t="str">
        <f>VLOOKUP(A961,inf!$D$2:$E$76,2,FALSE)</f>
        <v>Other</v>
      </c>
    </row>
    <row r="962" spans="1:7" x14ac:dyDescent="0.25">
      <c r="A962" t="s">
        <v>4</v>
      </c>
      <c r="B962" s="1">
        <v>42872</v>
      </c>
      <c r="C962" t="s">
        <v>56</v>
      </c>
      <c r="D962">
        <v>622.79999999999995</v>
      </c>
      <c r="E962" t="str">
        <f>VLOOKUP(C962,inf!$A$2:$B$7,2,FALSE)</f>
        <v>Current</v>
      </c>
      <c r="F962" t="str">
        <f t="shared" si="15"/>
        <v>05/17/2017</v>
      </c>
      <c r="G962" t="str">
        <f>VLOOKUP(A962,inf!$D$2:$E$76,2,FALSE)</f>
        <v>Other</v>
      </c>
    </row>
    <row r="963" spans="1:7" x14ac:dyDescent="0.25">
      <c r="A963" t="s">
        <v>26</v>
      </c>
      <c r="B963" s="1">
        <v>42872</v>
      </c>
      <c r="C963" t="s">
        <v>60</v>
      </c>
      <c r="D963">
        <v>1380.77</v>
      </c>
      <c r="E963" t="str">
        <f>VLOOKUP(C963,inf!$A$2:$B$7,2,FALSE)</f>
        <v>Over 90</v>
      </c>
      <c r="F963" t="str">
        <f t="shared" ref="F963:F1026" si="16">TEXT(B963,"MM/DD/YYYY")</f>
        <v>05/17/2017</v>
      </c>
      <c r="G963" t="str">
        <f>VLOOKUP(A963,inf!$D$2:$E$76,2,FALSE)</f>
        <v>Other</v>
      </c>
    </row>
    <row r="964" spans="1:7" x14ac:dyDescent="0.25">
      <c r="A964" t="s">
        <v>2</v>
      </c>
      <c r="B964" s="1">
        <v>42872</v>
      </c>
      <c r="C964" t="s">
        <v>60</v>
      </c>
      <c r="D964">
        <v>3717.8600000000006</v>
      </c>
      <c r="E964" t="str">
        <f>VLOOKUP(C964,inf!$A$2:$B$7,2,FALSE)</f>
        <v>Over 90</v>
      </c>
      <c r="F964" t="str">
        <f t="shared" si="16"/>
        <v>05/17/2017</v>
      </c>
      <c r="G964" t="str">
        <f>VLOOKUP(A964,inf!$D$2:$E$76,2,FALSE)</f>
        <v>Other</v>
      </c>
    </row>
    <row r="965" spans="1:7" x14ac:dyDescent="0.25">
      <c r="A965" t="s">
        <v>32</v>
      </c>
      <c r="B965" s="1">
        <v>42872</v>
      </c>
      <c r="C965" t="s">
        <v>55</v>
      </c>
      <c r="D965">
        <v>130.02000000000001</v>
      </c>
      <c r="E965" t="str">
        <f>VLOOKUP(C965,inf!$A$2:$B$7,2,FALSE)</f>
        <v>Current</v>
      </c>
      <c r="F965" t="str">
        <f t="shared" si="16"/>
        <v>05/17/2017</v>
      </c>
      <c r="G965" t="str">
        <f>VLOOKUP(A965,inf!$D$2:$E$76,2,FALSE)</f>
        <v>Other</v>
      </c>
    </row>
    <row r="966" spans="1:7" x14ac:dyDescent="0.25">
      <c r="A966" t="s">
        <v>47</v>
      </c>
      <c r="B966" s="1">
        <v>42872</v>
      </c>
      <c r="C966" t="s">
        <v>55</v>
      </c>
      <c r="D966">
        <v>251.91</v>
      </c>
      <c r="E966" t="str">
        <f>VLOOKUP(C966,inf!$A$2:$B$7,2,FALSE)</f>
        <v>Current</v>
      </c>
      <c r="F966" t="str">
        <f t="shared" si="16"/>
        <v>05/17/2017</v>
      </c>
      <c r="G966" t="str">
        <f>VLOOKUP(A966,inf!$D$2:$E$76,2,FALSE)</f>
        <v>Other</v>
      </c>
    </row>
    <row r="967" spans="1:7" x14ac:dyDescent="0.25">
      <c r="A967" t="s">
        <v>19</v>
      </c>
      <c r="B967" s="1">
        <v>42872</v>
      </c>
      <c r="C967" t="s">
        <v>56</v>
      </c>
      <c r="D967">
        <v>565.36</v>
      </c>
      <c r="E967" t="str">
        <f>VLOOKUP(C967,inf!$A$2:$B$7,2,FALSE)</f>
        <v>Current</v>
      </c>
      <c r="F967" t="str">
        <f t="shared" si="16"/>
        <v>05/17/2017</v>
      </c>
      <c r="G967" t="str">
        <f>VLOOKUP(A967,inf!$D$2:$E$76,2,FALSE)</f>
        <v>Other</v>
      </c>
    </row>
    <row r="968" spans="1:7" x14ac:dyDescent="0.25">
      <c r="A968" t="s">
        <v>25</v>
      </c>
      <c r="B968" s="1">
        <v>42872</v>
      </c>
      <c r="C968" t="s">
        <v>60</v>
      </c>
      <c r="D968">
        <v>120.1</v>
      </c>
      <c r="E968" t="str">
        <f>VLOOKUP(C968,inf!$A$2:$B$7,2,FALSE)</f>
        <v>Over 90</v>
      </c>
      <c r="F968" t="str">
        <f t="shared" si="16"/>
        <v>05/17/2017</v>
      </c>
      <c r="G968" t="str">
        <f>VLOOKUP(A968,inf!$D$2:$E$76,2,FALSE)</f>
        <v>Other</v>
      </c>
    </row>
    <row r="969" spans="1:7" x14ac:dyDescent="0.25">
      <c r="A969" t="s">
        <v>31</v>
      </c>
      <c r="B969" s="1">
        <v>42872</v>
      </c>
      <c r="C969" t="s">
        <v>56</v>
      </c>
      <c r="D969">
        <v>3335.5199999999995</v>
      </c>
      <c r="E969" t="str">
        <f>VLOOKUP(C969,inf!$A$2:$B$7,2,FALSE)</f>
        <v>Current</v>
      </c>
      <c r="F969" t="str">
        <f t="shared" si="16"/>
        <v>05/17/2017</v>
      </c>
      <c r="G969" t="str">
        <f>VLOOKUP(A969,inf!$D$2:$E$76,2,FALSE)</f>
        <v>Other</v>
      </c>
    </row>
    <row r="970" spans="1:7" x14ac:dyDescent="0.25">
      <c r="A970" t="s">
        <v>31</v>
      </c>
      <c r="B970" s="1">
        <v>42872</v>
      </c>
      <c r="C970" t="s">
        <v>55</v>
      </c>
      <c r="D970">
        <v>1347.1299999999999</v>
      </c>
      <c r="E970" t="str">
        <f>VLOOKUP(C970,inf!$A$2:$B$7,2,FALSE)</f>
        <v>Current</v>
      </c>
      <c r="F970" t="str">
        <f t="shared" si="16"/>
        <v>05/17/2017</v>
      </c>
      <c r="G970" t="str">
        <f>VLOOKUP(A970,inf!$D$2:$E$76,2,FALSE)</f>
        <v>Other</v>
      </c>
    </row>
    <row r="971" spans="1:7" x14ac:dyDescent="0.25">
      <c r="A971" t="s">
        <v>24</v>
      </c>
      <c r="B971" s="1">
        <v>42872</v>
      </c>
      <c r="C971" t="s">
        <v>55</v>
      </c>
      <c r="D971">
        <v>1290.6100000000001</v>
      </c>
      <c r="E971" t="str">
        <f>VLOOKUP(C971,inf!$A$2:$B$7,2,FALSE)</f>
        <v>Current</v>
      </c>
      <c r="F971" t="str">
        <f t="shared" si="16"/>
        <v>05/17/2017</v>
      </c>
      <c r="G971" t="str">
        <f>VLOOKUP(A971,inf!$D$2:$E$76,2,FALSE)</f>
        <v>Other</v>
      </c>
    </row>
    <row r="972" spans="1:7" x14ac:dyDescent="0.25">
      <c r="A972" t="s">
        <v>18</v>
      </c>
      <c r="B972" s="1">
        <v>42872</v>
      </c>
      <c r="C972" t="s">
        <v>57</v>
      </c>
      <c r="D972">
        <v>373.26</v>
      </c>
      <c r="E972" t="str">
        <f>VLOOKUP(C972,inf!$A$2:$B$7,2,FALSE)</f>
        <v>31 to 60</v>
      </c>
      <c r="F972" t="str">
        <f t="shared" si="16"/>
        <v>05/17/2017</v>
      </c>
      <c r="G972" t="str">
        <f>VLOOKUP(A972,inf!$D$2:$E$76,2,FALSE)</f>
        <v>Other</v>
      </c>
    </row>
    <row r="973" spans="1:7" x14ac:dyDescent="0.25">
      <c r="A973" t="s">
        <v>27</v>
      </c>
      <c r="B973" s="1">
        <v>42872</v>
      </c>
      <c r="C973" t="s">
        <v>55</v>
      </c>
      <c r="D973">
        <v>2355.4899999999998</v>
      </c>
      <c r="E973" t="str">
        <f>VLOOKUP(C973,inf!$A$2:$B$7,2,FALSE)</f>
        <v>Current</v>
      </c>
      <c r="F973" t="str">
        <f t="shared" si="16"/>
        <v>05/17/2017</v>
      </c>
      <c r="G973" t="str">
        <f>VLOOKUP(A973,inf!$D$2:$E$76,2,FALSE)</f>
        <v>Other</v>
      </c>
    </row>
    <row r="974" spans="1:7" x14ac:dyDescent="0.25">
      <c r="A974" t="s">
        <v>62</v>
      </c>
      <c r="B974" s="1">
        <v>42872</v>
      </c>
      <c r="C974" t="s">
        <v>57</v>
      </c>
      <c r="D974">
        <v>238.6</v>
      </c>
      <c r="E974" t="str">
        <f>VLOOKUP(C974,inf!$A$2:$B$7,2,FALSE)</f>
        <v>31 to 60</v>
      </c>
      <c r="F974" t="str">
        <f t="shared" si="16"/>
        <v>05/17/2017</v>
      </c>
      <c r="G974" t="str">
        <f>VLOOKUP(A974,inf!$D$2:$E$76,2,FALSE)</f>
        <v>Other</v>
      </c>
    </row>
    <row r="975" spans="1:7" x14ac:dyDescent="0.25">
      <c r="A975" t="s">
        <v>21</v>
      </c>
      <c r="B975" s="1">
        <v>42872</v>
      </c>
      <c r="C975" t="s">
        <v>56</v>
      </c>
      <c r="D975">
        <v>3223.08</v>
      </c>
      <c r="E975" t="str">
        <f>VLOOKUP(C975,inf!$A$2:$B$7,2,FALSE)</f>
        <v>Current</v>
      </c>
      <c r="F975" t="str">
        <f t="shared" si="16"/>
        <v>05/17/2017</v>
      </c>
      <c r="G975" t="str">
        <f>VLOOKUP(A975,inf!$D$2:$E$76,2,FALSE)</f>
        <v>Other</v>
      </c>
    </row>
    <row r="976" spans="1:7" x14ac:dyDescent="0.25">
      <c r="A976" t="s">
        <v>21</v>
      </c>
      <c r="B976" s="1">
        <v>42872</v>
      </c>
      <c r="C976" t="s">
        <v>57</v>
      </c>
      <c r="D976">
        <v>172.28</v>
      </c>
      <c r="E976" t="str">
        <f>VLOOKUP(C976,inf!$A$2:$B$7,2,FALSE)</f>
        <v>31 to 60</v>
      </c>
      <c r="F976" t="str">
        <f t="shared" si="16"/>
        <v>05/17/2017</v>
      </c>
      <c r="G976" t="str">
        <f>VLOOKUP(A976,inf!$D$2:$E$76,2,FALSE)</f>
        <v>Other</v>
      </c>
    </row>
    <row r="977" spans="1:7" x14ac:dyDescent="0.25">
      <c r="A977" t="s">
        <v>3</v>
      </c>
      <c r="B977" s="1">
        <v>42872</v>
      </c>
      <c r="C977" t="s">
        <v>57</v>
      </c>
      <c r="D977">
        <v>7015.9999999999982</v>
      </c>
      <c r="E977" t="str">
        <f>VLOOKUP(C977,inf!$A$2:$B$7,2,FALSE)</f>
        <v>31 to 60</v>
      </c>
      <c r="F977" t="str">
        <f t="shared" si="16"/>
        <v>05/17/2017</v>
      </c>
      <c r="G977" t="str">
        <f>VLOOKUP(A977,inf!$D$2:$E$76,2,FALSE)</f>
        <v>Other</v>
      </c>
    </row>
    <row r="978" spans="1:7" x14ac:dyDescent="0.25">
      <c r="A978" t="s">
        <v>3</v>
      </c>
      <c r="B978" s="1">
        <v>42872</v>
      </c>
      <c r="C978" t="s">
        <v>55</v>
      </c>
      <c r="D978">
        <v>2626.66</v>
      </c>
      <c r="E978" t="str">
        <f>VLOOKUP(C978,inf!$A$2:$B$7,2,FALSE)</f>
        <v>Current</v>
      </c>
      <c r="F978" t="str">
        <f t="shared" si="16"/>
        <v>05/17/2017</v>
      </c>
      <c r="G978" t="str">
        <f>VLOOKUP(A978,inf!$D$2:$E$76,2,FALSE)</f>
        <v>Other</v>
      </c>
    </row>
    <row r="979" spans="1:7" x14ac:dyDescent="0.25">
      <c r="A979" t="s">
        <v>30</v>
      </c>
      <c r="B979" s="1">
        <v>42872</v>
      </c>
      <c r="C979" t="s">
        <v>55</v>
      </c>
      <c r="D979">
        <v>849.45</v>
      </c>
      <c r="E979" t="str">
        <f>VLOOKUP(C979,inf!$A$2:$B$7,2,FALSE)</f>
        <v>Current</v>
      </c>
      <c r="F979" t="str">
        <f t="shared" si="16"/>
        <v>05/17/2017</v>
      </c>
      <c r="G979" t="str">
        <f>VLOOKUP(A979,inf!$D$2:$E$76,2,FALSE)</f>
        <v>Other</v>
      </c>
    </row>
    <row r="980" spans="1:7" x14ac:dyDescent="0.25">
      <c r="A980" t="s">
        <v>30</v>
      </c>
      <c r="B980" s="1">
        <v>42872</v>
      </c>
      <c r="C980" t="s">
        <v>56</v>
      </c>
      <c r="D980">
        <v>287.13</v>
      </c>
      <c r="E980" t="str">
        <f>VLOOKUP(C980,inf!$A$2:$B$7,2,FALSE)</f>
        <v>Current</v>
      </c>
      <c r="F980" t="str">
        <f t="shared" si="16"/>
        <v>05/17/2017</v>
      </c>
      <c r="G980" t="str">
        <f>VLOOKUP(A980,inf!$D$2:$E$76,2,FALSE)</f>
        <v>Other</v>
      </c>
    </row>
    <row r="981" spans="1:7" x14ac:dyDescent="0.25">
      <c r="A981" t="s">
        <v>12</v>
      </c>
      <c r="B981" s="1">
        <v>42872</v>
      </c>
      <c r="C981" t="s">
        <v>55</v>
      </c>
      <c r="D981">
        <v>1111.96</v>
      </c>
      <c r="E981" t="str">
        <f>VLOOKUP(C981,inf!$A$2:$B$7,2,FALSE)</f>
        <v>Current</v>
      </c>
      <c r="F981" t="str">
        <f t="shared" si="16"/>
        <v>05/17/2017</v>
      </c>
      <c r="G981" t="str">
        <f>VLOOKUP(A981,inf!$D$2:$E$76,2,FALSE)</f>
        <v>Other</v>
      </c>
    </row>
    <row r="982" spans="1:7" x14ac:dyDescent="0.25">
      <c r="A982" t="s">
        <v>12</v>
      </c>
      <c r="B982" s="1">
        <v>42872</v>
      </c>
      <c r="C982" t="s">
        <v>57</v>
      </c>
      <c r="D982">
        <v>513.61</v>
      </c>
      <c r="E982" t="str">
        <f>VLOOKUP(C982,inf!$A$2:$B$7,2,FALSE)</f>
        <v>31 to 60</v>
      </c>
      <c r="F982" t="str">
        <f t="shared" si="16"/>
        <v>05/17/2017</v>
      </c>
      <c r="G982" t="str">
        <f>VLOOKUP(A982,inf!$D$2:$E$76,2,FALSE)</f>
        <v>Other</v>
      </c>
    </row>
    <row r="983" spans="1:7" x14ac:dyDescent="0.25">
      <c r="A983" t="s">
        <v>12</v>
      </c>
      <c r="B983" s="1">
        <v>42872</v>
      </c>
      <c r="C983" t="s">
        <v>56</v>
      </c>
      <c r="D983">
        <v>305.09000000000003</v>
      </c>
      <c r="E983" t="str">
        <f>VLOOKUP(C983,inf!$A$2:$B$7,2,FALSE)</f>
        <v>Current</v>
      </c>
      <c r="F983" t="str">
        <f t="shared" si="16"/>
        <v>05/17/2017</v>
      </c>
      <c r="G983" t="str">
        <f>VLOOKUP(A983,inf!$D$2:$E$76,2,FALSE)</f>
        <v>Other</v>
      </c>
    </row>
    <row r="984" spans="1:7" x14ac:dyDescent="0.25">
      <c r="A984" t="s">
        <v>23</v>
      </c>
      <c r="B984" s="1">
        <v>42872</v>
      </c>
      <c r="C984" t="s">
        <v>55</v>
      </c>
      <c r="D984">
        <v>574.45000000000005</v>
      </c>
      <c r="E984" t="str">
        <f>VLOOKUP(C984,inf!$A$2:$B$7,2,FALSE)</f>
        <v>Current</v>
      </c>
      <c r="F984" t="str">
        <f t="shared" si="16"/>
        <v>05/17/2017</v>
      </c>
      <c r="G984" t="str">
        <f>VLOOKUP(A984,inf!$D$2:$E$76,2,FALSE)</f>
        <v>Other</v>
      </c>
    </row>
    <row r="985" spans="1:7" x14ac:dyDescent="0.25">
      <c r="A985" t="s">
        <v>7</v>
      </c>
      <c r="B985" s="1">
        <v>42872</v>
      </c>
      <c r="C985" t="s">
        <v>55</v>
      </c>
      <c r="D985">
        <v>75375.589999999895</v>
      </c>
      <c r="E985" t="str">
        <f>VLOOKUP(C985,inf!$A$2:$B$7,2,FALSE)</f>
        <v>Current</v>
      </c>
      <c r="F985" t="str">
        <f t="shared" si="16"/>
        <v>05/17/2017</v>
      </c>
      <c r="G985" t="str">
        <f>VLOOKUP(A985,inf!$D$2:$E$76,2,FALSE)</f>
        <v>SAFEWAY</v>
      </c>
    </row>
    <row r="986" spans="1:7" x14ac:dyDescent="0.25">
      <c r="A986" t="s">
        <v>7</v>
      </c>
      <c r="B986" s="1">
        <v>42872</v>
      </c>
      <c r="C986" t="s">
        <v>56</v>
      </c>
      <c r="D986">
        <v>28942.409999999996</v>
      </c>
      <c r="E986" t="str">
        <f>VLOOKUP(C986,inf!$A$2:$B$7,2,FALSE)</f>
        <v>Current</v>
      </c>
      <c r="F986" t="str">
        <f t="shared" si="16"/>
        <v>05/17/2017</v>
      </c>
      <c r="G986" t="str">
        <f>VLOOKUP(A986,inf!$D$2:$E$76,2,FALSE)</f>
        <v>SAFEWAY</v>
      </c>
    </row>
    <row r="987" spans="1:7" x14ac:dyDescent="0.25">
      <c r="A987" t="s">
        <v>7</v>
      </c>
      <c r="B987" s="1">
        <v>42872</v>
      </c>
      <c r="C987" t="s">
        <v>57</v>
      </c>
      <c r="D987">
        <v>1895.44</v>
      </c>
      <c r="E987" t="str">
        <f>VLOOKUP(C987,inf!$A$2:$B$7,2,FALSE)</f>
        <v>31 to 60</v>
      </c>
      <c r="F987" t="str">
        <f t="shared" si="16"/>
        <v>05/17/2017</v>
      </c>
      <c r="G987" t="str">
        <f>VLOOKUP(A987,inf!$D$2:$E$76,2,FALSE)</f>
        <v>SAFEWAY</v>
      </c>
    </row>
    <row r="988" spans="1:7" x14ac:dyDescent="0.25">
      <c r="A988" t="s">
        <v>7</v>
      </c>
      <c r="B988" s="1">
        <v>42872</v>
      </c>
      <c r="C988" t="s">
        <v>58</v>
      </c>
      <c r="D988">
        <v>624.54</v>
      </c>
      <c r="E988" t="str">
        <f>VLOOKUP(C988,inf!$A$2:$B$7,2,FALSE)</f>
        <v>61 to 90</v>
      </c>
      <c r="F988" t="str">
        <f t="shared" si="16"/>
        <v>05/17/2017</v>
      </c>
      <c r="G988" t="str">
        <f>VLOOKUP(A988,inf!$D$2:$E$76,2,FALSE)</f>
        <v>SAFEWAY</v>
      </c>
    </row>
    <row r="989" spans="1:7" x14ac:dyDescent="0.25">
      <c r="A989" t="s">
        <v>7</v>
      </c>
      <c r="B989" s="1">
        <v>42872</v>
      </c>
      <c r="C989" t="s">
        <v>59</v>
      </c>
      <c r="D989">
        <v>264.52999999999997</v>
      </c>
      <c r="E989" t="str">
        <f>VLOOKUP(C989,inf!$A$2:$B$7,2,FALSE)</f>
        <v>Over 90</v>
      </c>
      <c r="F989" t="str">
        <f t="shared" si="16"/>
        <v>05/17/2017</v>
      </c>
      <c r="G989" t="str">
        <f>VLOOKUP(A989,inf!$D$2:$E$76,2,FALSE)</f>
        <v>SAFEWAY</v>
      </c>
    </row>
    <row r="990" spans="1:7" x14ac:dyDescent="0.25">
      <c r="A990" t="s">
        <v>5</v>
      </c>
      <c r="B990" s="1">
        <v>42872</v>
      </c>
      <c r="C990" t="s">
        <v>55</v>
      </c>
      <c r="D990">
        <v>5170807.3199999332</v>
      </c>
      <c r="E990" t="str">
        <f>VLOOKUP(C990,inf!$A$2:$B$7,2,FALSE)</f>
        <v>Current</v>
      </c>
      <c r="F990" t="str">
        <f t="shared" si="16"/>
        <v>05/17/2017</v>
      </c>
      <c r="G990" t="str">
        <f>VLOOKUP(A990,inf!$D$2:$E$76,2,FALSE)</f>
        <v>SBUX</v>
      </c>
    </row>
    <row r="991" spans="1:7" x14ac:dyDescent="0.25">
      <c r="A991" t="s">
        <v>5</v>
      </c>
      <c r="B991" s="1">
        <v>42872</v>
      </c>
      <c r="C991" t="s">
        <v>60</v>
      </c>
      <c r="D991">
        <v>71914.64</v>
      </c>
      <c r="E991" t="str">
        <f>VLOOKUP(C991,inf!$A$2:$B$7,2,FALSE)</f>
        <v>Over 90</v>
      </c>
      <c r="F991" t="str">
        <f t="shared" si="16"/>
        <v>05/17/2017</v>
      </c>
      <c r="G991" t="str">
        <f>VLOOKUP(A991,inf!$D$2:$E$76,2,FALSE)</f>
        <v>SBUX</v>
      </c>
    </row>
    <row r="992" spans="1:7" x14ac:dyDescent="0.25">
      <c r="A992" t="s">
        <v>5</v>
      </c>
      <c r="B992" s="1">
        <v>42872</v>
      </c>
      <c r="C992" t="s">
        <v>59</v>
      </c>
      <c r="D992">
        <v>16239.460000000001</v>
      </c>
      <c r="E992" t="str">
        <f>VLOOKUP(C992,inf!$A$2:$B$7,2,FALSE)</f>
        <v>Over 90</v>
      </c>
      <c r="F992" t="str">
        <f t="shared" si="16"/>
        <v>05/17/2017</v>
      </c>
      <c r="G992" t="str">
        <f>VLOOKUP(A992,inf!$D$2:$E$76,2,FALSE)</f>
        <v>SBUX</v>
      </c>
    </row>
    <row r="993" spans="1:7" x14ac:dyDescent="0.25">
      <c r="A993" t="s">
        <v>5</v>
      </c>
      <c r="B993" s="1">
        <v>42872</v>
      </c>
      <c r="C993" t="s">
        <v>56</v>
      </c>
      <c r="D993">
        <v>3862.1600000000003</v>
      </c>
      <c r="E993" t="str">
        <f>VLOOKUP(C993,inf!$A$2:$B$7,2,FALSE)</f>
        <v>Current</v>
      </c>
      <c r="F993" t="str">
        <f t="shared" si="16"/>
        <v>05/17/2017</v>
      </c>
      <c r="G993" t="str">
        <f>VLOOKUP(A993,inf!$D$2:$E$76,2,FALSE)</f>
        <v>SBUX</v>
      </c>
    </row>
    <row r="994" spans="1:7" x14ac:dyDescent="0.25">
      <c r="A994" t="s">
        <v>5</v>
      </c>
      <c r="B994" s="1">
        <v>42872</v>
      </c>
      <c r="C994" t="s">
        <v>58</v>
      </c>
      <c r="D994">
        <v>1924.54</v>
      </c>
      <c r="E994" t="str">
        <f>VLOOKUP(C994,inf!$A$2:$B$7,2,FALSE)</f>
        <v>61 to 90</v>
      </c>
      <c r="F994" t="str">
        <f t="shared" si="16"/>
        <v>05/17/2017</v>
      </c>
      <c r="G994" t="str">
        <f>VLOOKUP(A994,inf!$D$2:$E$76,2,FALSE)</f>
        <v>SBUX</v>
      </c>
    </row>
    <row r="995" spans="1:7" x14ac:dyDescent="0.25">
      <c r="A995" t="s">
        <v>5</v>
      </c>
      <c r="B995" s="1">
        <v>42872</v>
      </c>
      <c r="C995" t="s">
        <v>57</v>
      </c>
      <c r="D995">
        <v>1824.21</v>
      </c>
      <c r="E995" t="str">
        <f>VLOOKUP(C995,inf!$A$2:$B$7,2,FALSE)</f>
        <v>31 to 60</v>
      </c>
      <c r="F995" t="str">
        <f t="shared" si="16"/>
        <v>05/17/2017</v>
      </c>
      <c r="G995" t="str">
        <f>VLOOKUP(A995,inf!$D$2:$E$76,2,FALSE)</f>
        <v>SBUX</v>
      </c>
    </row>
    <row r="996" spans="1:7" x14ac:dyDescent="0.25">
      <c r="A996" t="s">
        <v>6</v>
      </c>
      <c r="B996" s="1">
        <v>42872</v>
      </c>
      <c r="C996" t="s">
        <v>55</v>
      </c>
      <c r="D996">
        <v>503067.66999999859</v>
      </c>
      <c r="E996" t="str">
        <f>VLOOKUP(C996,inf!$A$2:$B$7,2,FALSE)</f>
        <v>Current</v>
      </c>
      <c r="F996" t="str">
        <f t="shared" si="16"/>
        <v>05/17/2017</v>
      </c>
      <c r="G996" t="str">
        <f>VLOOKUP(A996,inf!$D$2:$E$76,2,FALSE)</f>
        <v>SBUX</v>
      </c>
    </row>
    <row r="997" spans="1:7" x14ac:dyDescent="0.25">
      <c r="A997" t="s">
        <v>6</v>
      </c>
      <c r="B997" s="1">
        <v>42872</v>
      </c>
      <c r="C997" t="s">
        <v>60</v>
      </c>
      <c r="D997">
        <v>5290.05</v>
      </c>
      <c r="E997" t="str">
        <f>VLOOKUP(C997,inf!$A$2:$B$7,2,FALSE)</f>
        <v>Over 90</v>
      </c>
      <c r="F997" t="str">
        <f t="shared" si="16"/>
        <v>05/17/2017</v>
      </c>
      <c r="G997" t="str">
        <f>VLOOKUP(A997,inf!$D$2:$E$76,2,FALSE)</f>
        <v>SBUX</v>
      </c>
    </row>
    <row r="998" spans="1:7" x14ac:dyDescent="0.25">
      <c r="A998" t="s">
        <v>6</v>
      </c>
      <c r="B998" s="1">
        <v>42872</v>
      </c>
      <c r="C998" t="s">
        <v>58</v>
      </c>
      <c r="D998">
        <v>2813.79</v>
      </c>
      <c r="E998" t="str">
        <f>VLOOKUP(C998,inf!$A$2:$B$7,2,FALSE)</f>
        <v>61 to 90</v>
      </c>
      <c r="F998" t="str">
        <f t="shared" si="16"/>
        <v>05/17/2017</v>
      </c>
      <c r="G998" t="str">
        <f>VLOOKUP(A998,inf!$D$2:$E$76,2,FALSE)</f>
        <v>SBUX</v>
      </c>
    </row>
    <row r="999" spans="1:7" x14ac:dyDescent="0.25">
      <c r="A999" t="s">
        <v>6</v>
      </c>
      <c r="B999" s="1">
        <v>42872</v>
      </c>
      <c r="C999" t="s">
        <v>56</v>
      </c>
      <c r="D999">
        <v>1649.67</v>
      </c>
      <c r="E999" t="str">
        <f>VLOOKUP(C999,inf!$A$2:$B$7,2,FALSE)</f>
        <v>Current</v>
      </c>
      <c r="F999" t="str">
        <f t="shared" si="16"/>
        <v>05/17/2017</v>
      </c>
      <c r="G999" t="str">
        <f>VLOOKUP(A999,inf!$D$2:$E$76,2,FALSE)</f>
        <v>SBUX</v>
      </c>
    </row>
    <row r="1000" spans="1:7" x14ac:dyDescent="0.25">
      <c r="A1000" t="s">
        <v>6</v>
      </c>
      <c r="B1000" s="1">
        <v>42872</v>
      </c>
      <c r="C1000" t="s">
        <v>57</v>
      </c>
      <c r="D1000">
        <v>1583.57</v>
      </c>
      <c r="E1000" t="str">
        <f>VLOOKUP(C1000,inf!$A$2:$B$7,2,FALSE)</f>
        <v>31 to 60</v>
      </c>
      <c r="F1000" t="str">
        <f t="shared" si="16"/>
        <v>05/17/2017</v>
      </c>
      <c r="G1000" t="str">
        <f>VLOOKUP(A1000,inf!$D$2:$E$76,2,FALSE)</f>
        <v>SBUX</v>
      </c>
    </row>
    <row r="1001" spans="1:7" x14ac:dyDescent="0.25">
      <c r="A1001" t="s">
        <v>6</v>
      </c>
      <c r="B1001" s="1">
        <v>42872</v>
      </c>
      <c r="C1001" t="s">
        <v>59</v>
      </c>
      <c r="D1001">
        <v>178.3</v>
      </c>
      <c r="E1001" t="str">
        <f>VLOOKUP(C1001,inf!$A$2:$B$7,2,FALSE)</f>
        <v>Over 90</v>
      </c>
      <c r="F1001" t="str">
        <f t="shared" si="16"/>
        <v>05/17/2017</v>
      </c>
      <c r="G1001" t="str">
        <f>VLOOKUP(A1001,inf!$D$2:$E$76,2,FALSE)</f>
        <v>SBUX</v>
      </c>
    </row>
    <row r="1002" spans="1:7" x14ac:dyDescent="0.25">
      <c r="A1002" t="s">
        <v>51</v>
      </c>
      <c r="B1002" s="1">
        <v>42872</v>
      </c>
      <c r="C1002" t="s">
        <v>56</v>
      </c>
      <c r="D1002">
        <v>235.2</v>
      </c>
      <c r="E1002" t="str">
        <f>VLOOKUP(C1002,inf!$A$2:$B$7,2,FALSE)</f>
        <v>Current</v>
      </c>
      <c r="F1002" t="str">
        <f t="shared" si="16"/>
        <v>05/17/2017</v>
      </c>
      <c r="G1002" t="str">
        <f>VLOOKUP(A1002,inf!$D$2:$E$76,2,FALSE)</f>
        <v>Other</v>
      </c>
    </row>
    <row r="1003" spans="1:7" x14ac:dyDescent="0.25">
      <c r="A1003" t="s">
        <v>48</v>
      </c>
      <c r="B1003" s="1">
        <v>42872</v>
      </c>
      <c r="C1003" t="s">
        <v>55</v>
      </c>
      <c r="D1003">
        <v>13859.83</v>
      </c>
      <c r="E1003" t="str">
        <f>VLOOKUP(C1003,inf!$A$2:$B$7,2,FALSE)</f>
        <v>Current</v>
      </c>
      <c r="F1003" t="str">
        <f t="shared" si="16"/>
        <v>05/17/2017</v>
      </c>
      <c r="G1003" t="str">
        <f>VLOOKUP(A1003,inf!$D$2:$E$76,2,FALSE)</f>
        <v>Target</v>
      </c>
    </row>
    <row r="1004" spans="1:7" x14ac:dyDescent="0.25">
      <c r="A1004" t="s">
        <v>8</v>
      </c>
      <c r="B1004" s="1">
        <v>42872</v>
      </c>
      <c r="C1004" t="s">
        <v>55</v>
      </c>
      <c r="D1004">
        <v>417492.25999999931</v>
      </c>
      <c r="E1004" t="str">
        <f>VLOOKUP(C1004,inf!$A$2:$B$7,2,FALSE)</f>
        <v>Current</v>
      </c>
      <c r="F1004" t="str">
        <f t="shared" si="16"/>
        <v>05/17/2017</v>
      </c>
      <c r="G1004" t="str">
        <f>VLOOKUP(A1004,inf!$D$2:$E$76,2,FALSE)</f>
        <v>Target</v>
      </c>
    </row>
    <row r="1005" spans="1:7" x14ac:dyDescent="0.25">
      <c r="A1005" t="s">
        <v>8</v>
      </c>
      <c r="B1005" s="1">
        <v>42872</v>
      </c>
      <c r="C1005" t="s">
        <v>60</v>
      </c>
      <c r="D1005">
        <v>24130.110000000011</v>
      </c>
      <c r="E1005" t="str">
        <f>VLOOKUP(C1005,inf!$A$2:$B$7,2,FALSE)</f>
        <v>Over 90</v>
      </c>
      <c r="F1005" t="str">
        <f t="shared" si="16"/>
        <v>05/17/2017</v>
      </c>
      <c r="G1005" t="str">
        <f>VLOOKUP(A1005,inf!$D$2:$E$76,2,FALSE)</f>
        <v>Target</v>
      </c>
    </row>
    <row r="1006" spans="1:7" x14ac:dyDescent="0.25">
      <c r="A1006" t="s">
        <v>8</v>
      </c>
      <c r="B1006" s="1">
        <v>42872</v>
      </c>
      <c r="C1006" t="s">
        <v>58</v>
      </c>
      <c r="D1006">
        <v>5100.7899999999991</v>
      </c>
      <c r="E1006" t="str">
        <f>VLOOKUP(C1006,inf!$A$2:$B$7,2,FALSE)</f>
        <v>61 to 90</v>
      </c>
      <c r="F1006" t="str">
        <f t="shared" si="16"/>
        <v>05/17/2017</v>
      </c>
      <c r="G1006" t="str">
        <f>VLOOKUP(A1006,inf!$D$2:$E$76,2,FALSE)</f>
        <v>Target</v>
      </c>
    </row>
    <row r="1007" spans="1:7" x14ac:dyDescent="0.25">
      <c r="A1007" t="s">
        <v>8</v>
      </c>
      <c r="B1007" s="1">
        <v>42872</v>
      </c>
      <c r="C1007" t="s">
        <v>56</v>
      </c>
      <c r="D1007">
        <v>2055.2600000000002</v>
      </c>
      <c r="E1007" t="str">
        <f>VLOOKUP(C1007,inf!$A$2:$B$7,2,FALSE)</f>
        <v>Current</v>
      </c>
      <c r="F1007" t="str">
        <f t="shared" si="16"/>
        <v>05/17/2017</v>
      </c>
      <c r="G1007" t="str">
        <f>VLOOKUP(A1007,inf!$D$2:$E$76,2,FALSE)</f>
        <v>Target</v>
      </c>
    </row>
    <row r="1008" spans="1:7" x14ac:dyDescent="0.25">
      <c r="A1008" t="s">
        <v>8</v>
      </c>
      <c r="B1008" s="1">
        <v>42872</v>
      </c>
      <c r="C1008" t="s">
        <v>59</v>
      </c>
      <c r="D1008">
        <v>597.32999999999993</v>
      </c>
      <c r="E1008" t="str">
        <f>VLOOKUP(C1008,inf!$A$2:$B$7,2,FALSE)</f>
        <v>Over 90</v>
      </c>
      <c r="F1008" t="str">
        <f t="shared" si="16"/>
        <v>05/17/2017</v>
      </c>
      <c r="G1008" t="str">
        <f>VLOOKUP(A1008,inf!$D$2:$E$76,2,FALSE)</f>
        <v>Target</v>
      </c>
    </row>
    <row r="1009" spans="1:7" x14ac:dyDescent="0.25">
      <c r="A1009" t="s">
        <v>8</v>
      </c>
      <c r="B1009" s="1">
        <v>42872</v>
      </c>
      <c r="C1009" t="s">
        <v>57</v>
      </c>
      <c r="D1009">
        <v>293.50000000000006</v>
      </c>
      <c r="E1009" t="str">
        <f>VLOOKUP(C1009,inf!$A$2:$B$7,2,FALSE)</f>
        <v>31 to 60</v>
      </c>
      <c r="F1009" t="str">
        <f t="shared" si="16"/>
        <v>05/17/2017</v>
      </c>
      <c r="G1009" t="str">
        <f>VLOOKUP(A1009,inf!$D$2:$E$76,2,FALSE)</f>
        <v>Target</v>
      </c>
    </row>
    <row r="1010" spans="1:7" x14ac:dyDescent="0.25">
      <c r="A1010" t="s">
        <v>54</v>
      </c>
      <c r="B1010" s="1">
        <v>42872</v>
      </c>
      <c r="C1010" t="s">
        <v>55</v>
      </c>
      <c r="D1010">
        <v>114.85</v>
      </c>
      <c r="E1010" t="str">
        <f>VLOOKUP(C1010,inf!$A$2:$B$7,2,FALSE)</f>
        <v>Current</v>
      </c>
      <c r="F1010" t="str">
        <f t="shared" si="16"/>
        <v>05/17/2017</v>
      </c>
      <c r="G1010" t="str">
        <f>VLOOKUP(A1010,inf!$D$2:$E$76,2,FALSE)</f>
        <v>Other</v>
      </c>
    </row>
    <row r="1011" spans="1:7" x14ac:dyDescent="0.25">
      <c r="A1011" t="s">
        <v>54</v>
      </c>
      <c r="B1011" s="1">
        <v>42872</v>
      </c>
      <c r="C1011" t="s">
        <v>56</v>
      </c>
      <c r="D1011">
        <v>114.85</v>
      </c>
      <c r="E1011" t="str">
        <f>VLOOKUP(C1011,inf!$A$2:$B$7,2,FALSE)</f>
        <v>Current</v>
      </c>
      <c r="F1011" t="str">
        <f t="shared" si="16"/>
        <v>05/17/2017</v>
      </c>
      <c r="G1011" t="str">
        <f>VLOOKUP(A1011,inf!$D$2:$E$76,2,FALSE)</f>
        <v>Other</v>
      </c>
    </row>
    <row r="1012" spans="1:7" x14ac:dyDescent="0.25">
      <c r="A1012" t="s">
        <v>15</v>
      </c>
      <c r="B1012" s="1">
        <v>42872</v>
      </c>
      <c r="C1012" t="s">
        <v>57</v>
      </c>
      <c r="D1012">
        <v>468.24</v>
      </c>
      <c r="E1012" t="str">
        <f>VLOOKUP(C1012,inf!$A$2:$B$7,2,FALSE)</f>
        <v>31 to 60</v>
      </c>
      <c r="F1012" t="str">
        <f t="shared" si="16"/>
        <v>05/17/2017</v>
      </c>
      <c r="G1012" t="str">
        <f>VLOOKUP(A1012,inf!$D$2:$E$76,2,FALSE)</f>
        <v>Other</v>
      </c>
    </row>
    <row r="1013" spans="1:7" x14ac:dyDescent="0.25">
      <c r="A1013" t="s">
        <v>15</v>
      </c>
      <c r="B1013" s="1">
        <v>42872</v>
      </c>
      <c r="C1013" t="s">
        <v>55</v>
      </c>
      <c r="D1013">
        <v>256.45</v>
      </c>
      <c r="E1013" t="str">
        <f>VLOOKUP(C1013,inf!$A$2:$B$7,2,FALSE)</f>
        <v>Current</v>
      </c>
      <c r="F1013" t="str">
        <f t="shared" si="16"/>
        <v>05/17/2017</v>
      </c>
      <c r="G1013" t="str">
        <f>VLOOKUP(A1013,inf!$D$2:$E$76,2,FALSE)</f>
        <v>Other</v>
      </c>
    </row>
    <row r="1014" spans="1:7" x14ac:dyDescent="0.25">
      <c r="A1014" t="s">
        <v>15</v>
      </c>
      <c r="B1014" s="1">
        <v>42872</v>
      </c>
      <c r="C1014" t="s">
        <v>59</v>
      </c>
      <c r="D1014">
        <v>126.05</v>
      </c>
      <c r="E1014" t="str">
        <f>VLOOKUP(C1014,inf!$A$2:$B$7,2,FALSE)</f>
        <v>Over 90</v>
      </c>
      <c r="F1014" t="str">
        <f t="shared" si="16"/>
        <v>05/17/2017</v>
      </c>
      <c r="G1014" t="str">
        <f>VLOOKUP(A1014,inf!$D$2:$E$76,2,FALSE)</f>
        <v>Other</v>
      </c>
    </row>
    <row r="1015" spans="1:7" x14ac:dyDescent="0.25">
      <c r="A1015" t="s">
        <v>4</v>
      </c>
      <c r="B1015" s="1">
        <v>42879</v>
      </c>
      <c r="C1015" t="s">
        <v>55</v>
      </c>
      <c r="D1015">
        <v>12666.030000000002</v>
      </c>
      <c r="E1015" t="str">
        <f>VLOOKUP(C1015,inf!$A$2:$B$7,2,FALSE)</f>
        <v>Current</v>
      </c>
      <c r="F1015" t="str">
        <f t="shared" si="16"/>
        <v>05/24/2017</v>
      </c>
      <c r="G1015" t="str">
        <f>VLOOKUP(A1015,inf!$D$2:$E$76,2,FALSE)</f>
        <v>Other</v>
      </c>
    </row>
    <row r="1016" spans="1:7" x14ac:dyDescent="0.25">
      <c r="A1016" t="s">
        <v>26</v>
      </c>
      <c r="B1016" s="1">
        <v>42879</v>
      </c>
      <c r="C1016" t="s">
        <v>60</v>
      </c>
      <c r="D1016">
        <v>1380.77</v>
      </c>
      <c r="E1016" t="str">
        <f>VLOOKUP(C1016,inf!$A$2:$B$7,2,FALSE)</f>
        <v>Over 90</v>
      </c>
      <c r="F1016" t="str">
        <f t="shared" si="16"/>
        <v>05/24/2017</v>
      </c>
      <c r="G1016" t="str">
        <f>VLOOKUP(A1016,inf!$D$2:$E$76,2,FALSE)</f>
        <v>Other</v>
      </c>
    </row>
    <row r="1017" spans="1:7" x14ac:dyDescent="0.25">
      <c r="A1017" t="s">
        <v>2</v>
      </c>
      <c r="B1017" s="1">
        <v>42879</v>
      </c>
      <c r="C1017" t="s">
        <v>60</v>
      </c>
      <c r="D1017">
        <v>3717.8600000000006</v>
      </c>
      <c r="E1017" t="str">
        <f>VLOOKUP(C1017,inf!$A$2:$B$7,2,FALSE)</f>
        <v>Over 90</v>
      </c>
      <c r="F1017" t="str">
        <f t="shared" si="16"/>
        <v>05/24/2017</v>
      </c>
      <c r="G1017" t="str">
        <f>VLOOKUP(A1017,inf!$D$2:$E$76,2,FALSE)</f>
        <v>Other</v>
      </c>
    </row>
    <row r="1018" spans="1:7" x14ac:dyDescent="0.25">
      <c r="A1018" t="s">
        <v>32</v>
      </c>
      <c r="B1018" s="1">
        <v>42879</v>
      </c>
      <c r="C1018" t="s">
        <v>55</v>
      </c>
      <c r="D1018">
        <v>260.04000000000002</v>
      </c>
      <c r="E1018" t="str">
        <f>VLOOKUP(C1018,inf!$A$2:$B$7,2,FALSE)</f>
        <v>Current</v>
      </c>
      <c r="F1018" t="str">
        <f t="shared" si="16"/>
        <v>05/24/2017</v>
      </c>
      <c r="G1018" t="str">
        <f>VLOOKUP(A1018,inf!$D$2:$E$76,2,FALSE)</f>
        <v>Other</v>
      </c>
    </row>
    <row r="1019" spans="1:7" x14ac:dyDescent="0.25">
      <c r="A1019" t="s">
        <v>47</v>
      </c>
      <c r="B1019" s="1">
        <v>42879</v>
      </c>
      <c r="C1019" t="s">
        <v>55</v>
      </c>
      <c r="D1019">
        <v>251.91</v>
      </c>
      <c r="E1019" t="str">
        <f>VLOOKUP(C1019,inf!$A$2:$B$7,2,FALSE)</f>
        <v>Current</v>
      </c>
      <c r="F1019" t="str">
        <f t="shared" si="16"/>
        <v>05/24/2017</v>
      </c>
      <c r="G1019" t="str">
        <f>VLOOKUP(A1019,inf!$D$2:$E$76,2,FALSE)</f>
        <v>Other</v>
      </c>
    </row>
    <row r="1020" spans="1:7" x14ac:dyDescent="0.25">
      <c r="A1020" t="s">
        <v>19</v>
      </c>
      <c r="B1020" s="1">
        <v>42879</v>
      </c>
      <c r="C1020" t="s">
        <v>56</v>
      </c>
      <c r="D1020">
        <v>565.36</v>
      </c>
      <c r="E1020" t="str">
        <f>VLOOKUP(C1020,inf!$A$2:$B$7,2,FALSE)</f>
        <v>Current</v>
      </c>
      <c r="F1020" t="str">
        <f t="shared" si="16"/>
        <v>05/24/2017</v>
      </c>
      <c r="G1020" t="str">
        <f>VLOOKUP(A1020,inf!$D$2:$E$76,2,FALSE)</f>
        <v>Other</v>
      </c>
    </row>
    <row r="1021" spans="1:7" x14ac:dyDescent="0.25">
      <c r="A1021" t="s">
        <v>31</v>
      </c>
      <c r="B1021" s="1">
        <v>42879</v>
      </c>
      <c r="C1021" t="s">
        <v>56</v>
      </c>
      <c r="D1021">
        <v>3335.5199999999995</v>
      </c>
      <c r="E1021" t="str">
        <f>VLOOKUP(C1021,inf!$A$2:$B$7,2,FALSE)</f>
        <v>Current</v>
      </c>
      <c r="F1021" t="str">
        <f t="shared" si="16"/>
        <v>05/24/2017</v>
      </c>
      <c r="G1021" t="str">
        <f>VLOOKUP(A1021,inf!$D$2:$E$76,2,FALSE)</f>
        <v>Other</v>
      </c>
    </row>
    <row r="1022" spans="1:7" x14ac:dyDescent="0.25">
      <c r="A1022" t="s">
        <v>31</v>
      </c>
      <c r="B1022" s="1">
        <v>42879</v>
      </c>
      <c r="C1022" t="s">
        <v>55</v>
      </c>
      <c r="D1022">
        <v>1347.1299999999999</v>
      </c>
      <c r="E1022" t="str">
        <f>VLOOKUP(C1022,inf!$A$2:$B$7,2,FALSE)</f>
        <v>Current</v>
      </c>
      <c r="F1022" t="str">
        <f t="shared" si="16"/>
        <v>05/24/2017</v>
      </c>
      <c r="G1022" t="str">
        <f>VLOOKUP(A1022,inf!$D$2:$E$76,2,FALSE)</f>
        <v>Other</v>
      </c>
    </row>
    <row r="1023" spans="1:7" x14ac:dyDescent="0.25">
      <c r="A1023" t="s">
        <v>24</v>
      </c>
      <c r="B1023" s="1">
        <v>42879</v>
      </c>
      <c r="C1023" t="s">
        <v>55</v>
      </c>
      <c r="D1023">
        <v>981.91000000000008</v>
      </c>
      <c r="E1023" t="str">
        <f>VLOOKUP(C1023,inf!$A$2:$B$7,2,FALSE)</f>
        <v>Current</v>
      </c>
      <c r="F1023" t="str">
        <f t="shared" si="16"/>
        <v>05/24/2017</v>
      </c>
      <c r="G1023" t="str">
        <f>VLOOKUP(A1023,inf!$D$2:$E$76,2,FALSE)</f>
        <v>Other</v>
      </c>
    </row>
    <row r="1024" spans="1:7" x14ac:dyDescent="0.25">
      <c r="A1024" t="s">
        <v>24</v>
      </c>
      <c r="B1024" s="1">
        <v>42879</v>
      </c>
      <c r="C1024" t="s">
        <v>56</v>
      </c>
      <c r="D1024">
        <v>308.7</v>
      </c>
      <c r="E1024" t="str">
        <f>VLOOKUP(C1024,inf!$A$2:$B$7,2,FALSE)</f>
        <v>Current</v>
      </c>
      <c r="F1024" t="str">
        <f t="shared" si="16"/>
        <v>05/24/2017</v>
      </c>
      <c r="G1024" t="str">
        <f>VLOOKUP(A1024,inf!$D$2:$E$76,2,FALSE)</f>
        <v>Other</v>
      </c>
    </row>
    <row r="1025" spans="1:7" x14ac:dyDescent="0.25">
      <c r="A1025" t="s">
        <v>18</v>
      </c>
      <c r="B1025" s="1">
        <v>42879</v>
      </c>
      <c r="C1025" t="s">
        <v>57</v>
      </c>
      <c r="D1025">
        <v>373.26</v>
      </c>
      <c r="E1025" t="str">
        <f>VLOOKUP(C1025,inf!$A$2:$B$7,2,FALSE)</f>
        <v>31 to 60</v>
      </c>
      <c r="F1025" t="str">
        <f t="shared" si="16"/>
        <v>05/24/2017</v>
      </c>
      <c r="G1025" t="str">
        <f>VLOOKUP(A1025,inf!$D$2:$E$76,2,FALSE)</f>
        <v>Other</v>
      </c>
    </row>
    <row r="1026" spans="1:7" x14ac:dyDescent="0.25">
      <c r="A1026" t="s">
        <v>27</v>
      </c>
      <c r="B1026" s="1">
        <v>42879</v>
      </c>
      <c r="C1026" t="s">
        <v>55</v>
      </c>
      <c r="D1026">
        <v>244.7</v>
      </c>
      <c r="E1026" t="str">
        <f>VLOOKUP(C1026,inf!$A$2:$B$7,2,FALSE)</f>
        <v>Current</v>
      </c>
      <c r="F1026" t="str">
        <f t="shared" si="16"/>
        <v>05/24/2017</v>
      </c>
      <c r="G1026" t="str">
        <f>VLOOKUP(A1026,inf!$D$2:$E$76,2,FALSE)</f>
        <v>Other</v>
      </c>
    </row>
    <row r="1027" spans="1:7" x14ac:dyDescent="0.25">
      <c r="A1027" t="s">
        <v>62</v>
      </c>
      <c r="B1027" s="1">
        <v>42879</v>
      </c>
      <c r="C1027" t="s">
        <v>58</v>
      </c>
      <c r="D1027">
        <v>238.6</v>
      </c>
      <c r="E1027" t="str">
        <f>VLOOKUP(C1027,inf!$A$2:$B$7,2,FALSE)</f>
        <v>61 to 90</v>
      </c>
      <c r="F1027" t="str">
        <f t="shared" ref="F1027:F1090" si="17">TEXT(B1027,"MM/DD/YYYY")</f>
        <v>05/24/2017</v>
      </c>
      <c r="G1027" t="str">
        <f>VLOOKUP(A1027,inf!$D$2:$E$76,2,FALSE)</f>
        <v>Other</v>
      </c>
    </row>
    <row r="1028" spans="1:7" x14ac:dyDescent="0.25">
      <c r="A1028" t="s">
        <v>21</v>
      </c>
      <c r="B1028" s="1">
        <v>42879</v>
      </c>
      <c r="C1028" t="s">
        <v>57</v>
      </c>
      <c r="D1028">
        <v>2728.4900000000002</v>
      </c>
      <c r="E1028" t="str">
        <f>VLOOKUP(C1028,inf!$A$2:$B$7,2,FALSE)</f>
        <v>31 to 60</v>
      </c>
      <c r="F1028" t="str">
        <f t="shared" si="17"/>
        <v>05/24/2017</v>
      </c>
      <c r="G1028" t="str">
        <f>VLOOKUP(A1028,inf!$D$2:$E$76,2,FALSE)</f>
        <v>Other</v>
      </c>
    </row>
    <row r="1029" spans="1:7" x14ac:dyDescent="0.25">
      <c r="A1029" t="s">
        <v>21</v>
      </c>
      <c r="B1029" s="1">
        <v>42879</v>
      </c>
      <c r="C1029" t="s">
        <v>56</v>
      </c>
      <c r="D1029">
        <v>666.87</v>
      </c>
      <c r="E1029" t="str">
        <f>VLOOKUP(C1029,inf!$A$2:$B$7,2,FALSE)</f>
        <v>Current</v>
      </c>
      <c r="F1029" t="str">
        <f t="shared" si="17"/>
        <v>05/24/2017</v>
      </c>
      <c r="G1029" t="str">
        <f>VLOOKUP(A1029,inf!$D$2:$E$76,2,FALSE)</f>
        <v>Other</v>
      </c>
    </row>
    <row r="1030" spans="1:7" x14ac:dyDescent="0.25">
      <c r="A1030" t="s">
        <v>3</v>
      </c>
      <c r="B1030" s="1">
        <v>42879</v>
      </c>
      <c r="C1030" t="s">
        <v>57</v>
      </c>
      <c r="D1030">
        <v>7015.9999999999982</v>
      </c>
      <c r="E1030" t="str">
        <f>VLOOKUP(C1030,inf!$A$2:$B$7,2,FALSE)</f>
        <v>31 to 60</v>
      </c>
      <c r="F1030" t="str">
        <f t="shared" si="17"/>
        <v>05/24/2017</v>
      </c>
      <c r="G1030" t="str">
        <f>VLOOKUP(A1030,inf!$D$2:$E$76,2,FALSE)</f>
        <v>Other</v>
      </c>
    </row>
    <row r="1031" spans="1:7" x14ac:dyDescent="0.25">
      <c r="A1031" t="s">
        <v>3</v>
      </c>
      <c r="B1031" s="1">
        <v>42879</v>
      </c>
      <c r="C1031" t="s">
        <v>55</v>
      </c>
      <c r="D1031">
        <v>3856.8399999999997</v>
      </c>
      <c r="E1031" t="str">
        <f>VLOOKUP(C1031,inf!$A$2:$B$7,2,FALSE)</f>
        <v>Current</v>
      </c>
      <c r="F1031" t="str">
        <f t="shared" si="17"/>
        <v>05/24/2017</v>
      </c>
      <c r="G1031" t="str">
        <f>VLOOKUP(A1031,inf!$D$2:$E$76,2,FALSE)</f>
        <v>Other</v>
      </c>
    </row>
    <row r="1032" spans="1:7" x14ac:dyDescent="0.25">
      <c r="A1032" t="s">
        <v>30</v>
      </c>
      <c r="B1032" s="1">
        <v>42879</v>
      </c>
      <c r="C1032" t="s">
        <v>55</v>
      </c>
      <c r="D1032">
        <v>652.78</v>
      </c>
      <c r="E1032" t="str">
        <f>VLOOKUP(C1032,inf!$A$2:$B$7,2,FALSE)</f>
        <v>Current</v>
      </c>
      <c r="F1032" t="str">
        <f t="shared" si="17"/>
        <v>05/24/2017</v>
      </c>
      <c r="G1032" t="str">
        <f>VLOOKUP(A1032,inf!$D$2:$E$76,2,FALSE)</f>
        <v>Other</v>
      </c>
    </row>
    <row r="1033" spans="1:7" x14ac:dyDescent="0.25">
      <c r="A1033" t="s">
        <v>30</v>
      </c>
      <c r="B1033" s="1">
        <v>42879</v>
      </c>
      <c r="C1033" t="s">
        <v>56</v>
      </c>
      <c r="D1033">
        <v>287.13</v>
      </c>
      <c r="E1033" t="str">
        <f>VLOOKUP(C1033,inf!$A$2:$B$7,2,FALSE)</f>
        <v>Current</v>
      </c>
      <c r="F1033" t="str">
        <f t="shared" si="17"/>
        <v>05/24/2017</v>
      </c>
      <c r="G1033" t="str">
        <f>VLOOKUP(A1033,inf!$D$2:$E$76,2,FALSE)</f>
        <v>Other</v>
      </c>
    </row>
    <row r="1034" spans="1:7" x14ac:dyDescent="0.25">
      <c r="A1034" t="s">
        <v>12</v>
      </c>
      <c r="B1034" s="1">
        <v>42879</v>
      </c>
      <c r="C1034" t="s">
        <v>55</v>
      </c>
      <c r="D1034">
        <v>2021.1000000000001</v>
      </c>
      <c r="E1034" t="str">
        <f>VLOOKUP(C1034,inf!$A$2:$B$7,2,FALSE)</f>
        <v>Current</v>
      </c>
      <c r="F1034" t="str">
        <f t="shared" si="17"/>
        <v>05/24/2017</v>
      </c>
      <c r="G1034" t="str">
        <f>VLOOKUP(A1034,inf!$D$2:$E$76,2,FALSE)</f>
        <v>Other</v>
      </c>
    </row>
    <row r="1035" spans="1:7" x14ac:dyDescent="0.25">
      <c r="A1035" t="s">
        <v>12</v>
      </c>
      <c r="B1035" s="1">
        <v>42879</v>
      </c>
      <c r="C1035" t="s">
        <v>56</v>
      </c>
      <c r="D1035">
        <v>305.09000000000003</v>
      </c>
      <c r="E1035" t="str">
        <f>VLOOKUP(C1035,inf!$A$2:$B$7,2,FALSE)</f>
        <v>Current</v>
      </c>
      <c r="F1035" t="str">
        <f t="shared" si="17"/>
        <v>05/24/2017</v>
      </c>
      <c r="G1035" t="str">
        <f>VLOOKUP(A1035,inf!$D$2:$E$76,2,FALSE)</f>
        <v>Other</v>
      </c>
    </row>
    <row r="1036" spans="1:7" x14ac:dyDescent="0.25">
      <c r="A1036" t="s">
        <v>12</v>
      </c>
      <c r="B1036" s="1">
        <v>42879</v>
      </c>
      <c r="C1036" t="s">
        <v>57</v>
      </c>
      <c r="D1036">
        <v>85</v>
      </c>
      <c r="E1036" t="str">
        <f>VLOOKUP(C1036,inf!$A$2:$B$7,2,FALSE)</f>
        <v>31 to 60</v>
      </c>
      <c r="F1036" t="str">
        <f t="shared" si="17"/>
        <v>05/24/2017</v>
      </c>
      <c r="G1036" t="str">
        <f>VLOOKUP(A1036,inf!$D$2:$E$76,2,FALSE)</f>
        <v>Other</v>
      </c>
    </row>
    <row r="1037" spans="1:7" x14ac:dyDescent="0.25">
      <c r="A1037" t="s">
        <v>23</v>
      </c>
      <c r="B1037" s="1">
        <v>42879</v>
      </c>
      <c r="C1037" t="s">
        <v>55</v>
      </c>
      <c r="D1037">
        <v>574.45000000000005</v>
      </c>
      <c r="E1037" t="str">
        <f>VLOOKUP(C1037,inf!$A$2:$B$7,2,FALSE)</f>
        <v>Current</v>
      </c>
      <c r="F1037" t="str">
        <f t="shared" si="17"/>
        <v>05/24/2017</v>
      </c>
      <c r="G1037" t="str">
        <f>VLOOKUP(A1037,inf!$D$2:$E$76,2,FALSE)</f>
        <v>Other</v>
      </c>
    </row>
    <row r="1038" spans="1:7" x14ac:dyDescent="0.25">
      <c r="A1038" t="s">
        <v>7</v>
      </c>
      <c r="B1038" s="1">
        <v>42879</v>
      </c>
      <c r="C1038" t="s">
        <v>55</v>
      </c>
      <c r="D1038">
        <v>69639.589999999967</v>
      </c>
      <c r="E1038" t="str">
        <f>VLOOKUP(C1038,inf!$A$2:$B$7,2,FALSE)</f>
        <v>Current</v>
      </c>
      <c r="F1038" t="str">
        <f t="shared" si="17"/>
        <v>05/24/2017</v>
      </c>
      <c r="G1038" t="str">
        <f>VLOOKUP(A1038,inf!$D$2:$E$76,2,FALSE)</f>
        <v>SAFEWAY</v>
      </c>
    </row>
    <row r="1039" spans="1:7" x14ac:dyDescent="0.25">
      <c r="A1039" t="s">
        <v>7</v>
      </c>
      <c r="B1039" s="1">
        <v>42879</v>
      </c>
      <c r="C1039" t="s">
        <v>56</v>
      </c>
      <c r="D1039">
        <v>16557.630000000008</v>
      </c>
      <c r="E1039" t="str">
        <f>VLOOKUP(C1039,inf!$A$2:$B$7,2,FALSE)</f>
        <v>Current</v>
      </c>
      <c r="F1039" t="str">
        <f t="shared" si="17"/>
        <v>05/24/2017</v>
      </c>
      <c r="G1039" t="str">
        <f>VLOOKUP(A1039,inf!$D$2:$E$76,2,FALSE)</f>
        <v>SAFEWAY</v>
      </c>
    </row>
    <row r="1040" spans="1:7" x14ac:dyDescent="0.25">
      <c r="A1040" t="s">
        <v>7</v>
      </c>
      <c r="B1040" s="1">
        <v>42879</v>
      </c>
      <c r="C1040" t="s">
        <v>58</v>
      </c>
      <c r="D1040">
        <v>624.54</v>
      </c>
      <c r="E1040" t="str">
        <f>VLOOKUP(C1040,inf!$A$2:$B$7,2,FALSE)</f>
        <v>61 to 90</v>
      </c>
      <c r="F1040" t="str">
        <f t="shared" si="17"/>
        <v>05/24/2017</v>
      </c>
      <c r="G1040" t="str">
        <f>VLOOKUP(A1040,inf!$D$2:$E$76,2,FALSE)</f>
        <v>SAFEWAY</v>
      </c>
    </row>
    <row r="1041" spans="1:7" x14ac:dyDescent="0.25">
      <c r="A1041" t="s">
        <v>5</v>
      </c>
      <c r="B1041" s="1">
        <v>42879</v>
      </c>
      <c r="C1041" t="s">
        <v>55</v>
      </c>
      <c r="D1041">
        <v>4749487.4100000234</v>
      </c>
      <c r="E1041" t="str">
        <f>VLOOKUP(C1041,inf!$A$2:$B$7,2,FALSE)</f>
        <v>Current</v>
      </c>
      <c r="F1041" t="str">
        <f t="shared" si="17"/>
        <v>05/24/2017</v>
      </c>
      <c r="G1041" t="str">
        <f>VLOOKUP(A1041,inf!$D$2:$E$76,2,FALSE)</f>
        <v>SBUX</v>
      </c>
    </row>
    <row r="1042" spans="1:7" x14ac:dyDescent="0.25">
      <c r="A1042" t="s">
        <v>5</v>
      </c>
      <c r="B1042" s="1">
        <v>42879</v>
      </c>
      <c r="C1042" t="s">
        <v>60</v>
      </c>
      <c r="D1042">
        <v>79546.12000000001</v>
      </c>
      <c r="E1042" t="str">
        <f>VLOOKUP(C1042,inf!$A$2:$B$7,2,FALSE)</f>
        <v>Over 90</v>
      </c>
      <c r="F1042" t="str">
        <f t="shared" si="17"/>
        <v>05/24/2017</v>
      </c>
      <c r="G1042" t="str">
        <f>VLOOKUP(A1042,inf!$D$2:$E$76,2,FALSE)</f>
        <v>SBUX</v>
      </c>
    </row>
    <row r="1043" spans="1:7" x14ac:dyDescent="0.25">
      <c r="A1043" t="s">
        <v>5</v>
      </c>
      <c r="B1043" s="1">
        <v>42879</v>
      </c>
      <c r="C1043" t="s">
        <v>59</v>
      </c>
      <c r="D1043">
        <v>9282.3999999999978</v>
      </c>
      <c r="E1043" t="str">
        <f>VLOOKUP(C1043,inf!$A$2:$B$7,2,FALSE)</f>
        <v>Over 90</v>
      </c>
      <c r="F1043" t="str">
        <f t="shared" si="17"/>
        <v>05/24/2017</v>
      </c>
      <c r="G1043" t="str">
        <f>VLOOKUP(A1043,inf!$D$2:$E$76,2,FALSE)</f>
        <v>SBUX</v>
      </c>
    </row>
    <row r="1044" spans="1:7" x14ac:dyDescent="0.25">
      <c r="A1044" t="s">
        <v>5</v>
      </c>
      <c r="B1044" s="1">
        <v>42879</v>
      </c>
      <c r="C1044" t="s">
        <v>56</v>
      </c>
      <c r="D1044">
        <v>3126.46</v>
      </c>
      <c r="E1044" t="str">
        <f>VLOOKUP(C1044,inf!$A$2:$B$7,2,FALSE)</f>
        <v>Current</v>
      </c>
      <c r="F1044" t="str">
        <f t="shared" si="17"/>
        <v>05/24/2017</v>
      </c>
      <c r="G1044" t="str">
        <f>VLOOKUP(A1044,inf!$D$2:$E$76,2,FALSE)</f>
        <v>SBUX</v>
      </c>
    </row>
    <row r="1045" spans="1:7" x14ac:dyDescent="0.25">
      <c r="A1045" t="s">
        <v>5</v>
      </c>
      <c r="B1045" s="1">
        <v>42879</v>
      </c>
      <c r="C1045" t="s">
        <v>57</v>
      </c>
      <c r="D1045">
        <v>1849.02</v>
      </c>
      <c r="E1045" t="str">
        <f>VLOOKUP(C1045,inf!$A$2:$B$7,2,FALSE)</f>
        <v>31 to 60</v>
      </c>
      <c r="F1045" t="str">
        <f t="shared" si="17"/>
        <v>05/24/2017</v>
      </c>
      <c r="G1045" t="str">
        <f>VLOOKUP(A1045,inf!$D$2:$E$76,2,FALSE)</f>
        <v>SBUX</v>
      </c>
    </row>
    <row r="1046" spans="1:7" x14ac:dyDescent="0.25">
      <c r="A1046" t="s">
        <v>5</v>
      </c>
      <c r="B1046" s="1">
        <v>42879</v>
      </c>
      <c r="C1046" t="s">
        <v>58</v>
      </c>
      <c r="D1046">
        <v>1425.31</v>
      </c>
      <c r="E1046" t="str">
        <f>VLOOKUP(C1046,inf!$A$2:$B$7,2,FALSE)</f>
        <v>61 to 90</v>
      </c>
      <c r="F1046" t="str">
        <f t="shared" si="17"/>
        <v>05/24/2017</v>
      </c>
      <c r="G1046" t="str">
        <f>VLOOKUP(A1046,inf!$D$2:$E$76,2,FALSE)</f>
        <v>SBUX</v>
      </c>
    </row>
    <row r="1047" spans="1:7" x14ac:dyDescent="0.25">
      <c r="A1047" t="s">
        <v>6</v>
      </c>
      <c r="B1047" s="1">
        <v>42879</v>
      </c>
      <c r="C1047" t="s">
        <v>55</v>
      </c>
      <c r="D1047">
        <v>477092.79999999946</v>
      </c>
      <c r="E1047" t="str">
        <f>VLOOKUP(C1047,inf!$A$2:$B$7,2,FALSE)</f>
        <v>Current</v>
      </c>
      <c r="F1047" t="str">
        <f t="shared" si="17"/>
        <v>05/24/2017</v>
      </c>
      <c r="G1047" t="str">
        <f>VLOOKUP(A1047,inf!$D$2:$E$76,2,FALSE)</f>
        <v>SBUX</v>
      </c>
    </row>
    <row r="1048" spans="1:7" x14ac:dyDescent="0.25">
      <c r="A1048" t="s">
        <v>6</v>
      </c>
      <c r="B1048" s="1">
        <v>42879</v>
      </c>
      <c r="C1048" t="s">
        <v>60</v>
      </c>
      <c r="D1048">
        <v>5468.3499999999995</v>
      </c>
      <c r="E1048" t="str">
        <f>VLOOKUP(C1048,inf!$A$2:$B$7,2,FALSE)</f>
        <v>Over 90</v>
      </c>
      <c r="F1048" t="str">
        <f t="shared" si="17"/>
        <v>05/24/2017</v>
      </c>
      <c r="G1048" t="str">
        <f>VLOOKUP(A1048,inf!$D$2:$E$76,2,FALSE)</f>
        <v>SBUX</v>
      </c>
    </row>
    <row r="1049" spans="1:7" x14ac:dyDescent="0.25">
      <c r="A1049" t="s">
        <v>6</v>
      </c>
      <c r="B1049" s="1">
        <v>42879</v>
      </c>
      <c r="C1049" t="s">
        <v>58</v>
      </c>
      <c r="D1049">
        <v>3978.69</v>
      </c>
      <c r="E1049" t="str">
        <f>VLOOKUP(C1049,inf!$A$2:$B$7,2,FALSE)</f>
        <v>61 to 90</v>
      </c>
      <c r="F1049" t="str">
        <f t="shared" si="17"/>
        <v>05/24/2017</v>
      </c>
      <c r="G1049" t="str">
        <f>VLOOKUP(A1049,inf!$D$2:$E$76,2,FALSE)</f>
        <v>SBUX</v>
      </c>
    </row>
    <row r="1050" spans="1:7" x14ac:dyDescent="0.25">
      <c r="A1050" t="s">
        <v>6</v>
      </c>
      <c r="B1050" s="1">
        <v>42879</v>
      </c>
      <c r="C1050" t="s">
        <v>56</v>
      </c>
      <c r="D1050">
        <v>1742.4699999999998</v>
      </c>
      <c r="E1050" t="str">
        <f>VLOOKUP(C1050,inf!$A$2:$B$7,2,FALSE)</f>
        <v>Current</v>
      </c>
      <c r="F1050" t="str">
        <f t="shared" si="17"/>
        <v>05/24/2017</v>
      </c>
      <c r="G1050" t="str">
        <f>VLOOKUP(A1050,inf!$D$2:$E$76,2,FALSE)</f>
        <v>SBUX</v>
      </c>
    </row>
    <row r="1051" spans="1:7" x14ac:dyDescent="0.25">
      <c r="A1051" t="s">
        <v>6</v>
      </c>
      <c r="B1051" s="1">
        <v>42879</v>
      </c>
      <c r="C1051" t="s">
        <v>57</v>
      </c>
      <c r="D1051">
        <v>1387.58</v>
      </c>
      <c r="E1051" t="str">
        <f>VLOOKUP(C1051,inf!$A$2:$B$7,2,FALSE)</f>
        <v>31 to 60</v>
      </c>
      <c r="F1051" t="str">
        <f t="shared" si="17"/>
        <v>05/24/2017</v>
      </c>
      <c r="G1051" t="str">
        <f>VLOOKUP(A1051,inf!$D$2:$E$76,2,FALSE)</f>
        <v>SBUX</v>
      </c>
    </row>
    <row r="1052" spans="1:7" x14ac:dyDescent="0.25">
      <c r="A1052" t="s">
        <v>51</v>
      </c>
      <c r="B1052" s="1">
        <v>42879</v>
      </c>
      <c r="C1052" t="s">
        <v>56</v>
      </c>
      <c r="D1052">
        <v>235.2</v>
      </c>
      <c r="E1052" t="str">
        <f>VLOOKUP(C1052,inf!$A$2:$B$7,2,FALSE)</f>
        <v>Current</v>
      </c>
      <c r="F1052" t="str">
        <f t="shared" si="17"/>
        <v>05/24/2017</v>
      </c>
      <c r="G1052" t="str">
        <f>VLOOKUP(A1052,inf!$D$2:$E$76,2,FALSE)</f>
        <v>Other</v>
      </c>
    </row>
    <row r="1053" spans="1:7" x14ac:dyDescent="0.25">
      <c r="A1053" t="s">
        <v>48</v>
      </c>
      <c r="B1053" s="1">
        <v>42879</v>
      </c>
      <c r="C1053" t="s">
        <v>55</v>
      </c>
      <c r="D1053">
        <v>27561.38</v>
      </c>
      <c r="E1053" t="str">
        <f>VLOOKUP(C1053,inf!$A$2:$B$7,2,FALSE)</f>
        <v>Current</v>
      </c>
      <c r="F1053" t="str">
        <f t="shared" si="17"/>
        <v>05/24/2017</v>
      </c>
      <c r="G1053" t="str">
        <f>VLOOKUP(A1053,inf!$D$2:$E$76,2,FALSE)</f>
        <v>Target</v>
      </c>
    </row>
    <row r="1054" spans="1:7" x14ac:dyDescent="0.25">
      <c r="A1054" t="s">
        <v>8</v>
      </c>
      <c r="B1054" s="1">
        <v>42879</v>
      </c>
      <c r="C1054" t="s">
        <v>55</v>
      </c>
      <c r="D1054">
        <v>278653.58000000019</v>
      </c>
      <c r="E1054" t="str">
        <f>VLOOKUP(C1054,inf!$A$2:$B$7,2,FALSE)</f>
        <v>Current</v>
      </c>
      <c r="F1054" t="str">
        <f t="shared" si="17"/>
        <v>05/24/2017</v>
      </c>
      <c r="G1054" t="str">
        <f>VLOOKUP(A1054,inf!$D$2:$E$76,2,FALSE)</f>
        <v>Target</v>
      </c>
    </row>
    <row r="1055" spans="1:7" x14ac:dyDescent="0.25">
      <c r="A1055" t="s">
        <v>8</v>
      </c>
      <c r="B1055" s="1">
        <v>42879</v>
      </c>
      <c r="C1055" t="s">
        <v>56</v>
      </c>
      <c r="D1055" s="5">
        <v>124292.14000000009</v>
      </c>
      <c r="E1055" t="str">
        <f>VLOOKUP(C1055,inf!$A$2:$B$7,2,FALSE)</f>
        <v>Current</v>
      </c>
      <c r="F1055" t="str">
        <f t="shared" si="17"/>
        <v>05/24/2017</v>
      </c>
      <c r="G1055" t="str">
        <f>VLOOKUP(A1055,inf!$D$2:$E$76,2,FALSE)</f>
        <v>Target</v>
      </c>
    </row>
    <row r="1056" spans="1:7" x14ac:dyDescent="0.25">
      <c r="A1056" t="s">
        <v>8</v>
      </c>
      <c r="B1056" s="1">
        <v>42879</v>
      </c>
      <c r="C1056" t="s">
        <v>60</v>
      </c>
      <c r="D1056">
        <v>24130.110000000011</v>
      </c>
      <c r="E1056" t="str">
        <f>VLOOKUP(C1056,inf!$A$2:$B$7,2,FALSE)</f>
        <v>Over 90</v>
      </c>
      <c r="F1056" t="str">
        <f t="shared" si="17"/>
        <v>05/24/2017</v>
      </c>
      <c r="G1056" t="str">
        <f>VLOOKUP(A1056,inf!$D$2:$E$76,2,FALSE)</f>
        <v>Target</v>
      </c>
    </row>
    <row r="1057" spans="1:7" x14ac:dyDescent="0.25">
      <c r="A1057" t="s">
        <v>8</v>
      </c>
      <c r="B1057" s="1">
        <v>42879</v>
      </c>
      <c r="C1057" t="s">
        <v>58</v>
      </c>
      <c r="D1057">
        <v>5113.3899999999994</v>
      </c>
      <c r="E1057" t="str">
        <f>VLOOKUP(C1057,inf!$A$2:$B$7,2,FALSE)</f>
        <v>61 to 90</v>
      </c>
      <c r="F1057" t="str">
        <f t="shared" si="17"/>
        <v>05/24/2017</v>
      </c>
      <c r="G1057" t="str">
        <f>VLOOKUP(A1057,inf!$D$2:$E$76,2,FALSE)</f>
        <v>Target</v>
      </c>
    </row>
    <row r="1058" spans="1:7" x14ac:dyDescent="0.25">
      <c r="A1058" t="s">
        <v>8</v>
      </c>
      <c r="B1058" s="1">
        <v>42879</v>
      </c>
      <c r="C1058" t="s">
        <v>57</v>
      </c>
      <c r="D1058">
        <v>709.71</v>
      </c>
      <c r="E1058" t="str">
        <f>VLOOKUP(C1058,inf!$A$2:$B$7,2,FALSE)</f>
        <v>31 to 60</v>
      </c>
      <c r="F1058" t="str">
        <f t="shared" si="17"/>
        <v>05/24/2017</v>
      </c>
      <c r="G1058" t="str">
        <f>VLOOKUP(A1058,inf!$D$2:$E$76,2,FALSE)</f>
        <v>Target</v>
      </c>
    </row>
    <row r="1059" spans="1:7" x14ac:dyDescent="0.25">
      <c r="A1059" t="s">
        <v>8</v>
      </c>
      <c r="B1059" s="1">
        <v>42879</v>
      </c>
      <c r="C1059" t="s">
        <v>59</v>
      </c>
      <c r="D1059">
        <v>597.32999999999993</v>
      </c>
      <c r="E1059" t="str">
        <f>VLOOKUP(C1059,inf!$A$2:$B$7,2,FALSE)</f>
        <v>Over 90</v>
      </c>
      <c r="F1059" t="str">
        <f t="shared" si="17"/>
        <v>05/24/2017</v>
      </c>
      <c r="G1059" t="str">
        <f>VLOOKUP(A1059,inf!$D$2:$E$76,2,FALSE)</f>
        <v>Target</v>
      </c>
    </row>
    <row r="1060" spans="1:7" x14ac:dyDescent="0.25">
      <c r="A1060" t="s">
        <v>54</v>
      </c>
      <c r="B1060" s="1">
        <v>42879</v>
      </c>
      <c r="C1060" t="s">
        <v>55</v>
      </c>
      <c r="D1060">
        <v>114.85</v>
      </c>
      <c r="E1060" t="str">
        <f>VLOOKUP(C1060,inf!$A$2:$B$7,2,FALSE)</f>
        <v>Current</v>
      </c>
      <c r="F1060" t="str">
        <f t="shared" si="17"/>
        <v>05/24/2017</v>
      </c>
      <c r="G1060" t="str">
        <f>VLOOKUP(A1060,inf!$D$2:$E$76,2,FALSE)</f>
        <v>Other</v>
      </c>
    </row>
    <row r="1061" spans="1:7" x14ac:dyDescent="0.25">
      <c r="A1061" t="s">
        <v>54</v>
      </c>
      <c r="B1061" s="1">
        <v>42879</v>
      </c>
      <c r="C1061" t="s">
        <v>56</v>
      </c>
      <c r="D1061">
        <v>114.85</v>
      </c>
      <c r="E1061" t="str">
        <f>VLOOKUP(C1061,inf!$A$2:$B$7,2,FALSE)</f>
        <v>Current</v>
      </c>
      <c r="F1061" t="str">
        <f t="shared" si="17"/>
        <v>05/24/2017</v>
      </c>
      <c r="G1061" t="str">
        <f>VLOOKUP(A1061,inf!$D$2:$E$76,2,FALSE)</f>
        <v>Other</v>
      </c>
    </row>
    <row r="1062" spans="1:7" x14ac:dyDescent="0.25">
      <c r="A1062" t="s">
        <v>15</v>
      </c>
      <c r="B1062" s="1">
        <v>42879</v>
      </c>
      <c r="C1062" t="s">
        <v>58</v>
      </c>
      <c r="D1062">
        <v>271.91000000000003</v>
      </c>
      <c r="E1062" t="str">
        <f>VLOOKUP(C1062,inf!$A$2:$B$7,2,FALSE)</f>
        <v>61 to 90</v>
      </c>
      <c r="F1062" t="str">
        <f t="shared" si="17"/>
        <v>05/24/2017</v>
      </c>
      <c r="G1062" t="str">
        <f>VLOOKUP(A1062,inf!$D$2:$E$76,2,FALSE)</f>
        <v>Other</v>
      </c>
    </row>
    <row r="1063" spans="1:7" x14ac:dyDescent="0.25">
      <c r="A1063" t="s">
        <v>15</v>
      </c>
      <c r="B1063" s="1">
        <v>42879</v>
      </c>
      <c r="C1063" t="s">
        <v>55</v>
      </c>
      <c r="D1063">
        <v>256.45</v>
      </c>
      <c r="E1063" t="str">
        <f>VLOOKUP(C1063,inf!$A$2:$B$7,2,FALSE)</f>
        <v>Current</v>
      </c>
      <c r="F1063" t="str">
        <f t="shared" si="17"/>
        <v>05/24/2017</v>
      </c>
      <c r="G1063" t="str">
        <f>VLOOKUP(A1063,inf!$D$2:$E$76,2,FALSE)</f>
        <v>Other</v>
      </c>
    </row>
    <row r="1064" spans="1:7" x14ac:dyDescent="0.25">
      <c r="A1064" t="s">
        <v>15</v>
      </c>
      <c r="B1064" s="1">
        <v>42879</v>
      </c>
      <c r="C1064" t="s">
        <v>57</v>
      </c>
      <c r="D1064">
        <v>196.33</v>
      </c>
      <c r="E1064" t="str">
        <f>VLOOKUP(C1064,inf!$A$2:$B$7,2,FALSE)</f>
        <v>31 to 60</v>
      </c>
      <c r="F1064" t="str">
        <f t="shared" si="17"/>
        <v>05/24/2017</v>
      </c>
      <c r="G1064" t="str">
        <f>VLOOKUP(A1064,inf!$D$2:$E$76,2,FALSE)</f>
        <v>Other</v>
      </c>
    </row>
    <row r="1065" spans="1:7" x14ac:dyDescent="0.25">
      <c r="A1065" t="s">
        <v>15</v>
      </c>
      <c r="B1065" s="1">
        <v>42879</v>
      </c>
      <c r="C1065" t="s">
        <v>59</v>
      </c>
      <c r="D1065">
        <v>126.05</v>
      </c>
      <c r="E1065" t="str">
        <f>VLOOKUP(C1065,inf!$A$2:$B$7,2,FALSE)</f>
        <v>Over 90</v>
      </c>
      <c r="F1065" t="str">
        <f t="shared" si="17"/>
        <v>05/24/2017</v>
      </c>
      <c r="G1065" t="str">
        <f>VLOOKUP(A1065,inf!$D$2:$E$76,2,FALSE)</f>
        <v>Other</v>
      </c>
    </row>
    <row r="1066" spans="1:7" x14ac:dyDescent="0.25">
      <c r="A1066" t="s">
        <v>4</v>
      </c>
      <c r="B1066" s="1">
        <v>42886</v>
      </c>
      <c r="C1066" t="s">
        <v>55</v>
      </c>
      <c r="D1066">
        <v>9637.5800000000017</v>
      </c>
      <c r="E1066" t="str">
        <f>VLOOKUP(C1066,inf!$A$2:$B$7,2,FALSE)</f>
        <v>Current</v>
      </c>
      <c r="F1066" t="str">
        <f t="shared" si="17"/>
        <v>05/31/2017</v>
      </c>
      <c r="G1066" t="str">
        <f>VLOOKUP(A1066,inf!$D$2:$E$76,2,FALSE)</f>
        <v>Other</v>
      </c>
    </row>
    <row r="1067" spans="1:7" x14ac:dyDescent="0.25">
      <c r="A1067" t="s">
        <v>4</v>
      </c>
      <c r="B1067" s="1">
        <v>42886</v>
      </c>
      <c r="C1067" t="s">
        <v>56</v>
      </c>
      <c r="D1067">
        <v>2408.8000000000002</v>
      </c>
      <c r="E1067" t="str">
        <f>VLOOKUP(C1067,inf!$A$2:$B$7,2,FALSE)</f>
        <v>Current</v>
      </c>
      <c r="F1067" t="str">
        <f t="shared" si="17"/>
        <v>05/31/2017</v>
      </c>
      <c r="G1067" t="str">
        <f>VLOOKUP(A1067,inf!$D$2:$E$76,2,FALSE)</f>
        <v>Other</v>
      </c>
    </row>
    <row r="1068" spans="1:7" x14ac:dyDescent="0.25">
      <c r="A1068" t="s">
        <v>26</v>
      </c>
      <c r="B1068" s="1">
        <v>42886</v>
      </c>
      <c r="C1068" t="s">
        <v>60</v>
      </c>
      <c r="D1068">
        <v>1380.77</v>
      </c>
      <c r="E1068" t="str">
        <f>VLOOKUP(C1068,inf!$A$2:$B$7,2,FALSE)</f>
        <v>Over 90</v>
      </c>
      <c r="F1068" t="str">
        <f t="shared" si="17"/>
        <v>05/31/2017</v>
      </c>
      <c r="G1068" t="str">
        <f>VLOOKUP(A1068,inf!$D$2:$E$76,2,FALSE)</f>
        <v>Other</v>
      </c>
    </row>
    <row r="1069" spans="1:7" x14ac:dyDescent="0.25">
      <c r="A1069" t="s">
        <v>2</v>
      </c>
      <c r="B1069" s="1">
        <v>42886</v>
      </c>
      <c r="C1069" t="s">
        <v>60</v>
      </c>
      <c r="D1069">
        <v>3717.8600000000006</v>
      </c>
      <c r="E1069" t="str">
        <f>VLOOKUP(C1069,inf!$A$2:$B$7,2,FALSE)</f>
        <v>Over 90</v>
      </c>
      <c r="F1069" t="str">
        <f t="shared" si="17"/>
        <v>05/31/2017</v>
      </c>
      <c r="G1069" t="str">
        <f>VLOOKUP(A1069,inf!$D$2:$E$76,2,FALSE)</f>
        <v>Other</v>
      </c>
    </row>
    <row r="1070" spans="1:7" x14ac:dyDescent="0.25">
      <c r="A1070" t="s">
        <v>32</v>
      </c>
      <c r="B1070" s="1">
        <v>42886</v>
      </c>
      <c r="C1070" t="s">
        <v>55</v>
      </c>
      <c r="D1070">
        <v>130.02000000000001</v>
      </c>
      <c r="E1070" t="str">
        <f>VLOOKUP(C1070,inf!$A$2:$B$7,2,FALSE)</f>
        <v>Current</v>
      </c>
      <c r="F1070" t="str">
        <f t="shared" si="17"/>
        <v>05/31/2017</v>
      </c>
      <c r="G1070" t="str">
        <f>VLOOKUP(A1070,inf!$D$2:$E$76,2,FALSE)</f>
        <v>Other</v>
      </c>
    </row>
    <row r="1071" spans="1:7" x14ac:dyDescent="0.25">
      <c r="A1071" t="s">
        <v>32</v>
      </c>
      <c r="B1071" s="1">
        <v>42886</v>
      </c>
      <c r="C1071" t="s">
        <v>56</v>
      </c>
      <c r="D1071">
        <v>130.02000000000001</v>
      </c>
      <c r="E1071" t="str">
        <f>VLOOKUP(C1071,inf!$A$2:$B$7,2,FALSE)</f>
        <v>Current</v>
      </c>
      <c r="F1071" t="str">
        <f t="shared" si="17"/>
        <v>05/31/2017</v>
      </c>
      <c r="G1071" t="str">
        <f>VLOOKUP(A1071,inf!$D$2:$E$76,2,FALSE)</f>
        <v>Other</v>
      </c>
    </row>
    <row r="1072" spans="1:7" x14ac:dyDescent="0.25">
      <c r="A1072" t="s">
        <v>19</v>
      </c>
      <c r="B1072" s="1">
        <v>42886</v>
      </c>
      <c r="C1072" t="s">
        <v>57</v>
      </c>
      <c r="D1072">
        <v>565.36</v>
      </c>
      <c r="E1072" t="str">
        <f>VLOOKUP(C1072,inf!$A$2:$B$7,2,FALSE)</f>
        <v>31 to 60</v>
      </c>
      <c r="F1072" t="str">
        <f t="shared" si="17"/>
        <v>05/31/2017</v>
      </c>
      <c r="G1072" t="str">
        <f>VLOOKUP(A1072,inf!$D$2:$E$76,2,FALSE)</f>
        <v>Other</v>
      </c>
    </row>
    <row r="1073" spans="1:7" x14ac:dyDescent="0.25">
      <c r="A1073" t="s">
        <v>31</v>
      </c>
      <c r="B1073" s="1">
        <v>42886</v>
      </c>
      <c r="C1073" t="s">
        <v>56</v>
      </c>
      <c r="D1073">
        <v>2448.52</v>
      </c>
      <c r="E1073" t="str">
        <f>VLOOKUP(C1073,inf!$A$2:$B$7,2,FALSE)</f>
        <v>Current</v>
      </c>
      <c r="F1073" t="str">
        <f t="shared" si="17"/>
        <v>05/31/2017</v>
      </c>
      <c r="G1073" t="str">
        <f>VLOOKUP(A1073,inf!$D$2:$E$76,2,FALSE)</f>
        <v>Other</v>
      </c>
    </row>
    <row r="1074" spans="1:7" x14ac:dyDescent="0.25">
      <c r="A1074" t="s">
        <v>31</v>
      </c>
      <c r="B1074" s="1">
        <v>42886</v>
      </c>
      <c r="C1074" t="s">
        <v>57</v>
      </c>
      <c r="D1074">
        <v>887</v>
      </c>
      <c r="E1074" t="str">
        <f>VLOOKUP(C1074,inf!$A$2:$B$7,2,FALSE)</f>
        <v>31 to 60</v>
      </c>
      <c r="F1074" t="str">
        <f t="shared" si="17"/>
        <v>05/31/2017</v>
      </c>
      <c r="G1074" t="str">
        <f>VLOOKUP(A1074,inf!$D$2:$E$76,2,FALSE)</f>
        <v>Other</v>
      </c>
    </row>
    <row r="1075" spans="1:7" x14ac:dyDescent="0.25">
      <c r="A1075" t="s">
        <v>31</v>
      </c>
      <c r="B1075" s="1">
        <v>42886</v>
      </c>
      <c r="C1075" t="s">
        <v>55</v>
      </c>
      <c r="D1075">
        <v>528.79999999999995</v>
      </c>
      <c r="E1075" t="str">
        <f>VLOOKUP(C1075,inf!$A$2:$B$7,2,FALSE)</f>
        <v>Current</v>
      </c>
      <c r="F1075" t="str">
        <f t="shared" si="17"/>
        <v>05/31/2017</v>
      </c>
      <c r="G1075" t="str">
        <f>VLOOKUP(A1075,inf!$D$2:$E$76,2,FALSE)</f>
        <v>Other</v>
      </c>
    </row>
    <row r="1076" spans="1:7" x14ac:dyDescent="0.25">
      <c r="A1076" t="s">
        <v>24</v>
      </c>
      <c r="B1076" s="1">
        <v>42886</v>
      </c>
      <c r="C1076" t="s">
        <v>56</v>
      </c>
      <c r="D1076">
        <v>308.7</v>
      </c>
      <c r="E1076" t="str">
        <f>VLOOKUP(C1076,inf!$A$2:$B$7,2,FALSE)</f>
        <v>Current</v>
      </c>
      <c r="F1076" t="str">
        <f t="shared" si="17"/>
        <v>05/31/2017</v>
      </c>
      <c r="G1076" t="str">
        <f>VLOOKUP(A1076,inf!$D$2:$E$76,2,FALSE)</f>
        <v>Other</v>
      </c>
    </row>
    <row r="1077" spans="1:7" x14ac:dyDescent="0.25">
      <c r="A1077" t="s">
        <v>18</v>
      </c>
      <c r="B1077" s="1">
        <v>42886</v>
      </c>
      <c r="C1077" t="s">
        <v>57</v>
      </c>
      <c r="D1077">
        <v>373.26</v>
      </c>
      <c r="E1077" t="str">
        <f>VLOOKUP(C1077,inf!$A$2:$B$7,2,FALSE)</f>
        <v>31 to 60</v>
      </c>
      <c r="F1077" t="str">
        <f t="shared" si="17"/>
        <v>05/31/2017</v>
      </c>
      <c r="G1077" t="str">
        <f>VLOOKUP(A1077,inf!$D$2:$E$76,2,FALSE)</f>
        <v>Other</v>
      </c>
    </row>
    <row r="1078" spans="1:7" x14ac:dyDescent="0.25">
      <c r="A1078" t="s">
        <v>27</v>
      </c>
      <c r="B1078" s="1">
        <v>42886</v>
      </c>
      <c r="C1078" t="s">
        <v>55</v>
      </c>
      <c r="D1078">
        <v>454.16999999999996</v>
      </c>
      <c r="E1078" t="str">
        <f>VLOOKUP(C1078,inf!$A$2:$B$7,2,FALSE)</f>
        <v>Current</v>
      </c>
      <c r="F1078" t="str">
        <f t="shared" si="17"/>
        <v>05/31/2017</v>
      </c>
      <c r="G1078" t="str">
        <f>VLOOKUP(A1078,inf!$D$2:$E$76,2,FALSE)</f>
        <v>Other</v>
      </c>
    </row>
    <row r="1079" spans="1:7" x14ac:dyDescent="0.25">
      <c r="A1079" t="s">
        <v>21</v>
      </c>
      <c r="B1079" s="1">
        <v>42886</v>
      </c>
      <c r="C1079" t="s">
        <v>57</v>
      </c>
      <c r="D1079">
        <v>2728.4900000000002</v>
      </c>
      <c r="E1079" t="str">
        <f>VLOOKUP(C1079,inf!$A$2:$B$7,2,FALSE)</f>
        <v>31 to 60</v>
      </c>
      <c r="F1079" t="str">
        <f t="shared" si="17"/>
        <v>05/31/2017</v>
      </c>
      <c r="G1079" t="str">
        <f>VLOOKUP(A1079,inf!$D$2:$E$76,2,FALSE)</f>
        <v>Other</v>
      </c>
    </row>
    <row r="1080" spans="1:7" x14ac:dyDescent="0.25">
      <c r="A1080" t="s">
        <v>21</v>
      </c>
      <c r="B1080" s="1">
        <v>42886</v>
      </c>
      <c r="C1080" t="s">
        <v>56</v>
      </c>
      <c r="D1080">
        <v>666.87</v>
      </c>
      <c r="E1080" t="str">
        <f>VLOOKUP(C1080,inf!$A$2:$B$7,2,FALSE)</f>
        <v>Current</v>
      </c>
      <c r="F1080" t="str">
        <f t="shared" si="17"/>
        <v>05/31/2017</v>
      </c>
      <c r="G1080" t="str">
        <f>VLOOKUP(A1080,inf!$D$2:$E$76,2,FALSE)</f>
        <v>Other</v>
      </c>
    </row>
    <row r="1081" spans="1:7" x14ac:dyDescent="0.25">
      <c r="A1081" t="s">
        <v>3</v>
      </c>
      <c r="B1081" s="1">
        <v>42886</v>
      </c>
      <c r="C1081" t="s">
        <v>58</v>
      </c>
      <c r="D1081">
        <v>4896.4799999999987</v>
      </c>
      <c r="E1081" t="str">
        <f>VLOOKUP(C1081,inf!$A$2:$B$7,2,FALSE)</f>
        <v>61 to 90</v>
      </c>
      <c r="F1081" t="str">
        <f t="shared" si="17"/>
        <v>05/31/2017</v>
      </c>
      <c r="G1081" t="str">
        <f>VLOOKUP(A1081,inf!$D$2:$E$76,2,FALSE)</f>
        <v>Other</v>
      </c>
    </row>
    <row r="1082" spans="1:7" x14ac:dyDescent="0.25">
      <c r="A1082" t="s">
        <v>3</v>
      </c>
      <c r="B1082" s="1">
        <v>42886</v>
      </c>
      <c r="C1082" t="s">
        <v>55</v>
      </c>
      <c r="D1082">
        <v>3439.3599999999997</v>
      </c>
      <c r="E1082" t="str">
        <f>VLOOKUP(C1082,inf!$A$2:$B$7,2,FALSE)</f>
        <v>Current</v>
      </c>
      <c r="F1082" t="str">
        <f t="shared" si="17"/>
        <v>05/31/2017</v>
      </c>
      <c r="G1082" t="str">
        <f>VLOOKUP(A1082,inf!$D$2:$E$76,2,FALSE)</f>
        <v>Other</v>
      </c>
    </row>
    <row r="1083" spans="1:7" x14ac:dyDescent="0.25">
      <c r="A1083" t="s">
        <v>3</v>
      </c>
      <c r="B1083" s="1">
        <v>42886</v>
      </c>
      <c r="C1083" t="s">
        <v>57</v>
      </c>
      <c r="D1083">
        <v>2119.52</v>
      </c>
      <c r="E1083" t="str">
        <f>VLOOKUP(C1083,inf!$A$2:$B$7,2,FALSE)</f>
        <v>31 to 60</v>
      </c>
      <c r="F1083" t="str">
        <f t="shared" si="17"/>
        <v>05/31/2017</v>
      </c>
      <c r="G1083" t="str">
        <f>VLOOKUP(A1083,inf!$D$2:$E$76,2,FALSE)</f>
        <v>Other</v>
      </c>
    </row>
    <row r="1084" spans="1:7" x14ac:dyDescent="0.25">
      <c r="A1084" t="s">
        <v>30</v>
      </c>
      <c r="B1084" s="1">
        <v>42886</v>
      </c>
      <c r="C1084" t="s">
        <v>55</v>
      </c>
      <c r="D1084">
        <v>2755.6000000000004</v>
      </c>
      <c r="E1084" t="str">
        <f>VLOOKUP(C1084,inf!$A$2:$B$7,2,FALSE)</f>
        <v>Current</v>
      </c>
      <c r="F1084" t="str">
        <f t="shared" si="17"/>
        <v>05/31/2017</v>
      </c>
      <c r="G1084" t="str">
        <f>VLOOKUP(A1084,inf!$D$2:$E$76,2,FALSE)</f>
        <v>Other</v>
      </c>
    </row>
    <row r="1085" spans="1:7" x14ac:dyDescent="0.25">
      <c r="A1085" t="s">
        <v>30</v>
      </c>
      <c r="B1085" s="1">
        <v>42886</v>
      </c>
      <c r="C1085" t="s">
        <v>56</v>
      </c>
      <c r="D1085">
        <v>365.65</v>
      </c>
      <c r="E1085" t="str">
        <f>VLOOKUP(C1085,inf!$A$2:$B$7,2,FALSE)</f>
        <v>Current</v>
      </c>
      <c r="F1085" t="str">
        <f t="shared" si="17"/>
        <v>05/31/2017</v>
      </c>
      <c r="G1085" t="str">
        <f>VLOOKUP(A1085,inf!$D$2:$E$76,2,FALSE)</f>
        <v>Other</v>
      </c>
    </row>
    <row r="1086" spans="1:7" x14ac:dyDescent="0.25">
      <c r="A1086" t="s">
        <v>30</v>
      </c>
      <c r="B1086" s="1">
        <v>42886</v>
      </c>
      <c r="C1086" t="s">
        <v>57</v>
      </c>
      <c r="D1086">
        <v>287.13</v>
      </c>
      <c r="E1086" t="str">
        <f>VLOOKUP(C1086,inf!$A$2:$B$7,2,FALSE)</f>
        <v>31 to 60</v>
      </c>
      <c r="F1086" t="str">
        <f t="shared" si="17"/>
        <v>05/31/2017</v>
      </c>
      <c r="G1086" t="str">
        <f>VLOOKUP(A1086,inf!$D$2:$E$76,2,FALSE)</f>
        <v>Other</v>
      </c>
    </row>
    <row r="1087" spans="1:7" x14ac:dyDescent="0.25">
      <c r="A1087" t="s">
        <v>12</v>
      </c>
      <c r="B1087" s="1">
        <v>42886</v>
      </c>
      <c r="C1087" t="s">
        <v>55</v>
      </c>
      <c r="D1087">
        <v>2021.1000000000001</v>
      </c>
      <c r="E1087" t="str">
        <f>VLOOKUP(C1087,inf!$A$2:$B$7,2,FALSE)</f>
        <v>Current</v>
      </c>
      <c r="F1087" t="str">
        <f t="shared" si="17"/>
        <v>05/31/2017</v>
      </c>
      <c r="G1087" t="str">
        <f>VLOOKUP(A1087,inf!$D$2:$E$76,2,FALSE)</f>
        <v>Other</v>
      </c>
    </row>
    <row r="1088" spans="1:7" x14ac:dyDescent="0.25">
      <c r="A1088" t="s">
        <v>12</v>
      </c>
      <c r="B1088" s="1">
        <v>42886</v>
      </c>
      <c r="C1088" t="s">
        <v>56</v>
      </c>
      <c r="D1088">
        <v>85</v>
      </c>
      <c r="E1088" t="str">
        <f>VLOOKUP(C1088,inf!$A$2:$B$7,2,FALSE)</f>
        <v>Current</v>
      </c>
      <c r="F1088" t="str">
        <f t="shared" si="17"/>
        <v>05/31/2017</v>
      </c>
      <c r="G1088" t="str">
        <f>VLOOKUP(A1088,inf!$D$2:$E$76,2,FALSE)</f>
        <v>Other</v>
      </c>
    </row>
    <row r="1089" spans="1:7" x14ac:dyDescent="0.25">
      <c r="A1089" t="s">
        <v>23</v>
      </c>
      <c r="B1089" s="1">
        <v>42886</v>
      </c>
      <c r="C1089" t="s">
        <v>55</v>
      </c>
      <c r="D1089">
        <v>574.45000000000005</v>
      </c>
      <c r="E1089" t="str">
        <f>VLOOKUP(C1089,inf!$A$2:$B$7,2,FALSE)</f>
        <v>Current</v>
      </c>
      <c r="F1089" t="str">
        <f t="shared" si="17"/>
        <v>05/31/2017</v>
      </c>
      <c r="G1089" t="str">
        <f>VLOOKUP(A1089,inf!$D$2:$E$76,2,FALSE)</f>
        <v>Other</v>
      </c>
    </row>
    <row r="1090" spans="1:7" x14ac:dyDescent="0.25">
      <c r="A1090" t="s">
        <v>7</v>
      </c>
      <c r="B1090" s="1">
        <v>42886</v>
      </c>
      <c r="C1090" t="s">
        <v>55</v>
      </c>
      <c r="D1090">
        <v>88517.690000000017</v>
      </c>
      <c r="E1090" t="str">
        <f>VLOOKUP(C1090,inf!$A$2:$B$7,2,FALSE)</f>
        <v>Current</v>
      </c>
      <c r="F1090" t="str">
        <f t="shared" si="17"/>
        <v>05/31/2017</v>
      </c>
      <c r="G1090" t="str">
        <f>VLOOKUP(A1090,inf!$D$2:$E$76,2,FALSE)</f>
        <v>SAFEWAY</v>
      </c>
    </row>
    <row r="1091" spans="1:7" x14ac:dyDescent="0.25">
      <c r="A1091" t="s">
        <v>7</v>
      </c>
      <c r="B1091" s="1">
        <v>42886</v>
      </c>
      <c r="C1091" t="s">
        <v>56</v>
      </c>
      <c r="D1091">
        <v>14692.69</v>
      </c>
      <c r="E1091" t="str">
        <f>VLOOKUP(C1091,inf!$A$2:$B$7,2,FALSE)</f>
        <v>Current</v>
      </c>
      <c r="F1091" t="str">
        <f t="shared" ref="F1091:F1154" si="18">TEXT(B1091,"MM/DD/YYYY")</f>
        <v>05/31/2017</v>
      </c>
      <c r="G1091" t="str">
        <f>VLOOKUP(A1091,inf!$D$2:$E$76,2,FALSE)</f>
        <v>SAFEWAY</v>
      </c>
    </row>
    <row r="1092" spans="1:7" x14ac:dyDescent="0.25">
      <c r="A1092" t="s">
        <v>7</v>
      </c>
      <c r="B1092" s="1">
        <v>42886</v>
      </c>
      <c r="C1092" t="s">
        <v>58</v>
      </c>
      <c r="D1092">
        <v>624.54</v>
      </c>
      <c r="E1092" t="str">
        <f>VLOOKUP(C1092,inf!$A$2:$B$7,2,FALSE)</f>
        <v>61 to 90</v>
      </c>
      <c r="F1092" t="str">
        <f t="shared" si="18"/>
        <v>05/31/2017</v>
      </c>
      <c r="G1092" t="str">
        <f>VLOOKUP(A1092,inf!$D$2:$E$76,2,FALSE)</f>
        <v>SAFEWAY</v>
      </c>
    </row>
    <row r="1093" spans="1:7" x14ac:dyDescent="0.25">
      <c r="A1093" t="s">
        <v>5</v>
      </c>
      <c r="B1093" s="1">
        <v>42886</v>
      </c>
      <c r="C1093" t="s">
        <v>55</v>
      </c>
      <c r="D1093">
        <v>4668800.8300000867</v>
      </c>
      <c r="E1093" t="str">
        <f>VLOOKUP(C1093,inf!$A$2:$B$7,2,FALSE)</f>
        <v>Current</v>
      </c>
      <c r="F1093" t="str">
        <f t="shared" si="18"/>
        <v>05/31/2017</v>
      </c>
      <c r="G1093" t="str">
        <f>VLOOKUP(A1093,inf!$D$2:$E$76,2,FALSE)</f>
        <v>SBUX</v>
      </c>
    </row>
    <row r="1094" spans="1:7" x14ac:dyDescent="0.25">
      <c r="A1094" t="s">
        <v>5</v>
      </c>
      <c r="B1094" s="1">
        <v>42886</v>
      </c>
      <c r="C1094" t="s">
        <v>60</v>
      </c>
      <c r="D1094">
        <v>84636.950000000026</v>
      </c>
      <c r="E1094" t="str">
        <f>VLOOKUP(C1094,inf!$A$2:$B$7,2,FALSE)</f>
        <v>Over 90</v>
      </c>
      <c r="F1094" t="str">
        <f t="shared" si="18"/>
        <v>05/31/2017</v>
      </c>
      <c r="G1094" t="str">
        <f>VLOOKUP(A1094,inf!$D$2:$E$76,2,FALSE)</f>
        <v>SBUX</v>
      </c>
    </row>
    <row r="1095" spans="1:7" x14ac:dyDescent="0.25">
      <c r="A1095" t="s">
        <v>5</v>
      </c>
      <c r="B1095" s="1">
        <v>42886</v>
      </c>
      <c r="C1095" t="s">
        <v>56</v>
      </c>
      <c r="D1095">
        <v>46238.7</v>
      </c>
      <c r="E1095" t="str">
        <f>VLOOKUP(C1095,inf!$A$2:$B$7,2,FALSE)</f>
        <v>Current</v>
      </c>
      <c r="F1095" t="str">
        <f t="shared" si="18"/>
        <v>05/31/2017</v>
      </c>
      <c r="G1095" t="str">
        <f>VLOOKUP(A1095,inf!$D$2:$E$76,2,FALSE)</f>
        <v>SBUX</v>
      </c>
    </row>
    <row r="1096" spans="1:7" x14ac:dyDescent="0.25">
      <c r="A1096" t="s">
        <v>5</v>
      </c>
      <c r="B1096" s="1">
        <v>42886</v>
      </c>
      <c r="C1096" t="s">
        <v>59</v>
      </c>
      <c r="D1096">
        <v>4226.75</v>
      </c>
      <c r="E1096" t="str">
        <f>VLOOKUP(C1096,inf!$A$2:$B$7,2,FALSE)</f>
        <v>Over 90</v>
      </c>
      <c r="F1096" t="str">
        <f t="shared" si="18"/>
        <v>05/31/2017</v>
      </c>
      <c r="G1096" t="str">
        <f>VLOOKUP(A1096,inf!$D$2:$E$76,2,FALSE)</f>
        <v>SBUX</v>
      </c>
    </row>
    <row r="1097" spans="1:7" x14ac:dyDescent="0.25">
      <c r="A1097" t="s">
        <v>5</v>
      </c>
      <c r="B1097" s="1">
        <v>42886</v>
      </c>
      <c r="C1097" t="s">
        <v>57</v>
      </c>
      <c r="D1097">
        <v>3131.29</v>
      </c>
      <c r="E1097" t="str">
        <f>VLOOKUP(C1097,inf!$A$2:$B$7,2,FALSE)</f>
        <v>31 to 60</v>
      </c>
      <c r="F1097" t="str">
        <f t="shared" si="18"/>
        <v>05/31/2017</v>
      </c>
      <c r="G1097" t="str">
        <f>VLOOKUP(A1097,inf!$D$2:$E$76,2,FALSE)</f>
        <v>SBUX</v>
      </c>
    </row>
    <row r="1098" spans="1:7" x14ac:dyDescent="0.25">
      <c r="A1098" t="s">
        <v>5</v>
      </c>
      <c r="B1098" s="1">
        <v>42886</v>
      </c>
      <c r="C1098" t="s">
        <v>58</v>
      </c>
      <c r="D1098">
        <v>1390.13</v>
      </c>
      <c r="E1098" t="str">
        <f>VLOOKUP(C1098,inf!$A$2:$B$7,2,FALSE)</f>
        <v>61 to 90</v>
      </c>
      <c r="F1098" t="str">
        <f t="shared" si="18"/>
        <v>05/31/2017</v>
      </c>
      <c r="G1098" t="str">
        <f>VLOOKUP(A1098,inf!$D$2:$E$76,2,FALSE)</f>
        <v>SBUX</v>
      </c>
    </row>
    <row r="1099" spans="1:7" x14ac:dyDescent="0.25">
      <c r="A1099" t="s">
        <v>6</v>
      </c>
      <c r="B1099" s="1">
        <v>42886</v>
      </c>
      <c r="C1099" t="s">
        <v>55</v>
      </c>
      <c r="D1099">
        <v>441594.59999999992</v>
      </c>
      <c r="E1099" t="str">
        <f>VLOOKUP(C1099,inf!$A$2:$B$7,2,FALSE)</f>
        <v>Current</v>
      </c>
      <c r="F1099" t="str">
        <f t="shared" si="18"/>
        <v>05/31/2017</v>
      </c>
      <c r="G1099" t="str">
        <f>VLOOKUP(A1099,inf!$D$2:$E$76,2,FALSE)</f>
        <v>SBUX</v>
      </c>
    </row>
    <row r="1100" spans="1:7" x14ac:dyDescent="0.25">
      <c r="A1100" t="s">
        <v>6</v>
      </c>
      <c r="B1100" s="1">
        <v>42886</v>
      </c>
      <c r="C1100" t="s">
        <v>60</v>
      </c>
      <c r="D1100">
        <v>5468.3499999999995</v>
      </c>
      <c r="E1100" t="str">
        <f>VLOOKUP(C1100,inf!$A$2:$B$7,2,FALSE)</f>
        <v>Over 90</v>
      </c>
      <c r="F1100" t="str">
        <f t="shared" si="18"/>
        <v>05/31/2017</v>
      </c>
      <c r="G1100" t="str">
        <f>VLOOKUP(A1100,inf!$D$2:$E$76,2,FALSE)</f>
        <v>SBUX</v>
      </c>
    </row>
    <row r="1101" spans="1:7" x14ac:dyDescent="0.25">
      <c r="A1101" t="s">
        <v>6</v>
      </c>
      <c r="B1101" s="1">
        <v>42886</v>
      </c>
      <c r="C1101" t="s">
        <v>58</v>
      </c>
      <c r="D1101">
        <v>4397.3599999999997</v>
      </c>
      <c r="E1101" t="str">
        <f>VLOOKUP(C1101,inf!$A$2:$B$7,2,FALSE)</f>
        <v>61 to 90</v>
      </c>
      <c r="F1101" t="str">
        <f t="shared" si="18"/>
        <v>05/31/2017</v>
      </c>
      <c r="G1101" t="str">
        <f>VLOOKUP(A1101,inf!$D$2:$E$76,2,FALSE)</f>
        <v>SBUX</v>
      </c>
    </row>
    <row r="1102" spans="1:7" x14ac:dyDescent="0.25">
      <c r="A1102" t="s">
        <v>6</v>
      </c>
      <c r="B1102" s="1">
        <v>42886</v>
      </c>
      <c r="C1102" t="s">
        <v>57</v>
      </c>
      <c r="D1102">
        <v>1070.6100000000001</v>
      </c>
      <c r="E1102" t="str">
        <f>VLOOKUP(C1102,inf!$A$2:$B$7,2,FALSE)</f>
        <v>31 to 60</v>
      </c>
      <c r="F1102" t="str">
        <f t="shared" si="18"/>
        <v>05/31/2017</v>
      </c>
      <c r="G1102" t="str">
        <f>VLOOKUP(A1102,inf!$D$2:$E$76,2,FALSE)</f>
        <v>SBUX</v>
      </c>
    </row>
    <row r="1103" spans="1:7" x14ac:dyDescent="0.25">
      <c r="A1103" t="s">
        <v>6</v>
      </c>
      <c r="B1103" s="1">
        <v>42886</v>
      </c>
      <c r="C1103" t="s">
        <v>56</v>
      </c>
      <c r="D1103">
        <v>477.68000000000006</v>
      </c>
      <c r="E1103" t="str">
        <f>VLOOKUP(C1103,inf!$A$2:$B$7,2,FALSE)</f>
        <v>Current</v>
      </c>
      <c r="F1103" t="str">
        <f t="shared" si="18"/>
        <v>05/31/2017</v>
      </c>
      <c r="G1103" t="str">
        <f>VLOOKUP(A1103,inf!$D$2:$E$76,2,FALSE)</f>
        <v>SBUX</v>
      </c>
    </row>
    <row r="1104" spans="1:7" x14ac:dyDescent="0.25">
      <c r="A1104" t="s">
        <v>51</v>
      </c>
      <c r="B1104" s="1">
        <v>42886</v>
      </c>
      <c r="C1104" t="s">
        <v>56</v>
      </c>
      <c r="D1104">
        <v>235.2</v>
      </c>
      <c r="E1104" t="str">
        <f>VLOOKUP(C1104,inf!$A$2:$B$7,2,FALSE)</f>
        <v>Current</v>
      </c>
      <c r="F1104" t="str">
        <f t="shared" si="18"/>
        <v>05/31/2017</v>
      </c>
      <c r="G1104" t="str">
        <f>VLOOKUP(A1104,inf!$D$2:$E$76,2,FALSE)</f>
        <v>Other</v>
      </c>
    </row>
    <row r="1105" spans="1:7" x14ac:dyDescent="0.25">
      <c r="A1105" t="s">
        <v>48</v>
      </c>
      <c r="B1105" s="1">
        <v>42886</v>
      </c>
      <c r="C1105" t="s">
        <v>55</v>
      </c>
      <c r="D1105">
        <v>36692.559999999998</v>
      </c>
      <c r="E1105" t="str">
        <f>VLOOKUP(C1105,inf!$A$2:$B$7,2,FALSE)</f>
        <v>Current</v>
      </c>
      <c r="F1105" t="str">
        <f t="shared" si="18"/>
        <v>05/31/2017</v>
      </c>
      <c r="G1105" t="str">
        <f>VLOOKUP(A1105,inf!$D$2:$E$76,2,FALSE)</f>
        <v>Target</v>
      </c>
    </row>
    <row r="1106" spans="1:7" x14ac:dyDescent="0.25">
      <c r="A1106" t="s">
        <v>8</v>
      </c>
      <c r="B1106" s="1">
        <v>42886</v>
      </c>
      <c r="C1106" t="s">
        <v>55</v>
      </c>
      <c r="D1106">
        <v>254522.11000000019</v>
      </c>
      <c r="E1106" t="str">
        <f>VLOOKUP(C1106,inf!$A$2:$B$7,2,FALSE)</f>
        <v>Current</v>
      </c>
      <c r="F1106" t="str">
        <f t="shared" si="18"/>
        <v>05/31/2017</v>
      </c>
      <c r="G1106" t="str">
        <f>VLOOKUP(A1106,inf!$D$2:$E$76,2,FALSE)</f>
        <v>Target</v>
      </c>
    </row>
    <row r="1107" spans="1:7" x14ac:dyDescent="0.25">
      <c r="A1107" t="s">
        <v>8</v>
      </c>
      <c r="B1107" s="1">
        <v>42886</v>
      </c>
      <c r="C1107" t="s">
        <v>60</v>
      </c>
      <c r="D1107" s="5">
        <v>24130.110000000011</v>
      </c>
      <c r="E1107" t="str">
        <f>VLOOKUP(C1107,inf!$A$2:$B$7,2,FALSE)</f>
        <v>Over 90</v>
      </c>
      <c r="F1107" t="str">
        <f t="shared" si="18"/>
        <v>05/31/2017</v>
      </c>
      <c r="G1107" t="str">
        <f>VLOOKUP(A1107,inf!$D$2:$E$76,2,FALSE)</f>
        <v>Target</v>
      </c>
    </row>
    <row r="1108" spans="1:7" x14ac:dyDescent="0.25">
      <c r="A1108" t="s">
        <v>8</v>
      </c>
      <c r="B1108" s="1">
        <v>42886</v>
      </c>
      <c r="C1108" t="s">
        <v>56</v>
      </c>
      <c r="D1108">
        <v>18730.940000000002</v>
      </c>
      <c r="E1108" t="str">
        <f>VLOOKUP(C1108,inf!$A$2:$B$7,2,FALSE)</f>
        <v>Current</v>
      </c>
      <c r="F1108" t="str">
        <f t="shared" si="18"/>
        <v>05/31/2017</v>
      </c>
      <c r="G1108" t="str">
        <f>VLOOKUP(A1108,inf!$D$2:$E$76,2,FALSE)</f>
        <v>Target</v>
      </c>
    </row>
    <row r="1109" spans="1:7" x14ac:dyDescent="0.25">
      <c r="A1109" t="s">
        <v>8</v>
      </c>
      <c r="B1109" s="1">
        <v>42886</v>
      </c>
      <c r="C1109" t="s">
        <v>58</v>
      </c>
      <c r="D1109">
        <v>5385.1899999999987</v>
      </c>
      <c r="E1109" t="str">
        <f>VLOOKUP(C1109,inf!$A$2:$B$7,2,FALSE)</f>
        <v>61 to 90</v>
      </c>
      <c r="F1109" t="str">
        <f t="shared" si="18"/>
        <v>05/31/2017</v>
      </c>
      <c r="G1109" t="str">
        <f>VLOOKUP(A1109,inf!$D$2:$E$76,2,FALSE)</f>
        <v>Target</v>
      </c>
    </row>
    <row r="1110" spans="1:7" x14ac:dyDescent="0.25">
      <c r="A1110" t="s">
        <v>8</v>
      </c>
      <c r="B1110" s="1">
        <v>42886</v>
      </c>
      <c r="C1110" t="s">
        <v>57</v>
      </c>
      <c r="D1110">
        <v>1796.3999999999999</v>
      </c>
      <c r="E1110" t="str">
        <f>VLOOKUP(C1110,inf!$A$2:$B$7,2,FALSE)</f>
        <v>31 to 60</v>
      </c>
      <c r="F1110" t="str">
        <f t="shared" si="18"/>
        <v>05/31/2017</v>
      </c>
      <c r="G1110" t="str">
        <f>VLOOKUP(A1110,inf!$D$2:$E$76,2,FALSE)</f>
        <v>Target</v>
      </c>
    </row>
    <row r="1111" spans="1:7" x14ac:dyDescent="0.25">
      <c r="A1111" t="s">
        <v>8</v>
      </c>
      <c r="B1111" s="1">
        <v>42886</v>
      </c>
      <c r="C1111" t="s">
        <v>59</v>
      </c>
      <c r="D1111">
        <v>597.32999999999993</v>
      </c>
      <c r="E1111" t="str">
        <f>VLOOKUP(C1111,inf!$A$2:$B$7,2,FALSE)</f>
        <v>Over 90</v>
      </c>
      <c r="F1111" t="str">
        <f t="shared" si="18"/>
        <v>05/31/2017</v>
      </c>
      <c r="G1111" t="str">
        <f>VLOOKUP(A1111,inf!$D$2:$E$76,2,FALSE)</f>
        <v>Target</v>
      </c>
    </row>
    <row r="1112" spans="1:7" x14ac:dyDescent="0.25">
      <c r="A1112" t="s">
        <v>54</v>
      </c>
      <c r="B1112" s="1">
        <v>42886</v>
      </c>
      <c r="C1112" t="s">
        <v>55</v>
      </c>
      <c r="D1112">
        <v>114.85</v>
      </c>
      <c r="E1112" t="str">
        <f>VLOOKUP(C1112,inf!$A$2:$B$7,2,FALSE)</f>
        <v>Current</v>
      </c>
      <c r="F1112" t="str">
        <f t="shared" si="18"/>
        <v>05/31/2017</v>
      </c>
      <c r="G1112" t="str">
        <f>VLOOKUP(A1112,inf!$D$2:$E$76,2,FALSE)</f>
        <v>Other</v>
      </c>
    </row>
    <row r="1113" spans="1:7" x14ac:dyDescent="0.25">
      <c r="A1113" t="s">
        <v>54</v>
      </c>
      <c r="B1113" s="1">
        <v>42886</v>
      </c>
      <c r="C1113" t="s">
        <v>57</v>
      </c>
      <c r="D1113">
        <v>114.85</v>
      </c>
      <c r="E1113" t="str">
        <f>VLOOKUP(C1113,inf!$A$2:$B$7,2,FALSE)</f>
        <v>31 to 60</v>
      </c>
      <c r="F1113" t="str">
        <f t="shared" si="18"/>
        <v>05/31/2017</v>
      </c>
      <c r="G1113" t="str">
        <f>VLOOKUP(A1113,inf!$D$2:$E$76,2,FALSE)</f>
        <v>Other</v>
      </c>
    </row>
    <row r="1114" spans="1:7" x14ac:dyDescent="0.25">
      <c r="A1114" t="s">
        <v>15</v>
      </c>
      <c r="B1114" s="1">
        <v>42886</v>
      </c>
      <c r="C1114" t="s">
        <v>58</v>
      </c>
      <c r="D1114">
        <v>271.91000000000003</v>
      </c>
      <c r="E1114" t="str">
        <f>VLOOKUP(C1114,inf!$A$2:$B$7,2,FALSE)</f>
        <v>61 to 90</v>
      </c>
      <c r="F1114" t="str">
        <f t="shared" si="18"/>
        <v>05/31/2017</v>
      </c>
      <c r="G1114" t="str">
        <f>VLOOKUP(A1114,inf!$D$2:$E$76,2,FALSE)</f>
        <v>Other</v>
      </c>
    </row>
    <row r="1115" spans="1:7" x14ac:dyDescent="0.25">
      <c r="A1115" t="s">
        <v>15</v>
      </c>
      <c r="B1115" s="1">
        <v>42886</v>
      </c>
      <c r="C1115" t="s">
        <v>56</v>
      </c>
      <c r="D1115">
        <v>256.45</v>
      </c>
      <c r="E1115" t="str">
        <f>VLOOKUP(C1115,inf!$A$2:$B$7,2,FALSE)</f>
        <v>Current</v>
      </c>
      <c r="F1115" t="str">
        <f t="shared" si="18"/>
        <v>05/31/2017</v>
      </c>
      <c r="G1115" t="str">
        <f>VLOOKUP(A1115,inf!$D$2:$E$76,2,FALSE)</f>
        <v>Other</v>
      </c>
    </row>
    <row r="1116" spans="1:7" x14ac:dyDescent="0.25">
      <c r="A1116" t="s">
        <v>15</v>
      </c>
      <c r="B1116" s="1">
        <v>42886</v>
      </c>
      <c r="C1116" t="s">
        <v>57</v>
      </c>
      <c r="D1116">
        <v>196.33</v>
      </c>
      <c r="E1116" t="str">
        <f>VLOOKUP(C1116,inf!$A$2:$B$7,2,FALSE)</f>
        <v>31 to 60</v>
      </c>
      <c r="F1116" t="str">
        <f t="shared" si="18"/>
        <v>05/31/2017</v>
      </c>
      <c r="G1116" t="str">
        <f>VLOOKUP(A1116,inf!$D$2:$E$76,2,FALSE)</f>
        <v>Other</v>
      </c>
    </row>
    <row r="1117" spans="1:7" x14ac:dyDescent="0.25">
      <c r="A1117" t="s">
        <v>15</v>
      </c>
      <c r="B1117" s="1">
        <v>42886</v>
      </c>
      <c r="C1117" t="s">
        <v>59</v>
      </c>
      <c r="D1117">
        <v>126.05</v>
      </c>
      <c r="E1117" t="str">
        <f>VLOOKUP(C1117,inf!$A$2:$B$7,2,FALSE)</f>
        <v>Over 90</v>
      </c>
      <c r="F1117" t="str">
        <f t="shared" si="18"/>
        <v>05/31/2017</v>
      </c>
      <c r="G1117" t="str">
        <f>VLOOKUP(A1117,inf!$D$2:$E$76,2,FALSE)</f>
        <v>Other</v>
      </c>
    </row>
    <row r="1118" spans="1:7" x14ac:dyDescent="0.25">
      <c r="A1118" t="s">
        <v>4</v>
      </c>
      <c r="B1118" s="1">
        <v>42893</v>
      </c>
      <c r="C1118" t="s">
        <v>55</v>
      </c>
      <c r="D1118">
        <v>6698.2799999999988</v>
      </c>
      <c r="E1118" t="str">
        <f>VLOOKUP(C1118,inf!$A$2:$B$7,2,FALSE)</f>
        <v>Current</v>
      </c>
      <c r="F1118" t="str">
        <f t="shared" si="18"/>
        <v>06/07/2017</v>
      </c>
      <c r="G1118" t="str">
        <f>VLOOKUP(A1118,inf!$D$2:$E$76,2,FALSE)</f>
        <v>Other</v>
      </c>
    </row>
    <row r="1119" spans="1:7" x14ac:dyDescent="0.25">
      <c r="A1119" t="s">
        <v>4</v>
      </c>
      <c r="B1119" s="1">
        <v>42893</v>
      </c>
      <c r="C1119" t="s">
        <v>56</v>
      </c>
      <c r="D1119">
        <v>368.21</v>
      </c>
      <c r="E1119" t="str">
        <f>VLOOKUP(C1119,inf!$A$2:$B$7,2,FALSE)</f>
        <v>Current</v>
      </c>
      <c r="F1119" t="str">
        <f t="shared" si="18"/>
        <v>06/07/2017</v>
      </c>
      <c r="G1119" t="str">
        <f>VLOOKUP(A1119,inf!$D$2:$E$76,2,FALSE)</f>
        <v>Other</v>
      </c>
    </row>
    <row r="1120" spans="1:7" x14ac:dyDescent="0.25">
      <c r="A1120" t="s">
        <v>26</v>
      </c>
      <c r="B1120" s="1">
        <v>42893</v>
      </c>
      <c r="C1120" t="s">
        <v>60</v>
      </c>
      <c r="D1120">
        <v>1380.77</v>
      </c>
      <c r="E1120" t="str">
        <f>VLOOKUP(C1120,inf!$A$2:$B$7,2,FALSE)</f>
        <v>Over 90</v>
      </c>
      <c r="F1120" t="str">
        <f t="shared" si="18"/>
        <v>06/07/2017</v>
      </c>
      <c r="G1120" t="str">
        <f>VLOOKUP(A1120,inf!$D$2:$E$76,2,FALSE)</f>
        <v>Other</v>
      </c>
    </row>
    <row r="1121" spans="1:7" x14ac:dyDescent="0.25">
      <c r="A1121" t="s">
        <v>2</v>
      </c>
      <c r="B1121" s="1">
        <v>42893</v>
      </c>
      <c r="C1121" t="s">
        <v>60</v>
      </c>
      <c r="D1121">
        <v>3717.8600000000006</v>
      </c>
      <c r="E1121" t="str">
        <f>VLOOKUP(C1121,inf!$A$2:$B$7,2,FALSE)</f>
        <v>Over 90</v>
      </c>
      <c r="F1121" t="str">
        <f t="shared" si="18"/>
        <v>06/07/2017</v>
      </c>
      <c r="G1121" t="str">
        <f>VLOOKUP(A1121,inf!$D$2:$E$76,2,FALSE)</f>
        <v>Other</v>
      </c>
    </row>
    <row r="1122" spans="1:7" x14ac:dyDescent="0.25">
      <c r="A1122" t="s">
        <v>32</v>
      </c>
      <c r="B1122" s="1">
        <v>42893</v>
      </c>
      <c r="C1122" t="s">
        <v>55</v>
      </c>
      <c r="D1122">
        <v>554.54999999999995</v>
      </c>
      <c r="E1122" t="str">
        <f>VLOOKUP(C1122,inf!$A$2:$B$7,2,FALSE)</f>
        <v>Current</v>
      </c>
      <c r="F1122" t="str">
        <f t="shared" si="18"/>
        <v>06/07/2017</v>
      </c>
      <c r="G1122" t="str">
        <f>VLOOKUP(A1122,inf!$D$2:$E$76,2,FALSE)</f>
        <v>Other</v>
      </c>
    </row>
    <row r="1123" spans="1:7" x14ac:dyDescent="0.25">
      <c r="A1123" t="s">
        <v>32</v>
      </c>
      <c r="B1123" s="1">
        <v>42893</v>
      </c>
      <c r="C1123" t="s">
        <v>56</v>
      </c>
      <c r="D1123">
        <v>130.02000000000001</v>
      </c>
      <c r="E1123" t="str">
        <f>VLOOKUP(C1123,inf!$A$2:$B$7,2,FALSE)</f>
        <v>Current</v>
      </c>
      <c r="F1123" t="str">
        <f t="shared" si="18"/>
        <v>06/07/2017</v>
      </c>
      <c r="G1123" t="str">
        <f>VLOOKUP(A1123,inf!$D$2:$E$76,2,FALSE)</f>
        <v>Other</v>
      </c>
    </row>
    <row r="1124" spans="1:7" x14ac:dyDescent="0.25">
      <c r="A1124" t="s">
        <v>52</v>
      </c>
      <c r="B1124" s="1">
        <v>42893</v>
      </c>
      <c r="C1124" t="s">
        <v>55</v>
      </c>
      <c r="D1124">
        <v>369.13</v>
      </c>
      <c r="E1124" t="str">
        <f>VLOOKUP(C1124,inf!$A$2:$B$7,2,FALSE)</f>
        <v>Current</v>
      </c>
      <c r="F1124" t="str">
        <f t="shared" si="18"/>
        <v>06/07/2017</v>
      </c>
      <c r="G1124" t="str">
        <f>VLOOKUP(A1124,inf!$D$2:$E$76,2,FALSE)</f>
        <v>Other</v>
      </c>
    </row>
    <row r="1125" spans="1:7" x14ac:dyDescent="0.25">
      <c r="A1125" t="s">
        <v>47</v>
      </c>
      <c r="B1125" s="1">
        <v>42893</v>
      </c>
      <c r="C1125" t="s">
        <v>55</v>
      </c>
      <c r="D1125">
        <v>284.66000000000003</v>
      </c>
      <c r="E1125" t="str">
        <f>VLOOKUP(C1125,inf!$A$2:$B$7,2,FALSE)</f>
        <v>Current</v>
      </c>
      <c r="F1125" t="str">
        <f t="shared" si="18"/>
        <v>06/07/2017</v>
      </c>
      <c r="G1125" t="str">
        <f>VLOOKUP(A1125,inf!$D$2:$E$76,2,FALSE)</f>
        <v>Other</v>
      </c>
    </row>
    <row r="1126" spans="1:7" x14ac:dyDescent="0.25">
      <c r="A1126" t="s">
        <v>19</v>
      </c>
      <c r="B1126" s="1">
        <v>42893</v>
      </c>
      <c r="C1126" t="s">
        <v>57</v>
      </c>
      <c r="D1126">
        <v>565.36</v>
      </c>
      <c r="E1126" t="str">
        <f>VLOOKUP(C1126,inf!$A$2:$B$7,2,FALSE)</f>
        <v>31 to 60</v>
      </c>
      <c r="F1126" t="str">
        <f t="shared" si="18"/>
        <v>06/07/2017</v>
      </c>
      <c r="G1126" t="str">
        <f>VLOOKUP(A1126,inf!$D$2:$E$76,2,FALSE)</f>
        <v>Other</v>
      </c>
    </row>
    <row r="1127" spans="1:7" x14ac:dyDescent="0.25">
      <c r="A1127" t="s">
        <v>19</v>
      </c>
      <c r="B1127" s="1">
        <v>42893</v>
      </c>
      <c r="C1127" t="s">
        <v>55</v>
      </c>
      <c r="D1127">
        <v>258.41000000000003</v>
      </c>
      <c r="E1127" t="str">
        <f>VLOOKUP(C1127,inf!$A$2:$B$7,2,FALSE)</f>
        <v>Current</v>
      </c>
      <c r="F1127" t="str">
        <f t="shared" si="18"/>
        <v>06/07/2017</v>
      </c>
      <c r="G1127" t="str">
        <f>VLOOKUP(A1127,inf!$D$2:$E$76,2,FALSE)</f>
        <v>Other</v>
      </c>
    </row>
    <row r="1128" spans="1:7" x14ac:dyDescent="0.25">
      <c r="A1128" t="s">
        <v>31</v>
      </c>
      <c r="B1128" s="1">
        <v>42893</v>
      </c>
      <c r="C1128" t="s">
        <v>56</v>
      </c>
      <c r="D1128">
        <v>2059.7399999999998</v>
      </c>
      <c r="E1128" t="str">
        <f>VLOOKUP(C1128,inf!$A$2:$B$7,2,FALSE)</f>
        <v>Current</v>
      </c>
      <c r="F1128" t="str">
        <f t="shared" si="18"/>
        <v>06/07/2017</v>
      </c>
      <c r="G1128" t="str">
        <f>VLOOKUP(A1128,inf!$D$2:$E$76,2,FALSE)</f>
        <v>Other</v>
      </c>
    </row>
    <row r="1129" spans="1:7" x14ac:dyDescent="0.25">
      <c r="A1129" t="s">
        <v>31</v>
      </c>
      <c r="B1129" s="1">
        <v>42893</v>
      </c>
      <c r="C1129" t="s">
        <v>57</v>
      </c>
      <c r="D1129">
        <v>1275.78</v>
      </c>
      <c r="E1129" t="str">
        <f>VLOOKUP(C1129,inf!$A$2:$B$7,2,FALSE)</f>
        <v>31 to 60</v>
      </c>
      <c r="F1129" t="str">
        <f t="shared" si="18"/>
        <v>06/07/2017</v>
      </c>
      <c r="G1129" t="str">
        <f>VLOOKUP(A1129,inf!$D$2:$E$76,2,FALSE)</f>
        <v>Other</v>
      </c>
    </row>
    <row r="1130" spans="1:7" x14ac:dyDescent="0.25">
      <c r="A1130" t="s">
        <v>24</v>
      </c>
      <c r="B1130" s="1">
        <v>42893</v>
      </c>
      <c r="C1130" t="s">
        <v>56</v>
      </c>
      <c r="D1130">
        <v>308.7</v>
      </c>
      <c r="E1130" t="str">
        <f>VLOOKUP(C1130,inf!$A$2:$B$7,2,FALSE)</f>
        <v>Current</v>
      </c>
      <c r="F1130" t="str">
        <f t="shared" si="18"/>
        <v>06/07/2017</v>
      </c>
      <c r="G1130" t="str">
        <f>VLOOKUP(A1130,inf!$D$2:$E$76,2,FALSE)</f>
        <v>Other</v>
      </c>
    </row>
    <row r="1131" spans="1:7" x14ac:dyDescent="0.25">
      <c r="A1131" t="s">
        <v>18</v>
      </c>
      <c r="B1131" s="1">
        <v>42893</v>
      </c>
      <c r="C1131" t="s">
        <v>55</v>
      </c>
      <c r="D1131">
        <v>1320.39</v>
      </c>
      <c r="E1131" t="str">
        <f>VLOOKUP(C1131,inf!$A$2:$B$7,2,FALSE)</f>
        <v>Current</v>
      </c>
      <c r="F1131" t="str">
        <f t="shared" si="18"/>
        <v>06/07/2017</v>
      </c>
      <c r="G1131" t="str">
        <f>VLOOKUP(A1131,inf!$D$2:$E$76,2,FALSE)</f>
        <v>Other</v>
      </c>
    </row>
    <row r="1132" spans="1:7" x14ac:dyDescent="0.25">
      <c r="A1132" t="s">
        <v>18</v>
      </c>
      <c r="B1132" s="1">
        <v>42893</v>
      </c>
      <c r="C1132" t="s">
        <v>57</v>
      </c>
      <c r="D1132">
        <v>373.26</v>
      </c>
      <c r="E1132" t="str">
        <f>VLOOKUP(C1132,inf!$A$2:$B$7,2,FALSE)</f>
        <v>31 to 60</v>
      </c>
      <c r="F1132" t="str">
        <f t="shared" si="18"/>
        <v>06/07/2017</v>
      </c>
      <c r="G1132" t="str">
        <f>VLOOKUP(A1132,inf!$D$2:$E$76,2,FALSE)</f>
        <v>Other</v>
      </c>
    </row>
    <row r="1133" spans="1:7" x14ac:dyDescent="0.25">
      <c r="A1133" t="s">
        <v>27</v>
      </c>
      <c r="B1133" s="1">
        <v>42893</v>
      </c>
      <c r="C1133" t="s">
        <v>55</v>
      </c>
      <c r="D1133">
        <v>1222.42</v>
      </c>
      <c r="E1133" t="str">
        <f>VLOOKUP(C1133,inf!$A$2:$B$7,2,FALSE)</f>
        <v>Current</v>
      </c>
      <c r="F1133" t="str">
        <f t="shared" si="18"/>
        <v>06/07/2017</v>
      </c>
      <c r="G1133" t="str">
        <f>VLOOKUP(A1133,inf!$D$2:$E$76,2,FALSE)</f>
        <v>Other</v>
      </c>
    </row>
    <row r="1134" spans="1:7" x14ac:dyDescent="0.25">
      <c r="A1134" t="s">
        <v>62</v>
      </c>
      <c r="B1134" s="1">
        <v>42893</v>
      </c>
      <c r="C1134" t="s">
        <v>55</v>
      </c>
      <c r="D1134">
        <v>241.05</v>
      </c>
      <c r="E1134" t="str">
        <f>VLOOKUP(C1134,inf!$A$2:$B$7,2,FALSE)</f>
        <v>Current</v>
      </c>
      <c r="F1134" t="str">
        <f t="shared" si="18"/>
        <v>06/07/2017</v>
      </c>
      <c r="G1134" t="str">
        <f>VLOOKUP(A1134,inf!$D$2:$E$76,2,FALSE)</f>
        <v>Other</v>
      </c>
    </row>
    <row r="1135" spans="1:7" x14ac:dyDescent="0.25">
      <c r="A1135" t="s">
        <v>21</v>
      </c>
      <c r="B1135" s="1">
        <v>42893</v>
      </c>
      <c r="C1135" t="s">
        <v>57</v>
      </c>
      <c r="D1135">
        <v>2728.4900000000002</v>
      </c>
      <c r="E1135" t="str">
        <f>VLOOKUP(C1135,inf!$A$2:$B$7,2,FALSE)</f>
        <v>31 to 60</v>
      </c>
      <c r="F1135" t="str">
        <f t="shared" si="18"/>
        <v>06/07/2017</v>
      </c>
      <c r="G1135" t="str">
        <f>VLOOKUP(A1135,inf!$D$2:$E$76,2,FALSE)</f>
        <v>Other</v>
      </c>
    </row>
    <row r="1136" spans="1:7" x14ac:dyDescent="0.25">
      <c r="A1136" t="s">
        <v>21</v>
      </c>
      <c r="B1136" s="1">
        <v>42893</v>
      </c>
      <c r="C1136" t="s">
        <v>56</v>
      </c>
      <c r="D1136">
        <v>666.87</v>
      </c>
      <c r="E1136" t="str">
        <f>VLOOKUP(C1136,inf!$A$2:$B$7,2,FALSE)</f>
        <v>Current</v>
      </c>
      <c r="F1136" t="str">
        <f t="shared" si="18"/>
        <v>06/07/2017</v>
      </c>
      <c r="G1136" t="str">
        <f>VLOOKUP(A1136,inf!$D$2:$E$76,2,FALSE)</f>
        <v>Other</v>
      </c>
    </row>
    <row r="1137" spans="1:7" x14ac:dyDescent="0.25">
      <c r="A1137" t="s">
        <v>21</v>
      </c>
      <c r="B1137" s="1">
        <v>42893</v>
      </c>
      <c r="C1137" t="s">
        <v>55</v>
      </c>
      <c r="D1137">
        <v>425.96</v>
      </c>
      <c r="E1137" t="str">
        <f>VLOOKUP(C1137,inf!$A$2:$B$7,2,FALSE)</f>
        <v>Current</v>
      </c>
      <c r="F1137" t="str">
        <f t="shared" si="18"/>
        <v>06/07/2017</v>
      </c>
      <c r="G1137" t="str">
        <f>VLOOKUP(A1137,inf!$D$2:$E$76,2,FALSE)</f>
        <v>Other</v>
      </c>
    </row>
    <row r="1138" spans="1:7" x14ac:dyDescent="0.25">
      <c r="A1138" t="s">
        <v>53</v>
      </c>
      <c r="B1138" s="1">
        <v>42893</v>
      </c>
      <c r="C1138" t="s">
        <v>55</v>
      </c>
      <c r="D1138">
        <v>479.54</v>
      </c>
      <c r="E1138" t="str">
        <f>VLOOKUP(C1138,inf!$A$2:$B$7,2,FALSE)</f>
        <v>Current</v>
      </c>
      <c r="F1138" t="str">
        <f t="shared" si="18"/>
        <v>06/07/2017</v>
      </c>
      <c r="G1138" t="str">
        <f>VLOOKUP(A1138,inf!$D$2:$E$76,2,FALSE)</f>
        <v>Other</v>
      </c>
    </row>
    <row r="1139" spans="1:7" x14ac:dyDescent="0.25">
      <c r="A1139" t="s">
        <v>3</v>
      </c>
      <c r="B1139" s="1">
        <v>42893</v>
      </c>
      <c r="C1139" t="s">
        <v>58</v>
      </c>
      <c r="D1139">
        <v>4896.4799999999987</v>
      </c>
      <c r="E1139" t="str">
        <f>VLOOKUP(C1139,inf!$A$2:$B$7,2,FALSE)</f>
        <v>61 to 90</v>
      </c>
      <c r="F1139" t="str">
        <f t="shared" si="18"/>
        <v>06/07/2017</v>
      </c>
      <c r="G1139" t="str">
        <f>VLOOKUP(A1139,inf!$D$2:$E$76,2,FALSE)</f>
        <v>Other</v>
      </c>
    </row>
    <row r="1140" spans="1:7" x14ac:dyDescent="0.25">
      <c r="A1140" t="s">
        <v>3</v>
      </c>
      <c r="B1140" s="1">
        <v>42893</v>
      </c>
      <c r="C1140" t="s">
        <v>55</v>
      </c>
      <c r="D1140">
        <v>3243.24</v>
      </c>
      <c r="E1140" t="str">
        <f>VLOOKUP(C1140,inf!$A$2:$B$7,2,FALSE)</f>
        <v>Current</v>
      </c>
      <c r="F1140" t="str">
        <f t="shared" si="18"/>
        <v>06/07/2017</v>
      </c>
      <c r="G1140" t="str">
        <f>VLOOKUP(A1140,inf!$D$2:$E$76,2,FALSE)</f>
        <v>Other</v>
      </c>
    </row>
    <row r="1141" spans="1:7" x14ac:dyDescent="0.25">
      <c r="A1141" t="s">
        <v>3</v>
      </c>
      <c r="B1141" s="1">
        <v>42893</v>
      </c>
      <c r="C1141" t="s">
        <v>57</v>
      </c>
      <c r="D1141">
        <v>2119.52</v>
      </c>
      <c r="E1141" t="str">
        <f>VLOOKUP(C1141,inf!$A$2:$B$7,2,FALSE)</f>
        <v>31 to 60</v>
      </c>
      <c r="F1141" t="str">
        <f t="shared" si="18"/>
        <v>06/07/2017</v>
      </c>
      <c r="G1141" t="str">
        <f>VLOOKUP(A1141,inf!$D$2:$E$76,2,FALSE)</f>
        <v>Other</v>
      </c>
    </row>
    <row r="1142" spans="1:7" x14ac:dyDescent="0.25">
      <c r="A1142" t="s">
        <v>30</v>
      </c>
      <c r="B1142" s="1">
        <v>42893</v>
      </c>
      <c r="C1142" t="s">
        <v>55</v>
      </c>
      <c r="D1142">
        <v>3309.9</v>
      </c>
      <c r="E1142" t="str">
        <f>VLOOKUP(C1142,inf!$A$2:$B$7,2,FALSE)</f>
        <v>Current</v>
      </c>
      <c r="F1142" t="str">
        <f t="shared" si="18"/>
        <v>06/07/2017</v>
      </c>
      <c r="G1142" t="str">
        <f>VLOOKUP(A1142,inf!$D$2:$E$76,2,FALSE)</f>
        <v>Other</v>
      </c>
    </row>
    <row r="1143" spans="1:7" x14ac:dyDescent="0.25">
      <c r="A1143" t="s">
        <v>30</v>
      </c>
      <c r="B1143" s="1">
        <v>42893</v>
      </c>
      <c r="C1143" t="s">
        <v>56</v>
      </c>
      <c r="D1143">
        <v>365.65</v>
      </c>
      <c r="E1143" t="str">
        <f>VLOOKUP(C1143,inf!$A$2:$B$7,2,FALSE)</f>
        <v>Current</v>
      </c>
      <c r="F1143" t="str">
        <f t="shared" si="18"/>
        <v>06/07/2017</v>
      </c>
      <c r="G1143" t="str">
        <f>VLOOKUP(A1143,inf!$D$2:$E$76,2,FALSE)</f>
        <v>Other</v>
      </c>
    </row>
    <row r="1144" spans="1:7" x14ac:dyDescent="0.25">
      <c r="A1144" t="s">
        <v>30</v>
      </c>
      <c r="B1144" s="1">
        <v>42893</v>
      </c>
      <c r="C1144" t="s">
        <v>57</v>
      </c>
      <c r="D1144">
        <v>287.13</v>
      </c>
      <c r="E1144" t="str">
        <f>VLOOKUP(C1144,inf!$A$2:$B$7,2,FALSE)</f>
        <v>31 to 60</v>
      </c>
      <c r="F1144" t="str">
        <f t="shared" si="18"/>
        <v>06/07/2017</v>
      </c>
      <c r="G1144" t="str">
        <f>VLOOKUP(A1144,inf!$D$2:$E$76,2,FALSE)</f>
        <v>Other</v>
      </c>
    </row>
    <row r="1145" spans="1:7" x14ac:dyDescent="0.25">
      <c r="A1145" t="s">
        <v>12</v>
      </c>
      <c r="B1145" s="1">
        <v>42893</v>
      </c>
      <c r="C1145" t="s">
        <v>55</v>
      </c>
      <c r="D1145">
        <v>1544.89</v>
      </c>
      <c r="E1145" t="str">
        <f>VLOOKUP(C1145,inf!$A$2:$B$7,2,FALSE)</f>
        <v>Current</v>
      </c>
      <c r="F1145" t="str">
        <f t="shared" si="18"/>
        <v>06/07/2017</v>
      </c>
      <c r="G1145" t="str">
        <f>VLOOKUP(A1145,inf!$D$2:$E$76,2,FALSE)</f>
        <v>Other</v>
      </c>
    </row>
    <row r="1146" spans="1:7" x14ac:dyDescent="0.25">
      <c r="A1146" t="s">
        <v>12</v>
      </c>
      <c r="B1146" s="1">
        <v>42893</v>
      </c>
      <c r="C1146" t="s">
        <v>56</v>
      </c>
      <c r="D1146">
        <v>476.21</v>
      </c>
      <c r="E1146" t="str">
        <f>VLOOKUP(C1146,inf!$A$2:$B$7,2,FALSE)</f>
        <v>Current</v>
      </c>
      <c r="F1146" t="str">
        <f t="shared" si="18"/>
        <v>06/07/2017</v>
      </c>
      <c r="G1146" t="str">
        <f>VLOOKUP(A1146,inf!$D$2:$E$76,2,FALSE)</f>
        <v>Other</v>
      </c>
    </row>
    <row r="1147" spans="1:7" x14ac:dyDescent="0.25">
      <c r="A1147" t="s">
        <v>7</v>
      </c>
      <c r="B1147" s="1">
        <v>42893</v>
      </c>
      <c r="C1147" t="s">
        <v>55</v>
      </c>
      <c r="D1147">
        <v>85599.169999999955</v>
      </c>
      <c r="E1147" t="str">
        <f>VLOOKUP(C1147,inf!$A$2:$B$7,2,FALSE)</f>
        <v>Current</v>
      </c>
      <c r="F1147" t="str">
        <f t="shared" si="18"/>
        <v>06/07/2017</v>
      </c>
      <c r="G1147" t="str">
        <f>VLOOKUP(A1147,inf!$D$2:$E$76,2,FALSE)</f>
        <v>SAFEWAY</v>
      </c>
    </row>
    <row r="1148" spans="1:7" x14ac:dyDescent="0.25">
      <c r="A1148" t="s">
        <v>7</v>
      </c>
      <c r="B1148" s="1">
        <v>42893</v>
      </c>
      <c r="C1148" t="s">
        <v>56</v>
      </c>
      <c r="D1148">
        <v>19678.620000000003</v>
      </c>
      <c r="E1148" t="str">
        <f>VLOOKUP(C1148,inf!$A$2:$B$7,2,FALSE)</f>
        <v>Current</v>
      </c>
      <c r="F1148" t="str">
        <f t="shared" si="18"/>
        <v>06/07/2017</v>
      </c>
      <c r="G1148" t="str">
        <f>VLOOKUP(A1148,inf!$D$2:$E$76,2,FALSE)</f>
        <v>SAFEWAY</v>
      </c>
    </row>
    <row r="1149" spans="1:7" x14ac:dyDescent="0.25">
      <c r="A1149" t="s">
        <v>7</v>
      </c>
      <c r="B1149" s="1">
        <v>42893</v>
      </c>
      <c r="C1149" t="s">
        <v>58</v>
      </c>
      <c r="D1149">
        <v>624.54</v>
      </c>
      <c r="E1149" t="str">
        <f>VLOOKUP(C1149,inf!$A$2:$B$7,2,FALSE)</f>
        <v>61 to 90</v>
      </c>
      <c r="F1149" t="str">
        <f t="shared" si="18"/>
        <v>06/07/2017</v>
      </c>
      <c r="G1149" t="str">
        <f>VLOOKUP(A1149,inf!$D$2:$E$76,2,FALSE)</f>
        <v>SAFEWAY</v>
      </c>
    </row>
    <row r="1150" spans="1:7" x14ac:dyDescent="0.25">
      <c r="A1150" t="s">
        <v>7</v>
      </c>
      <c r="B1150" s="1">
        <v>42893</v>
      </c>
      <c r="C1150" t="s">
        <v>57</v>
      </c>
      <c r="D1150">
        <v>604.37</v>
      </c>
      <c r="E1150" t="str">
        <f>VLOOKUP(C1150,inf!$A$2:$B$7,2,FALSE)</f>
        <v>31 to 60</v>
      </c>
      <c r="F1150" t="str">
        <f t="shared" si="18"/>
        <v>06/07/2017</v>
      </c>
      <c r="G1150" t="str">
        <f>VLOOKUP(A1150,inf!$D$2:$E$76,2,FALSE)</f>
        <v>SAFEWAY</v>
      </c>
    </row>
    <row r="1151" spans="1:7" x14ac:dyDescent="0.25">
      <c r="A1151" t="s">
        <v>5</v>
      </c>
      <c r="B1151" s="1">
        <v>42893</v>
      </c>
      <c r="C1151" t="s">
        <v>55</v>
      </c>
      <c r="D1151" s="5">
        <v>4737344.1300000194</v>
      </c>
      <c r="E1151" t="str">
        <f>VLOOKUP(C1151,inf!$A$2:$B$7,2,FALSE)</f>
        <v>Current</v>
      </c>
      <c r="F1151" t="str">
        <f t="shared" si="18"/>
        <v>06/07/2017</v>
      </c>
      <c r="G1151" t="str">
        <f>VLOOKUP(A1151,inf!$D$2:$E$76,2,FALSE)</f>
        <v>SBUX</v>
      </c>
    </row>
    <row r="1152" spans="1:7" x14ac:dyDescent="0.25">
      <c r="A1152" t="s">
        <v>5</v>
      </c>
      <c r="B1152" s="1">
        <v>42893</v>
      </c>
      <c r="C1152" t="s">
        <v>60</v>
      </c>
      <c r="D1152" s="5">
        <v>86013.23000000001</v>
      </c>
      <c r="E1152" t="str">
        <f>VLOOKUP(C1152,inf!$A$2:$B$7,2,FALSE)</f>
        <v>Over 90</v>
      </c>
      <c r="F1152" t="str">
        <f t="shared" si="18"/>
        <v>06/07/2017</v>
      </c>
      <c r="G1152" t="str">
        <f>VLOOKUP(A1152,inf!$D$2:$E$76,2,FALSE)</f>
        <v>SBUX</v>
      </c>
    </row>
    <row r="1153" spans="1:7" x14ac:dyDescent="0.25">
      <c r="A1153" t="s">
        <v>5</v>
      </c>
      <c r="B1153" s="1">
        <v>42893</v>
      </c>
      <c r="C1153" t="s">
        <v>56</v>
      </c>
      <c r="D1153">
        <v>48937.21</v>
      </c>
      <c r="E1153" t="str">
        <f>VLOOKUP(C1153,inf!$A$2:$B$7,2,FALSE)</f>
        <v>Current</v>
      </c>
      <c r="F1153" t="str">
        <f t="shared" si="18"/>
        <v>06/07/2017</v>
      </c>
      <c r="G1153" t="str">
        <f>VLOOKUP(A1153,inf!$D$2:$E$76,2,FALSE)</f>
        <v>SBUX</v>
      </c>
    </row>
    <row r="1154" spans="1:7" x14ac:dyDescent="0.25">
      <c r="A1154" t="s">
        <v>5</v>
      </c>
      <c r="B1154" s="1">
        <v>42893</v>
      </c>
      <c r="C1154" t="s">
        <v>57</v>
      </c>
      <c r="D1154">
        <v>2904.9100000000003</v>
      </c>
      <c r="E1154" t="str">
        <f>VLOOKUP(C1154,inf!$A$2:$B$7,2,FALSE)</f>
        <v>31 to 60</v>
      </c>
      <c r="F1154" t="str">
        <f t="shared" si="18"/>
        <v>06/07/2017</v>
      </c>
      <c r="G1154" t="str">
        <f>VLOOKUP(A1154,inf!$D$2:$E$76,2,FALSE)</f>
        <v>SBUX</v>
      </c>
    </row>
    <row r="1155" spans="1:7" x14ac:dyDescent="0.25">
      <c r="A1155" t="s">
        <v>5</v>
      </c>
      <c r="B1155" s="1">
        <v>42893</v>
      </c>
      <c r="C1155" t="s">
        <v>59</v>
      </c>
      <c r="D1155">
        <v>1831.4500000000003</v>
      </c>
      <c r="E1155" t="str">
        <f>VLOOKUP(C1155,inf!$A$2:$B$7,2,FALSE)</f>
        <v>Over 90</v>
      </c>
      <c r="F1155" t="str">
        <f t="shared" ref="F1155:F1218" si="19">TEXT(B1155,"MM/DD/YYYY")</f>
        <v>06/07/2017</v>
      </c>
      <c r="G1155" t="str">
        <f>VLOOKUP(A1155,inf!$D$2:$E$76,2,FALSE)</f>
        <v>SBUX</v>
      </c>
    </row>
    <row r="1156" spans="1:7" x14ac:dyDescent="0.25">
      <c r="A1156" t="s">
        <v>5</v>
      </c>
      <c r="B1156" s="1">
        <v>42893</v>
      </c>
      <c r="C1156" t="s">
        <v>58</v>
      </c>
      <c r="D1156">
        <v>1581.33</v>
      </c>
      <c r="E1156" t="str">
        <f>VLOOKUP(C1156,inf!$A$2:$B$7,2,FALSE)</f>
        <v>61 to 90</v>
      </c>
      <c r="F1156" t="str">
        <f t="shared" si="19"/>
        <v>06/07/2017</v>
      </c>
      <c r="G1156" t="str">
        <f>VLOOKUP(A1156,inf!$D$2:$E$76,2,FALSE)</f>
        <v>SBUX</v>
      </c>
    </row>
    <row r="1157" spans="1:7" x14ac:dyDescent="0.25">
      <c r="A1157" t="s">
        <v>6</v>
      </c>
      <c r="B1157" s="1">
        <v>42893</v>
      </c>
      <c r="C1157" t="s">
        <v>55</v>
      </c>
      <c r="D1157" s="5">
        <v>403539.42999999935</v>
      </c>
      <c r="E1157" t="str">
        <f>VLOOKUP(C1157,inf!$A$2:$B$7,2,FALSE)</f>
        <v>Current</v>
      </c>
      <c r="F1157" t="str">
        <f t="shared" si="19"/>
        <v>06/07/2017</v>
      </c>
      <c r="G1157" t="str">
        <f>VLOOKUP(A1157,inf!$D$2:$E$76,2,FALSE)</f>
        <v>SBUX</v>
      </c>
    </row>
    <row r="1158" spans="1:7" x14ac:dyDescent="0.25">
      <c r="A1158" t="s">
        <v>6</v>
      </c>
      <c r="B1158" s="1">
        <v>42893</v>
      </c>
      <c r="C1158" t="s">
        <v>60</v>
      </c>
      <c r="D1158">
        <v>5110.2899999999991</v>
      </c>
      <c r="E1158" t="str">
        <f>VLOOKUP(C1158,inf!$A$2:$B$7,2,FALSE)</f>
        <v>Over 90</v>
      </c>
      <c r="F1158" t="str">
        <f t="shared" si="19"/>
        <v>06/07/2017</v>
      </c>
      <c r="G1158" t="str">
        <f>VLOOKUP(A1158,inf!$D$2:$E$76,2,FALSE)</f>
        <v>SBUX</v>
      </c>
    </row>
    <row r="1159" spans="1:7" x14ac:dyDescent="0.25">
      <c r="A1159" t="s">
        <v>6</v>
      </c>
      <c r="B1159" s="1">
        <v>42893</v>
      </c>
      <c r="C1159" t="s">
        <v>58</v>
      </c>
      <c r="D1159">
        <v>3962.0299999999997</v>
      </c>
      <c r="E1159" t="str">
        <f>VLOOKUP(C1159,inf!$A$2:$B$7,2,FALSE)</f>
        <v>61 to 90</v>
      </c>
      <c r="F1159" t="str">
        <f t="shared" si="19"/>
        <v>06/07/2017</v>
      </c>
      <c r="G1159" t="str">
        <f>VLOOKUP(A1159,inf!$D$2:$E$76,2,FALSE)</f>
        <v>SBUX</v>
      </c>
    </row>
    <row r="1160" spans="1:7" x14ac:dyDescent="0.25">
      <c r="A1160" t="s">
        <v>6</v>
      </c>
      <c r="B1160" s="1">
        <v>42893</v>
      </c>
      <c r="C1160" t="s">
        <v>57</v>
      </c>
      <c r="D1160">
        <v>1070.6100000000001</v>
      </c>
      <c r="E1160" t="str">
        <f>VLOOKUP(C1160,inf!$A$2:$B$7,2,FALSE)</f>
        <v>31 to 60</v>
      </c>
      <c r="F1160" t="str">
        <f t="shared" si="19"/>
        <v>06/07/2017</v>
      </c>
      <c r="G1160" t="str">
        <f>VLOOKUP(A1160,inf!$D$2:$E$76,2,FALSE)</f>
        <v>SBUX</v>
      </c>
    </row>
    <row r="1161" spans="1:7" x14ac:dyDescent="0.25">
      <c r="A1161" t="s">
        <v>6</v>
      </c>
      <c r="B1161" s="1">
        <v>42893</v>
      </c>
      <c r="C1161" t="s">
        <v>59</v>
      </c>
      <c r="D1161">
        <v>435.33</v>
      </c>
      <c r="E1161" t="str">
        <f>VLOOKUP(C1161,inf!$A$2:$B$7,2,FALSE)</f>
        <v>Over 90</v>
      </c>
      <c r="F1161" t="str">
        <f t="shared" si="19"/>
        <v>06/07/2017</v>
      </c>
      <c r="G1161" t="str">
        <f>VLOOKUP(A1161,inf!$D$2:$E$76,2,FALSE)</f>
        <v>SBUX</v>
      </c>
    </row>
    <row r="1162" spans="1:7" x14ac:dyDescent="0.25">
      <c r="A1162" t="s">
        <v>6</v>
      </c>
      <c r="B1162" s="1">
        <v>42893</v>
      </c>
      <c r="C1162" t="s">
        <v>56</v>
      </c>
      <c r="D1162">
        <v>294.62</v>
      </c>
      <c r="E1162" t="str">
        <f>VLOOKUP(C1162,inf!$A$2:$B$7,2,FALSE)</f>
        <v>Current</v>
      </c>
      <c r="F1162" t="str">
        <f t="shared" si="19"/>
        <v>06/07/2017</v>
      </c>
      <c r="G1162" t="str">
        <f>VLOOKUP(A1162,inf!$D$2:$E$76,2,FALSE)</f>
        <v>SBUX</v>
      </c>
    </row>
    <row r="1163" spans="1:7" x14ac:dyDescent="0.25">
      <c r="A1163" t="s">
        <v>51</v>
      </c>
      <c r="B1163" s="1">
        <v>42893</v>
      </c>
      <c r="C1163" t="s">
        <v>57</v>
      </c>
      <c r="D1163">
        <v>235.2</v>
      </c>
      <c r="E1163" t="str">
        <f>VLOOKUP(C1163,inf!$A$2:$B$7,2,FALSE)</f>
        <v>31 to 60</v>
      </c>
      <c r="F1163" t="str">
        <f t="shared" si="19"/>
        <v>06/07/2017</v>
      </c>
      <c r="G1163" t="str">
        <f>VLOOKUP(A1163,inf!$D$2:$E$76,2,FALSE)</f>
        <v>Other</v>
      </c>
    </row>
    <row r="1164" spans="1:7" x14ac:dyDescent="0.25">
      <c r="A1164" t="s">
        <v>48</v>
      </c>
      <c r="B1164" s="1">
        <v>42893</v>
      </c>
      <c r="C1164" t="s">
        <v>55</v>
      </c>
      <c r="D1164">
        <v>43307.219999999994</v>
      </c>
      <c r="E1164" t="str">
        <f>VLOOKUP(C1164,inf!$A$2:$B$7,2,FALSE)</f>
        <v>Current</v>
      </c>
      <c r="F1164" t="str">
        <f t="shared" si="19"/>
        <v>06/07/2017</v>
      </c>
      <c r="G1164" t="str">
        <f>VLOOKUP(A1164,inf!$D$2:$E$76,2,FALSE)</f>
        <v>Target</v>
      </c>
    </row>
    <row r="1165" spans="1:7" x14ac:dyDescent="0.25">
      <c r="A1165" t="s">
        <v>8</v>
      </c>
      <c r="B1165" s="1">
        <v>42893</v>
      </c>
      <c r="C1165" t="s">
        <v>55</v>
      </c>
      <c r="D1165" s="5">
        <v>266411.47000000032</v>
      </c>
      <c r="E1165" t="str">
        <f>VLOOKUP(C1165,inf!$A$2:$B$7,2,FALSE)</f>
        <v>Current</v>
      </c>
      <c r="F1165" t="str">
        <f t="shared" si="19"/>
        <v>06/07/2017</v>
      </c>
      <c r="G1165" t="str">
        <f>VLOOKUP(A1165,inf!$D$2:$E$76,2,FALSE)</f>
        <v>Target</v>
      </c>
    </row>
    <row r="1166" spans="1:7" x14ac:dyDescent="0.25">
      <c r="A1166" t="s">
        <v>8</v>
      </c>
      <c r="B1166" s="1">
        <v>42893</v>
      </c>
      <c r="C1166" t="s">
        <v>56</v>
      </c>
      <c r="D1166">
        <v>87083.450000000026</v>
      </c>
      <c r="E1166" t="str">
        <f>VLOOKUP(C1166,inf!$A$2:$B$7,2,FALSE)</f>
        <v>Current</v>
      </c>
      <c r="F1166" t="str">
        <f t="shared" si="19"/>
        <v>06/07/2017</v>
      </c>
      <c r="G1166" t="str">
        <f>VLOOKUP(A1166,inf!$D$2:$E$76,2,FALSE)</f>
        <v>Target</v>
      </c>
    </row>
    <row r="1167" spans="1:7" x14ac:dyDescent="0.25">
      <c r="A1167" t="s">
        <v>8</v>
      </c>
      <c r="B1167" s="1">
        <v>42893</v>
      </c>
      <c r="C1167" t="s">
        <v>60</v>
      </c>
      <c r="D1167">
        <v>19561.919999999998</v>
      </c>
      <c r="E1167" t="str">
        <f>VLOOKUP(C1167,inf!$A$2:$B$7,2,FALSE)</f>
        <v>Over 90</v>
      </c>
      <c r="F1167" t="str">
        <f t="shared" si="19"/>
        <v>06/07/2017</v>
      </c>
      <c r="G1167" t="str">
        <f>VLOOKUP(A1167,inf!$D$2:$E$76,2,FALSE)</f>
        <v>Target</v>
      </c>
    </row>
    <row r="1168" spans="1:7" x14ac:dyDescent="0.25">
      <c r="A1168" t="s">
        <v>8</v>
      </c>
      <c r="B1168" s="1">
        <v>42893</v>
      </c>
      <c r="C1168" t="s">
        <v>58</v>
      </c>
      <c r="D1168">
        <v>5385.1899999999987</v>
      </c>
      <c r="E1168" t="str">
        <f>VLOOKUP(C1168,inf!$A$2:$B$7,2,FALSE)</f>
        <v>61 to 90</v>
      </c>
      <c r="F1168" t="str">
        <f t="shared" si="19"/>
        <v>06/07/2017</v>
      </c>
      <c r="G1168" t="str">
        <f>VLOOKUP(A1168,inf!$D$2:$E$76,2,FALSE)</f>
        <v>Target</v>
      </c>
    </row>
    <row r="1169" spans="1:7" x14ac:dyDescent="0.25">
      <c r="A1169" t="s">
        <v>8</v>
      </c>
      <c r="B1169" s="1">
        <v>42893</v>
      </c>
      <c r="C1169" t="s">
        <v>57</v>
      </c>
      <c r="D1169">
        <v>1917.03</v>
      </c>
      <c r="E1169" t="str">
        <f>VLOOKUP(C1169,inf!$A$2:$B$7,2,FALSE)</f>
        <v>31 to 60</v>
      </c>
      <c r="F1169" t="str">
        <f t="shared" si="19"/>
        <v>06/07/2017</v>
      </c>
      <c r="G1169" t="str">
        <f>VLOOKUP(A1169,inf!$D$2:$E$76,2,FALSE)</f>
        <v>Target</v>
      </c>
    </row>
    <row r="1170" spans="1:7" x14ac:dyDescent="0.25">
      <c r="A1170" t="s">
        <v>8</v>
      </c>
      <c r="B1170" s="1">
        <v>42893</v>
      </c>
      <c r="C1170" t="s">
        <v>59</v>
      </c>
      <c r="D1170">
        <v>597.32999999999993</v>
      </c>
      <c r="E1170" t="str">
        <f>VLOOKUP(C1170,inf!$A$2:$B$7,2,FALSE)</f>
        <v>Over 90</v>
      </c>
      <c r="F1170" t="str">
        <f t="shared" si="19"/>
        <v>06/07/2017</v>
      </c>
      <c r="G1170" t="str">
        <f>VLOOKUP(A1170,inf!$D$2:$E$76,2,FALSE)</f>
        <v>Target</v>
      </c>
    </row>
    <row r="1171" spans="1:7" x14ac:dyDescent="0.25">
      <c r="A1171" t="s">
        <v>54</v>
      </c>
      <c r="B1171" s="1">
        <v>42893</v>
      </c>
      <c r="C1171" t="s">
        <v>55</v>
      </c>
      <c r="D1171">
        <v>428.47</v>
      </c>
      <c r="E1171" t="str">
        <f>VLOOKUP(C1171,inf!$A$2:$B$7,2,FALSE)</f>
        <v>Current</v>
      </c>
      <c r="F1171" t="str">
        <f t="shared" si="19"/>
        <v>06/07/2017</v>
      </c>
      <c r="G1171" t="str">
        <f>VLOOKUP(A1171,inf!$D$2:$E$76,2,FALSE)</f>
        <v>Other</v>
      </c>
    </row>
    <row r="1172" spans="1:7" x14ac:dyDescent="0.25">
      <c r="A1172" t="s">
        <v>54</v>
      </c>
      <c r="B1172" s="1">
        <v>42893</v>
      </c>
      <c r="C1172" t="s">
        <v>57</v>
      </c>
      <c r="D1172">
        <v>114.85</v>
      </c>
      <c r="E1172" t="str">
        <f>VLOOKUP(C1172,inf!$A$2:$B$7,2,FALSE)</f>
        <v>31 to 60</v>
      </c>
      <c r="F1172" t="str">
        <f t="shared" si="19"/>
        <v>06/07/2017</v>
      </c>
      <c r="G1172" t="str">
        <f>VLOOKUP(A1172,inf!$D$2:$E$76,2,FALSE)</f>
        <v>Other</v>
      </c>
    </row>
    <row r="1173" spans="1:7" x14ac:dyDescent="0.25">
      <c r="A1173" t="s">
        <v>15</v>
      </c>
      <c r="B1173" s="1">
        <v>42893</v>
      </c>
      <c r="C1173" t="s">
        <v>58</v>
      </c>
      <c r="D1173">
        <v>271.91000000000003</v>
      </c>
      <c r="E1173" t="str">
        <f>VLOOKUP(C1173,inf!$A$2:$B$7,2,FALSE)</f>
        <v>61 to 90</v>
      </c>
      <c r="F1173" t="str">
        <f t="shared" si="19"/>
        <v>06/07/2017</v>
      </c>
      <c r="G1173" t="str">
        <f>VLOOKUP(A1173,inf!$D$2:$E$76,2,FALSE)</f>
        <v>Other</v>
      </c>
    </row>
    <row r="1174" spans="1:7" x14ac:dyDescent="0.25">
      <c r="A1174" t="s">
        <v>15</v>
      </c>
      <c r="B1174" s="1">
        <v>42893</v>
      </c>
      <c r="C1174" t="s">
        <v>56</v>
      </c>
      <c r="D1174">
        <v>256.45</v>
      </c>
      <c r="E1174" t="str">
        <f>VLOOKUP(C1174,inf!$A$2:$B$7,2,FALSE)</f>
        <v>Current</v>
      </c>
      <c r="F1174" t="str">
        <f t="shared" si="19"/>
        <v>06/07/2017</v>
      </c>
      <c r="G1174" t="str">
        <f>VLOOKUP(A1174,inf!$D$2:$E$76,2,FALSE)</f>
        <v>Other</v>
      </c>
    </row>
    <row r="1175" spans="1:7" x14ac:dyDescent="0.25">
      <c r="A1175" t="s">
        <v>15</v>
      </c>
      <c r="B1175" s="1">
        <v>42893</v>
      </c>
      <c r="C1175" t="s">
        <v>57</v>
      </c>
      <c r="D1175">
        <v>196.33</v>
      </c>
      <c r="E1175" t="str">
        <f>VLOOKUP(C1175,inf!$A$2:$B$7,2,FALSE)</f>
        <v>31 to 60</v>
      </c>
      <c r="F1175" t="str">
        <f t="shared" si="19"/>
        <v>06/07/2017</v>
      </c>
      <c r="G1175" t="str">
        <f>VLOOKUP(A1175,inf!$D$2:$E$76,2,FALSE)</f>
        <v>Other</v>
      </c>
    </row>
    <row r="1176" spans="1:7" x14ac:dyDescent="0.25">
      <c r="A1176" t="s">
        <v>15</v>
      </c>
      <c r="B1176" s="1">
        <v>42893</v>
      </c>
      <c r="C1176" t="s">
        <v>55</v>
      </c>
      <c r="D1176">
        <v>192.78</v>
      </c>
      <c r="E1176" t="str">
        <f>VLOOKUP(C1176,inf!$A$2:$B$7,2,FALSE)</f>
        <v>Current</v>
      </c>
      <c r="F1176" t="str">
        <f t="shared" si="19"/>
        <v>06/07/2017</v>
      </c>
      <c r="G1176" t="str">
        <f>VLOOKUP(A1176,inf!$D$2:$E$76,2,FALSE)</f>
        <v>Other</v>
      </c>
    </row>
    <row r="1177" spans="1:7" x14ac:dyDescent="0.25">
      <c r="A1177" t="s">
        <v>15</v>
      </c>
      <c r="B1177" s="1">
        <v>42893</v>
      </c>
      <c r="C1177" t="s">
        <v>60</v>
      </c>
      <c r="D1177">
        <v>126.05</v>
      </c>
      <c r="E1177" t="str">
        <f>VLOOKUP(C1177,inf!$A$2:$B$7,2,FALSE)</f>
        <v>Over 90</v>
      </c>
      <c r="F1177" t="str">
        <f t="shared" si="19"/>
        <v>06/07/2017</v>
      </c>
      <c r="G1177" t="str">
        <f>VLOOKUP(A1177,inf!$D$2:$E$76,2,FALSE)</f>
        <v>Other</v>
      </c>
    </row>
    <row r="1178" spans="1:7" x14ac:dyDescent="0.25">
      <c r="A1178" t="s">
        <v>4</v>
      </c>
      <c r="B1178" s="1">
        <v>42900</v>
      </c>
      <c r="C1178" t="s">
        <v>55</v>
      </c>
      <c r="D1178">
        <v>6001.3399999999992</v>
      </c>
      <c r="E1178" t="str">
        <f>VLOOKUP(C1178,inf!$A$2:$B$7,2,FALSE)</f>
        <v>Current</v>
      </c>
      <c r="F1178" t="str">
        <f t="shared" si="19"/>
        <v>06/14/2017</v>
      </c>
      <c r="G1178" t="str">
        <f>VLOOKUP(A1178,inf!$D$2:$E$76,2,FALSE)</f>
        <v>Other</v>
      </c>
    </row>
    <row r="1179" spans="1:7" x14ac:dyDescent="0.25">
      <c r="A1179" t="s">
        <v>4</v>
      </c>
      <c r="B1179" s="1">
        <v>42900</v>
      </c>
      <c r="C1179" t="s">
        <v>56</v>
      </c>
      <c r="D1179">
        <v>2104.96</v>
      </c>
      <c r="E1179" t="str">
        <f>VLOOKUP(C1179,inf!$A$2:$B$7,2,FALSE)</f>
        <v>Current</v>
      </c>
      <c r="F1179" t="str">
        <f t="shared" si="19"/>
        <v>06/14/2017</v>
      </c>
      <c r="G1179" t="str">
        <f>VLOOKUP(A1179,inf!$D$2:$E$76,2,FALSE)</f>
        <v>Other</v>
      </c>
    </row>
    <row r="1180" spans="1:7" x14ac:dyDescent="0.25">
      <c r="A1180" t="s">
        <v>26</v>
      </c>
      <c r="B1180" s="1">
        <v>42900</v>
      </c>
      <c r="C1180" t="s">
        <v>60</v>
      </c>
      <c r="D1180">
        <v>1380.77</v>
      </c>
      <c r="E1180" t="str">
        <f>VLOOKUP(C1180,inf!$A$2:$B$7,2,FALSE)</f>
        <v>Over 90</v>
      </c>
      <c r="F1180" t="str">
        <f t="shared" si="19"/>
        <v>06/14/2017</v>
      </c>
      <c r="G1180" t="str">
        <f>VLOOKUP(A1180,inf!$D$2:$E$76,2,FALSE)</f>
        <v>Other</v>
      </c>
    </row>
    <row r="1181" spans="1:7" x14ac:dyDescent="0.25">
      <c r="A1181" t="s">
        <v>2</v>
      </c>
      <c r="B1181" s="1">
        <v>42900</v>
      </c>
      <c r="C1181" t="s">
        <v>60</v>
      </c>
      <c r="D1181">
        <v>3717.8600000000006</v>
      </c>
      <c r="E1181" t="str">
        <f>VLOOKUP(C1181,inf!$A$2:$B$7,2,FALSE)</f>
        <v>Over 90</v>
      </c>
      <c r="F1181" t="str">
        <f t="shared" si="19"/>
        <v>06/14/2017</v>
      </c>
      <c r="G1181" t="str">
        <f>VLOOKUP(A1181,inf!$D$2:$E$76,2,FALSE)</f>
        <v>Other</v>
      </c>
    </row>
    <row r="1182" spans="1:7" x14ac:dyDescent="0.25">
      <c r="A1182" t="s">
        <v>32</v>
      </c>
      <c r="B1182" s="1">
        <v>42900</v>
      </c>
      <c r="C1182" t="s">
        <v>55</v>
      </c>
      <c r="D1182">
        <v>554.54999999999995</v>
      </c>
      <c r="E1182" t="str">
        <f>VLOOKUP(C1182,inf!$A$2:$B$7,2,FALSE)</f>
        <v>Current</v>
      </c>
      <c r="F1182" t="str">
        <f t="shared" si="19"/>
        <v>06/14/2017</v>
      </c>
      <c r="G1182" t="str">
        <f>VLOOKUP(A1182,inf!$D$2:$E$76,2,FALSE)</f>
        <v>Other</v>
      </c>
    </row>
    <row r="1183" spans="1:7" x14ac:dyDescent="0.25">
      <c r="A1183" t="s">
        <v>32</v>
      </c>
      <c r="B1183" s="1">
        <v>42900</v>
      </c>
      <c r="C1183" t="s">
        <v>56</v>
      </c>
      <c r="D1183">
        <v>130.02000000000001</v>
      </c>
      <c r="E1183" t="str">
        <f>VLOOKUP(C1183,inf!$A$2:$B$7,2,FALSE)</f>
        <v>Current</v>
      </c>
      <c r="F1183" t="str">
        <f t="shared" si="19"/>
        <v>06/14/2017</v>
      </c>
      <c r="G1183" t="str">
        <f>VLOOKUP(A1183,inf!$D$2:$E$76,2,FALSE)</f>
        <v>Other</v>
      </c>
    </row>
    <row r="1184" spans="1:7" x14ac:dyDescent="0.25">
      <c r="A1184" t="s">
        <v>52</v>
      </c>
      <c r="B1184" s="1">
        <v>42900</v>
      </c>
      <c r="C1184" t="s">
        <v>55</v>
      </c>
      <c r="D1184">
        <v>369.13</v>
      </c>
      <c r="E1184" t="str">
        <f>VLOOKUP(C1184,inf!$A$2:$B$7,2,FALSE)</f>
        <v>Current</v>
      </c>
      <c r="F1184" t="str">
        <f t="shared" si="19"/>
        <v>06/14/2017</v>
      </c>
      <c r="G1184" t="str">
        <f>VLOOKUP(A1184,inf!$D$2:$E$76,2,FALSE)</f>
        <v>Other</v>
      </c>
    </row>
    <row r="1185" spans="1:7" x14ac:dyDescent="0.25">
      <c r="A1185" t="s">
        <v>47</v>
      </c>
      <c r="B1185" s="1">
        <v>42900</v>
      </c>
      <c r="C1185" t="s">
        <v>55</v>
      </c>
      <c r="D1185">
        <v>284.66000000000003</v>
      </c>
      <c r="E1185" t="str">
        <f>VLOOKUP(C1185,inf!$A$2:$B$7,2,FALSE)</f>
        <v>Current</v>
      </c>
      <c r="F1185" t="str">
        <f t="shared" si="19"/>
        <v>06/14/2017</v>
      </c>
      <c r="G1185" t="str">
        <f>VLOOKUP(A1185,inf!$D$2:$E$76,2,FALSE)</f>
        <v>Other</v>
      </c>
    </row>
    <row r="1186" spans="1:7" x14ac:dyDescent="0.25">
      <c r="A1186" t="s">
        <v>19</v>
      </c>
      <c r="B1186" s="1">
        <v>42900</v>
      </c>
      <c r="C1186" t="s">
        <v>57</v>
      </c>
      <c r="D1186">
        <v>565.36</v>
      </c>
      <c r="E1186" t="str">
        <f>VLOOKUP(C1186,inf!$A$2:$B$7,2,FALSE)</f>
        <v>31 to 60</v>
      </c>
      <c r="F1186" t="str">
        <f t="shared" si="19"/>
        <v>06/14/2017</v>
      </c>
      <c r="G1186" t="str">
        <f>VLOOKUP(A1186,inf!$D$2:$E$76,2,FALSE)</f>
        <v>Other</v>
      </c>
    </row>
    <row r="1187" spans="1:7" x14ac:dyDescent="0.25">
      <c r="A1187" t="s">
        <v>19</v>
      </c>
      <c r="B1187" s="1">
        <v>42900</v>
      </c>
      <c r="C1187" t="s">
        <v>55</v>
      </c>
      <c r="D1187">
        <v>258.41000000000003</v>
      </c>
      <c r="E1187" t="str">
        <f>VLOOKUP(C1187,inf!$A$2:$B$7,2,FALSE)</f>
        <v>Current</v>
      </c>
      <c r="F1187" t="str">
        <f t="shared" si="19"/>
        <v>06/14/2017</v>
      </c>
      <c r="G1187" t="str">
        <f>VLOOKUP(A1187,inf!$D$2:$E$76,2,FALSE)</f>
        <v>Other</v>
      </c>
    </row>
    <row r="1188" spans="1:7" x14ac:dyDescent="0.25">
      <c r="A1188" t="s">
        <v>31</v>
      </c>
      <c r="B1188" s="1">
        <v>42900</v>
      </c>
      <c r="C1188" t="s">
        <v>57</v>
      </c>
      <c r="D1188">
        <v>3335.5199999999995</v>
      </c>
      <c r="E1188" t="str">
        <f>VLOOKUP(C1188,inf!$A$2:$B$7,2,FALSE)</f>
        <v>31 to 60</v>
      </c>
      <c r="F1188" t="str">
        <f t="shared" si="19"/>
        <v>06/14/2017</v>
      </c>
      <c r="G1188" t="str">
        <f>VLOOKUP(A1188,inf!$D$2:$E$76,2,FALSE)</f>
        <v>Other</v>
      </c>
    </row>
    <row r="1189" spans="1:7" x14ac:dyDescent="0.25">
      <c r="A1189" t="s">
        <v>24</v>
      </c>
      <c r="B1189" s="1">
        <v>42900</v>
      </c>
      <c r="C1189" t="s">
        <v>56</v>
      </c>
      <c r="D1189">
        <v>308.7</v>
      </c>
      <c r="E1189" t="str">
        <f>VLOOKUP(C1189,inf!$A$2:$B$7,2,FALSE)</f>
        <v>Current</v>
      </c>
      <c r="F1189" t="str">
        <f t="shared" si="19"/>
        <v>06/14/2017</v>
      </c>
      <c r="G1189" t="str">
        <f>VLOOKUP(A1189,inf!$D$2:$E$76,2,FALSE)</f>
        <v>Other</v>
      </c>
    </row>
    <row r="1190" spans="1:7" x14ac:dyDescent="0.25">
      <c r="A1190" t="s">
        <v>18</v>
      </c>
      <c r="B1190" s="1">
        <v>42900</v>
      </c>
      <c r="C1190" t="s">
        <v>55</v>
      </c>
      <c r="D1190">
        <v>1320.39</v>
      </c>
      <c r="E1190" t="str">
        <f>VLOOKUP(C1190,inf!$A$2:$B$7,2,FALSE)</f>
        <v>Current</v>
      </c>
      <c r="F1190" t="str">
        <f t="shared" si="19"/>
        <v>06/14/2017</v>
      </c>
      <c r="G1190" t="str">
        <f>VLOOKUP(A1190,inf!$D$2:$E$76,2,FALSE)</f>
        <v>Other</v>
      </c>
    </row>
    <row r="1191" spans="1:7" x14ac:dyDescent="0.25">
      <c r="A1191" t="s">
        <v>27</v>
      </c>
      <c r="B1191" s="1">
        <v>42900</v>
      </c>
      <c r="C1191" t="s">
        <v>55</v>
      </c>
      <c r="D1191">
        <v>143.56</v>
      </c>
      <c r="E1191" t="str">
        <f>VLOOKUP(C1191,inf!$A$2:$B$7,2,FALSE)</f>
        <v>Current</v>
      </c>
      <c r="F1191" t="str">
        <f t="shared" si="19"/>
        <v>06/14/2017</v>
      </c>
      <c r="G1191" t="str">
        <f>VLOOKUP(A1191,inf!$D$2:$E$76,2,FALSE)</f>
        <v>Other</v>
      </c>
    </row>
    <row r="1192" spans="1:7" x14ac:dyDescent="0.25">
      <c r="A1192" t="s">
        <v>21</v>
      </c>
      <c r="B1192" s="1">
        <v>42900</v>
      </c>
      <c r="C1192" t="s">
        <v>57</v>
      </c>
      <c r="D1192">
        <v>3223.08</v>
      </c>
      <c r="E1192" t="str">
        <f>VLOOKUP(C1192,inf!$A$2:$B$7,2,FALSE)</f>
        <v>31 to 60</v>
      </c>
      <c r="F1192" t="str">
        <f t="shared" si="19"/>
        <v>06/14/2017</v>
      </c>
      <c r="G1192" t="str">
        <f>VLOOKUP(A1192,inf!$D$2:$E$76,2,FALSE)</f>
        <v>Other</v>
      </c>
    </row>
    <row r="1193" spans="1:7" x14ac:dyDescent="0.25">
      <c r="A1193" t="s">
        <v>21</v>
      </c>
      <c r="B1193" s="1">
        <v>42900</v>
      </c>
      <c r="C1193" t="s">
        <v>55</v>
      </c>
      <c r="D1193">
        <v>425.96</v>
      </c>
      <c r="E1193" t="str">
        <f>VLOOKUP(C1193,inf!$A$2:$B$7,2,FALSE)</f>
        <v>Current</v>
      </c>
      <c r="F1193" t="str">
        <f t="shared" si="19"/>
        <v>06/14/2017</v>
      </c>
      <c r="G1193" t="str">
        <f>VLOOKUP(A1193,inf!$D$2:$E$76,2,FALSE)</f>
        <v>Other</v>
      </c>
    </row>
    <row r="1194" spans="1:7" x14ac:dyDescent="0.25">
      <c r="A1194" t="s">
        <v>21</v>
      </c>
      <c r="B1194" s="1">
        <v>42900</v>
      </c>
      <c r="C1194" t="s">
        <v>58</v>
      </c>
      <c r="D1194">
        <v>172.28</v>
      </c>
      <c r="E1194" t="str">
        <f>VLOOKUP(C1194,inf!$A$2:$B$7,2,FALSE)</f>
        <v>61 to 90</v>
      </c>
      <c r="F1194" t="str">
        <f t="shared" si="19"/>
        <v>06/14/2017</v>
      </c>
      <c r="G1194" t="str">
        <f>VLOOKUP(A1194,inf!$D$2:$E$76,2,FALSE)</f>
        <v>Other</v>
      </c>
    </row>
    <row r="1195" spans="1:7" x14ac:dyDescent="0.25">
      <c r="A1195" t="s">
        <v>53</v>
      </c>
      <c r="B1195" s="1">
        <v>42900</v>
      </c>
      <c r="C1195" t="s">
        <v>55</v>
      </c>
      <c r="D1195">
        <v>479.54</v>
      </c>
      <c r="E1195" t="str">
        <f>VLOOKUP(C1195,inf!$A$2:$B$7,2,FALSE)</f>
        <v>Current</v>
      </c>
      <c r="F1195" t="str">
        <f t="shared" si="19"/>
        <v>06/14/2017</v>
      </c>
      <c r="G1195" t="str">
        <f>VLOOKUP(A1195,inf!$D$2:$E$76,2,FALSE)</f>
        <v>Other</v>
      </c>
    </row>
    <row r="1196" spans="1:7" x14ac:dyDescent="0.25">
      <c r="A1196" t="s">
        <v>3</v>
      </c>
      <c r="B1196" s="1">
        <v>42900</v>
      </c>
      <c r="C1196" t="s">
        <v>58</v>
      </c>
      <c r="D1196">
        <v>7015.9999999999982</v>
      </c>
      <c r="E1196" t="str">
        <f>VLOOKUP(C1196,inf!$A$2:$B$7,2,FALSE)</f>
        <v>61 to 90</v>
      </c>
      <c r="F1196" t="str">
        <f t="shared" si="19"/>
        <v>06/14/2017</v>
      </c>
      <c r="G1196" t="str">
        <f>VLOOKUP(A1196,inf!$D$2:$E$76,2,FALSE)</f>
        <v>Other</v>
      </c>
    </row>
    <row r="1197" spans="1:7" x14ac:dyDescent="0.25">
      <c r="A1197" t="s">
        <v>3</v>
      </c>
      <c r="B1197" s="1">
        <v>42900</v>
      </c>
      <c r="C1197" t="s">
        <v>55</v>
      </c>
      <c r="D1197">
        <v>3243.24</v>
      </c>
      <c r="E1197" t="str">
        <f>VLOOKUP(C1197,inf!$A$2:$B$7,2,FALSE)</f>
        <v>Current</v>
      </c>
      <c r="F1197" t="str">
        <f t="shared" si="19"/>
        <v>06/14/2017</v>
      </c>
      <c r="G1197" t="str">
        <f>VLOOKUP(A1197,inf!$D$2:$E$76,2,FALSE)</f>
        <v>Other</v>
      </c>
    </row>
    <row r="1198" spans="1:7" x14ac:dyDescent="0.25">
      <c r="A1198" t="s">
        <v>30</v>
      </c>
      <c r="B1198" s="1">
        <v>42900</v>
      </c>
      <c r="C1198" t="s">
        <v>55</v>
      </c>
      <c r="D1198">
        <v>3309.9</v>
      </c>
      <c r="E1198" t="str">
        <f>VLOOKUP(C1198,inf!$A$2:$B$7,2,FALSE)</f>
        <v>Current</v>
      </c>
      <c r="F1198" t="str">
        <f t="shared" si="19"/>
        <v>06/14/2017</v>
      </c>
      <c r="G1198" t="str">
        <f>VLOOKUP(A1198,inf!$D$2:$E$76,2,FALSE)</f>
        <v>Other</v>
      </c>
    </row>
    <row r="1199" spans="1:7" x14ac:dyDescent="0.25">
      <c r="A1199" t="s">
        <v>30</v>
      </c>
      <c r="B1199" s="1">
        <v>42900</v>
      </c>
      <c r="C1199" t="s">
        <v>57</v>
      </c>
      <c r="D1199">
        <v>287.13</v>
      </c>
      <c r="E1199" t="str">
        <f>VLOOKUP(C1199,inf!$A$2:$B$7,2,FALSE)</f>
        <v>31 to 60</v>
      </c>
      <c r="F1199" t="str">
        <f t="shared" si="19"/>
        <v>06/14/2017</v>
      </c>
      <c r="G1199" t="str">
        <f>VLOOKUP(A1199,inf!$D$2:$E$76,2,FALSE)</f>
        <v>Other</v>
      </c>
    </row>
    <row r="1200" spans="1:7" x14ac:dyDescent="0.25">
      <c r="A1200" t="s">
        <v>12</v>
      </c>
      <c r="B1200" s="1">
        <v>42900</v>
      </c>
      <c r="C1200" t="s">
        <v>55</v>
      </c>
      <c r="D1200">
        <v>1148.54</v>
      </c>
      <c r="E1200" t="str">
        <f>VLOOKUP(C1200,inf!$A$2:$B$7,2,FALSE)</f>
        <v>Current</v>
      </c>
      <c r="F1200" t="str">
        <f t="shared" si="19"/>
        <v>06/14/2017</v>
      </c>
      <c r="G1200" t="str">
        <f>VLOOKUP(A1200,inf!$D$2:$E$76,2,FALSE)</f>
        <v>Other</v>
      </c>
    </row>
    <row r="1201" spans="1:7" x14ac:dyDescent="0.25">
      <c r="A1201" t="s">
        <v>12</v>
      </c>
      <c r="B1201" s="1">
        <v>42900</v>
      </c>
      <c r="C1201" t="s">
        <v>56</v>
      </c>
      <c r="D1201">
        <v>872.56</v>
      </c>
      <c r="E1201" t="str">
        <f>VLOOKUP(C1201,inf!$A$2:$B$7,2,FALSE)</f>
        <v>Current</v>
      </c>
      <c r="F1201" t="str">
        <f t="shared" si="19"/>
        <v>06/14/2017</v>
      </c>
      <c r="G1201" t="str">
        <f>VLOOKUP(A1201,inf!$D$2:$E$76,2,FALSE)</f>
        <v>Other</v>
      </c>
    </row>
    <row r="1202" spans="1:7" x14ac:dyDescent="0.25">
      <c r="A1202" t="s">
        <v>7</v>
      </c>
      <c r="B1202" s="1">
        <v>42900</v>
      </c>
      <c r="C1202" t="s">
        <v>55</v>
      </c>
      <c r="D1202" s="5">
        <v>97663.660000000018</v>
      </c>
      <c r="E1202" t="str">
        <f>VLOOKUP(C1202,inf!$A$2:$B$7,2,FALSE)</f>
        <v>Current</v>
      </c>
      <c r="F1202" t="str">
        <f t="shared" si="19"/>
        <v>06/14/2017</v>
      </c>
      <c r="G1202" t="str">
        <f>VLOOKUP(A1202,inf!$D$2:$E$76,2,FALSE)</f>
        <v>SAFEWAY</v>
      </c>
    </row>
    <row r="1203" spans="1:7" x14ac:dyDescent="0.25">
      <c r="A1203" t="s">
        <v>7</v>
      </c>
      <c r="B1203" s="1">
        <v>42900</v>
      </c>
      <c r="C1203" t="s">
        <v>56</v>
      </c>
      <c r="D1203">
        <v>14988.51</v>
      </c>
      <c r="E1203" t="str">
        <f>VLOOKUP(C1203,inf!$A$2:$B$7,2,FALSE)</f>
        <v>Current</v>
      </c>
      <c r="F1203" t="str">
        <f t="shared" si="19"/>
        <v>06/14/2017</v>
      </c>
      <c r="G1203" t="str">
        <f>VLOOKUP(A1203,inf!$D$2:$E$76,2,FALSE)</f>
        <v>SAFEWAY</v>
      </c>
    </row>
    <row r="1204" spans="1:7" x14ac:dyDescent="0.25">
      <c r="A1204" t="s">
        <v>7</v>
      </c>
      <c r="B1204" s="1">
        <v>42900</v>
      </c>
      <c r="C1204" t="s">
        <v>57</v>
      </c>
      <c r="D1204">
        <v>604.37</v>
      </c>
      <c r="E1204" t="str">
        <f>VLOOKUP(C1204,inf!$A$2:$B$7,2,FALSE)</f>
        <v>31 to 60</v>
      </c>
      <c r="F1204" t="str">
        <f t="shared" si="19"/>
        <v>06/14/2017</v>
      </c>
      <c r="G1204" t="str">
        <f>VLOOKUP(A1204,inf!$D$2:$E$76,2,FALSE)</f>
        <v>SAFEWAY</v>
      </c>
    </row>
    <row r="1205" spans="1:7" x14ac:dyDescent="0.25">
      <c r="A1205" t="s">
        <v>7</v>
      </c>
      <c r="B1205" s="1">
        <v>42900</v>
      </c>
      <c r="C1205" t="s">
        <v>58</v>
      </c>
      <c r="D1205">
        <v>132.55000000000001</v>
      </c>
      <c r="E1205" t="str">
        <f>VLOOKUP(C1205,inf!$A$2:$B$7,2,FALSE)</f>
        <v>61 to 90</v>
      </c>
      <c r="F1205" t="str">
        <f t="shared" si="19"/>
        <v>06/14/2017</v>
      </c>
      <c r="G1205" t="str">
        <f>VLOOKUP(A1205,inf!$D$2:$E$76,2,FALSE)</f>
        <v>SAFEWAY</v>
      </c>
    </row>
    <row r="1206" spans="1:7" x14ac:dyDescent="0.25">
      <c r="A1206" t="s">
        <v>5</v>
      </c>
      <c r="B1206" s="1">
        <v>42900</v>
      </c>
      <c r="C1206" t="s">
        <v>55</v>
      </c>
      <c r="D1206">
        <v>4743645.5400000066</v>
      </c>
      <c r="E1206" t="str">
        <f>VLOOKUP(C1206,inf!$A$2:$B$7,2,FALSE)</f>
        <v>Current</v>
      </c>
      <c r="F1206" t="str">
        <f t="shared" si="19"/>
        <v>06/14/2017</v>
      </c>
      <c r="G1206" t="str">
        <f>VLOOKUP(A1206,inf!$D$2:$E$76,2,FALSE)</f>
        <v>SBUX</v>
      </c>
    </row>
    <row r="1207" spans="1:7" x14ac:dyDescent="0.25">
      <c r="A1207" t="s">
        <v>5</v>
      </c>
      <c r="B1207" s="1">
        <v>42900</v>
      </c>
      <c r="C1207" t="s">
        <v>60</v>
      </c>
      <c r="D1207">
        <v>85719.060000000012</v>
      </c>
      <c r="E1207" t="str">
        <f>VLOOKUP(C1207,inf!$A$2:$B$7,2,FALSE)</f>
        <v>Over 90</v>
      </c>
      <c r="F1207" t="str">
        <f t="shared" si="19"/>
        <v>06/14/2017</v>
      </c>
      <c r="G1207" t="str">
        <f>VLOOKUP(A1207,inf!$D$2:$E$76,2,FALSE)</f>
        <v>SBUX</v>
      </c>
    </row>
    <row r="1208" spans="1:7" x14ac:dyDescent="0.25">
      <c r="A1208" t="s">
        <v>5</v>
      </c>
      <c r="B1208" s="1">
        <v>42900</v>
      </c>
      <c r="C1208" t="s">
        <v>56</v>
      </c>
      <c r="D1208">
        <v>31667.479999999996</v>
      </c>
      <c r="E1208" t="str">
        <f>VLOOKUP(C1208,inf!$A$2:$B$7,2,FALSE)</f>
        <v>Current</v>
      </c>
      <c r="F1208" t="str">
        <f t="shared" si="19"/>
        <v>06/14/2017</v>
      </c>
      <c r="G1208" t="str">
        <f>VLOOKUP(A1208,inf!$D$2:$E$76,2,FALSE)</f>
        <v>SBUX</v>
      </c>
    </row>
    <row r="1209" spans="1:7" x14ac:dyDescent="0.25">
      <c r="A1209" t="s">
        <v>5</v>
      </c>
      <c r="B1209" s="1">
        <v>42900</v>
      </c>
      <c r="C1209" t="s">
        <v>57</v>
      </c>
      <c r="D1209">
        <v>3674.44</v>
      </c>
      <c r="E1209" t="str">
        <f>VLOOKUP(C1209,inf!$A$2:$B$7,2,FALSE)</f>
        <v>31 to 60</v>
      </c>
      <c r="F1209" t="str">
        <f t="shared" si="19"/>
        <v>06/14/2017</v>
      </c>
      <c r="G1209" t="str">
        <f>VLOOKUP(A1209,inf!$D$2:$E$76,2,FALSE)</f>
        <v>SBUX</v>
      </c>
    </row>
    <row r="1210" spans="1:7" x14ac:dyDescent="0.25">
      <c r="A1210" t="s">
        <v>5</v>
      </c>
      <c r="B1210" s="1">
        <v>42900</v>
      </c>
      <c r="C1210" t="s">
        <v>59</v>
      </c>
      <c r="D1210">
        <v>1924.54</v>
      </c>
      <c r="E1210" t="str">
        <f>VLOOKUP(C1210,inf!$A$2:$B$7,2,FALSE)</f>
        <v>Over 90</v>
      </c>
      <c r="F1210" t="str">
        <f t="shared" si="19"/>
        <v>06/14/2017</v>
      </c>
      <c r="G1210" t="str">
        <f>VLOOKUP(A1210,inf!$D$2:$E$76,2,FALSE)</f>
        <v>SBUX</v>
      </c>
    </row>
    <row r="1211" spans="1:7" x14ac:dyDescent="0.25">
      <c r="A1211" t="s">
        <v>5</v>
      </c>
      <c r="B1211" s="1">
        <v>42900</v>
      </c>
      <c r="C1211" t="s">
        <v>58</v>
      </c>
      <c r="D1211">
        <v>610.23</v>
      </c>
      <c r="E1211" t="str">
        <f>VLOOKUP(C1211,inf!$A$2:$B$7,2,FALSE)</f>
        <v>61 to 90</v>
      </c>
      <c r="F1211" t="str">
        <f t="shared" si="19"/>
        <v>06/14/2017</v>
      </c>
      <c r="G1211" t="str">
        <f>VLOOKUP(A1211,inf!$D$2:$E$76,2,FALSE)</f>
        <v>SBUX</v>
      </c>
    </row>
    <row r="1212" spans="1:7" x14ac:dyDescent="0.25">
      <c r="A1212" t="s">
        <v>6</v>
      </c>
      <c r="B1212" s="1">
        <v>42900</v>
      </c>
      <c r="C1212" t="s">
        <v>55</v>
      </c>
      <c r="D1212">
        <v>423051.15999999805</v>
      </c>
      <c r="E1212" t="str">
        <f>VLOOKUP(C1212,inf!$A$2:$B$7,2,FALSE)</f>
        <v>Current</v>
      </c>
      <c r="F1212" t="str">
        <f t="shared" si="19"/>
        <v>06/14/2017</v>
      </c>
      <c r="G1212" t="str">
        <f>VLOOKUP(A1212,inf!$D$2:$E$76,2,FALSE)</f>
        <v>SBUX</v>
      </c>
    </row>
    <row r="1213" spans="1:7" x14ac:dyDescent="0.25">
      <c r="A1213" t="s">
        <v>6</v>
      </c>
      <c r="B1213" s="1">
        <v>42900</v>
      </c>
      <c r="C1213" t="s">
        <v>60</v>
      </c>
      <c r="D1213">
        <v>5110.2899999999991</v>
      </c>
      <c r="E1213" t="str">
        <f>VLOOKUP(C1213,inf!$A$2:$B$7,2,FALSE)</f>
        <v>Over 90</v>
      </c>
      <c r="F1213" t="str">
        <f t="shared" si="19"/>
        <v>06/14/2017</v>
      </c>
      <c r="G1213" t="str">
        <f>VLOOKUP(A1213,inf!$D$2:$E$76,2,FALSE)</f>
        <v>SBUX</v>
      </c>
    </row>
    <row r="1214" spans="1:7" x14ac:dyDescent="0.25">
      <c r="A1214" t="s">
        <v>6</v>
      </c>
      <c r="B1214" s="1">
        <v>42900</v>
      </c>
      <c r="C1214" t="s">
        <v>59</v>
      </c>
      <c r="D1214">
        <v>2813.79</v>
      </c>
      <c r="E1214" t="str">
        <f>VLOOKUP(C1214,inf!$A$2:$B$7,2,FALSE)</f>
        <v>Over 90</v>
      </c>
      <c r="F1214" t="str">
        <f t="shared" si="19"/>
        <v>06/14/2017</v>
      </c>
      <c r="G1214" t="str">
        <f>VLOOKUP(A1214,inf!$D$2:$E$76,2,FALSE)</f>
        <v>SBUX</v>
      </c>
    </row>
    <row r="1215" spans="1:7" x14ac:dyDescent="0.25">
      <c r="A1215" t="s">
        <v>6</v>
      </c>
      <c r="B1215" s="1">
        <v>42900</v>
      </c>
      <c r="C1215" t="s">
        <v>58</v>
      </c>
      <c r="D1215">
        <v>1583.57</v>
      </c>
      <c r="E1215" t="str">
        <f>VLOOKUP(C1215,inf!$A$2:$B$7,2,FALSE)</f>
        <v>61 to 90</v>
      </c>
      <c r="F1215" t="str">
        <f t="shared" si="19"/>
        <v>06/14/2017</v>
      </c>
      <c r="G1215" t="str">
        <f>VLOOKUP(A1215,inf!$D$2:$E$76,2,FALSE)</f>
        <v>SBUX</v>
      </c>
    </row>
    <row r="1216" spans="1:7" x14ac:dyDescent="0.25">
      <c r="A1216" t="s">
        <v>6</v>
      </c>
      <c r="B1216" s="1">
        <v>42900</v>
      </c>
      <c r="C1216" t="s">
        <v>57</v>
      </c>
      <c r="D1216">
        <v>1243.19</v>
      </c>
      <c r="E1216" t="str">
        <f>VLOOKUP(C1216,inf!$A$2:$B$7,2,FALSE)</f>
        <v>31 to 60</v>
      </c>
      <c r="F1216" t="str">
        <f t="shared" si="19"/>
        <v>06/14/2017</v>
      </c>
      <c r="G1216" t="str">
        <f>VLOOKUP(A1216,inf!$D$2:$E$76,2,FALSE)</f>
        <v>SBUX</v>
      </c>
    </row>
    <row r="1217" spans="1:7" x14ac:dyDescent="0.25">
      <c r="A1217" t="s">
        <v>6</v>
      </c>
      <c r="B1217" s="1">
        <v>42900</v>
      </c>
      <c r="C1217" t="s">
        <v>56</v>
      </c>
      <c r="D1217">
        <v>590.88</v>
      </c>
      <c r="E1217" t="str">
        <f>VLOOKUP(C1217,inf!$A$2:$B$7,2,FALSE)</f>
        <v>Current</v>
      </c>
      <c r="F1217" t="str">
        <f t="shared" si="19"/>
        <v>06/14/2017</v>
      </c>
      <c r="G1217" t="str">
        <f>VLOOKUP(A1217,inf!$D$2:$E$76,2,FALSE)</f>
        <v>SBUX</v>
      </c>
    </row>
    <row r="1218" spans="1:7" x14ac:dyDescent="0.25">
      <c r="A1218" t="s">
        <v>51</v>
      </c>
      <c r="B1218" s="1">
        <v>42900</v>
      </c>
      <c r="C1218" t="s">
        <v>57</v>
      </c>
      <c r="D1218">
        <v>235.2</v>
      </c>
      <c r="E1218" t="str">
        <f>VLOOKUP(C1218,inf!$A$2:$B$7,2,FALSE)</f>
        <v>31 to 60</v>
      </c>
      <c r="F1218" t="str">
        <f t="shared" si="19"/>
        <v>06/14/2017</v>
      </c>
      <c r="G1218" t="str">
        <f>VLOOKUP(A1218,inf!$D$2:$E$76,2,FALSE)</f>
        <v>Other</v>
      </c>
    </row>
    <row r="1219" spans="1:7" x14ac:dyDescent="0.25">
      <c r="A1219" t="s">
        <v>48</v>
      </c>
      <c r="B1219" s="1">
        <v>42900</v>
      </c>
      <c r="C1219" t="s">
        <v>55</v>
      </c>
      <c r="D1219" s="5">
        <v>51514.659999999982</v>
      </c>
      <c r="E1219" t="str">
        <f>VLOOKUP(C1219,inf!$A$2:$B$7,2,FALSE)</f>
        <v>Current</v>
      </c>
      <c r="F1219" t="str">
        <f t="shared" ref="F1219:F1282" si="20">TEXT(B1219,"MM/DD/YYYY")</f>
        <v>06/14/2017</v>
      </c>
      <c r="G1219" t="str">
        <f>VLOOKUP(A1219,inf!$D$2:$E$76,2,FALSE)</f>
        <v>Target</v>
      </c>
    </row>
    <row r="1220" spans="1:7" x14ac:dyDescent="0.25">
      <c r="A1220" t="s">
        <v>8</v>
      </c>
      <c r="B1220" s="1">
        <v>42900</v>
      </c>
      <c r="C1220" t="s">
        <v>55</v>
      </c>
      <c r="D1220">
        <v>268262.5100000003</v>
      </c>
      <c r="E1220" t="str">
        <f>VLOOKUP(C1220,inf!$A$2:$B$7,2,FALSE)</f>
        <v>Current</v>
      </c>
      <c r="F1220" t="str">
        <f t="shared" si="20"/>
        <v>06/14/2017</v>
      </c>
      <c r="G1220" t="str">
        <f>VLOOKUP(A1220,inf!$D$2:$E$76,2,FALSE)</f>
        <v>Target</v>
      </c>
    </row>
    <row r="1221" spans="1:7" x14ac:dyDescent="0.25">
      <c r="A1221" t="s">
        <v>8</v>
      </c>
      <c r="B1221" s="1">
        <v>42900</v>
      </c>
      <c r="C1221" t="s">
        <v>56</v>
      </c>
      <c r="D1221">
        <v>43673.839999999989</v>
      </c>
      <c r="E1221" t="str">
        <f>VLOOKUP(C1221,inf!$A$2:$B$7,2,FALSE)</f>
        <v>Current</v>
      </c>
      <c r="F1221" t="str">
        <f t="shared" si="20"/>
        <v>06/14/2017</v>
      </c>
      <c r="G1221" t="str">
        <f>VLOOKUP(A1221,inf!$D$2:$E$76,2,FALSE)</f>
        <v>Target</v>
      </c>
    </row>
    <row r="1222" spans="1:7" x14ac:dyDescent="0.25">
      <c r="A1222" t="s">
        <v>8</v>
      </c>
      <c r="B1222" s="1">
        <v>42900</v>
      </c>
      <c r="C1222" t="s">
        <v>60</v>
      </c>
      <c r="D1222">
        <v>19377.109999999997</v>
      </c>
      <c r="E1222" t="str">
        <f>VLOOKUP(C1222,inf!$A$2:$B$7,2,FALSE)</f>
        <v>Over 90</v>
      </c>
      <c r="F1222" t="str">
        <f t="shared" si="20"/>
        <v>06/14/2017</v>
      </c>
      <c r="G1222" t="str">
        <f>VLOOKUP(A1222,inf!$D$2:$E$76,2,FALSE)</f>
        <v>Target</v>
      </c>
    </row>
    <row r="1223" spans="1:7" x14ac:dyDescent="0.25">
      <c r="A1223" t="s">
        <v>8</v>
      </c>
      <c r="B1223" s="1">
        <v>42900</v>
      </c>
      <c r="C1223" t="s">
        <v>58</v>
      </c>
      <c r="D1223">
        <v>3324.5599999999995</v>
      </c>
      <c r="E1223" t="str">
        <f>VLOOKUP(C1223,inf!$A$2:$B$7,2,FALSE)</f>
        <v>61 to 90</v>
      </c>
      <c r="F1223" t="str">
        <f t="shared" si="20"/>
        <v>06/14/2017</v>
      </c>
      <c r="G1223" t="str">
        <f>VLOOKUP(A1223,inf!$D$2:$E$76,2,FALSE)</f>
        <v>Target</v>
      </c>
    </row>
    <row r="1224" spans="1:7" x14ac:dyDescent="0.25">
      <c r="A1224" t="s">
        <v>8</v>
      </c>
      <c r="B1224" s="1">
        <v>42900</v>
      </c>
      <c r="C1224" t="s">
        <v>57</v>
      </c>
      <c r="D1224">
        <v>1469.2900000000002</v>
      </c>
      <c r="E1224" t="str">
        <f>VLOOKUP(C1224,inf!$A$2:$B$7,2,FALSE)</f>
        <v>31 to 60</v>
      </c>
      <c r="F1224" t="str">
        <f t="shared" si="20"/>
        <v>06/14/2017</v>
      </c>
      <c r="G1224" t="str">
        <f>VLOOKUP(A1224,inf!$D$2:$E$76,2,FALSE)</f>
        <v>Target</v>
      </c>
    </row>
    <row r="1225" spans="1:7" x14ac:dyDescent="0.25">
      <c r="A1225" t="s">
        <v>8</v>
      </c>
      <c r="B1225" s="1">
        <v>42900</v>
      </c>
      <c r="C1225" t="s">
        <v>59</v>
      </c>
      <c r="D1225">
        <v>425.04999999999995</v>
      </c>
      <c r="E1225" t="str">
        <f>VLOOKUP(C1225,inf!$A$2:$B$7,2,FALSE)</f>
        <v>Over 90</v>
      </c>
      <c r="F1225" t="str">
        <f t="shared" si="20"/>
        <v>06/14/2017</v>
      </c>
      <c r="G1225" t="str">
        <f>VLOOKUP(A1225,inf!$D$2:$E$76,2,FALSE)</f>
        <v>Target</v>
      </c>
    </row>
    <row r="1226" spans="1:7" x14ac:dyDescent="0.25">
      <c r="A1226" t="s">
        <v>54</v>
      </c>
      <c r="B1226" s="1">
        <v>42900</v>
      </c>
      <c r="C1226" t="s">
        <v>55</v>
      </c>
      <c r="D1226">
        <v>428.47</v>
      </c>
      <c r="E1226" t="str">
        <f>VLOOKUP(C1226,inf!$A$2:$B$7,2,FALSE)</f>
        <v>Current</v>
      </c>
      <c r="F1226" t="str">
        <f t="shared" si="20"/>
        <v>06/14/2017</v>
      </c>
      <c r="G1226" t="str">
        <f>VLOOKUP(A1226,inf!$D$2:$E$76,2,FALSE)</f>
        <v>Other</v>
      </c>
    </row>
    <row r="1227" spans="1:7" x14ac:dyDescent="0.25">
      <c r="A1227" t="s">
        <v>54</v>
      </c>
      <c r="B1227" s="1">
        <v>42900</v>
      </c>
      <c r="C1227" t="s">
        <v>57</v>
      </c>
      <c r="D1227">
        <v>114.85</v>
      </c>
      <c r="E1227" t="str">
        <f>VLOOKUP(C1227,inf!$A$2:$B$7,2,FALSE)</f>
        <v>31 to 60</v>
      </c>
      <c r="F1227" t="str">
        <f t="shared" si="20"/>
        <v>06/14/2017</v>
      </c>
      <c r="G1227" t="str">
        <f>VLOOKUP(A1227,inf!$D$2:$E$76,2,FALSE)</f>
        <v>Other</v>
      </c>
    </row>
    <row r="1228" spans="1:7" x14ac:dyDescent="0.25">
      <c r="A1228" t="s">
        <v>15</v>
      </c>
      <c r="B1228" s="1">
        <v>42900</v>
      </c>
      <c r="C1228" t="s">
        <v>58</v>
      </c>
      <c r="D1228">
        <v>468.24</v>
      </c>
      <c r="E1228" t="str">
        <f>VLOOKUP(C1228,inf!$A$2:$B$7,2,FALSE)</f>
        <v>61 to 90</v>
      </c>
      <c r="F1228" t="str">
        <f t="shared" si="20"/>
        <v>06/14/2017</v>
      </c>
      <c r="G1228" t="str">
        <f>VLOOKUP(A1228,inf!$D$2:$E$76,2,FALSE)</f>
        <v>Other</v>
      </c>
    </row>
    <row r="1229" spans="1:7" x14ac:dyDescent="0.25">
      <c r="A1229" t="s">
        <v>15</v>
      </c>
      <c r="B1229" s="1">
        <v>42900</v>
      </c>
      <c r="C1229" t="s">
        <v>56</v>
      </c>
      <c r="D1229">
        <v>256.45</v>
      </c>
      <c r="E1229" t="str">
        <f>VLOOKUP(C1229,inf!$A$2:$B$7,2,FALSE)</f>
        <v>Current</v>
      </c>
      <c r="F1229" t="str">
        <f t="shared" si="20"/>
        <v>06/14/2017</v>
      </c>
      <c r="G1229" t="str">
        <f>VLOOKUP(A1229,inf!$D$2:$E$76,2,FALSE)</f>
        <v>Other</v>
      </c>
    </row>
    <row r="1230" spans="1:7" x14ac:dyDescent="0.25">
      <c r="A1230" t="s">
        <v>15</v>
      </c>
      <c r="B1230" s="1">
        <v>42900</v>
      </c>
      <c r="C1230" t="s">
        <v>55</v>
      </c>
      <c r="D1230">
        <v>192.78</v>
      </c>
      <c r="E1230" t="str">
        <f>VLOOKUP(C1230,inf!$A$2:$B$7,2,FALSE)</f>
        <v>Current</v>
      </c>
      <c r="F1230" t="str">
        <f t="shared" si="20"/>
        <v>06/14/2017</v>
      </c>
      <c r="G1230" t="str">
        <f>VLOOKUP(A1230,inf!$D$2:$E$76,2,FALSE)</f>
        <v>Other</v>
      </c>
    </row>
    <row r="1231" spans="1:7" x14ac:dyDescent="0.25">
      <c r="A1231" t="s">
        <v>15</v>
      </c>
      <c r="B1231" s="1">
        <v>42900</v>
      </c>
      <c r="C1231" t="s">
        <v>60</v>
      </c>
      <c r="D1231">
        <v>126.05</v>
      </c>
      <c r="E1231" t="str">
        <f>VLOOKUP(C1231,inf!$A$2:$B$7,2,FALSE)</f>
        <v>Over 90</v>
      </c>
      <c r="F1231" t="str">
        <f t="shared" si="20"/>
        <v>06/14/2017</v>
      </c>
      <c r="G1231" t="str">
        <f>VLOOKUP(A1231,inf!$D$2:$E$76,2,FALSE)</f>
        <v>Other</v>
      </c>
    </row>
    <row r="1232" spans="1:7" x14ac:dyDescent="0.25">
      <c r="A1232" t="s">
        <v>4</v>
      </c>
      <c r="B1232" s="1">
        <v>42907</v>
      </c>
      <c r="C1232" t="s">
        <v>55</v>
      </c>
      <c r="D1232">
        <v>6001.3399999999992</v>
      </c>
      <c r="E1232" t="str">
        <f>VLOOKUP(C1232,inf!$A$2:$B$7,2,FALSE)</f>
        <v>Current</v>
      </c>
      <c r="F1232" t="str">
        <f t="shared" si="20"/>
        <v>06/21/2017</v>
      </c>
      <c r="G1232" t="str">
        <f>VLOOKUP(A1232,inf!$D$2:$E$76,2,FALSE)</f>
        <v>Other</v>
      </c>
    </row>
    <row r="1233" spans="1:7" x14ac:dyDescent="0.25">
      <c r="A1233" t="s">
        <v>26</v>
      </c>
      <c r="B1233" s="1">
        <v>42907</v>
      </c>
      <c r="C1233" t="s">
        <v>60</v>
      </c>
      <c r="D1233">
        <v>1380.77</v>
      </c>
      <c r="E1233" t="str">
        <f>VLOOKUP(C1233,inf!$A$2:$B$7,2,FALSE)</f>
        <v>Over 90</v>
      </c>
      <c r="F1233" t="str">
        <f t="shared" si="20"/>
        <v>06/21/2017</v>
      </c>
      <c r="G1233" t="str">
        <f>VLOOKUP(A1233,inf!$D$2:$E$76,2,FALSE)</f>
        <v>Other</v>
      </c>
    </row>
    <row r="1234" spans="1:7" x14ac:dyDescent="0.25">
      <c r="A1234" t="s">
        <v>2</v>
      </c>
      <c r="B1234" s="1">
        <v>42907</v>
      </c>
      <c r="C1234" t="s">
        <v>60</v>
      </c>
      <c r="D1234">
        <v>3717.8600000000006</v>
      </c>
      <c r="E1234" t="str">
        <f>VLOOKUP(C1234,inf!$A$2:$B$7,2,FALSE)</f>
        <v>Over 90</v>
      </c>
      <c r="F1234" t="str">
        <f t="shared" si="20"/>
        <v>06/21/2017</v>
      </c>
      <c r="G1234" t="str">
        <f>VLOOKUP(A1234,inf!$D$2:$E$76,2,FALSE)</f>
        <v>Other</v>
      </c>
    </row>
    <row r="1235" spans="1:7" x14ac:dyDescent="0.25">
      <c r="A1235" t="s">
        <v>32</v>
      </c>
      <c r="B1235" s="1">
        <v>42907</v>
      </c>
      <c r="C1235" t="s">
        <v>55</v>
      </c>
      <c r="D1235">
        <v>554.54999999999995</v>
      </c>
      <c r="E1235" t="str">
        <f>VLOOKUP(C1235,inf!$A$2:$B$7,2,FALSE)</f>
        <v>Current</v>
      </c>
      <c r="F1235" t="str">
        <f t="shared" si="20"/>
        <v>06/21/2017</v>
      </c>
      <c r="G1235" t="str">
        <f>VLOOKUP(A1235,inf!$D$2:$E$76,2,FALSE)</f>
        <v>Other</v>
      </c>
    </row>
    <row r="1236" spans="1:7" x14ac:dyDescent="0.25">
      <c r="A1236" t="s">
        <v>52</v>
      </c>
      <c r="B1236" s="1">
        <v>42907</v>
      </c>
      <c r="C1236" t="s">
        <v>55</v>
      </c>
      <c r="D1236">
        <v>369.13</v>
      </c>
      <c r="E1236" t="str">
        <f>VLOOKUP(C1236,inf!$A$2:$B$7,2,FALSE)</f>
        <v>Current</v>
      </c>
      <c r="F1236" t="str">
        <f t="shared" si="20"/>
        <v>06/21/2017</v>
      </c>
      <c r="G1236" t="str">
        <f>VLOOKUP(A1236,inf!$D$2:$E$76,2,FALSE)</f>
        <v>Other</v>
      </c>
    </row>
    <row r="1237" spans="1:7" x14ac:dyDescent="0.25">
      <c r="A1237" t="s">
        <v>47</v>
      </c>
      <c r="B1237" s="1">
        <v>42907</v>
      </c>
      <c r="C1237" t="s">
        <v>55</v>
      </c>
      <c r="D1237">
        <v>751.8</v>
      </c>
      <c r="E1237" t="str">
        <f>VLOOKUP(C1237,inf!$A$2:$B$7,2,FALSE)</f>
        <v>Current</v>
      </c>
      <c r="F1237" t="str">
        <f t="shared" si="20"/>
        <v>06/21/2017</v>
      </c>
      <c r="G1237" t="str">
        <f>VLOOKUP(A1237,inf!$D$2:$E$76,2,FALSE)</f>
        <v>Other</v>
      </c>
    </row>
    <row r="1238" spans="1:7" x14ac:dyDescent="0.25">
      <c r="A1238" t="s">
        <v>19</v>
      </c>
      <c r="B1238" s="1">
        <v>42907</v>
      </c>
      <c r="C1238" t="s">
        <v>57</v>
      </c>
      <c r="D1238">
        <v>565.36</v>
      </c>
      <c r="E1238" t="str">
        <f>VLOOKUP(C1238,inf!$A$2:$B$7,2,FALSE)</f>
        <v>31 to 60</v>
      </c>
      <c r="F1238" t="str">
        <f t="shared" si="20"/>
        <v>06/21/2017</v>
      </c>
      <c r="G1238" t="str">
        <f>VLOOKUP(A1238,inf!$D$2:$E$76,2,FALSE)</f>
        <v>Other</v>
      </c>
    </row>
    <row r="1239" spans="1:7" x14ac:dyDescent="0.25">
      <c r="A1239" t="s">
        <v>19</v>
      </c>
      <c r="B1239" s="1">
        <v>42907</v>
      </c>
      <c r="C1239" t="s">
        <v>55</v>
      </c>
      <c r="D1239">
        <v>258.41000000000003</v>
      </c>
      <c r="E1239" t="str">
        <f>VLOOKUP(C1239,inf!$A$2:$B$7,2,FALSE)</f>
        <v>Current</v>
      </c>
      <c r="F1239" t="str">
        <f t="shared" si="20"/>
        <v>06/21/2017</v>
      </c>
      <c r="G1239" t="str">
        <f>VLOOKUP(A1239,inf!$D$2:$E$76,2,FALSE)</f>
        <v>Other</v>
      </c>
    </row>
    <row r="1240" spans="1:7" x14ac:dyDescent="0.25">
      <c r="A1240" t="s">
        <v>25</v>
      </c>
      <c r="B1240" s="1">
        <v>42907</v>
      </c>
      <c r="C1240" t="s">
        <v>55</v>
      </c>
      <c r="D1240">
        <v>587.97</v>
      </c>
      <c r="E1240" t="str">
        <f>VLOOKUP(C1240,inf!$A$2:$B$7,2,FALSE)</f>
        <v>Current</v>
      </c>
      <c r="F1240" t="str">
        <f t="shared" si="20"/>
        <v>06/21/2017</v>
      </c>
      <c r="G1240" t="str">
        <f>VLOOKUP(A1240,inf!$D$2:$E$76,2,FALSE)</f>
        <v>Other</v>
      </c>
    </row>
    <row r="1241" spans="1:7" x14ac:dyDescent="0.25">
      <c r="A1241" t="s">
        <v>31</v>
      </c>
      <c r="B1241" s="1">
        <v>42907</v>
      </c>
      <c r="C1241" t="s">
        <v>57</v>
      </c>
      <c r="D1241">
        <v>2448.52</v>
      </c>
      <c r="E1241" t="str">
        <f>VLOOKUP(C1241,inf!$A$2:$B$7,2,FALSE)</f>
        <v>31 to 60</v>
      </c>
      <c r="F1241" t="str">
        <f t="shared" si="20"/>
        <v>06/21/2017</v>
      </c>
      <c r="G1241" t="str">
        <f>VLOOKUP(A1241,inf!$D$2:$E$76,2,FALSE)</f>
        <v>Other</v>
      </c>
    </row>
    <row r="1242" spans="1:7" x14ac:dyDescent="0.25">
      <c r="A1242" t="s">
        <v>31</v>
      </c>
      <c r="B1242" s="1">
        <v>42907</v>
      </c>
      <c r="C1242" t="s">
        <v>55</v>
      </c>
      <c r="D1242">
        <v>294.39</v>
      </c>
      <c r="E1242" t="str">
        <f>VLOOKUP(C1242,inf!$A$2:$B$7,2,FALSE)</f>
        <v>Current</v>
      </c>
      <c r="F1242" t="str">
        <f t="shared" si="20"/>
        <v>06/21/2017</v>
      </c>
      <c r="G1242" t="str">
        <f>VLOOKUP(A1242,inf!$D$2:$E$76,2,FALSE)</f>
        <v>Other</v>
      </c>
    </row>
    <row r="1243" spans="1:7" x14ac:dyDescent="0.25">
      <c r="A1243" t="s">
        <v>24</v>
      </c>
      <c r="B1243" s="1">
        <v>42907</v>
      </c>
      <c r="C1243" t="s">
        <v>57</v>
      </c>
      <c r="D1243">
        <v>308.7</v>
      </c>
      <c r="E1243" t="str">
        <f>VLOOKUP(C1243,inf!$A$2:$B$7,2,FALSE)</f>
        <v>31 to 60</v>
      </c>
      <c r="F1243" t="str">
        <f t="shared" si="20"/>
        <v>06/21/2017</v>
      </c>
      <c r="G1243" t="str">
        <f>VLOOKUP(A1243,inf!$D$2:$E$76,2,FALSE)</f>
        <v>Other</v>
      </c>
    </row>
    <row r="1244" spans="1:7" x14ac:dyDescent="0.25">
      <c r="A1244" t="s">
        <v>24</v>
      </c>
      <c r="B1244" s="1">
        <v>42907</v>
      </c>
      <c r="C1244" t="s">
        <v>55</v>
      </c>
      <c r="D1244">
        <v>117.52</v>
      </c>
      <c r="E1244" t="str">
        <f>VLOOKUP(C1244,inf!$A$2:$B$7,2,FALSE)</f>
        <v>Current</v>
      </c>
      <c r="F1244" t="str">
        <f t="shared" si="20"/>
        <v>06/21/2017</v>
      </c>
      <c r="G1244" t="str">
        <f>VLOOKUP(A1244,inf!$D$2:$E$76,2,FALSE)</f>
        <v>Other</v>
      </c>
    </row>
    <row r="1245" spans="1:7" x14ac:dyDescent="0.25">
      <c r="A1245" t="s">
        <v>18</v>
      </c>
      <c r="B1245" s="1">
        <v>42907</v>
      </c>
      <c r="C1245" t="s">
        <v>55</v>
      </c>
      <c r="D1245">
        <v>1320.39</v>
      </c>
      <c r="E1245" t="str">
        <f>VLOOKUP(C1245,inf!$A$2:$B$7,2,FALSE)</f>
        <v>Current</v>
      </c>
      <c r="F1245" t="str">
        <f t="shared" si="20"/>
        <v>06/21/2017</v>
      </c>
      <c r="G1245" t="str">
        <f>VLOOKUP(A1245,inf!$D$2:$E$76,2,FALSE)</f>
        <v>Other</v>
      </c>
    </row>
    <row r="1246" spans="1:7" x14ac:dyDescent="0.25">
      <c r="A1246" t="s">
        <v>27</v>
      </c>
      <c r="B1246" s="1">
        <v>42907</v>
      </c>
      <c r="C1246" t="s">
        <v>55</v>
      </c>
      <c r="D1246">
        <v>564.22</v>
      </c>
      <c r="E1246" t="str">
        <f>VLOOKUP(C1246,inf!$A$2:$B$7,2,FALSE)</f>
        <v>Current</v>
      </c>
      <c r="F1246" t="str">
        <f t="shared" si="20"/>
        <v>06/21/2017</v>
      </c>
      <c r="G1246" t="str">
        <f>VLOOKUP(A1246,inf!$D$2:$E$76,2,FALSE)</f>
        <v>Other</v>
      </c>
    </row>
    <row r="1247" spans="1:7" x14ac:dyDescent="0.25">
      <c r="A1247" t="s">
        <v>21</v>
      </c>
      <c r="B1247" s="1">
        <v>42907</v>
      </c>
      <c r="C1247" t="s">
        <v>57</v>
      </c>
      <c r="D1247">
        <v>3223.08</v>
      </c>
      <c r="E1247" t="str">
        <f>VLOOKUP(C1247,inf!$A$2:$B$7,2,FALSE)</f>
        <v>31 to 60</v>
      </c>
      <c r="F1247" t="str">
        <f t="shared" si="20"/>
        <v>06/21/2017</v>
      </c>
      <c r="G1247" t="str">
        <f>VLOOKUP(A1247,inf!$D$2:$E$76,2,FALSE)</f>
        <v>Other</v>
      </c>
    </row>
    <row r="1248" spans="1:7" x14ac:dyDescent="0.25">
      <c r="A1248" t="s">
        <v>21</v>
      </c>
      <c r="B1248" s="1">
        <v>42907</v>
      </c>
      <c r="C1248" t="s">
        <v>55</v>
      </c>
      <c r="D1248">
        <v>425.96</v>
      </c>
      <c r="E1248" t="str">
        <f>VLOOKUP(C1248,inf!$A$2:$B$7,2,FALSE)</f>
        <v>Current</v>
      </c>
      <c r="F1248" t="str">
        <f t="shared" si="20"/>
        <v>06/21/2017</v>
      </c>
      <c r="G1248" t="str">
        <f>VLOOKUP(A1248,inf!$D$2:$E$76,2,FALSE)</f>
        <v>Other</v>
      </c>
    </row>
    <row r="1249" spans="1:7" x14ac:dyDescent="0.25">
      <c r="A1249" t="s">
        <v>21</v>
      </c>
      <c r="B1249" s="1">
        <v>42907</v>
      </c>
      <c r="C1249" t="s">
        <v>58</v>
      </c>
      <c r="D1249">
        <v>172.28</v>
      </c>
      <c r="E1249" t="str">
        <f>VLOOKUP(C1249,inf!$A$2:$B$7,2,FALSE)</f>
        <v>61 to 90</v>
      </c>
      <c r="F1249" t="str">
        <f t="shared" si="20"/>
        <v>06/21/2017</v>
      </c>
      <c r="G1249" t="str">
        <f>VLOOKUP(A1249,inf!$D$2:$E$76,2,FALSE)</f>
        <v>Other</v>
      </c>
    </row>
    <row r="1250" spans="1:7" x14ac:dyDescent="0.25">
      <c r="A1250" t="s">
        <v>53</v>
      </c>
      <c r="B1250" s="1">
        <v>42907</v>
      </c>
      <c r="C1250" t="s">
        <v>55</v>
      </c>
      <c r="D1250">
        <v>479.54</v>
      </c>
      <c r="E1250" t="str">
        <f>VLOOKUP(C1250,inf!$A$2:$B$7,2,FALSE)</f>
        <v>Current</v>
      </c>
      <c r="F1250" t="str">
        <f t="shared" si="20"/>
        <v>06/21/2017</v>
      </c>
      <c r="G1250" t="str">
        <f>VLOOKUP(A1250,inf!$D$2:$E$76,2,FALSE)</f>
        <v>Other</v>
      </c>
    </row>
    <row r="1251" spans="1:7" x14ac:dyDescent="0.25">
      <c r="A1251" t="s">
        <v>3</v>
      </c>
      <c r="B1251" s="1">
        <v>42907</v>
      </c>
      <c r="C1251" t="s">
        <v>58</v>
      </c>
      <c r="D1251">
        <v>7015.9999999999982</v>
      </c>
      <c r="E1251" t="str">
        <f>VLOOKUP(C1251,inf!$A$2:$B$7,2,FALSE)</f>
        <v>61 to 90</v>
      </c>
      <c r="F1251" t="str">
        <f t="shared" si="20"/>
        <v>06/21/2017</v>
      </c>
      <c r="G1251" t="str">
        <f>VLOOKUP(A1251,inf!$D$2:$E$76,2,FALSE)</f>
        <v>Other</v>
      </c>
    </row>
    <row r="1252" spans="1:7" x14ac:dyDescent="0.25">
      <c r="A1252" t="s">
        <v>3</v>
      </c>
      <c r="B1252" s="1">
        <v>42907</v>
      </c>
      <c r="C1252" t="s">
        <v>55</v>
      </c>
      <c r="D1252">
        <v>2152.73</v>
      </c>
      <c r="E1252" t="str">
        <f>VLOOKUP(C1252,inf!$A$2:$B$7,2,FALSE)</f>
        <v>Current</v>
      </c>
      <c r="F1252" t="str">
        <f t="shared" si="20"/>
        <v>06/21/2017</v>
      </c>
      <c r="G1252" t="str">
        <f>VLOOKUP(A1252,inf!$D$2:$E$76,2,FALSE)</f>
        <v>Other</v>
      </c>
    </row>
    <row r="1253" spans="1:7" x14ac:dyDescent="0.25">
      <c r="A1253" t="s">
        <v>3</v>
      </c>
      <c r="B1253" s="1">
        <v>42907</v>
      </c>
      <c r="C1253" t="s">
        <v>56</v>
      </c>
      <c r="D1253">
        <v>1090.5099999999998</v>
      </c>
      <c r="E1253" t="str">
        <f>VLOOKUP(C1253,inf!$A$2:$B$7,2,FALSE)</f>
        <v>Current</v>
      </c>
      <c r="F1253" t="str">
        <f t="shared" si="20"/>
        <v>06/21/2017</v>
      </c>
      <c r="G1253" t="str">
        <f>VLOOKUP(A1253,inf!$D$2:$E$76,2,FALSE)</f>
        <v>Other</v>
      </c>
    </row>
    <row r="1254" spans="1:7" x14ac:dyDescent="0.25">
      <c r="A1254" t="s">
        <v>30</v>
      </c>
      <c r="B1254" s="1">
        <v>42907</v>
      </c>
      <c r="C1254" t="s">
        <v>55</v>
      </c>
      <c r="D1254">
        <v>3309.9</v>
      </c>
      <c r="E1254" t="str">
        <f>VLOOKUP(C1254,inf!$A$2:$B$7,2,FALSE)</f>
        <v>Current</v>
      </c>
      <c r="F1254" t="str">
        <f t="shared" si="20"/>
        <v>06/21/2017</v>
      </c>
      <c r="G1254" t="str">
        <f>VLOOKUP(A1254,inf!$D$2:$E$76,2,FALSE)</f>
        <v>Other</v>
      </c>
    </row>
    <row r="1255" spans="1:7" x14ac:dyDescent="0.25">
      <c r="A1255" t="s">
        <v>30</v>
      </c>
      <c r="B1255" s="1">
        <v>42907</v>
      </c>
      <c r="C1255" t="s">
        <v>57</v>
      </c>
      <c r="D1255">
        <v>287.13</v>
      </c>
      <c r="E1255" t="str">
        <f>VLOOKUP(C1255,inf!$A$2:$B$7,2,FALSE)</f>
        <v>31 to 60</v>
      </c>
      <c r="F1255" t="str">
        <f t="shared" si="20"/>
        <v>06/21/2017</v>
      </c>
      <c r="G1255" t="str">
        <f>VLOOKUP(A1255,inf!$D$2:$E$76,2,FALSE)</f>
        <v>Other</v>
      </c>
    </row>
    <row r="1256" spans="1:7" x14ac:dyDescent="0.25">
      <c r="A1256" t="s">
        <v>12</v>
      </c>
      <c r="B1256" s="1">
        <v>42907</v>
      </c>
      <c r="C1256" t="s">
        <v>55</v>
      </c>
      <c r="D1256">
        <v>1148.54</v>
      </c>
      <c r="E1256" t="str">
        <f>VLOOKUP(C1256,inf!$A$2:$B$7,2,FALSE)</f>
        <v>Current</v>
      </c>
      <c r="F1256" t="str">
        <f t="shared" si="20"/>
        <v>06/21/2017</v>
      </c>
      <c r="G1256" t="str">
        <f>VLOOKUP(A1256,inf!$D$2:$E$76,2,FALSE)</f>
        <v>Other</v>
      </c>
    </row>
    <row r="1257" spans="1:7" x14ac:dyDescent="0.25">
      <c r="A1257" t="s">
        <v>12</v>
      </c>
      <c r="B1257" s="1">
        <v>42907</v>
      </c>
      <c r="C1257" t="s">
        <v>56</v>
      </c>
      <c r="D1257">
        <v>872.56</v>
      </c>
      <c r="E1257" t="str">
        <f>VLOOKUP(C1257,inf!$A$2:$B$7,2,FALSE)</f>
        <v>Current</v>
      </c>
      <c r="F1257" t="str">
        <f t="shared" si="20"/>
        <v>06/21/2017</v>
      </c>
      <c r="G1257" t="str">
        <f>VLOOKUP(A1257,inf!$D$2:$E$76,2,FALSE)</f>
        <v>Other</v>
      </c>
    </row>
    <row r="1258" spans="1:7" x14ac:dyDescent="0.25">
      <c r="A1258" t="s">
        <v>50</v>
      </c>
      <c r="B1258" s="1">
        <v>42907</v>
      </c>
      <c r="C1258" t="s">
        <v>55</v>
      </c>
      <c r="D1258">
        <v>470.8</v>
      </c>
      <c r="E1258" t="str">
        <f>VLOOKUP(C1258,inf!$A$2:$B$7,2,FALSE)</f>
        <v>Current</v>
      </c>
      <c r="F1258" t="str">
        <f t="shared" si="20"/>
        <v>06/21/2017</v>
      </c>
      <c r="G1258" t="str">
        <f>VLOOKUP(A1258,inf!$D$2:$E$76,2,FALSE)</f>
        <v>Other</v>
      </c>
    </row>
    <row r="1259" spans="1:7" x14ac:dyDescent="0.25">
      <c r="A1259" t="s">
        <v>7</v>
      </c>
      <c r="B1259" s="1">
        <v>42907</v>
      </c>
      <c r="C1259" t="s">
        <v>55</v>
      </c>
      <c r="D1259">
        <v>100837.93</v>
      </c>
      <c r="E1259" t="str">
        <f>VLOOKUP(C1259,inf!$A$2:$B$7,2,FALSE)</f>
        <v>Current</v>
      </c>
      <c r="F1259" t="str">
        <f t="shared" si="20"/>
        <v>06/21/2017</v>
      </c>
      <c r="G1259" t="str">
        <f>VLOOKUP(A1259,inf!$D$2:$E$76,2,FALSE)</f>
        <v>SAFEWAY</v>
      </c>
    </row>
    <row r="1260" spans="1:7" x14ac:dyDescent="0.25">
      <c r="A1260" t="s">
        <v>7</v>
      </c>
      <c r="B1260" s="1">
        <v>42907</v>
      </c>
      <c r="C1260" t="s">
        <v>56</v>
      </c>
      <c r="D1260">
        <v>4260.2</v>
      </c>
      <c r="E1260" t="str">
        <f>VLOOKUP(C1260,inf!$A$2:$B$7,2,FALSE)</f>
        <v>Current</v>
      </c>
      <c r="F1260" t="str">
        <f t="shared" si="20"/>
        <v>06/21/2017</v>
      </c>
      <c r="G1260" t="str">
        <f>VLOOKUP(A1260,inf!$D$2:$E$76,2,FALSE)</f>
        <v>SAFEWAY</v>
      </c>
    </row>
    <row r="1261" spans="1:7" x14ac:dyDescent="0.25">
      <c r="A1261" t="s">
        <v>7</v>
      </c>
      <c r="B1261" s="1">
        <v>42907</v>
      </c>
      <c r="C1261" t="s">
        <v>57</v>
      </c>
      <c r="D1261">
        <v>349.26</v>
      </c>
      <c r="E1261" t="str">
        <f>VLOOKUP(C1261,inf!$A$2:$B$7,2,FALSE)</f>
        <v>31 to 60</v>
      </c>
      <c r="F1261" t="str">
        <f t="shared" si="20"/>
        <v>06/21/2017</v>
      </c>
      <c r="G1261" t="str">
        <f>VLOOKUP(A1261,inf!$D$2:$E$76,2,FALSE)</f>
        <v>SAFEWAY</v>
      </c>
    </row>
    <row r="1262" spans="1:7" x14ac:dyDescent="0.25">
      <c r="A1262" t="s">
        <v>5</v>
      </c>
      <c r="B1262" s="1">
        <v>42907</v>
      </c>
      <c r="C1262" t="s">
        <v>55</v>
      </c>
      <c r="D1262">
        <v>4258624.7500001797</v>
      </c>
      <c r="E1262" t="str">
        <f>VLOOKUP(C1262,inf!$A$2:$B$7,2,FALSE)</f>
        <v>Current</v>
      </c>
      <c r="F1262" t="str">
        <f t="shared" si="20"/>
        <v>06/21/2017</v>
      </c>
      <c r="G1262" t="str">
        <f>VLOOKUP(A1262,inf!$D$2:$E$76,2,FALSE)</f>
        <v>SBUX</v>
      </c>
    </row>
    <row r="1263" spans="1:7" x14ac:dyDescent="0.25">
      <c r="A1263" t="s">
        <v>5</v>
      </c>
      <c r="B1263" s="1">
        <v>42907</v>
      </c>
      <c r="C1263" t="s">
        <v>60</v>
      </c>
      <c r="D1263">
        <v>84769.37000000001</v>
      </c>
      <c r="E1263" t="str">
        <f>VLOOKUP(C1263,inf!$A$2:$B$7,2,FALSE)</f>
        <v>Over 90</v>
      </c>
      <c r="F1263" t="str">
        <f t="shared" si="20"/>
        <v>06/21/2017</v>
      </c>
      <c r="G1263" t="str">
        <f>VLOOKUP(A1263,inf!$D$2:$E$76,2,FALSE)</f>
        <v>SBUX</v>
      </c>
    </row>
    <row r="1264" spans="1:7" x14ac:dyDescent="0.25">
      <c r="A1264" t="s">
        <v>5</v>
      </c>
      <c r="B1264" s="1">
        <v>42907</v>
      </c>
      <c r="C1264" t="s">
        <v>56</v>
      </c>
      <c r="D1264">
        <v>33608.07</v>
      </c>
      <c r="E1264" t="str">
        <f>VLOOKUP(C1264,inf!$A$2:$B$7,2,FALSE)</f>
        <v>Current</v>
      </c>
      <c r="F1264" t="str">
        <f t="shared" si="20"/>
        <v>06/21/2017</v>
      </c>
      <c r="G1264" t="str">
        <f>VLOOKUP(A1264,inf!$D$2:$E$76,2,FALSE)</f>
        <v>SBUX</v>
      </c>
    </row>
    <row r="1265" spans="1:7" x14ac:dyDescent="0.25">
      <c r="A1265" t="s">
        <v>5</v>
      </c>
      <c r="B1265" s="1">
        <v>42907</v>
      </c>
      <c r="C1265" t="s">
        <v>57</v>
      </c>
      <c r="D1265">
        <v>2460.46</v>
      </c>
      <c r="E1265" t="str">
        <f>VLOOKUP(C1265,inf!$A$2:$B$7,2,FALSE)</f>
        <v>31 to 60</v>
      </c>
      <c r="F1265" t="str">
        <f t="shared" si="20"/>
        <v>06/21/2017</v>
      </c>
      <c r="G1265" t="str">
        <f>VLOOKUP(A1265,inf!$D$2:$E$76,2,FALSE)</f>
        <v>SBUX</v>
      </c>
    </row>
    <row r="1266" spans="1:7" x14ac:dyDescent="0.25">
      <c r="A1266" t="s">
        <v>5</v>
      </c>
      <c r="B1266" s="1">
        <v>42907</v>
      </c>
      <c r="C1266" t="s">
        <v>58</v>
      </c>
      <c r="D1266">
        <v>1649.02</v>
      </c>
      <c r="E1266" t="str">
        <f>VLOOKUP(C1266,inf!$A$2:$B$7,2,FALSE)</f>
        <v>61 to 90</v>
      </c>
      <c r="F1266" t="str">
        <f t="shared" si="20"/>
        <v>06/21/2017</v>
      </c>
      <c r="G1266" t="str">
        <f>VLOOKUP(A1266,inf!$D$2:$E$76,2,FALSE)</f>
        <v>SBUX</v>
      </c>
    </row>
    <row r="1267" spans="1:7" x14ac:dyDescent="0.25">
      <c r="A1267" t="s">
        <v>5</v>
      </c>
      <c r="B1267" s="1">
        <v>42907</v>
      </c>
      <c r="C1267" t="s">
        <v>59</v>
      </c>
      <c r="D1267">
        <v>695.03</v>
      </c>
      <c r="E1267" t="str">
        <f>VLOOKUP(C1267,inf!$A$2:$B$7,2,FALSE)</f>
        <v>Over 90</v>
      </c>
      <c r="F1267" t="str">
        <f t="shared" si="20"/>
        <v>06/21/2017</v>
      </c>
      <c r="G1267" t="str">
        <f>VLOOKUP(A1267,inf!$D$2:$E$76,2,FALSE)</f>
        <v>SBUX</v>
      </c>
    </row>
    <row r="1268" spans="1:7" x14ac:dyDescent="0.25">
      <c r="A1268" t="s">
        <v>6</v>
      </c>
      <c r="B1268" s="1">
        <v>42907</v>
      </c>
      <c r="C1268" t="s">
        <v>55</v>
      </c>
      <c r="D1268">
        <v>385761.62999999913</v>
      </c>
      <c r="E1268" t="str">
        <f>VLOOKUP(C1268,inf!$A$2:$B$7,2,FALSE)</f>
        <v>Current</v>
      </c>
      <c r="F1268" t="str">
        <f t="shared" si="20"/>
        <v>06/21/2017</v>
      </c>
      <c r="G1268" t="str">
        <f>VLOOKUP(A1268,inf!$D$2:$E$76,2,FALSE)</f>
        <v>SBUX</v>
      </c>
    </row>
    <row r="1269" spans="1:7" x14ac:dyDescent="0.25">
      <c r="A1269" t="s">
        <v>6</v>
      </c>
      <c r="B1269" s="1">
        <v>42907</v>
      </c>
      <c r="C1269" t="s">
        <v>60</v>
      </c>
      <c r="D1269">
        <v>4112.2</v>
      </c>
      <c r="E1269" t="str">
        <f>VLOOKUP(C1269,inf!$A$2:$B$7,2,FALSE)</f>
        <v>Over 90</v>
      </c>
      <c r="F1269" t="str">
        <f t="shared" si="20"/>
        <v>06/21/2017</v>
      </c>
      <c r="G1269" t="str">
        <f>VLOOKUP(A1269,inf!$D$2:$E$76,2,FALSE)</f>
        <v>SBUX</v>
      </c>
    </row>
    <row r="1270" spans="1:7" x14ac:dyDescent="0.25">
      <c r="A1270" t="s">
        <v>6</v>
      </c>
      <c r="B1270" s="1">
        <v>42907</v>
      </c>
      <c r="C1270" t="s">
        <v>59</v>
      </c>
      <c r="D1270">
        <v>3978.69</v>
      </c>
      <c r="E1270" t="str">
        <f>VLOOKUP(C1270,inf!$A$2:$B$7,2,FALSE)</f>
        <v>Over 90</v>
      </c>
      <c r="F1270" t="str">
        <f t="shared" si="20"/>
        <v>06/21/2017</v>
      </c>
      <c r="G1270" t="str">
        <f>VLOOKUP(A1270,inf!$D$2:$E$76,2,FALSE)</f>
        <v>SBUX</v>
      </c>
    </row>
    <row r="1271" spans="1:7" x14ac:dyDescent="0.25">
      <c r="A1271" t="s">
        <v>6</v>
      </c>
      <c r="B1271" s="1">
        <v>42907</v>
      </c>
      <c r="C1271" t="s">
        <v>57</v>
      </c>
      <c r="D1271">
        <v>1243.19</v>
      </c>
      <c r="E1271" t="str">
        <f>VLOOKUP(C1271,inf!$A$2:$B$7,2,FALSE)</f>
        <v>31 to 60</v>
      </c>
      <c r="F1271" t="str">
        <f t="shared" si="20"/>
        <v>06/21/2017</v>
      </c>
      <c r="G1271" t="str">
        <f>VLOOKUP(A1271,inf!$D$2:$E$76,2,FALSE)</f>
        <v>SBUX</v>
      </c>
    </row>
    <row r="1272" spans="1:7" x14ac:dyDescent="0.25">
      <c r="A1272" t="s">
        <v>6</v>
      </c>
      <c r="B1272" s="1">
        <v>42907</v>
      </c>
      <c r="C1272" t="s">
        <v>56</v>
      </c>
      <c r="D1272">
        <v>793.31000000000006</v>
      </c>
      <c r="E1272" t="str">
        <f>VLOOKUP(C1272,inf!$A$2:$B$7,2,FALSE)</f>
        <v>Current</v>
      </c>
      <c r="F1272" t="str">
        <f t="shared" si="20"/>
        <v>06/21/2017</v>
      </c>
      <c r="G1272" t="str">
        <f>VLOOKUP(A1272,inf!$D$2:$E$76,2,FALSE)</f>
        <v>SBUX</v>
      </c>
    </row>
    <row r="1273" spans="1:7" x14ac:dyDescent="0.25">
      <c r="A1273" t="s">
        <v>6</v>
      </c>
      <c r="B1273" s="1">
        <v>42907</v>
      </c>
      <c r="C1273" t="s">
        <v>58</v>
      </c>
      <c r="D1273">
        <v>418.67</v>
      </c>
      <c r="E1273" t="str">
        <f>VLOOKUP(C1273,inf!$A$2:$B$7,2,FALSE)</f>
        <v>61 to 90</v>
      </c>
      <c r="F1273" t="str">
        <f t="shared" si="20"/>
        <v>06/21/2017</v>
      </c>
      <c r="G1273" t="str">
        <f>VLOOKUP(A1273,inf!$D$2:$E$76,2,FALSE)</f>
        <v>SBUX</v>
      </c>
    </row>
    <row r="1274" spans="1:7" x14ac:dyDescent="0.25">
      <c r="A1274" t="s">
        <v>49</v>
      </c>
      <c r="B1274" s="1">
        <v>42907</v>
      </c>
      <c r="C1274" t="s">
        <v>55</v>
      </c>
      <c r="D1274">
        <v>150.36000000000001</v>
      </c>
      <c r="E1274" t="str">
        <f>VLOOKUP(C1274,inf!$A$2:$B$7,2,FALSE)</f>
        <v>Current</v>
      </c>
      <c r="F1274" t="str">
        <f t="shared" si="20"/>
        <v>06/21/2017</v>
      </c>
      <c r="G1274" t="str">
        <f>VLOOKUP(A1274,inf!$D$2:$E$76,2,FALSE)</f>
        <v>Other</v>
      </c>
    </row>
    <row r="1275" spans="1:7" x14ac:dyDescent="0.25">
      <c r="A1275" t="s">
        <v>51</v>
      </c>
      <c r="B1275" s="1">
        <v>42907</v>
      </c>
      <c r="C1275" t="s">
        <v>57</v>
      </c>
      <c r="D1275">
        <v>235.2</v>
      </c>
      <c r="E1275" t="str">
        <f>VLOOKUP(C1275,inf!$A$2:$B$7,2,FALSE)</f>
        <v>31 to 60</v>
      </c>
      <c r="F1275" t="str">
        <f t="shared" si="20"/>
        <v>06/21/2017</v>
      </c>
      <c r="G1275" t="str">
        <f>VLOOKUP(A1275,inf!$D$2:$E$76,2,FALSE)</f>
        <v>Other</v>
      </c>
    </row>
    <row r="1276" spans="1:7" x14ac:dyDescent="0.25">
      <c r="A1276" t="s">
        <v>48</v>
      </c>
      <c r="B1276" s="1">
        <v>42907</v>
      </c>
      <c r="C1276" t="s">
        <v>55</v>
      </c>
      <c r="D1276">
        <v>51514.659999999982</v>
      </c>
      <c r="E1276" t="str">
        <f>VLOOKUP(C1276,inf!$A$2:$B$7,2,FALSE)</f>
        <v>Current</v>
      </c>
      <c r="F1276" t="str">
        <f t="shared" si="20"/>
        <v>06/21/2017</v>
      </c>
      <c r="G1276" t="str">
        <f>VLOOKUP(A1276,inf!$D$2:$E$76,2,FALSE)</f>
        <v>Target</v>
      </c>
    </row>
    <row r="1277" spans="1:7" x14ac:dyDescent="0.25">
      <c r="A1277" t="s">
        <v>8</v>
      </c>
      <c r="B1277" s="1">
        <v>42907</v>
      </c>
      <c r="C1277" t="s">
        <v>55</v>
      </c>
      <c r="D1277">
        <v>254827.84000000026</v>
      </c>
      <c r="E1277" t="str">
        <f>VLOOKUP(C1277,inf!$A$2:$B$7,2,FALSE)</f>
        <v>Current</v>
      </c>
      <c r="F1277" t="str">
        <f t="shared" si="20"/>
        <v>06/21/2017</v>
      </c>
      <c r="G1277" t="str">
        <f>VLOOKUP(A1277,inf!$D$2:$E$76,2,FALSE)</f>
        <v>Target</v>
      </c>
    </row>
    <row r="1278" spans="1:7" x14ac:dyDescent="0.25">
      <c r="A1278" t="s">
        <v>8</v>
      </c>
      <c r="B1278" s="1">
        <v>42907</v>
      </c>
      <c r="C1278" t="s">
        <v>60</v>
      </c>
      <c r="D1278">
        <v>19802.159999999996</v>
      </c>
      <c r="E1278" t="str">
        <f>VLOOKUP(C1278,inf!$A$2:$B$7,2,FALSE)</f>
        <v>Over 90</v>
      </c>
      <c r="F1278" t="str">
        <f t="shared" si="20"/>
        <v>06/21/2017</v>
      </c>
      <c r="G1278" t="str">
        <f>VLOOKUP(A1278,inf!$D$2:$E$76,2,FALSE)</f>
        <v>Target</v>
      </c>
    </row>
    <row r="1279" spans="1:7" x14ac:dyDescent="0.25">
      <c r="A1279" t="s">
        <v>8</v>
      </c>
      <c r="B1279" s="1">
        <v>42907</v>
      </c>
      <c r="C1279" t="s">
        <v>56</v>
      </c>
      <c r="D1279">
        <v>13529.140000000005</v>
      </c>
      <c r="E1279" t="str">
        <f>VLOOKUP(C1279,inf!$A$2:$B$7,2,FALSE)</f>
        <v>Current</v>
      </c>
      <c r="F1279" t="str">
        <f t="shared" si="20"/>
        <v>06/21/2017</v>
      </c>
      <c r="G1279" t="str">
        <f>VLOOKUP(A1279,inf!$D$2:$E$76,2,FALSE)</f>
        <v>Target</v>
      </c>
    </row>
    <row r="1280" spans="1:7" x14ac:dyDescent="0.25">
      <c r="A1280" t="s">
        <v>8</v>
      </c>
      <c r="B1280" s="1">
        <v>42907</v>
      </c>
      <c r="C1280" t="s">
        <v>59</v>
      </c>
      <c r="D1280">
        <v>3302.8599999999997</v>
      </c>
      <c r="E1280" t="str">
        <f>VLOOKUP(C1280,inf!$A$2:$B$7,2,FALSE)</f>
        <v>Over 90</v>
      </c>
      <c r="F1280" t="str">
        <f t="shared" si="20"/>
        <v>06/21/2017</v>
      </c>
      <c r="G1280" t="str">
        <f>VLOOKUP(A1280,inf!$D$2:$E$76,2,FALSE)</f>
        <v>Target</v>
      </c>
    </row>
    <row r="1281" spans="1:7" x14ac:dyDescent="0.25">
      <c r="A1281" t="s">
        <v>8</v>
      </c>
      <c r="B1281" s="1">
        <v>42907</v>
      </c>
      <c r="C1281" t="s">
        <v>57</v>
      </c>
      <c r="D1281">
        <v>2231.63</v>
      </c>
      <c r="E1281" t="str">
        <f>VLOOKUP(C1281,inf!$A$2:$B$7,2,FALSE)</f>
        <v>31 to 60</v>
      </c>
      <c r="F1281" t="str">
        <f t="shared" si="20"/>
        <v>06/21/2017</v>
      </c>
      <c r="G1281" t="str">
        <f>VLOOKUP(A1281,inf!$D$2:$E$76,2,FALSE)</f>
        <v>Target</v>
      </c>
    </row>
    <row r="1282" spans="1:7" x14ac:dyDescent="0.25">
      <c r="A1282" t="s">
        <v>8</v>
      </c>
      <c r="B1282" s="1">
        <v>42907</v>
      </c>
      <c r="C1282" t="s">
        <v>58</v>
      </c>
      <c r="D1282">
        <v>21.7</v>
      </c>
      <c r="E1282" t="str">
        <f>VLOOKUP(C1282,inf!$A$2:$B$7,2,FALSE)</f>
        <v>61 to 90</v>
      </c>
      <c r="F1282" t="str">
        <f t="shared" si="20"/>
        <v>06/21/2017</v>
      </c>
      <c r="G1282" t="str">
        <f>VLOOKUP(A1282,inf!$D$2:$E$76,2,FALSE)</f>
        <v>Target</v>
      </c>
    </row>
    <row r="1283" spans="1:7" x14ac:dyDescent="0.25">
      <c r="A1283" t="s">
        <v>54</v>
      </c>
      <c r="B1283" s="1">
        <v>42907</v>
      </c>
      <c r="C1283" t="s">
        <v>55</v>
      </c>
      <c r="D1283">
        <v>801.73</v>
      </c>
      <c r="E1283" t="str">
        <f>VLOOKUP(C1283,inf!$A$2:$B$7,2,FALSE)</f>
        <v>Current</v>
      </c>
      <c r="F1283" t="str">
        <f t="shared" ref="F1283:F1346" si="21">TEXT(B1283,"MM/DD/YYYY")</f>
        <v>06/21/2017</v>
      </c>
      <c r="G1283" t="str">
        <f>VLOOKUP(A1283,inf!$D$2:$E$76,2,FALSE)</f>
        <v>Other</v>
      </c>
    </row>
    <row r="1284" spans="1:7" x14ac:dyDescent="0.25">
      <c r="A1284" t="s">
        <v>15</v>
      </c>
      <c r="B1284" s="1">
        <v>42907</v>
      </c>
      <c r="C1284" t="s">
        <v>55</v>
      </c>
      <c r="D1284">
        <v>318.83</v>
      </c>
      <c r="E1284" t="str">
        <f>VLOOKUP(C1284,inf!$A$2:$B$7,2,FALSE)</f>
        <v>Current</v>
      </c>
      <c r="F1284" t="str">
        <f t="shared" si="21"/>
        <v>06/21/2017</v>
      </c>
      <c r="G1284" t="str">
        <f>VLOOKUP(A1284,inf!$D$2:$E$76,2,FALSE)</f>
        <v>Other</v>
      </c>
    </row>
    <row r="1285" spans="1:7" x14ac:dyDescent="0.25">
      <c r="A1285" t="s">
        <v>15</v>
      </c>
      <c r="B1285" s="1">
        <v>42907</v>
      </c>
      <c r="C1285" t="s">
        <v>60</v>
      </c>
      <c r="D1285">
        <v>126.05</v>
      </c>
      <c r="E1285" t="str">
        <f>VLOOKUP(C1285,inf!$A$2:$B$7,2,FALSE)</f>
        <v>Over 90</v>
      </c>
      <c r="F1285" t="str">
        <f t="shared" si="21"/>
        <v>06/21/2017</v>
      </c>
      <c r="G1285" t="str">
        <f>VLOOKUP(A1285,inf!$D$2:$E$76,2,FALSE)</f>
        <v>Other</v>
      </c>
    </row>
    <row r="1286" spans="1:7" x14ac:dyDescent="0.25">
      <c r="A1286" t="s">
        <v>4</v>
      </c>
      <c r="B1286" s="1">
        <v>42914</v>
      </c>
      <c r="C1286" t="s">
        <v>56</v>
      </c>
      <c r="D1286">
        <v>4593.32</v>
      </c>
      <c r="E1286" t="str">
        <f>VLOOKUP(C1286,inf!$A$2:$B$7,2,FALSE)</f>
        <v>Current</v>
      </c>
      <c r="F1286" t="str">
        <f t="shared" si="21"/>
        <v>06/28/2017</v>
      </c>
      <c r="G1286" t="str">
        <f>VLOOKUP(A1286,inf!$D$2:$E$76,2,FALSE)</f>
        <v>Other</v>
      </c>
    </row>
    <row r="1287" spans="1:7" x14ac:dyDescent="0.25">
      <c r="A1287" t="s">
        <v>4</v>
      </c>
      <c r="B1287" s="1">
        <v>42914</v>
      </c>
      <c r="C1287" t="s">
        <v>55</v>
      </c>
      <c r="D1287">
        <v>1408.02</v>
      </c>
      <c r="E1287" t="str">
        <f>VLOOKUP(C1287,inf!$A$2:$B$7,2,FALSE)</f>
        <v>Current</v>
      </c>
      <c r="F1287" t="str">
        <f t="shared" si="21"/>
        <v>06/28/2017</v>
      </c>
      <c r="G1287" t="str">
        <f>VLOOKUP(A1287,inf!$D$2:$E$76,2,FALSE)</f>
        <v>Other</v>
      </c>
    </row>
    <row r="1288" spans="1:7" x14ac:dyDescent="0.25">
      <c r="A1288" t="s">
        <v>26</v>
      </c>
      <c r="B1288" s="1">
        <v>42914</v>
      </c>
      <c r="C1288" t="s">
        <v>60</v>
      </c>
      <c r="D1288">
        <v>1380.77</v>
      </c>
      <c r="E1288" t="str">
        <f>VLOOKUP(C1288,inf!$A$2:$B$7,2,FALSE)</f>
        <v>Over 90</v>
      </c>
      <c r="F1288" t="str">
        <f t="shared" si="21"/>
        <v>06/28/2017</v>
      </c>
      <c r="G1288" t="str">
        <f>VLOOKUP(A1288,inf!$D$2:$E$76,2,FALSE)</f>
        <v>Other</v>
      </c>
    </row>
    <row r="1289" spans="1:7" x14ac:dyDescent="0.25">
      <c r="A1289" t="s">
        <v>2</v>
      </c>
      <c r="B1289" s="1">
        <v>42914</v>
      </c>
      <c r="C1289" t="s">
        <v>60</v>
      </c>
      <c r="D1289">
        <v>3717.8600000000006</v>
      </c>
      <c r="E1289" t="str">
        <f>VLOOKUP(C1289,inf!$A$2:$B$7,2,FALSE)</f>
        <v>Over 90</v>
      </c>
      <c r="F1289" t="str">
        <f t="shared" si="21"/>
        <v>06/28/2017</v>
      </c>
      <c r="G1289" t="str">
        <f>VLOOKUP(A1289,inf!$D$2:$E$76,2,FALSE)</f>
        <v>Other</v>
      </c>
    </row>
    <row r="1290" spans="1:7" x14ac:dyDescent="0.25">
      <c r="A1290" t="s">
        <v>32</v>
      </c>
      <c r="B1290" s="1">
        <v>42914</v>
      </c>
      <c r="C1290" t="s">
        <v>55</v>
      </c>
      <c r="D1290">
        <v>424.53000000000003</v>
      </c>
      <c r="E1290" t="str">
        <f>VLOOKUP(C1290,inf!$A$2:$B$7,2,FALSE)</f>
        <v>Current</v>
      </c>
      <c r="F1290" t="str">
        <f t="shared" si="21"/>
        <v>06/28/2017</v>
      </c>
      <c r="G1290" t="str">
        <f>VLOOKUP(A1290,inf!$D$2:$E$76,2,FALSE)</f>
        <v>Other</v>
      </c>
    </row>
    <row r="1291" spans="1:7" x14ac:dyDescent="0.25">
      <c r="A1291" t="s">
        <v>32</v>
      </c>
      <c r="B1291" s="1">
        <v>42914</v>
      </c>
      <c r="C1291" t="s">
        <v>56</v>
      </c>
      <c r="D1291">
        <v>130.02000000000001</v>
      </c>
      <c r="E1291" t="str">
        <f>VLOOKUP(C1291,inf!$A$2:$B$7,2,FALSE)</f>
        <v>Current</v>
      </c>
      <c r="F1291" t="str">
        <f t="shared" si="21"/>
        <v>06/28/2017</v>
      </c>
      <c r="G1291" t="str">
        <f>VLOOKUP(A1291,inf!$D$2:$E$76,2,FALSE)</f>
        <v>Other</v>
      </c>
    </row>
    <row r="1292" spans="1:7" x14ac:dyDescent="0.25">
      <c r="A1292" t="s">
        <v>52</v>
      </c>
      <c r="B1292" s="1">
        <v>42914</v>
      </c>
      <c r="C1292" t="s">
        <v>55</v>
      </c>
      <c r="D1292">
        <v>369.13</v>
      </c>
      <c r="E1292" t="str">
        <f>VLOOKUP(C1292,inf!$A$2:$B$7,2,FALSE)</f>
        <v>Current</v>
      </c>
      <c r="F1292" t="str">
        <f t="shared" si="21"/>
        <v>06/28/2017</v>
      </c>
      <c r="G1292" t="str">
        <f>VLOOKUP(A1292,inf!$D$2:$E$76,2,FALSE)</f>
        <v>Other</v>
      </c>
    </row>
    <row r="1293" spans="1:7" x14ac:dyDescent="0.25">
      <c r="A1293" t="s">
        <v>47</v>
      </c>
      <c r="B1293" s="1">
        <v>42914</v>
      </c>
      <c r="C1293" t="s">
        <v>55</v>
      </c>
      <c r="D1293">
        <v>467.14</v>
      </c>
      <c r="E1293" t="str">
        <f>VLOOKUP(C1293,inf!$A$2:$B$7,2,FALSE)</f>
        <v>Current</v>
      </c>
      <c r="F1293" t="str">
        <f t="shared" si="21"/>
        <v>06/28/2017</v>
      </c>
      <c r="G1293" t="str">
        <f>VLOOKUP(A1293,inf!$D$2:$E$76,2,FALSE)</f>
        <v>Other</v>
      </c>
    </row>
    <row r="1294" spans="1:7" x14ac:dyDescent="0.25">
      <c r="A1294" t="s">
        <v>19</v>
      </c>
      <c r="B1294" s="1">
        <v>42914</v>
      </c>
      <c r="C1294" t="s">
        <v>58</v>
      </c>
      <c r="D1294">
        <v>565.36</v>
      </c>
      <c r="E1294" t="str">
        <f>VLOOKUP(C1294,inf!$A$2:$B$7,2,FALSE)</f>
        <v>61 to 90</v>
      </c>
      <c r="F1294" t="str">
        <f t="shared" si="21"/>
        <v>06/28/2017</v>
      </c>
      <c r="G1294" t="str">
        <f>VLOOKUP(A1294,inf!$D$2:$E$76,2,FALSE)</f>
        <v>Other</v>
      </c>
    </row>
    <row r="1295" spans="1:7" x14ac:dyDescent="0.25">
      <c r="A1295" t="s">
        <v>19</v>
      </c>
      <c r="B1295" s="1">
        <v>42914</v>
      </c>
      <c r="C1295" t="s">
        <v>55</v>
      </c>
      <c r="D1295">
        <v>258.41000000000003</v>
      </c>
      <c r="E1295" t="str">
        <f>VLOOKUP(C1295,inf!$A$2:$B$7,2,FALSE)</f>
        <v>Current</v>
      </c>
      <c r="F1295" t="str">
        <f t="shared" si="21"/>
        <v>06/28/2017</v>
      </c>
      <c r="G1295" t="str">
        <f>VLOOKUP(A1295,inf!$D$2:$E$76,2,FALSE)</f>
        <v>Other</v>
      </c>
    </row>
    <row r="1296" spans="1:7" x14ac:dyDescent="0.25">
      <c r="A1296" t="s">
        <v>25</v>
      </c>
      <c r="B1296" s="1">
        <v>42914</v>
      </c>
      <c r="C1296" t="s">
        <v>55</v>
      </c>
      <c r="D1296">
        <v>587.97</v>
      </c>
      <c r="E1296" t="str">
        <f>VLOOKUP(C1296,inf!$A$2:$B$7,2,FALSE)</f>
        <v>Current</v>
      </c>
      <c r="F1296" t="str">
        <f t="shared" si="21"/>
        <v>06/28/2017</v>
      </c>
      <c r="G1296" t="str">
        <f>VLOOKUP(A1296,inf!$D$2:$E$76,2,FALSE)</f>
        <v>Other</v>
      </c>
    </row>
    <row r="1297" spans="1:7" x14ac:dyDescent="0.25">
      <c r="A1297" t="s">
        <v>31</v>
      </c>
      <c r="B1297" s="1">
        <v>42914</v>
      </c>
      <c r="C1297" t="s">
        <v>57</v>
      </c>
      <c r="D1297">
        <v>1670.52</v>
      </c>
      <c r="E1297" t="str">
        <f>VLOOKUP(C1297,inf!$A$2:$B$7,2,FALSE)</f>
        <v>31 to 60</v>
      </c>
      <c r="F1297" t="str">
        <f t="shared" si="21"/>
        <v>06/28/2017</v>
      </c>
      <c r="G1297" t="str">
        <f>VLOOKUP(A1297,inf!$D$2:$E$76,2,FALSE)</f>
        <v>Other</v>
      </c>
    </row>
    <row r="1298" spans="1:7" x14ac:dyDescent="0.25">
      <c r="A1298" t="s">
        <v>31</v>
      </c>
      <c r="B1298" s="1">
        <v>42914</v>
      </c>
      <c r="C1298" t="s">
        <v>58</v>
      </c>
      <c r="D1298">
        <v>778</v>
      </c>
      <c r="E1298" t="str">
        <f>VLOOKUP(C1298,inf!$A$2:$B$7,2,FALSE)</f>
        <v>61 to 90</v>
      </c>
      <c r="F1298" t="str">
        <f t="shared" si="21"/>
        <v>06/28/2017</v>
      </c>
      <c r="G1298" t="str">
        <f>VLOOKUP(A1298,inf!$D$2:$E$76,2,FALSE)</f>
        <v>Other</v>
      </c>
    </row>
    <row r="1299" spans="1:7" x14ac:dyDescent="0.25">
      <c r="A1299" t="s">
        <v>31</v>
      </c>
      <c r="B1299" s="1">
        <v>42914</v>
      </c>
      <c r="C1299" t="s">
        <v>55</v>
      </c>
      <c r="D1299">
        <v>294.39</v>
      </c>
      <c r="E1299" t="str">
        <f>VLOOKUP(C1299,inf!$A$2:$B$7,2,FALSE)</f>
        <v>Current</v>
      </c>
      <c r="F1299" t="str">
        <f t="shared" si="21"/>
        <v>06/28/2017</v>
      </c>
      <c r="G1299" t="str">
        <f>VLOOKUP(A1299,inf!$D$2:$E$76,2,FALSE)</f>
        <v>Other</v>
      </c>
    </row>
    <row r="1300" spans="1:7" x14ac:dyDescent="0.25">
      <c r="A1300" t="s">
        <v>24</v>
      </c>
      <c r="B1300" s="1">
        <v>42914</v>
      </c>
      <c r="C1300" t="s">
        <v>57</v>
      </c>
      <c r="D1300">
        <v>308.7</v>
      </c>
      <c r="E1300" t="str">
        <f>VLOOKUP(C1300,inf!$A$2:$B$7,2,FALSE)</f>
        <v>31 to 60</v>
      </c>
      <c r="F1300" t="str">
        <f t="shared" si="21"/>
        <v>06/28/2017</v>
      </c>
      <c r="G1300" t="str">
        <f>VLOOKUP(A1300,inf!$D$2:$E$76,2,FALSE)</f>
        <v>Other</v>
      </c>
    </row>
    <row r="1301" spans="1:7" x14ac:dyDescent="0.25">
      <c r="A1301" t="s">
        <v>24</v>
      </c>
      <c r="B1301" s="1">
        <v>42914</v>
      </c>
      <c r="C1301" t="s">
        <v>55</v>
      </c>
      <c r="D1301">
        <v>117.52</v>
      </c>
      <c r="E1301" t="str">
        <f>VLOOKUP(C1301,inf!$A$2:$B$7,2,FALSE)</f>
        <v>Current</v>
      </c>
      <c r="F1301" t="str">
        <f t="shared" si="21"/>
        <v>06/28/2017</v>
      </c>
      <c r="G1301" t="str">
        <f>VLOOKUP(A1301,inf!$D$2:$E$76,2,FALSE)</f>
        <v>Other</v>
      </c>
    </row>
    <row r="1302" spans="1:7" x14ac:dyDescent="0.25">
      <c r="A1302" t="s">
        <v>18</v>
      </c>
      <c r="B1302" s="1">
        <v>42914</v>
      </c>
      <c r="C1302" t="s">
        <v>55</v>
      </c>
      <c r="D1302">
        <v>1320.39</v>
      </c>
      <c r="E1302" t="str">
        <f>VLOOKUP(C1302,inf!$A$2:$B$7,2,FALSE)</f>
        <v>Current</v>
      </c>
      <c r="F1302" t="str">
        <f t="shared" si="21"/>
        <v>06/28/2017</v>
      </c>
      <c r="G1302" t="str">
        <f>VLOOKUP(A1302,inf!$D$2:$E$76,2,FALSE)</f>
        <v>Other</v>
      </c>
    </row>
    <row r="1303" spans="1:7" x14ac:dyDescent="0.25">
      <c r="A1303" t="s">
        <v>27</v>
      </c>
      <c r="B1303" s="1">
        <v>42914</v>
      </c>
      <c r="C1303" t="s">
        <v>55</v>
      </c>
      <c r="D1303">
        <v>564.22</v>
      </c>
      <c r="E1303" t="str">
        <f>VLOOKUP(C1303,inf!$A$2:$B$7,2,FALSE)</f>
        <v>Current</v>
      </c>
      <c r="F1303" t="str">
        <f t="shared" si="21"/>
        <v>06/28/2017</v>
      </c>
      <c r="G1303" t="str">
        <f>VLOOKUP(A1303,inf!$D$2:$E$76,2,FALSE)</f>
        <v>Other</v>
      </c>
    </row>
    <row r="1304" spans="1:7" x14ac:dyDescent="0.25">
      <c r="A1304" t="s">
        <v>21</v>
      </c>
      <c r="B1304" s="1">
        <v>42914</v>
      </c>
      <c r="C1304" t="s">
        <v>58</v>
      </c>
      <c r="D1304">
        <v>2728.4900000000002</v>
      </c>
      <c r="E1304" t="str">
        <f>VLOOKUP(C1304,inf!$A$2:$B$7,2,FALSE)</f>
        <v>61 to 90</v>
      </c>
      <c r="F1304" t="str">
        <f t="shared" si="21"/>
        <v>06/28/2017</v>
      </c>
      <c r="G1304" t="str">
        <f>VLOOKUP(A1304,inf!$D$2:$E$76,2,FALSE)</f>
        <v>Other</v>
      </c>
    </row>
    <row r="1305" spans="1:7" x14ac:dyDescent="0.25">
      <c r="A1305" t="s">
        <v>21</v>
      </c>
      <c r="B1305" s="1">
        <v>42914</v>
      </c>
      <c r="C1305" t="s">
        <v>57</v>
      </c>
      <c r="D1305">
        <v>666.87</v>
      </c>
      <c r="E1305" t="str">
        <f>VLOOKUP(C1305,inf!$A$2:$B$7,2,FALSE)</f>
        <v>31 to 60</v>
      </c>
      <c r="F1305" t="str">
        <f t="shared" si="21"/>
        <v>06/28/2017</v>
      </c>
      <c r="G1305" t="str">
        <f>VLOOKUP(A1305,inf!$D$2:$E$76,2,FALSE)</f>
        <v>Other</v>
      </c>
    </row>
    <row r="1306" spans="1:7" x14ac:dyDescent="0.25">
      <c r="A1306" t="s">
        <v>21</v>
      </c>
      <c r="B1306" s="1">
        <v>42914</v>
      </c>
      <c r="C1306" t="s">
        <v>55</v>
      </c>
      <c r="D1306">
        <v>425.96</v>
      </c>
      <c r="E1306" t="str">
        <f>VLOOKUP(C1306,inf!$A$2:$B$7,2,FALSE)</f>
        <v>Current</v>
      </c>
      <c r="F1306" t="str">
        <f t="shared" si="21"/>
        <v>06/28/2017</v>
      </c>
      <c r="G1306" t="str">
        <f>VLOOKUP(A1306,inf!$D$2:$E$76,2,FALSE)</f>
        <v>Other</v>
      </c>
    </row>
    <row r="1307" spans="1:7" x14ac:dyDescent="0.25">
      <c r="A1307" t="s">
        <v>53</v>
      </c>
      <c r="B1307" s="1">
        <v>42914</v>
      </c>
      <c r="C1307" t="s">
        <v>55</v>
      </c>
      <c r="D1307">
        <v>479.54</v>
      </c>
      <c r="E1307" t="str">
        <f>VLOOKUP(C1307,inf!$A$2:$B$7,2,FALSE)</f>
        <v>Current</v>
      </c>
      <c r="F1307" t="str">
        <f t="shared" si="21"/>
        <v>06/28/2017</v>
      </c>
      <c r="G1307" t="str">
        <f>VLOOKUP(A1307,inf!$D$2:$E$76,2,FALSE)</f>
        <v>Other</v>
      </c>
    </row>
    <row r="1308" spans="1:7" x14ac:dyDescent="0.25">
      <c r="A1308" t="s">
        <v>3</v>
      </c>
      <c r="B1308" s="1">
        <v>42914</v>
      </c>
      <c r="C1308" t="s">
        <v>58</v>
      </c>
      <c r="D1308">
        <v>7015.9999999999982</v>
      </c>
      <c r="E1308" t="str">
        <f>VLOOKUP(C1308,inf!$A$2:$B$7,2,FALSE)</f>
        <v>61 to 90</v>
      </c>
      <c r="F1308" t="str">
        <f t="shared" si="21"/>
        <v>06/28/2017</v>
      </c>
      <c r="G1308" t="str">
        <f>VLOOKUP(A1308,inf!$D$2:$E$76,2,FALSE)</f>
        <v>Other</v>
      </c>
    </row>
    <row r="1309" spans="1:7" x14ac:dyDescent="0.25">
      <c r="A1309" t="s">
        <v>3</v>
      </c>
      <c r="B1309" s="1">
        <v>42914</v>
      </c>
      <c r="C1309" t="s">
        <v>56</v>
      </c>
      <c r="D1309">
        <v>2124.5699999999997</v>
      </c>
      <c r="E1309" t="str">
        <f>VLOOKUP(C1309,inf!$A$2:$B$7,2,FALSE)</f>
        <v>Current</v>
      </c>
      <c r="F1309" t="str">
        <f t="shared" si="21"/>
        <v>06/28/2017</v>
      </c>
      <c r="G1309" t="str">
        <f>VLOOKUP(A1309,inf!$D$2:$E$76,2,FALSE)</f>
        <v>Other</v>
      </c>
    </row>
    <row r="1310" spans="1:7" x14ac:dyDescent="0.25">
      <c r="A1310" t="s">
        <v>3</v>
      </c>
      <c r="B1310" s="1">
        <v>42914</v>
      </c>
      <c r="C1310" t="s">
        <v>55</v>
      </c>
      <c r="D1310">
        <v>534.58000000000004</v>
      </c>
      <c r="E1310" t="str">
        <f>VLOOKUP(C1310,inf!$A$2:$B$7,2,FALSE)</f>
        <v>Current</v>
      </c>
      <c r="F1310" t="str">
        <f t="shared" si="21"/>
        <v>06/28/2017</v>
      </c>
      <c r="G1310" t="str">
        <f>VLOOKUP(A1310,inf!$D$2:$E$76,2,FALSE)</f>
        <v>Other</v>
      </c>
    </row>
    <row r="1311" spans="1:7" x14ac:dyDescent="0.25">
      <c r="A1311" t="s">
        <v>30</v>
      </c>
      <c r="B1311" s="1">
        <v>42914</v>
      </c>
      <c r="C1311" t="s">
        <v>55</v>
      </c>
      <c r="D1311">
        <v>2479.09</v>
      </c>
      <c r="E1311" t="str">
        <f>VLOOKUP(C1311,inf!$A$2:$B$7,2,FALSE)</f>
        <v>Current</v>
      </c>
      <c r="F1311" t="str">
        <f t="shared" si="21"/>
        <v>06/28/2017</v>
      </c>
      <c r="G1311" t="str">
        <f>VLOOKUP(A1311,inf!$D$2:$E$76,2,FALSE)</f>
        <v>Other</v>
      </c>
    </row>
    <row r="1312" spans="1:7" x14ac:dyDescent="0.25">
      <c r="A1312" t="s">
        <v>12</v>
      </c>
      <c r="B1312" s="1">
        <v>42914</v>
      </c>
      <c r="C1312" t="s">
        <v>56</v>
      </c>
      <c r="D1312">
        <v>1551.76</v>
      </c>
      <c r="E1312" t="str">
        <f>VLOOKUP(C1312,inf!$A$2:$B$7,2,FALSE)</f>
        <v>Current</v>
      </c>
      <c r="F1312" t="str">
        <f t="shared" si="21"/>
        <v>06/28/2017</v>
      </c>
      <c r="G1312" t="str">
        <f>VLOOKUP(A1312,inf!$D$2:$E$76,2,FALSE)</f>
        <v>Other</v>
      </c>
    </row>
    <row r="1313" spans="1:7" x14ac:dyDescent="0.25">
      <c r="A1313" t="s">
        <v>12</v>
      </c>
      <c r="B1313" s="1">
        <v>42914</v>
      </c>
      <c r="C1313" t="s">
        <v>55</v>
      </c>
      <c r="D1313">
        <v>229.94</v>
      </c>
      <c r="E1313" t="str">
        <f>VLOOKUP(C1313,inf!$A$2:$B$7,2,FALSE)</f>
        <v>Current</v>
      </c>
      <c r="F1313" t="str">
        <f t="shared" si="21"/>
        <v>06/28/2017</v>
      </c>
      <c r="G1313" t="str">
        <f>VLOOKUP(A1313,inf!$D$2:$E$76,2,FALSE)</f>
        <v>Other</v>
      </c>
    </row>
    <row r="1314" spans="1:7" x14ac:dyDescent="0.25">
      <c r="A1314" t="s">
        <v>50</v>
      </c>
      <c r="B1314" s="1">
        <v>42914</v>
      </c>
      <c r="C1314" t="s">
        <v>55</v>
      </c>
      <c r="D1314">
        <v>470.8</v>
      </c>
      <c r="E1314" t="str">
        <f>VLOOKUP(C1314,inf!$A$2:$B$7,2,FALSE)</f>
        <v>Current</v>
      </c>
      <c r="F1314" t="str">
        <f t="shared" si="21"/>
        <v>06/28/2017</v>
      </c>
      <c r="G1314" t="str">
        <f>VLOOKUP(A1314,inf!$D$2:$E$76,2,FALSE)</f>
        <v>Other</v>
      </c>
    </row>
    <row r="1315" spans="1:7" x14ac:dyDescent="0.25">
      <c r="A1315" t="s">
        <v>7</v>
      </c>
      <c r="B1315" s="1">
        <v>42914</v>
      </c>
      <c r="C1315" t="s">
        <v>55</v>
      </c>
      <c r="D1315">
        <v>94236.359999999942</v>
      </c>
      <c r="E1315" t="str">
        <f>VLOOKUP(C1315,inf!$A$2:$B$7,2,FALSE)</f>
        <v>Current</v>
      </c>
      <c r="F1315" t="str">
        <f t="shared" si="21"/>
        <v>06/28/2017</v>
      </c>
      <c r="G1315" t="str">
        <f>VLOOKUP(A1315,inf!$D$2:$E$76,2,FALSE)</f>
        <v>SAFEWAY</v>
      </c>
    </row>
    <row r="1316" spans="1:7" x14ac:dyDescent="0.25">
      <c r="A1316" t="s">
        <v>7</v>
      </c>
      <c r="B1316" s="1">
        <v>42914</v>
      </c>
      <c r="C1316" t="s">
        <v>56</v>
      </c>
      <c r="D1316">
        <v>13958.060000000005</v>
      </c>
      <c r="E1316" t="str">
        <f>VLOOKUP(C1316,inf!$A$2:$B$7,2,FALSE)</f>
        <v>Current</v>
      </c>
      <c r="F1316" t="str">
        <f t="shared" si="21"/>
        <v>06/28/2017</v>
      </c>
      <c r="G1316" t="str">
        <f>VLOOKUP(A1316,inf!$D$2:$E$76,2,FALSE)</f>
        <v>SAFEWAY</v>
      </c>
    </row>
    <row r="1317" spans="1:7" x14ac:dyDescent="0.25">
      <c r="A1317" t="s">
        <v>7</v>
      </c>
      <c r="B1317" s="1">
        <v>42914</v>
      </c>
      <c r="C1317" t="s">
        <v>57</v>
      </c>
      <c r="D1317">
        <v>563.45000000000005</v>
      </c>
      <c r="E1317" t="str">
        <f>VLOOKUP(C1317,inf!$A$2:$B$7,2,FALSE)</f>
        <v>31 to 60</v>
      </c>
      <c r="F1317" t="str">
        <f t="shared" si="21"/>
        <v>06/28/2017</v>
      </c>
      <c r="G1317" t="str">
        <f>VLOOKUP(A1317,inf!$D$2:$E$76,2,FALSE)</f>
        <v>SAFEWAY</v>
      </c>
    </row>
    <row r="1318" spans="1:7" x14ac:dyDescent="0.25">
      <c r="A1318" t="s">
        <v>5</v>
      </c>
      <c r="B1318" s="1">
        <v>42914</v>
      </c>
      <c r="C1318" t="s">
        <v>55</v>
      </c>
      <c r="D1318">
        <v>4337328.6700001471</v>
      </c>
      <c r="E1318" t="str">
        <f>VLOOKUP(C1318,inf!$A$2:$B$7,2,FALSE)</f>
        <v>Current</v>
      </c>
      <c r="F1318" t="str">
        <f t="shared" si="21"/>
        <v>06/28/2017</v>
      </c>
      <c r="G1318" t="str">
        <f>VLOOKUP(A1318,inf!$D$2:$E$76,2,FALSE)</f>
        <v>SBUX</v>
      </c>
    </row>
    <row r="1319" spans="1:7" x14ac:dyDescent="0.25">
      <c r="A1319" t="s">
        <v>5</v>
      </c>
      <c r="B1319" s="1">
        <v>42914</v>
      </c>
      <c r="C1319" t="s">
        <v>60</v>
      </c>
      <c r="D1319" s="5">
        <v>80784.14</v>
      </c>
      <c r="E1319" t="str">
        <f>VLOOKUP(C1319,inf!$A$2:$B$7,2,FALSE)</f>
        <v>Over 90</v>
      </c>
      <c r="F1319" t="str">
        <f t="shared" si="21"/>
        <v>06/28/2017</v>
      </c>
      <c r="G1319" t="str">
        <f>VLOOKUP(A1319,inf!$D$2:$E$76,2,FALSE)</f>
        <v>SBUX</v>
      </c>
    </row>
    <row r="1320" spans="1:7" x14ac:dyDescent="0.25">
      <c r="A1320" t="s">
        <v>5</v>
      </c>
      <c r="B1320" s="1">
        <v>42914</v>
      </c>
      <c r="C1320" t="s">
        <v>57</v>
      </c>
      <c r="D1320">
        <v>27085.97</v>
      </c>
      <c r="E1320" t="str">
        <f>VLOOKUP(C1320,inf!$A$2:$B$7,2,FALSE)</f>
        <v>31 to 60</v>
      </c>
      <c r="F1320" t="str">
        <f t="shared" si="21"/>
        <v>06/28/2017</v>
      </c>
      <c r="G1320" t="str">
        <f>VLOOKUP(A1320,inf!$D$2:$E$76,2,FALSE)</f>
        <v>SBUX</v>
      </c>
    </row>
    <row r="1321" spans="1:7" x14ac:dyDescent="0.25">
      <c r="A1321" t="s">
        <v>5</v>
      </c>
      <c r="B1321" s="1">
        <v>42914</v>
      </c>
      <c r="C1321" t="s">
        <v>56</v>
      </c>
      <c r="D1321">
        <v>13709.52</v>
      </c>
      <c r="E1321" t="str">
        <f>VLOOKUP(C1321,inf!$A$2:$B$7,2,FALSE)</f>
        <v>Current</v>
      </c>
      <c r="F1321" t="str">
        <f t="shared" si="21"/>
        <v>06/28/2017</v>
      </c>
      <c r="G1321" t="str">
        <f>VLOOKUP(A1321,inf!$D$2:$E$76,2,FALSE)</f>
        <v>SBUX</v>
      </c>
    </row>
    <row r="1322" spans="1:7" x14ac:dyDescent="0.25">
      <c r="A1322" t="s">
        <v>5</v>
      </c>
      <c r="B1322" s="1">
        <v>42914</v>
      </c>
      <c r="C1322" t="s">
        <v>58</v>
      </c>
      <c r="D1322">
        <v>1849.02</v>
      </c>
      <c r="E1322" t="str">
        <f>VLOOKUP(C1322,inf!$A$2:$B$7,2,FALSE)</f>
        <v>61 to 90</v>
      </c>
      <c r="F1322" t="str">
        <f t="shared" si="21"/>
        <v>06/28/2017</v>
      </c>
      <c r="G1322" t="str">
        <f>VLOOKUP(A1322,inf!$D$2:$E$76,2,FALSE)</f>
        <v>SBUX</v>
      </c>
    </row>
    <row r="1323" spans="1:7" x14ac:dyDescent="0.25">
      <c r="A1323" t="s">
        <v>5</v>
      </c>
      <c r="B1323" s="1">
        <v>42914</v>
      </c>
      <c r="C1323" t="s">
        <v>59</v>
      </c>
      <c r="D1323">
        <v>695.03</v>
      </c>
      <c r="E1323" t="str">
        <f>VLOOKUP(C1323,inf!$A$2:$B$7,2,FALSE)</f>
        <v>Over 90</v>
      </c>
      <c r="F1323" t="str">
        <f t="shared" si="21"/>
        <v>06/28/2017</v>
      </c>
      <c r="G1323" t="str">
        <f>VLOOKUP(A1323,inf!$D$2:$E$76,2,FALSE)</f>
        <v>SBUX</v>
      </c>
    </row>
    <row r="1324" spans="1:7" x14ac:dyDescent="0.25">
      <c r="A1324" t="s">
        <v>6</v>
      </c>
      <c r="B1324" s="1">
        <v>42914</v>
      </c>
      <c r="C1324" t="s">
        <v>55</v>
      </c>
      <c r="D1324">
        <v>424045.08999999898</v>
      </c>
      <c r="E1324" t="str">
        <f>VLOOKUP(C1324,inf!$A$2:$B$7,2,FALSE)</f>
        <v>Current</v>
      </c>
      <c r="F1324" t="str">
        <f t="shared" si="21"/>
        <v>06/28/2017</v>
      </c>
      <c r="G1324" t="str">
        <f>VLOOKUP(A1324,inf!$D$2:$E$76,2,FALSE)</f>
        <v>SBUX</v>
      </c>
    </row>
    <row r="1325" spans="1:7" x14ac:dyDescent="0.25">
      <c r="A1325" t="s">
        <v>6</v>
      </c>
      <c r="B1325" s="1">
        <v>42914</v>
      </c>
      <c r="C1325" t="s">
        <v>56</v>
      </c>
      <c r="D1325">
        <v>4489.0899999999992</v>
      </c>
      <c r="E1325" t="str">
        <f>VLOOKUP(C1325,inf!$A$2:$B$7,2,FALSE)</f>
        <v>Current</v>
      </c>
      <c r="F1325" t="str">
        <f t="shared" si="21"/>
        <v>06/28/2017</v>
      </c>
      <c r="G1325" t="str">
        <f>VLOOKUP(A1325,inf!$D$2:$E$76,2,FALSE)</f>
        <v>SBUX</v>
      </c>
    </row>
    <row r="1326" spans="1:7" x14ac:dyDescent="0.25">
      <c r="A1326" t="s">
        <v>6</v>
      </c>
      <c r="B1326" s="1">
        <v>42914</v>
      </c>
      <c r="C1326" t="s">
        <v>60</v>
      </c>
      <c r="D1326">
        <v>4112.2</v>
      </c>
      <c r="E1326" t="str">
        <f>VLOOKUP(C1326,inf!$A$2:$B$7,2,FALSE)</f>
        <v>Over 90</v>
      </c>
      <c r="F1326" t="str">
        <f t="shared" si="21"/>
        <v>06/28/2017</v>
      </c>
      <c r="G1326" t="str">
        <f>VLOOKUP(A1326,inf!$D$2:$E$76,2,FALSE)</f>
        <v>SBUX</v>
      </c>
    </row>
    <row r="1327" spans="1:7" x14ac:dyDescent="0.25">
      <c r="A1327" t="s">
        <v>6</v>
      </c>
      <c r="B1327" s="1">
        <v>42914</v>
      </c>
      <c r="C1327" t="s">
        <v>59</v>
      </c>
      <c r="D1327">
        <v>4100.7300000000005</v>
      </c>
      <c r="E1327" t="str">
        <f>VLOOKUP(C1327,inf!$A$2:$B$7,2,FALSE)</f>
        <v>Over 90</v>
      </c>
      <c r="F1327" t="str">
        <f t="shared" si="21"/>
        <v>06/28/2017</v>
      </c>
      <c r="G1327" t="str">
        <f>VLOOKUP(A1327,inf!$D$2:$E$76,2,FALSE)</f>
        <v>SBUX</v>
      </c>
    </row>
    <row r="1328" spans="1:7" x14ac:dyDescent="0.25">
      <c r="A1328" t="s">
        <v>6</v>
      </c>
      <c r="B1328" s="1">
        <v>42914</v>
      </c>
      <c r="C1328" t="s">
        <v>58</v>
      </c>
      <c r="D1328">
        <v>1265.54</v>
      </c>
      <c r="E1328" t="str">
        <f>VLOOKUP(C1328,inf!$A$2:$B$7,2,FALSE)</f>
        <v>61 to 90</v>
      </c>
      <c r="F1328" t="str">
        <f t="shared" si="21"/>
        <v>06/28/2017</v>
      </c>
      <c r="G1328" t="str">
        <f>VLOOKUP(A1328,inf!$D$2:$E$76,2,FALSE)</f>
        <v>SBUX</v>
      </c>
    </row>
    <row r="1329" spans="1:7" x14ac:dyDescent="0.25">
      <c r="A1329" t="s">
        <v>6</v>
      </c>
      <c r="B1329" s="1">
        <v>42914</v>
      </c>
      <c r="C1329" t="s">
        <v>57</v>
      </c>
      <c r="D1329">
        <v>396.32</v>
      </c>
      <c r="E1329" t="str">
        <f>VLOOKUP(C1329,inf!$A$2:$B$7,2,FALSE)</f>
        <v>31 to 60</v>
      </c>
      <c r="F1329" t="str">
        <f t="shared" si="21"/>
        <v>06/28/2017</v>
      </c>
      <c r="G1329" t="str">
        <f>VLOOKUP(A1329,inf!$D$2:$E$76,2,FALSE)</f>
        <v>SBUX</v>
      </c>
    </row>
    <row r="1330" spans="1:7" x14ac:dyDescent="0.25">
      <c r="A1330" t="s">
        <v>49</v>
      </c>
      <c r="B1330" s="1">
        <v>42914</v>
      </c>
      <c r="C1330" t="s">
        <v>55</v>
      </c>
      <c r="D1330">
        <v>150.36000000000001</v>
      </c>
      <c r="E1330" t="str">
        <f>VLOOKUP(C1330,inf!$A$2:$B$7,2,FALSE)</f>
        <v>Current</v>
      </c>
      <c r="F1330" t="str">
        <f t="shared" si="21"/>
        <v>06/28/2017</v>
      </c>
      <c r="G1330" t="str">
        <f>VLOOKUP(A1330,inf!$D$2:$E$76,2,FALSE)</f>
        <v>Other</v>
      </c>
    </row>
    <row r="1331" spans="1:7" x14ac:dyDescent="0.25">
      <c r="A1331" t="s">
        <v>51</v>
      </c>
      <c r="B1331" s="1">
        <v>42914</v>
      </c>
      <c r="C1331" t="s">
        <v>57</v>
      </c>
      <c r="D1331">
        <v>235.2</v>
      </c>
      <c r="E1331" t="str">
        <f>VLOOKUP(C1331,inf!$A$2:$B$7,2,FALSE)</f>
        <v>31 to 60</v>
      </c>
      <c r="F1331" t="str">
        <f t="shared" si="21"/>
        <v>06/28/2017</v>
      </c>
      <c r="G1331" t="str">
        <f>VLOOKUP(A1331,inf!$D$2:$E$76,2,FALSE)</f>
        <v>Other</v>
      </c>
    </row>
    <row r="1332" spans="1:7" x14ac:dyDescent="0.25">
      <c r="A1332" t="s">
        <v>48</v>
      </c>
      <c r="B1332" s="1">
        <v>42914</v>
      </c>
      <c r="C1332" t="s">
        <v>55</v>
      </c>
      <c r="D1332">
        <v>51514.659999999982</v>
      </c>
      <c r="E1332" t="str">
        <f>VLOOKUP(C1332,inf!$A$2:$B$7,2,FALSE)</f>
        <v>Current</v>
      </c>
      <c r="F1332" t="str">
        <f t="shared" si="21"/>
        <v>06/28/2017</v>
      </c>
      <c r="G1332" t="str">
        <f>VLOOKUP(A1332,inf!$D$2:$E$76,2,FALSE)</f>
        <v>Target</v>
      </c>
    </row>
    <row r="1333" spans="1:7" x14ac:dyDescent="0.25">
      <c r="A1333" t="s">
        <v>8</v>
      </c>
      <c r="B1333" s="1">
        <v>42914</v>
      </c>
      <c r="C1333" t="s">
        <v>55</v>
      </c>
      <c r="D1333">
        <v>254723.08000000025</v>
      </c>
      <c r="E1333" t="str">
        <f>VLOOKUP(C1333,inf!$A$2:$B$7,2,FALSE)</f>
        <v>Current</v>
      </c>
      <c r="F1333" t="str">
        <f t="shared" si="21"/>
        <v>06/28/2017</v>
      </c>
      <c r="G1333" t="str">
        <f>VLOOKUP(A1333,inf!$D$2:$E$76,2,FALSE)</f>
        <v>Target</v>
      </c>
    </row>
    <row r="1334" spans="1:7" x14ac:dyDescent="0.25">
      <c r="A1334" t="s">
        <v>8</v>
      </c>
      <c r="B1334" s="1">
        <v>42914</v>
      </c>
      <c r="C1334" t="s">
        <v>60</v>
      </c>
      <c r="D1334">
        <v>18273.039999999997</v>
      </c>
      <c r="E1334" t="str">
        <f>VLOOKUP(C1334,inf!$A$2:$B$7,2,FALSE)</f>
        <v>Over 90</v>
      </c>
      <c r="F1334" t="str">
        <f t="shared" si="21"/>
        <v>06/28/2017</v>
      </c>
      <c r="G1334" t="str">
        <f>VLOOKUP(A1334,inf!$D$2:$E$76,2,FALSE)</f>
        <v>Target</v>
      </c>
    </row>
    <row r="1335" spans="1:7" x14ac:dyDescent="0.25">
      <c r="A1335" t="s">
        <v>8</v>
      </c>
      <c r="B1335" s="1">
        <v>42914</v>
      </c>
      <c r="C1335" t="s">
        <v>59</v>
      </c>
      <c r="D1335">
        <v>2493.0299999999997</v>
      </c>
      <c r="E1335" t="str">
        <f>VLOOKUP(C1335,inf!$A$2:$B$7,2,FALSE)</f>
        <v>Over 90</v>
      </c>
      <c r="F1335" t="str">
        <f t="shared" si="21"/>
        <v>06/28/2017</v>
      </c>
      <c r="G1335" t="str">
        <f>VLOOKUP(A1335,inf!$D$2:$E$76,2,FALSE)</f>
        <v>Target</v>
      </c>
    </row>
    <row r="1336" spans="1:7" x14ac:dyDescent="0.25">
      <c r="A1336" t="s">
        <v>8</v>
      </c>
      <c r="B1336" s="1">
        <v>42914</v>
      </c>
      <c r="C1336" t="s">
        <v>56</v>
      </c>
      <c r="D1336">
        <v>1864.27</v>
      </c>
      <c r="E1336" t="str">
        <f>VLOOKUP(C1336,inf!$A$2:$B$7,2,FALSE)</f>
        <v>Current</v>
      </c>
      <c r="F1336" t="str">
        <f t="shared" si="21"/>
        <v>06/28/2017</v>
      </c>
      <c r="G1336" t="str">
        <f>VLOOKUP(A1336,inf!$D$2:$E$76,2,FALSE)</f>
        <v>Target</v>
      </c>
    </row>
    <row r="1337" spans="1:7" x14ac:dyDescent="0.25">
      <c r="A1337" t="s">
        <v>8</v>
      </c>
      <c r="B1337" s="1">
        <v>42914</v>
      </c>
      <c r="C1337" t="s">
        <v>57</v>
      </c>
      <c r="D1337">
        <v>569.82999999999993</v>
      </c>
      <c r="E1337" t="str">
        <f>VLOOKUP(C1337,inf!$A$2:$B$7,2,FALSE)</f>
        <v>31 to 60</v>
      </c>
      <c r="F1337" t="str">
        <f t="shared" si="21"/>
        <v>06/28/2017</v>
      </c>
      <c r="G1337" t="str">
        <f>VLOOKUP(A1337,inf!$D$2:$E$76,2,FALSE)</f>
        <v>Target</v>
      </c>
    </row>
    <row r="1338" spans="1:7" x14ac:dyDescent="0.25">
      <c r="A1338" t="s">
        <v>8</v>
      </c>
      <c r="B1338" s="1">
        <v>42914</v>
      </c>
      <c r="C1338" t="s">
        <v>58</v>
      </c>
      <c r="D1338">
        <v>243.01</v>
      </c>
      <c r="E1338" t="str">
        <f>VLOOKUP(C1338,inf!$A$2:$B$7,2,FALSE)</f>
        <v>61 to 90</v>
      </c>
      <c r="F1338" t="str">
        <f t="shared" si="21"/>
        <v>06/28/2017</v>
      </c>
      <c r="G1338" t="str">
        <f>VLOOKUP(A1338,inf!$D$2:$E$76,2,FALSE)</f>
        <v>Target</v>
      </c>
    </row>
    <row r="1339" spans="1:7" x14ac:dyDescent="0.25">
      <c r="A1339" t="s">
        <v>54</v>
      </c>
      <c r="B1339" s="1">
        <v>42914</v>
      </c>
      <c r="C1339" t="s">
        <v>55</v>
      </c>
      <c r="D1339">
        <v>1312.38</v>
      </c>
      <c r="E1339" t="str">
        <f>VLOOKUP(C1339,inf!$A$2:$B$7,2,FALSE)</f>
        <v>Current</v>
      </c>
      <c r="F1339" t="str">
        <f t="shared" si="21"/>
        <v>06/28/2017</v>
      </c>
      <c r="G1339" t="str">
        <f>VLOOKUP(A1339,inf!$D$2:$E$76,2,FALSE)</f>
        <v>Other</v>
      </c>
    </row>
    <row r="1340" spans="1:7" x14ac:dyDescent="0.25">
      <c r="A1340" t="s">
        <v>54</v>
      </c>
      <c r="B1340" s="1">
        <v>42914</v>
      </c>
      <c r="C1340" t="s">
        <v>56</v>
      </c>
      <c r="D1340">
        <v>114.85</v>
      </c>
      <c r="E1340" t="str">
        <f>VLOOKUP(C1340,inf!$A$2:$B$7,2,FALSE)</f>
        <v>Current</v>
      </c>
      <c r="F1340" t="str">
        <f t="shared" si="21"/>
        <v>06/28/2017</v>
      </c>
      <c r="G1340" t="str">
        <f>VLOOKUP(A1340,inf!$D$2:$E$76,2,FALSE)</f>
        <v>Other</v>
      </c>
    </row>
    <row r="1341" spans="1:7" x14ac:dyDescent="0.25">
      <c r="A1341" t="s">
        <v>15</v>
      </c>
      <c r="B1341" s="1">
        <v>42914</v>
      </c>
      <c r="C1341" t="s">
        <v>55</v>
      </c>
      <c r="D1341">
        <v>318.83</v>
      </c>
      <c r="E1341" t="str">
        <f>VLOOKUP(C1341,inf!$A$2:$B$7,2,FALSE)</f>
        <v>Current</v>
      </c>
      <c r="F1341" t="str">
        <f t="shared" si="21"/>
        <v>06/28/2017</v>
      </c>
      <c r="G1341" t="str">
        <f>VLOOKUP(A1341,inf!$D$2:$E$76,2,FALSE)</f>
        <v>Other</v>
      </c>
    </row>
    <row r="1342" spans="1:7" x14ac:dyDescent="0.25">
      <c r="A1342" t="s">
        <v>15</v>
      </c>
      <c r="B1342" s="1">
        <v>42914</v>
      </c>
      <c r="C1342" t="s">
        <v>60</v>
      </c>
      <c r="D1342">
        <v>126.05</v>
      </c>
      <c r="E1342" t="str">
        <f>VLOOKUP(C1342,inf!$A$2:$B$7,2,FALSE)</f>
        <v>Over 90</v>
      </c>
      <c r="F1342" t="str">
        <f t="shared" si="21"/>
        <v>06/28/2017</v>
      </c>
      <c r="G1342" t="str">
        <f>VLOOKUP(A1342,inf!$D$2:$E$76,2,FALSE)</f>
        <v>Other</v>
      </c>
    </row>
    <row r="1343" spans="1:7" x14ac:dyDescent="0.25">
      <c r="A1343" t="s">
        <v>4</v>
      </c>
      <c r="B1343" s="1">
        <v>42921</v>
      </c>
      <c r="C1343" t="s">
        <v>55</v>
      </c>
      <c r="D1343">
        <v>2083.4300000000003</v>
      </c>
      <c r="E1343" t="str">
        <f>VLOOKUP(C1343,inf!$A$2:$B$7,2,FALSE)</f>
        <v>Current</v>
      </c>
      <c r="F1343" t="str">
        <f t="shared" si="21"/>
        <v>07/05/2017</v>
      </c>
      <c r="G1343" t="str">
        <f>VLOOKUP(A1343,inf!$D$2:$E$76,2,FALSE)</f>
        <v>Other</v>
      </c>
    </row>
    <row r="1344" spans="1:7" x14ac:dyDescent="0.25">
      <c r="A1344" t="s">
        <v>4</v>
      </c>
      <c r="B1344" s="1">
        <v>42921</v>
      </c>
      <c r="C1344" t="s">
        <v>56</v>
      </c>
      <c r="D1344">
        <v>789.3</v>
      </c>
      <c r="E1344" t="str">
        <f>VLOOKUP(C1344,inf!$A$2:$B$7,2,FALSE)</f>
        <v>Current</v>
      </c>
      <c r="F1344" t="str">
        <f t="shared" si="21"/>
        <v>07/05/2017</v>
      </c>
      <c r="G1344" t="str">
        <f>VLOOKUP(A1344,inf!$D$2:$E$76,2,FALSE)</f>
        <v>Other</v>
      </c>
    </row>
    <row r="1345" spans="1:7" x14ac:dyDescent="0.25">
      <c r="A1345" t="s">
        <v>26</v>
      </c>
      <c r="B1345" s="1">
        <v>42921</v>
      </c>
      <c r="C1345" t="s">
        <v>60</v>
      </c>
      <c r="D1345">
        <v>1380.77</v>
      </c>
      <c r="E1345" t="str">
        <f>VLOOKUP(C1345,inf!$A$2:$B$7,2,FALSE)</f>
        <v>Over 90</v>
      </c>
      <c r="F1345" t="str">
        <f t="shared" si="21"/>
        <v>07/05/2017</v>
      </c>
      <c r="G1345" t="str">
        <f>VLOOKUP(A1345,inf!$D$2:$E$76,2,FALSE)</f>
        <v>Other</v>
      </c>
    </row>
    <row r="1346" spans="1:7" x14ac:dyDescent="0.25">
      <c r="A1346" t="s">
        <v>2</v>
      </c>
      <c r="B1346" s="1">
        <v>42921</v>
      </c>
      <c r="C1346" t="s">
        <v>60</v>
      </c>
      <c r="D1346">
        <v>3717.8600000000006</v>
      </c>
      <c r="E1346" t="str">
        <f>VLOOKUP(C1346,inf!$A$2:$B$7,2,FALSE)</f>
        <v>Over 90</v>
      </c>
      <c r="F1346" t="str">
        <f t="shared" si="21"/>
        <v>07/05/2017</v>
      </c>
      <c r="G1346" t="str">
        <f>VLOOKUP(A1346,inf!$D$2:$E$76,2,FALSE)</f>
        <v>Other</v>
      </c>
    </row>
    <row r="1347" spans="1:7" x14ac:dyDescent="0.25">
      <c r="A1347" t="s">
        <v>32</v>
      </c>
      <c r="B1347" s="1">
        <v>42921</v>
      </c>
      <c r="C1347" t="s">
        <v>55</v>
      </c>
      <c r="D1347">
        <v>424.53000000000003</v>
      </c>
      <c r="E1347" t="str">
        <f>VLOOKUP(C1347,inf!$A$2:$B$7,2,FALSE)</f>
        <v>Current</v>
      </c>
      <c r="F1347" t="str">
        <f t="shared" ref="F1347:F1410" si="22">TEXT(B1347,"MM/DD/YYYY")</f>
        <v>07/05/2017</v>
      </c>
      <c r="G1347" t="str">
        <f>VLOOKUP(A1347,inf!$D$2:$E$76,2,FALSE)</f>
        <v>Other</v>
      </c>
    </row>
    <row r="1348" spans="1:7" x14ac:dyDescent="0.25">
      <c r="A1348" t="s">
        <v>52</v>
      </c>
      <c r="B1348" s="1">
        <v>42921</v>
      </c>
      <c r="C1348" t="s">
        <v>55</v>
      </c>
      <c r="D1348">
        <v>369.13</v>
      </c>
      <c r="E1348" t="str">
        <f>VLOOKUP(C1348,inf!$A$2:$B$7,2,FALSE)</f>
        <v>Current</v>
      </c>
      <c r="F1348" t="str">
        <f t="shared" si="22"/>
        <v>07/05/2017</v>
      </c>
      <c r="G1348" t="str">
        <f>VLOOKUP(A1348,inf!$D$2:$E$76,2,FALSE)</f>
        <v>Other</v>
      </c>
    </row>
    <row r="1349" spans="1:7" x14ac:dyDescent="0.25">
      <c r="A1349" t="s">
        <v>47</v>
      </c>
      <c r="B1349" s="1">
        <v>42921</v>
      </c>
      <c r="C1349" t="s">
        <v>55</v>
      </c>
      <c r="D1349">
        <v>467.14</v>
      </c>
      <c r="E1349" t="str">
        <f>VLOOKUP(C1349,inf!$A$2:$B$7,2,FALSE)</f>
        <v>Current</v>
      </c>
      <c r="F1349" t="str">
        <f t="shared" si="22"/>
        <v>07/05/2017</v>
      </c>
      <c r="G1349" t="str">
        <f>VLOOKUP(A1349,inf!$D$2:$E$76,2,FALSE)</f>
        <v>Other</v>
      </c>
    </row>
    <row r="1350" spans="1:7" x14ac:dyDescent="0.25">
      <c r="A1350" t="s">
        <v>19</v>
      </c>
      <c r="B1350" s="1">
        <v>42921</v>
      </c>
      <c r="C1350" t="s">
        <v>58</v>
      </c>
      <c r="D1350">
        <v>565.36</v>
      </c>
      <c r="E1350" t="str">
        <f>VLOOKUP(C1350,inf!$A$2:$B$7,2,FALSE)</f>
        <v>61 to 90</v>
      </c>
      <c r="F1350" t="str">
        <f t="shared" si="22"/>
        <v>07/05/2017</v>
      </c>
      <c r="G1350" t="str">
        <f>VLOOKUP(A1350,inf!$D$2:$E$76,2,FALSE)</f>
        <v>Other</v>
      </c>
    </row>
    <row r="1351" spans="1:7" x14ac:dyDescent="0.25">
      <c r="A1351" t="s">
        <v>19</v>
      </c>
      <c r="B1351" s="1">
        <v>42921</v>
      </c>
      <c r="C1351" t="s">
        <v>55</v>
      </c>
      <c r="D1351">
        <v>258.41000000000003</v>
      </c>
      <c r="E1351" t="str">
        <f>VLOOKUP(C1351,inf!$A$2:$B$7,2,FALSE)</f>
        <v>Current</v>
      </c>
      <c r="F1351" t="str">
        <f t="shared" si="22"/>
        <v>07/05/2017</v>
      </c>
      <c r="G1351" t="str">
        <f>VLOOKUP(A1351,inf!$D$2:$E$76,2,FALSE)</f>
        <v>Other</v>
      </c>
    </row>
    <row r="1352" spans="1:7" x14ac:dyDescent="0.25">
      <c r="A1352" t="s">
        <v>25</v>
      </c>
      <c r="B1352" s="1">
        <v>42921</v>
      </c>
      <c r="C1352" t="s">
        <v>55</v>
      </c>
      <c r="D1352">
        <v>587.97</v>
      </c>
      <c r="E1352" t="str">
        <f>VLOOKUP(C1352,inf!$A$2:$B$7,2,FALSE)</f>
        <v>Current</v>
      </c>
      <c r="F1352" t="str">
        <f t="shared" si="22"/>
        <v>07/05/2017</v>
      </c>
      <c r="G1352" t="str">
        <f>VLOOKUP(A1352,inf!$D$2:$E$76,2,FALSE)</f>
        <v>Other</v>
      </c>
    </row>
    <row r="1353" spans="1:7" x14ac:dyDescent="0.25">
      <c r="A1353" t="s">
        <v>31</v>
      </c>
      <c r="B1353" s="1">
        <v>42921</v>
      </c>
      <c r="C1353" t="s">
        <v>57</v>
      </c>
      <c r="D1353">
        <v>1281.74</v>
      </c>
      <c r="E1353" t="str">
        <f>VLOOKUP(C1353,inf!$A$2:$B$7,2,FALSE)</f>
        <v>31 to 60</v>
      </c>
      <c r="F1353" t="str">
        <f t="shared" si="22"/>
        <v>07/05/2017</v>
      </c>
      <c r="G1353" t="str">
        <f>VLOOKUP(A1353,inf!$D$2:$E$76,2,FALSE)</f>
        <v>Other</v>
      </c>
    </row>
    <row r="1354" spans="1:7" x14ac:dyDescent="0.25">
      <c r="A1354" t="s">
        <v>31</v>
      </c>
      <c r="B1354" s="1">
        <v>42921</v>
      </c>
      <c r="C1354" t="s">
        <v>58</v>
      </c>
      <c r="D1354">
        <v>1166.78</v>
      </c>
      <c r="E1354" t="str">
        <f>VLOOKUP(C1354,inf!$A$2:$B$7,2,FALSE)</f>
        <v>61 to 90</v>
      </c>
      <c r="F1354" t="str">
        <f t="shared" si="22"/>
        <v>07/05/2017</v>
      </c>
      <c r="G1354" t="str">
        <f>VLOOKUP(A1354,inf!$D$2:$E$76,2,FALSE)</f>
        <v>Other</v>
      </c>
    </row>
    <row r="1355" spans="1:7" x14ac:dyDescent="0.25">
      <c r="A1355" t="s">
        <v>31</v>
      </c>
      <c r="B1355" s="1">
        <v>42921</v>
      </c>
      <c r="C1355" t="s">
        <v>55</v>
      </c>
      <c r="D1355">
        <v>294.39</v>
      </c>
      <c r="E1355" t="str">
        <f>VLOOKUP(C1355,inf!$A$2:$B$7,2,FALSE)</f>
        <v>Current</v>
      </c>
      <c r="F1355" t="str">
        <f t="shared" si="22"/>
        <v>07/05/2017</v>
      </c>
      <c r="G1355" t="str">
        <f>VLOOKUP(A1355,inf!$D$2:$E$76,2,FALSE)</f>
        <v>Other</v>
      </c>
    </row>
    <row r="1356" spans="1:7" x14ac:dyDescent="0.25">
      <c r="A1356" t="s">
        <v>24</v>
      </c>
      <c r="B1356" s="1">
        <v>42921</v>
      </c>
      <c r="C1356" t="s">
        <v>57</v>
      </c>
      <c r="D1356">
        <v>308.7</v>
      </c>
      <c r="E1356" t="str">
        <f>VLOOKUP(C1356,inf!$A$2:$B$7,2,FALSE)</f>
        <v>31 to 60</v>
      </c>
      <c r="F1356" t="str">
        <f t="shared" si="22"/>
        <v>07/05/2017</v>
      </c>
      <c r="G1356" t="str">
        <f>VLOOKUP(A1356,inf!$D$2:$E$76,2,FALSE)</f>
        <v>Other</v>
      </c>
    </row>
    <row r="1357" spans="1:7" x14ac:dyDescent="0.25">
      <c r="A1357" t="s">
        <v>24</v>
      </c>
      <c r="B1357" s="1">
        <v>42921</v>
      </c>
      <c r="C1357" t="s">
        <v>55</v>
      </c>
      <c r="D1357">
        <v>117.52</v>
      </c>
      <c r="E1357" t="str">
        <f>VLOOKUP(C1357,inf!$A$2:$B$7,2,FALSE)</f>
        <v>Current</v>
      </c>
      <c r="F1357" t="str">
        <f t="shared" si="22"/>
        <v>07/05/2017</v>
      </c>
      <c r="G1357" t="str">
        <f>VLOOKUP(A1357,inf!$D$2:$E$76,2,FALSE)</f>
        <v>Other</v>
      </c>
    </row>
    <row r="1358" spans="1:7" x14ac:dyDescent="0.25">
      <c r="A1358" t="s">
        <v>18</v>
      </c>
      <c r="B1358" s="1">
        <v>42921</v>
      </c>
      <c r="C1358" t="s">
        <v>55</v>
      </c>
      <c r="D1358">
        <v>1320.39</v>
      </c>
      <c r="E1358" t="str">
        <f>VLOOKUP(C1358,inf!$A$2:$B$7,2,FALSE)</f>
        <v>Current</v>
      </c>
      <c r="F1358" t="str">
        <f t="shared" si="22"/>
        <v>07/05/2017</v>
      </c>
      <c r="G1358" t="str">
        <f>VLOOKUP(A1358,inf!$D$2:$E$76,2,FALSE)</f>
        <v>Other</v>
      </c>
    </row>
    <row r="1359" spans="1:7" x14ac:dyDescent="0.25">
      <c r="A1359" t="s">
        <v>21</v>
      </c>
      <c r="B1359" s="1">
        <v>42921</v>
      </c>
      <c r="C1359" t="s">
        <v>58</v>
      </c>
      <c r="D1359">
        <v>2728.4900000000002</v>
      </c>
      <c r="E1359" t="str">
        <f>VLOOKUP(C1359,inf!$A$2:$B$7,2,FALSE)</f>
        <v>61 to 90</v>
      </c>
      <c r="F1359" t="str">
        <f t="shared" si="22"/>
        <v>07/05/2017</v>
      </c>
      <c r="G1359" t="str">
        <f>VLOOKUP(A1359,inf!$D$2:$E$76,2,FALSE)</f>
        <v>Other</v>
      </c>
    </row>
    <row r="1360" spans="1:7" x14ac:dyDescent="0.25">
      <c r="A1360" t="s">
        <v>21</v>
      </c>
      <c r="B1360" s="1">
        <v>42921</v>
      </c>
      <c r="C1360" t="s">
        <v>57</v>
      </c>
      <c r="D1360">
        <v>666.87</v>
      </c>
      <c r="E1360" t="str">
        <f>VLOOKUP(C1360,inf!$A$2:$B$7,2,FALSE)</f>
        <v>31 to 60</v>
      </c>
      <c r="F1360" t="str">
        <f t="shared" si="22"/>
        <v>07/05/2017</v>
      </c>
      <c r="G1360" t="str">
        <f>VLOOKUP(A1360,inf!$D$2:$E$76,2,FALSE)</f>
        <v>Other</v>
      </c>
    </row>
    <row r="1361" spans="1:7" x14ac:dyDescent="0.25">
      <c r="A1361" t="s">
        <v>21</v>
      </c>
      <c r="B1361" s="1">
        <v>42921</v>
      </c>
      <c r="C1361" t="s">
        <v>55</v>
      </c>
      <c r="D1361">
        <v>425.96</v>
      </c>
      <c r="E1361" t="str">
        <f>VLOOKUP(C1361,inf!$A$2:$B$7,2,FALSE)</f>
        <v>Current</v>
      </c>
      <c r="F1361" t="str">
        <f t="shared" si="22"/>
        <v>07/05/2017</v>
      </c>
      <c r="G1361" t="str">
        <f>VLOOKUP(A1361,inf!$D$2:$E$76,2,FALSE)</f>
        <v>Other</v>
      </c>
    </row>
    <row r="1362" spans="1:7" x14ac:dyDescent="0.25">
      <c r="A1362" t="s">
        <v>53</v>
      </c>
      <c r="B1362" s="1">
        <v>42921</v>
      </c>
      <c r="C1362" t="s">
        <v>55</v>
      </c>
      <c r="D1362">
        <v>479.54</v>
      </c>
      <c r="E1362" t="str">
        <f>VLOOKUP(C1362,inf!$A$2:$B$7,2,FALSE)</f>
        <v>Current</v>
      </c>
      <c r="F1362" t="str">
        <f t="shared" si="22"/>
        <v>07/05/2017</v>
      </c>
      <c r="G1362" t="str">
        <f>VLOOKUP(A1362,inf!$D$2:$E$76,2,FALSE)</f>
        <v>Other</v>
      </c>
    </row>
    <row r="1363" spans="1:7" x14ac:dyDescent="0.25">
      <c r="A1363" t="s">
        <v>3</v>
      </c>
      <c r="B1363" s="1">
        <v>42921</v>
      </c>
      <c r="C1363" t="s">
        <v>59</v>
      </c>
      <c r="D1363">
        <v>4896.4799999999987</v>
      </c>
      <c r="E1363" t="str">
        <f>VLOOKUP(C1363,inf!$A$2:$B$7,2,FALSE)</f>
        <v>Over 90</v>
      </c>
      <c r="F1363" t="str">
        <f t="shared" si="22"/>
        <v>07/05/2017</v>
      </c>
      <c r="G1363" t="str">
        <f>VLOOKUP(A1363,inf!$D$2:$E$76,2,FALSE)</f>
        <v>Other</v>
      </c>
    </row>
    <row r="1364" spans="1:7" x14ac:dyDescent="0.25">
      <c r="A1364" t="s">
        <v>3</v>
      </c>
      <c r="B1364" s="1">
        <v>42921</v>
      </c>
      <c r="C1364" t="s">
        <v>56</v>
      </c>
      <c r="D1364">
        <v>2124.5699999999997</v>
      </c>
      <c r="E1364" t="str">
        <f>VLOOKUP(C1364,inf!$A$2:$B$7,2,FALSE)</f>
        <v>Current</v>
      </c>
      <c r="F1364" t="str">
        <f t="shared" si="22"/>
        <v>07/05/2017</v>
      </c>
      <c r="G1364" t="str">
        <f>VLOOKUP(A1364,inf!$D$2:$E$76,2,FALSE)</f>
        <v>Other</v>
      </c>
    </row>
    <row r="1365" spans="1:7" x14ac:dyDescent="0.25">
      <c r="A1365" t="s">
        <v>3</v>
      </c>
      <c r="B1365" s="1">
        <v>42921</v>
      </c>
      <c r="C1365" t="s">
        <v>58</v>
      </c>
      <c r="D1365">
        <v>2119.52</v>
      </c>
      <c r="E1365" t="str">
        <f>VLOOKUP(C1365,inf!$A$2:$B$7,2,FALSE)</f>
        <v>61 to 90</v>
      </c>
      <c r="F1365" t="str">
        <f t="shared" si="22"/>
        <v>07/05/2017</v>
      </c>
      <c r="G1365" t="str">
        <f>VLOOKUP(A1365,inf!$D$2:$E$76,2,FALSE)</f>
        <v>Other</v>
      </c>
    </row>
    <row r="1366" spans="1:7" x14ac:dyDescent="0.25">
      <c r="A1366" t="s">
        <v>3</v>
      </c>
      <c r="B1366" s="1">
        <v>42921</v>
      </c>
      <c r="C1366" t="s">
        <v>55</v>
      </c>
      <c r="D1366">
        <v>1092.1600000000001</v>
      </c>
      <c r="E1366" t="str">
        <f>VLOOKUP(C1366,inf!$A$2:$B$7,2,FALSE)</f>
        <v>Current</v>
      </c>
      <c r="F1366" t="str">
        <f t="shared" si="22"/>
        <v>07/05/2017</v>
      </c>
      <c r="G1366" t="str">
        <f>VLOOKUP(A1366,inf!$D$2:$E$76,2,FALSE)</f>
        <v>Other</v>
      </c>
    </row>
    <row r="1367" spans="1:7" x14ac:dyDescent="0.25">
      <c r="A1367" t="s">
        <v>30</v>
      </c>
      <c r="B1367" s="1">
        <v>42921</v>
      </c>
      <c r="C1367" t="s">
        <v>55</v>
      </c>
      <c r="D1367">
        <v>1761.99</v>
      </c>
      <c r="E1367" t="str">
        <f>VLOOKUP(C1367,inf!$A$2:$B$7,2,FALSE)</f>
        <v>Current</v>
      </c>
      <c r="F1367" t="str">
        <f t="shared" si="22"/>
        <v>07/05/2017</v>
      </c>
      <c r="G1367" t="str">
        <f>VLOOKUP(A1367,inf!$D$2:$E$76,2,FALSE)</f>
        <v>Other</v>
      </c>
    </row>
    <row r="1368" spans="1:7" x14ac:dyDescent="0.25">
      <c r="A1368" t="s">
        <v>12</v>
      </c>
      <c r="B1368" s="1">
        <v>42921</v>
      </c>
      <c r="C1368" t="s">
        <v>56</v>
      </c>
      <c r="D1368">
        <v>1075.5500000000002</v>
      </c>
      <c r="E1368" t="str">
        <f>VLOOKUP(C1368,inf!$A$2:$B$7,2,FALSE)</f>
        <v>Current</v>
      </c>
      <c r="F1368" t="str">
        <f t="shared" si="22"/>
        <v>07/05/2017</v>
      </c>
      <c r="G1368" t="str">
        <f>VLOOKUP(A1368,inf!$D$2:$E$76,2,FALSE)</f>
        <v>Other</v>
      </c>
    </row>
    <row r="1369" spans="1:7" x14ac:dyDescent="0.25">
      <c r="A1369" t="s">
        <v>12</v>
      </c>
      <c r="B1369" s="1">
        <v>42921</v>
      </c>
      <c r="C1369" t="s">
        <v>55</v>
      </c>
      <c r="D1369">
        <v>229.94</v>
      </c>
      <c r="E1369" t="str">
        <f>VLOOKUP(C1369,inf!$A$2:$B$7,2,FALSE)</f>
        <v>Current</v>
      </c>
      <c r="F1369" t="str">
        <f t="shared" si="22"/>
        <v>07/05/2017</v>
      </c>
      <c r="G1369" t="str">
        <f>VLOOKUP(A1369,inf!$D$2:$E$76,2,FALSE)</f>
        <v>Other</v>
      </c>
    </row>
    <row r="1370" spans="1:7" x14ac:dyDescent="0.25">
      <c r="A1370" t="s">
        <v>50</v>
      </c>
      <c r="B1370" s="1">
        <v>42921</v>
      </c>
      <c r="C1370" t="s">
        <v>55</v>
      </c>
      <c r="D1370" s="5">
        <v>470.8</v>
      </c>
      <c r="E1370" t="str">
        <f>VLOOKUP(C1370,inf!$A$2:$B$7,2,FALSE)</f>
        <v>Current</v>
      </c>
      <c r="F1370" t="str">
        <f t="shared" si="22"/>
        <v>07/05/2017</v>
      </c>
      <c r="G1370" t="str">
        <f>VLOOKUP(A1370,inf!$D$2:$E$76,2,FALSE)</f>
        <v>Other</v>
      </c>
    </row>
    <row r="1371" spans="1:7" x14ac:dyDescent="0.25">
      <c r="A1371" t="s">
        <v>7</v>
      </c>
      <c r="B1371" s="1">
        <v>42921</v>
      </c>
      <c r="C1371" t="s">
        <v>55</v>
      </c>
      <c r="D1371" s="5">
        <v>92379.27</v>
      </c>
      <c r="E1371" t="str">
        <f>VLOOKUP(C1371,inf!$A$2:$B$7,2,FALSE)</f>
        <v>Current</v>
      </c>
      <c r="F1371" t="str">
        <f t="shared" si="22"/>
        <v>07/05/2017</v>
      </c>
      <c r="G1371" t="str">
        <f>VLOOKUP(A1371,inf!$D$2:$E$76,2,FALSE)</f>
        <v>SAFEWAY</v>
      </c>
    </row>
    <row r="1372" spans="1:7" x14ac:dyDescent="0.25">
      <c r="A1372" t="s">
        <v>7</v>
      </c>
      <c r="B1372" s="1">
        <v>42921</v>
      </c>
      <c r="C1372" t="s">
        <v>56</v>
      </c>
      <c r="D1372">
        <v>38659.89</v>
      </c>
      <c r="E1372" t="str">
        <f>VLOOKUP(C1372,inf!$A$2:$B$7,2,FALSE)</f>
        <v>Current</v>
      </c>
      <c r="F1372" t="str">
        <f t="shared" si="22"/>
        <v>07/05/2017</v>
      </c>
      <c r="G1372" t="str">
        <f>VLOOKUP(A1372,inf!$D$2:$E$76,2,FALSE)</f>
        <v>SAFEWAY</v>
      </c>
    </row>
    <row r="1373" spans="1:7" x14ac:dyDescent="0.25">
      <c r="A1373" t="s">
        <v>7</v>
      </c>
      <c r="B1373" s="1">
        <v>42921</v>
      </c>
      <c r="C1373" t="s">
        <v>58</v>
      </c>
      <c r="D1373">
        <v>344.56</v>
      </c>
      <c r="E1373" t="str">
        <f>VLOOKUP(C1373,inf!$A$2:$B$7,2,FALSE)</f>
        <v>61 to 90</v>
      </c>
      <c r="F1373" t="str">
        <f t="shared" si="22"/>
        <v>07/05/2017</v>
      </c>
      <c r="G1373" t="str">
        <f>VLOOKUP(A1373,inf!$D$2:$E$76,2,FALSE)</f>
        <v>SAFEWAY</v>
      </c>
    </row>
    <row r="1374" spans="1:7" x14ac:dyDescent="0.25">
      <c r="A1374" t="s">
        <v>7</v>
      </c>
      <c r="B1374" s="1">
        <v>42921</v>
      </c>
      <c r="C1374" t="s">
        <v>57</v>
      </c>
      <c r="D1374">
        <v>218.89</v>
      </c>
      <c r="E1374" t="str">
        <f>VLOOKUP(C1374,inf!$A$2:$B$7,2,FALSE)</f>
        <v>31 to 60</v>
      </c>
      <c r="F1374" t="str">
        <f t="shared" si="22"/>
        <v>07/05/2017</v>
      </c>
      <c r="G1374" t="str">
        <f>VLOOKUP(A1374,inf!$D$2:$E$76,2,FALSE)</f>
        <v>SAFEWAY</v>
      </c>
    </row>
    <row r="1375" spans="1:7" x14ac:dyDescent="0.25">
      <c r="A1375" t="s">
        <v>5</v>
      </c>
      <c r="B1375" s="1">
        <v>42921</v>
      </c>
      <c r="C1375" t="s">
        <v>55</v>
      </c>
      <c r="D1375">
        <v>4477450.6800000481</v>
      </c>
      <c r="E1375" t="str">
        <f>VLOOKUP(C1375,inf!$A$2:$B$7,2,FALSE)</f>
        <v>Current</v>
      </c>
      <c r="F1375" t="str">
        <f t="shared" si="22"/>
        <v>07/05/2017</v>
      </c>
      <c r="G1375" t="str">
        <f>VLOOKUP(A1375,inf!$D$2:$E$76,2,FALSE)</f>
        <v>SBUX</v>
      </c>
    </row>
    <row r="1376" spans="1:7" x14ac:dyDescent="0.25">
      <c r="A1376" t="s">
        <v>5</v>
      </c>
      <c r="B1376" s="1">
        <v>42921</v>
      </c>
      <c r="C1376" t="s">
        <v>60</v>
      </c>
      <c r="D1376">
        <v>78962.260000000009</v>
      </c>
      <c r="E1376" t="str">
        <f>VLOOKUP(C1376,inf!$A$2:$B$7,2,FALSE)</f>
        <v>Over 90</v>
      </c>
      <c r="F1376" t="str">
        <f t="shared" si="22"/>
        <v>07/05/2017</v>
      </c>
      <c r="G1376" t="str">
        <f>VLOOKUP(A1376,inf!$D$2:$E$76,2,FALSE)</f>
        <v>SBUX</v>
      </c>
    </row>
    <row r="1377" spans="1:7" x14ac:dyDescent="0.25">
      <c r="A1377" t="s">
        <v>5</v>
      </c>
      <c r="B1377" s="1">
        <v>42921</v>
      </c>
      <c r="C1377" t="s">
        <v>56</v>
      </c>
      <c r="D1377">
        <v>33513.259999999995</v>
      </c>
      <c r="E1377" t="str">
        <f>VLOOKUP(C1377,inf!$A$2:$B$7,2,FALSE)</f>
        <v>Current</v>
      </c>
      <c r="F1377" t="str">
        <f t="shared" si="22"/>
        <v>07/05/2017</v>
      </c>
      <c r="G1377" t="str">
        <f>VLOOKUP(A1377,inf!$D$2:$E$76,2,FALSE)</f>
        <v>SBUX</v>
      </c>
    </row>
    <row r="1378" spans="1:7" x14ac:dyDescent="0.25">
      <c r="A1378" t="s">
        <v>5</v>
      </c>
      <c r="B1378" s="1">
        <v>42921</v>
      </c>
      <c r="C1378" t="s">
        <v>57</v>
      </c>
      <c r="D1378" s="5">
        <v>28603.200000000001</v>
      </c>
      <c r="E1378" t="str">
        <f>VLOOKUP(C1378,inf!$A$2:$B$7,2,FALSE)</f>
        <v>31 to 60</v>
      </c>
      <c r="F1378" t="str">
        <f t="shared" si="22"/>
        <v>07/05/2017</v>
      </c>
      <c r="G1378" t="str">
        <f>VLOOKUP(A1378,inf!$D$2:$E$76,2,FALSE)</f>
        <v>SBUX</v>
      </c>
    </row>
    <row r="1379" spans="1:7" x14ac:dyDescent="0.25">
      <c r="A1379" t="s">
        <v>5</v>
      </c>
      <c r="B1379" s="1">
        <v>42921</v>
      </c>
      <c r="C1379" t="s">
        <v>58</v>
      </c>
      <c r="D1379">
        <v>2904.9100000000003</v>
      </c>
      <c r="E1379" t="str">
        <f>VLOOKUP(C1379,inf!$A$2:$B$7,2,FALSE)</f>
        <v>61 to 90</v>
      </c>
      <c r="F1379" t="str">
        <f t="shared" si="22"/>
        <v>07/05/2017</v>
      </c>
      <c r="G1379" t="str">
        <f>VLOOKUP(A1379,inf!$D$2:$E$76,2,FALSE)</f>
        <v>SBUX</v>
      </c>
    </row>
    <row r="1380" spans="1:7" x14ac:dyDescent="0.25">
      <c r="A1380" t="s">
        <v>5</v>
      </c>
      <c r="B1380" s="1">
        <v>42921</v>
      </c>
      <c r="C1380" t="s">
        <v>59</v>
      </c>
      <c r="D1380">
        <v>921.41</v>
      </c>
      <c r="E1380" t="str">
        <f>VLOOKUP(C1380,inf!$A$2:$B$7,2,FALSE)</f>
        <v>Over 90</v>
      </c>
      <c r="F1380" t="str">
        <f t="shared" si="22"/>
        <v>07/05/2017</v>
      </c>
      <c r="G1380" t="str">
        <f>VLOOKUP(A1380,inf!$D$2:$E$76,2,FALSE)</f>
        <v>SBUX</v>
      </c>
    </row>
    <row r="1381" spans="1:7" x14ac:dyDescent="0.25">
      <c r="A1381" t="s">
        <v>6</v>
      </c>
      <c r="B1381" s="1">
        <v>42921</v>
      </c>
      <c r="C1381" t="s">
        <v>55</v>
      </c>
      <c r="D1381" s="5">
        <v>494822.12999999727</v>
      </c>
      <c r="E1381" t="str">
        <f>VLOOKUP(C1381,inf!$A$2:$B$7,2,FALSE)</f>
        <v>Current</v>
      </c>
      <c r="F1381" t="str">
        <f t="shared" si="22"/>
        <v>07/05/2017</v>
      </c>
      <c r="G1381" t="str">
        <f>VLOOKUP(A1381,inf!$D$2:$E$76,2,FALSE)</f>
        <v>SBUX</v>
      </c>
    </row>
    <row r="1382" spans="1:7" x14ac:dyDescent="0.25">
      <c r="A1382" t="s">
        <v>6</v>
      </c>
      <c r="B1382" s="1">
        <v>42921</v>
      </c>
      <c r="C1382" t="s">
        <v>56</v>
      </c>
      <c r="D1382">
        <v>11660.279999999997</v>
      </c>
      <c r="E1382" t="str">
        <f>VLOOKUP(C1382,inf!$A$2:$B$7,2,FALSE)</f>
        <v>Current</v>
      </c>
      <c r="F1382" t="str">
        <f t="shared" si="22"/>
        <v>07/05/2017</v>
      </c>
      <c r="G1382" t="str">
        <f>VLOOKUP(A1382,inf!$D$2:$E$76,2,FALSE)</f>
        <v>SBUX</v>
      </c>
    </row>
    <row r="1383" spans="1:7" x14ac:dyDescent="0.25">
      <c r="A1383" t="s">
        <v>6</v>
      </c>
      <c r="B1383" s="1">
        <v>42921</v>
      </c>
      <c r="C1383" t="s">
        <v>60</v>
      </c>
      <c r="D1383">
        <v>4547.53</v>
      </c>
      <c r="E1383" t="str">
        <f>VLOOKUP(C1383,inf!$A$2:$B$7,2,FALSE)</f>
        <v>Over 90</v>
      </c>
      <c r="F1383" t="str">
        <f t="shared" si="22"/>
        <v>07/05/2017</v>
      </c>
      <c r="G1383" t="str">
        <f>VLOOKUP(A1383,inf!$D$2:$E$76,2,FALSE)</f>
        <v>SBUX</v>
      </c>
    </row>
    <row r="1384" spans="1:7" x14ac:dyDescent="0.25">
      <c r="A1384" t="s">
        <v>6</v>
      </c>
      <c r="B1384" s="1">
        <v>42921</v>
      </c>
      <c r="C1384" t="s">
        <v>59</v>
      </c>
      <c r="D1384">
        <v>3962.0299999999997</v>
      </c>
      <c r="E1384" t="str">
        <f>VLOOKUP(C1384,inf!$A$2:$B$7,2,FALSE)</f>
        <v>Over 90</v>
      </c>
      <c r="F1384" t="str">
        <f t="shared" si="22"/>
        <v>07/05/2017</v>
      </c>
      <c r="G1384" t="str">
        <f>VLOOKUP(A1384,inf!$D$2:$E$76,2,FALSE)</f>
        <v>SBUX</v>
      </c>
    </row>
    <row r="1385" spans="1:7" x14ac:dyDescent="0.25">
      <c r="A1385" t="s">
        <v>6</v>
      </c>
      <c r="B1385" s="1">
        <v>42921</v>
      </c>
      <c r="C1385" t="s">
        <v>58</v>
      </c>
      <c r="D1385">
        <v>1070.6100000000001</v>
      </c>
      <c r="E1385" t="str">
        <f>VLOOKUP(C1385,inf!$A$2:$B$7,2,FALSE)</f>
        <v>61 to 90</v>
      </c>
      <c r="F1385" t="str">
        <f t="shared" si="22"/>
        <v>07/05/2017</v>
      </c>
      <c r="G1385" t="str">
        <f>VLOOKUP(A1385,inf!$D$2:$E$76,2,FALSE)</f>
        <v>SBUX</v>
      </c>
    </row>
    <row r="1386" spans="1:7" x14ac:dyDescent="0.25">
      <c r="A1386" t="s">
        <v>6</v>
      </c>
      <c r="B1386" s="1">
        <v>42921</v>
      </c>
      <c r="C1386" t="s">
        <v>57</v>
      </c>
      <c r="D1386">
        <v>294.62</v>
      </c>
      <c r="E1386" t="str">
        <f>VLOOKUP(C1386,inf!$A$2:$B$7,2,FALSE)</f>
        <v>31 to 60</v>
      </c>
      <c r="F1386" t="str">
        <f t="shared" si="22"/>
        <v>07/05/2017</v>
      </c>
      <c r="G1386" t="str">
        <f>VLOOKUP(A1386,inf!$D$2:$E$76,2,FALSE)</f>
        <v>SBUX</v>
      </c>
    </row>
    <row r="1387" spans="1:7" x14ac:dyDescent="0.25">
      <c r="A1387" t="s">
        <v>49</v>
      </c>
      <c r="B1387" s="1">
        <v>42921</v>
      </c>
      <c r="C1387" t="s">
        <v>55</v>
      </c>
      <c r="D1387">
        <v>150.36000000000001</v>
      </c>
      <c r="E1387" t="str">
        <f>VLOOKUP(C1387,inf!$A$2:$B$7,2,FALSE)</f>
        <v>Current</v>
      </c>
      <c r="F1387" t="str">
        <f t="shared" si="22"/>
        <v>07/05/2017</v>
      </c>
      <c r="G1387" t="str">
        <f>VLOOKUP(A1387,inf!$D$2:$E$76,2,FALSE)</f>
        <v>Other</v>
      </c>
    </row>
    <row r="1388" spans="1:7" x14ac:dyDescent="0.25">
      <c r="A1388" t="s">
        <v>51</v>
      </c>
      <c r="B1388" s="1">
        <v>42921</v>
      </c>
      <c r="C1388" t="s">
        <v>58</v>
      </c>
      <c r="D1388">
        <v>235.2</v>
      </c>
      <c r="E1388" t="str">
        <f>VLOOKUP(C1388,inf!$A$2:$B$7,2,FALSE)</f>
        <v>61 to 90</v>
      </c>
      <c r="F1388" t="str">
        <f t="shared" si="22"/>
        <v>07/05/2017</v>
      </c>
      <c r="G1388" t="str">
        <f>VLOOKUP(A1388,inf!$D$2:$E$76,2,FALSE)</f>
        <v>Other</v>
      </c>
    </row>
    <row r="1389" spans="1:7" x14ac:dyDescent="0.25">
      <c r="A1389" t="s">
        <v>48</v>
      </c>
      <c r="B1389" s="1">
        <v>42921</v>
      </c>
      <c r="C1389" t="s">
        <v>55</v>
      </c>
      <c r="D1389">
        <v>70269.419999999984</v>
      </c>
      <c r="E1389" t="str">
        <f>VLOOKUP(C1389,inf!$A$2:$B$7,2,FALSE)</f>
        <v>Current</v>
      </c>
      <c r="F1389" t="str">
        <f t="shared" si="22"/>
        <v>07/05/2017</v>
      </c>
      <c r="G1389" t="str">
        <f>VLOOKUP(A1389,inf!$D$2:$E$76,2,FALSE)</f>
        <v>Target</v>
      </c>
    </row>
    <row r="1390" spans="1:7" x14ac:dyDescent="0.25">
      <c r="A1390" t="s">
        <v>8</v>
      </c>
      <c r="B1390" s="1">
        <v>42921</v>
      </c>
      <c r="C1390" t="s">
        <v>55</v>
      </c>
      <c r="D1390" s="5">
        <v>328851.59999999957</v>
      </c>
      <c r="E1390" t="str">
        <f>VLOOKUP(C1390,inf!$A$2:$B$7,2,FALSE)</f>
        <v>Current</v>
      </c>
      <c r="F1390" t="str">
        <f t="shared" si="22"/>
        <v>07/05/2017</v>
      </c>
      <c r="G1390" t="str">
        <f>VLOOKUP(A1390,inf!$D$2:$E$76,2,FALSE)</f>
        <v>Target</v>
      </c>
    </row>
    <row r="1391" spans="1:7" x14ac:dyDescent="0.25">
      <c r="A1391" t="s">
        <v>8</v>
      </c>
      <c r="B1391" s="1">
        <v>42921</v>
      </c>
      <c r="C1391" t="s">
        <v>60</v>
      </c>
      <c r="D1391">
        <v>17949.189999999999</v>
      </c>
      <c r="E1391" t="str">
        <f>VLOOKUP(C1391,inf!$A$2:$B$7,2,FALSE)</f>
        <v>Over 90</v>
      </c>
      <c r="F1391" t="str">
        <f t="shared" si="22"/>
        <v>07/05/2017</v>
      </c>
      <c r="G1391" t="str">
        <f>VLOOKUP(A1391,inf!$D$2:$E$76,2,FALSE)</f>
        <v>Target</v>
      </c>
    </row>
    <row r="1392" spans="1:7" x14ac:dyDescent="0.25">
      <c r="A1392" t="s">
        <v>8</v>
      </c>
      <c r="B1392" s="1">
        <v>42921</v>
      </c>
      <c r="C1392" t="s">
        <v>59</v>
      </c>
      <c r="D1392">
        <v>2493.0299999999997</v>
      </c>
      <c r="E1392" t="str">
        <f>VLOOKUP(C1392,inf!$A$2:$B$7,2,FALSE)</f>
        <v>Over 90</v>
      </c>
      <c r="F1392" t="str">
        <f t="shared" si="22"/>
        <v>07/05/2017</v>
      </c>
      <c r="G1392" t="str">
        <f>VLOOKUP(A1392,inf!$D$2:$E$76,2,FALSE)</f>
        <v>Target</v>
      </c>
    </row>
    <row r="1393" spans="1:7" x14ac:dyDescent="0.25">
      <c r="A1393" t="s">
        <v>8</v>
      </c>
      <c r="B1393" s="1">
        <v>42921</v>
      </c>
      <c r="C1393" t="s">
        <v>56</v>
      </c>
      <c r="D1393">
        <v>1864.27</v>
      </c>
      <c r="E1393" t="str">
        <f>VLOOKUP(C1393,inf!$A$2:$B$7,2,FALSE)</f>
        <v>Current</v>
      </c>
      <c r="F1393" t="str">
        <f t="shared" si="22"/>
        <v>07/05/2017</v>
      </c>
      <c r="G1393" t="str">
        <f>VLOOKUP(A1393,inf!$D$2:$E$76,2,FALSE)</f>
        <v>Target</v>
      </c>
    </row>
    <row r="1394" spans="1:7" x14ac:dyDescent="0.25">
      <c r="A1394" t="s">
        <v>8</v>
      </c>
      <c r="B1394" s="1">
        <v>42921</v>
      </c>
      <c r="C1394" t="s">
        <v>57</v>
      </c>
      <c r="D1394">
        <v>340.28999999999996</v>
      </c>
      <c r="E1394" t="str">
        <f>VLOOKUP(C1394,inf!$A$2:$B$7,2,FALSE)</f>
        <v>31 to 60</v>
      </c>
      <c r="F1394" t="str">
        <f t="shared" si="22"/>
        <v>07/05/2017</v>
      </c>
      <c r="G1394" t="str">
        <f>VLOOKUP(A1394,inf!$D$2:$E$76,2,FALSE)</f>
        <v>Target</v>
      </c>
    </row>
    <row r="1395" spans="1:7" x14ac:dyDescent="0.25">
      <c r="A1395" t="s">
        <v>8</v>
      </c>
      <c r="B1395" s="1">
        <v>42921</v>
      </c>
      <c r="C1395" t="s">
        <v>58</v>
      </c>
      <c r="D1395">
        <v>263.55</v>
      </c>
      <c r="E1395" t="str">
        <f>VLOOKUP(C1395,inf!$A$2:$B$7,2,FALSE)</f>
        <v>61 to 90</v>
      </c>
      <c r="F1395" t="str">
        <f t="shared" si="22"/>
        <v>07/05/2017</v>
      </c>
      <c r="G1395" t="str">
        <f>VLOOKUP(A1395,inf!$D$2:$E$76,2,FALSE)</f>
        <v>Target</v>
      </c>
    </row>
    <row r="1396" spans="1:7" x14ac:dyDescent="0.25">
      <c r="A1396" t="s">
        <v>54</v>
      </c>
      <c r="B1396" s="1">
        <v>42921</v>
      </c>
      <c r="C1396" t="s">
        <v>55</v>
      </c>
      <c r="D1396">
        <v>939.12</v>
      </c>
      <c r="E1396" t="str">
        <f>VLOOKUP(C1396,inf!$A$2:$B$7,2,FALSE)</f>
        <v>Current</v>
      </c>
      <c r="F1396" t="str">
        <f t="shared" si="22"/>
        <v>07/05/2017</v>
      </c>
      <c r="G1396" t="str">
        <f>VLOOKUP(A1396,inf!$D$2:$E$76,2,FALSE)</f>
        <v>Other</v>
      </c>
    </row>
    <row r="1397" spans="1:7" x14ac:dyDescent="0.25">
      <c r="A1397" t="s">
        <v>54</v>
      </c>
      <c r="B1397" s="1">
        <v>42921</v>
      </c>
      <c r="C1397" t="s">
        <v>56</v>
      </c>
      <c r="D1397">
        <v>488.11</v>
      </c>
      <c r="E1397" t="str">
        <f>VLOOKUP(C1397,inf!$A$2:$B$7,2,FALSE)</f>
        <v>Current</v>
      </c>
      <c r="F1397" t="str">
        <f t="shared" si="22"/>
        <v>07/05/2017</v>
      </c>
      <c r="G1397" t="str">
        <f>VLOOKUP(A1397,inf!$D$2:$E$76,2,FALSE)</f>
        <v>Other</v>
      </c>
    </row>
    <row r="1398" spans="1:7" x14ac:dyDescent="0.25">
      <c r="A1398" t="s">
        <v>15</v>
      </c>
      <c r="B1398" s="1">
        <v>42921</v>
      </c>
      <c r="C1398" t="s">
        <v>55</v>
      </c>
      <c r="D1398">
        <v>318.83</v>
      </c>
      <c r="E1398" t="str">
        <f>VLOOKUP(C1398,inf!$A$2:$B$7,2,FALSE)</f>
        <v>Current</v>
      </c>
      <c r="F1398" t="str">
        <f t="shared" si="22"/>
        <v>07/05/2017</v>
      </c>
      <c r="G1398" t="str">
        <f>VLOOKUP(A1398,inf!$D$2:$E$76,2,FALSE)</f>
        <v>Other</v>
      </c>
    </row>
    <row r="1399" spans="1:7" x14ac:dyDescent="0.25">
      <c r="A1399" t="s">
        <v>15</v>
      </c>
      <c r="B1399" s="1">
        <v>42921</v>
      </c>
      <c r="C1399" t="s">
        <v>60</v>
      </c>
      <c r="D1399">
        <v>126.05</v>
      </c>
      <c r="E1399" t="str">
        <f>VLOOKUP(C1399,inf!$A$2:$B$7,2,FALSE)</f>
        <v>Over 90</v>
      </c>
      <c r="F1399" t="str">
        <f t="shared" si="22"/>
        <v>07/05/2017</v>
      </c>
      <c r="G1399" t="str">
        <f>VLOOKUP(A1399,inf!$D$2:$E$76,2,FALSE)</f>
        <v>Other</v>
      </c>
    </row>
    <row r="1400" spans="1:7" x14ac:dyDescent="0.25">
      <c r="A1400" t="s">
        <v>4</v>
      </c>
      <c r="B1400" s="1">
        <v>42928</v>
      </c>
      <c r="C1400" t="s">
        <v>55</v>
      </c>
      <c r="D1400">
        <v>2083.4300000000003</v>
      </c>
      <c r="E1400" t="str">
        <f>VLOOKUP(C1400,inf!$A$2:$B$7,2,FALSE)</f>
        <v>Current</v>
      </c>
      <c r="F1400" t="str">
        <f t="shared" si="22"/>
        <v>07/12/2017</v>
      </c>
      <c r="G1400" t="str">
        <f>VLOOKUP(A1400,inf!$D$2:$E$76,2,FALSE)</f>
        <v>Other</v>
      </c>
    </row>
    <row r="1401" spans="1:7" x14ac:dyDescent="0.25">
      <c r="A1401" t="s">
        <v>4</v>
      </c>
      <c r="B1401" s="1">
        <v>42928</v>
      </c>
      <c r="C1401" t="s">
        <v>56</v>
      </c>
      <c r="D1401">
        <v>789.3</v>
      </c>
      <c r="E1401" t="str">
        <f>VLOOKUP(C1401,inf!$A$2:$B$7,2,FALSE)</f>
        <v>Current</v>
      </c>
      <c r="F1401" t="str">
        <f t="shared" si="22"/>
        <v>07/12/2017</v>
      </c>
      <c r="G1401" t="str">
        <f>VLOOKUP(A1401,inf!$D$2:$E$76,2,FALSE)</f>
        <v>Other</v>
      </c>
    </row>
    <row r="1402" spans="1:7" x14ac:dyDescent="0.25">
      <c r="A1402" t="s">
        <v>26</v>
      </c>
      <c r="B1402" s="1">
        <v>42928</v>
      </c>
      <c r="C1402" t="s">
        <v>60</v>
      </c>
      <c r="D1402">
        <v>1380.77</v>
      </c>
      <c r="E1402" t="str">
        <f>VLOOKUP(C1402,inf!$A$2:$B$7,2,FALSE)</f>
        <v>Over 90</v>
      </c>
      <c r="F1402" t="str">
        <f t="shared" si="22"/>
        <v>07/12/2017</v>
      </c>
      <c r="G1402" t="str">
        <f>VLOOKUP(A1402,inf!$D$2:$E$76,2,FALSE)</f>
        <v>Other</v>
      </c>
    </row>
    <row r="1403" spans="1:7" x14ac:dyDescent="0.25">
      <c r="A1403" t="s">
        <v>2</v>
      </c>
      <c r="B1403" s="1">
        <v>42928</v>
      </c>
      <c r="C1403" t="s">
        <v>60</v>
      </c>
      <c r="D1403">
        <v>3717.8600000000006</v>
      </c>
      <c r="E1403" t="str">
        <f>VLOOKUP(C1403,inf!$A$2:$B$7,2,FALSE)</f>
        <v>Over 90</v>
      </c>
      <c r="F1403" t="str">
        <f t="shared" si="22"/>
        <v>07/12/2017</v>
      </c>
      <c r="G1403" t="str">
        <f>VLOOKUP(A1403,inf!$D$2:$E$76,2,FALSE)</f>
        <v>Other</v>
      </c>
    </row>
    <row r="1404" spans="1:7" x14ac:dyDescent="0.25">
      <c r="A1404" t="s">
        <v>32</v>
      </c>
      <c r="B1404" s="1">
        <v>42928</v>
      </c>
      <c r="C1404" t="s">
        <v>56</v>
      </c>
      <c r="D1404">
        <v>424.53000000000003</v>
      </c>
      <c r="E1404" t="str">
        <f>VLOOKUP(C1404,inf!$A$2:$B$7,2,FALSE)</f>
        <v>Current</v>
      </c>
      <c r="F1404" t="str">
        <f t="shared" si="22"/>
        <v>07/12/2017</v>
      </c>
      <c r="G1404" t="str">
        <f>VLOOKUP(A1404,inf!$D$2:$E$76,2,FALSE)</f>
        <v>Other</v>
      </c>
    </row>
    <row r="1405" spans="1:7" x14ac:dyDescent="0.25">
      <c r="A1405" t="s">
        <v>19</v>
      </c>
      <c r="B1405" s="1">
        <v>42928</v>
      </c>
      <c r="C1405" t="s">
        <v>58</v>
      </c>
      <c r="D1405">
        <v>565.36</v>
      </c>
      <c r="E1405" t="str">
        <f>VLOOKUP(C1405,inf!$A$2:$B$7,2,FALSE)</f>
        <v>61 to 90</v>
      </c>
      <c r="F1405" t="str">
        <f t="shared" si="22"/>
        <v>07/12/2017</v>
      </c>
      <c r="G1405" t="str">
        <f>VLOOKUP(A1405,inf!$D$2:$E$76,2,FALSE)</f>
        <v>Other</v>
      </c>
    </row>
    <row r="1406" spans="1:7" x14ac:dyDescent="0.25">
      <c r="A1406" t="s">
        <v>19</v>
      </c>
      <c r="B1406" s="1">
        <v>42928</v>
      </c>
      <c r="C1406" t="s">
        <v>56</v>
      </c>
      <c r="D1406">
        <v>258.41000000000003</v>
      </c>
      <c r="E1406" t="str">
        <f>VLOOKUP(C1406,inf!$A$2:$B$7,2,FALSE)</f>
        <v>Current</v>
      </c>
      <c r="F1406" t="str">
        <f t="shared" si="22"/>
        <v>07/12/2017</v>
      </c>
      <c r="G1406" t="str">
        <f>VLOOKUP(A1406,inf!$D$2:$E$76,2,FALSE)</f>
        <v>Other</v>
      </c>
    </row>
    <row r="1407" spans="1:7" x14ac:dyDescent="0.25">
      <c r="A1407" t="s">
        <v>25</v>
      </c>
      <c r="B1407" s="1">
        <v>42928</v>
      </c>
      <c r="C1407" t="s">
        <v>55</v>
      </c>
      <c r="D1407">
        <v>587.97</v>
      </c>
      <c r="E1407" t="str">
        <f>VLOOKUP(C1407,inf!$A$2:$B$7,2,FALSE)</f>
        <v>Current</v>
      </c>
      <c r="F1407" t="str">
        <f t="shared" si="22"/>
        <v>07/12/2017</v>
      </c>
      <c r="G1407" t="str">
        <f>VLOOKUP(A1407,inf!$D$2:$E$76,2,FALSE)</f>
        <v>Other</v>
      </c>
    </row>
    <row r="1408" spans="1:7" x14ac:dyDescent="0.25">
      <c r="A1408" t="s">
        <v>31</v>
      </c>
      <c r="B1408" s="1">
        <v>42928</v>
      </c>
      <c r="C1408" t="s">
        <v>58</v>
      </c>
      <c r="D1408">
        <v>388.78</v>
      </c>
      <c r="E1408" t="str">
        <f>VLOOKUP(C1408,inf!$A$2:$B$7,2,FALSE)</f>
        <v>61 to 90</v>
      </c>
      <c r="F1408" t="str">
        <f t="shared" si="22"/>
        <v>07/12/2017</v>
      </c>
      <c r="G1408" t="str">
        <f>VLOOKUP(A1408,inf!$D$2:$E$76,2,FALSE)</f>
        <v>Other</v>
      </c>
    </row>
    <row r="1409" spans="1:7" x14ac:dyDescent="0.25">
      <c r="A1409" t="s">
        <v>31</v>
      </c>
      <c r="B1409" s="1">
        <v>42928</v>
      </c>
      <c r="C1409" t="s">
        <v>55</v>
      </c>
      <c r="D1409">
        <v>294.39</v>
      </c>
      <c r="E1409" t="str">
        <f>VLOOKUP(C1409,inf!$A$2:$B$7,2,FALSE)</f>
        <v>Current</v>
      </c>
      <c r="F1409" t="str">
        <f t="shared" si="22"/>
        <v>07/12/2017</v>
      </c>
      <c r="G1409" t="str">
        <f>VLOOKUP(A1409,inf!$D$2:$E$76,2,FALSE)</f>
        <v>Other</v>
      </c>
    </row>
    <row r="1410" spans="1:7" x14ac:dyDescent="0.25">
      <c r="A1410" t="s">
        <v>24</v>
      </c>
      <c r="B1410" s="1">
        <v>42928</v>
      </c>
      <c r="C1410" t="s">
        <v>57</v>
      </c>
      <c r="D1410">
        <v>308.7</v>
      </c>
      <c r="E1410" t="str">
        <f>VLOOKUP(C1410,inf!$A$2:$B$7,2,FALSE)</f>
        <v>31 to 60</v>
      </c>
      <c r="F1410" t="str">
        <f t="shared" si="22"/>
        <v>07/12/2017</v>
      </c>
      <c r="G1410" t="str">
        <f>VLOOKUP(A1410,inf!$D$2:$E$76,2,FALSE)</f>
        <v>Other</v>
      </c>
    </row>
    <row r="1411" spans="1:7" x14ac:dyDescent="0.25">
      <c r="A1411" t="s">
        <v>24</v>
      </c>
      <c r="B1411" s="1">
        <v>42928</v>
      </c>
      <c r="C1411" t="s">
        <v>55</v>
      </c>
      <c r="D1411">
        <v>117.52</v>
      </c>
      <c r="E1411" t="str">
        <f>VLOOKUP(C1411,inf!$A$2:$B$7,2,FALSE)</f>
        <v>Current</v>
      </c>
      <c r="F1411" t="str">
        <f t="shared" ref="F1411:F1474" si="23">TEXT(B1411,"MM/DD/YYYY")</f>
        <v>07/12/2017</v>
      </c>
      <c r="G1411" t="str">
        <f>VLOOKUP(A1411,inf!$D$2:$E$76,2,FALSE)</f>
        <v>Other</v>
      </c>
    </row>
    <row r="1412" spans="1:7" x14ac:dyDescent="0.25">
      <c r="A1412" t="s">
        <v>18</v>
      </c>
      <c r="B1412" s="1">
        <v>42928</v>
      </c>
      <c r="C1412" t="s">
        <v>56</v>
      </c>
      <c r="D1412">
        <v>1320.39</v>
      </c>
      <c r="E1412" t="str">
        <f>VLOOKUP(C1412,inf!$A$2:$B$7,2,FALSE)</f>
        <v>Current</v>
      </c>
      <c r="F1412" t="str">
        <f t="shared" si="23"/>
        <v>07/12/2017</v>
      </c>
      <c r="G1412" t="str">
        <f>VLOOKUP(A1412,inf!$D$2:$E$76,2,FALSE)</f>
        <v>Other</v>
      </c>
    </row>
    <row r="1413" spans="1:7" x14ac:dyDescent="0.25">
      <c r="A1413" t="s">
        <v>21</v>
      </c>
      <c r="B1413" s="1">
        <v>42928</v>
      </c>
      <c r="C1413" t="s">
        <v>57</v>
      </c>
      <c r="D1413">
        <v>491.9</v>
      </c>
      <c r="E1413" t="str">
        <f>VLOOKUP(C1413,inf!$A$2:$B$7,2,FALSE)</f>
        <v>31 to 60</v>
      </c>
      <c r="F1413" t="str">
        <f t="shared" si="23"/>
        <v>07/12/2017</v>
      </c>
      <c r="G1413" t="str">
        <f>VLOOKUP(A1413,inf!$D$2:$E$76,2,FALSE)</f>
        <v>Other</v>
      </c>
    </row>
    <row r="1414" spans="1:7" x14ac:dyDescent="0.25">
      <c r="A1414" t="s">
        <v>21</v>
      </c>
      <c r="B1414" s="1">
        <v>42928</v>
      </c>
      <c r="C1414" t="s">
        <v>56</v>
      </c>
      <c r="D1414">
        <v>425.96</v>
      </c>
      <c r="E1414" t="str">
        <f>VLOOKUP(C1414,inf!$A$2:$B$7,2,FALSE)</f>
        <v>Current</v>
      </c>
      <c r="F1414" t="str">
        <f t="shared" si="23"/>
        <v>07/12/2017</v>
      </c>
      <c r="G1414" t="str">
        <f>VLOOKUP(A1414,inf!$D$2:$E$76,2,FALSE)</f>
        <v>Other</v>
      </c>
    </row>
    <row r="1415" spans="1:7" x14ac:dyDescent="0.25">
      <c r="A1415" t="s">
        <v>21</v>
      </c>
      <c r="B1415" s="1">
        <v>42928</v>
      </c>
      <c r="C1415" t="s">
        <v>58</v>
      </c>
      <c r="D1415">
        <v>174.97</v>
      </c>
      <c r="E1415" t="str">
        <f>VLOOKUP(C1415,inf!$A$2:$B$7,2,FALSE)</f>
        <v>61 to 90</v>
      </c>
      <c r="F1415" t="str">
        <f t="shared" si="23"/>
        <v>07/12/2017</v>
      </c>
      <c r="G1415" t="str">
        <f>VLOOKUP(A1415,inf!$D$2:$E$76,2,FALSE)</f>
        <v>Other</v>
      </c>
    </row>
    <row r="1416" spans="1:7" x14ac:dyDescent="0.25">
      <c r="A1416" t="s">
        <v>53</v>
      </c>
      <c r="B1416" s="1">
        <v>42928</v>
      </c>
      <c r="C1416" t="s">
        <v>56</v>
      </c>
      <c r="D1416" s="5">
        <v>479.54</v>
      </c>
      <c r="E1416" t="str">
        <f>VLOOKUP(C1416,inf!$A$2:$B$7,2,FALSE)</f>
        <v>Current</v>
      </c>
      <c r="F1416" t="str">
        <f t="shared" si="23"/>
        <v>07/12/2017</v>
      </c>
      <c r="G1416" t="str">
        <f>VLOOKUP(A1416,inf!$D$2:$E$76,2,FALSE)</f>
        <v>Other</v>
      </c>
    </row>
    <row r="1417" spans="1:7" x14ac:dyDescent="0.25">
      <c r="A1417" t="s">
        <v>3</v>
      </c>
      <c r="B1417" s="1">
        <v>42928</v>
      </c>
      <c r="C1417" t="s">
        <v>59</v>
      </c>
      <c r="D1417">
        <v>4896.4799999999987</v>
      </c>
      <c r="E1417" t="str">
        <f>VLOOKUP(C1417,inf!$A$2:$B$7,2,FALSE)</f>
        <v>Over 90</v>
      </c>
      <c r="F1417" t="str">
        <f t="shared" si="23"/>
        <v>07/12/2017</v>
      </c>
      <c r="G1417" t="str">
        <f>VLOOKUP(A1417,inf!$D$2:$E$76,2,FALSE)</f>
        <v>Other</v>
      </c>
    </row>
    <row r="1418" spans="1:7" x14ac:dyDescent="0.25">
      <c r="A1418" t="s">
        <v>3</v>
      </c>
      <c r="B1418" s="1">
        <v>42928</v>
      </c>
      <c r="C1418" t="s">
        <v>55</v>
      </c>
      <c r="D1418">
        <v>1092.1600000000001</v>
      </c>
      <c r="E1418" t="str">
        <f>VLOOKUP(C1418,inf!$A$2:$B$7,2,FALSE)</f>
        <v>Current</v>
      </c>
      <c r="F1418" t="str">
        <f t="shared" si="23"/>
        <v>07/12/2017</v>
      </c>
      <c r="G1418" t="str">
        <f>VLOOKUP(A1418,inf!$D$2:$E$76,2,FALSE)</f>
        <v>Other</v>
      </c>
    </row>
    <row r="1419" spans="1:7" x14ac:dyDescent="0.25">
      <c r="A1419" t="s">
        <v>3</v>
      </c>
      <c r="B1419" s="1">
        <v>42928</v>
      </c>
      <c r="C1419" t="s">
        <v>56</v>
      </c>
      <c r="D1419">
        <v>306.85000000000002</v>
      </c>
      <c r="E1419" t="str">
        <f>VLOOKUP(C1419,inf!$A$2:$B$7,2,FALSE)</f>
        <v>Current</v>
      </c>
      <c r="F1419" t="str">
        <f t="shared" si="23"/>
        <v>07/12/2017</v>
      </c>
      <c r="G1419" t="str">
        <f>VLOOKUP(A1419,inf!$D$2:$E$76,2,FALSE)</f>
        <v>Other</v>
      </c>
    </row>
    <row r="1420" spans="1:7" x14ac:dyDescent="0.25">
      <c r="A1420" t="s">
        <v>30</v>
      </c>
      <c r="B1420" s="1">
        <v>42928</v>
      </c>
      <c r="C1420" t="s">
        <v>55</v>
      </c>
      <c r="D1420">
        <v>1940.67</v>
      </c>
      <c r="E1420" t="str">
        <f>VLOOKUP(C1420,inf!$A$2:$B$7,2,FALSE)</f>
        <v>Current</v>
      </c>
      <c r="F1420" t="str">
        <f t="shared" si="23"/>
        <v>07/12/2017</v>
      </c>
      <c r="G1420" t="str">
        <f>VLOOKUP(A1420,inf!$D$2:$E$76,2,FALSE)</f>
        <v>Other</v>
      </c>
    </row>
    <row r="1421" spans="1:7" x14ac:dyDescent="0.25">
      <c r="A1421" t="s">
        <v>30</v>
      </c>
      <c r="B1421" s="1">
        <v>42928</v>
      </c>
      <c r="C1421" t="s">
        <v>56</v>
      </c>
      <c r="D1421">
        <v>124.33</v>
      </c>
      <c r="E1421" t="str">
        <f>VLOOKUP(C1421,inf!$A$2:$B$7,2,FALSE)</f>
        <v>Current</v>
      </c>
      <c r="F1421" t="str">
        <f t="shared" si="23"/>
        <v>07/12/2017</v>
      </c>
      <c r="G1421" t="str">
        <f>VLOOKUP(A1421,inf!$D$2:$E$76,2,FALSE)</f>
        <v>Other</v>
      </c>
    </row>
    <row r="1422" spans="1:7" x14ac:dyDescent="0.25">
      <c r="A1422" t="s">
        <v>12</v>
      </c>
      <c r="B1422" s="1">
        <v>42928</v>
      </c>
      <c r="C1422" t="s">
        <v>55</v>
      </c>
      <c r="D1422">
        <v>832.54</v>
      </c>
      <c r="E1422" t="str">
        <f>VLOOKUP(C1422,inf!$A$2:$B$7,2,FALSE)</f>
        <v>Current</v>
      </c>
      <c r="F1422" t="str">
        <f t="shared" si="23"/>
        <v>07/12/2017</v>
      </c>
      <c r="G1422" t="str">
        <f>VLOOKUP(A1422,inf!$D$2:$E$76,2,FALSE)</f>
        <v>Other</v>
      </c>
    </row>
    <row r="1423" spans="1:7" x14ac:dyDescent="0.25">
      <c r="A1423" t="s">
        <v>12</v>
      </c>
      <c r="B1423" s="1">
        <v>42928</v>
      </c>
      <c r="C1423" t="s">
        <v>56</v>
      </c>
      <c r="D1423">
        <v>679.2</v>
      </c>
      <c r="E1423" t="str">
        <f>VLOOKUP(C1423,inf!$A$2:$B$7,2,FALSE)</f>
        <v>Current</v>
      </c>
      <c r="F1423" t="str">
        <f t="shared" si="23"/>
        <v>07/12/2017</v>
      </c>
      <c r="G1423" t="str">
        <f>VLOOKUP(A1423,inf!$D$2:$E$76,2,FALSE)</f>
        <v>Other</v>
      </c>
    </row>
    <row r="1424" spans="1:7" x14ac:dyDescent="0.25">
      <c r="A1424" t="s">
        <v>12</v>
      </c>
      <c r="B1424" s="1">
        <v>42928</v>
      </c>
      <c r="C1424" t="s">
        <v>57</v>
      </c>
      <c r="D1424">
        <v>396.35</v>
      </c>
      <c r="E1424" t="str">
        <f>VLOOKUP(C1424,inf!$A$2:$B$7,2,FALSE)</f>
        <v>31 to 60</v>
      </c>
      <c r="F1424" t="str">
        <f t="shared" si="23"/>
        <v>07/12/2017</v>
      </c>
      <c r="G1424" t="str">
        <f>VLOOKUP(A1424,inf!$D$2:$E$76,2,FALSE)</f>
        <v>Other</v>
      </c>
    </row>
    <row r="1425" spans="1:7" x14ac:dyDescent="0.25">
      <c r="A1425" t="s">
        <v>50</v>
      </c>
      <c r="B1425" s="1">
        <v>42928</v>
      </c>
      <c r="C1425" t="s">
        <v>55</v>
      </c>
      <c r="D1425">
        <v>470.8</v>
      </c>
      <c r="E1425" t="str">
        <f>VLOOKUP(C1425,inf!$A$2:$B$7,2,FALSE)</f>
        <v>Current</v>
      </c>
      <c r="F1425" t="str">
        <f t="shared" si="23"/>
        <v>07/12/2017</v>
      </c>
      <c r="G1425" t="str">
        <f>VLOOKUP(A1425,inf!$D$2:$E$76,2,FALSE)</f>
        <v>Other</v>
      </c>
    </row>
    <row r="1426" spans="1:7" x14ac:dyDescent="0.25">
      <c r="A1426" t="s">
        <v>7</v>
      </c>
      <c r="B1426" s="1">
        <v>42928</v>
      </c>
      <c r="C1426" t="s">
        <v>55</v>
      </c>
      <c r="D1426">
        <v>125569.20999999985</v>
      </c>
      <c r="E1426" t="str">
        <f>VLOOKUP(C1426,inf!$A$2:$B$7,2,FALSE)</f>
        <v>Current</v>
      </c>
      <c r="F1426" t="str">
        <f t="shared" si="23"/>
        <v>07/12/2017</v>
      </c>
      <c r="G1426" t="str">
        <f>VLOOKUP(A1426,inf!$D$2:$E$76,2,FALSE)</f>
        <v>SAFEWAY</v>
      </c>
    </row>
    <row r="1427" spans="1:7" x14ac:dyDescent="0.25">
      <c r="A1427" t="s">
        <v>7</v>
      </c>
      <c r="B1427" s="1">
        <v>42928</v>
      </c>
      <c r="C1427" t="s">
        <v>56</v>
      </c>
      <c r="D1427" s="5">
        <v>30040.860000000008</v>
      </c>
      <c r="E1427" t="str">
        <f>VLOOKUP(C1427,inf!$A$2:$B$7,2,FALSE)</f>
        <v>Current</v>
      </c>
      <c r="F1427" t="str">
        <f t="shared" si="23"/>
        <v>07/12/2017</v>
      </c>
      <c r="G1427" t="str">
        <f>VLOOKUP(A1427,inf!$D$2:$E$76,2,FALSE)</f>
        <v>SAFEWAY</v>
      </c>
    </row>
    <row r="1428" spans="1:7" x14ac:dyDescent="0.25">
      <c r="A1428" t="s">
        <v>7</v>
      </c>
      <c r="B1428" s="1">
        <v>42928</v>
      </c>
      <c r="C1428" t="s">
        <v>58</v>
      </c>
      <c r="D1428">
        <v>344.56</v>
      </c>
      <c r="E1428" t="str">
        <f>VLOOKUP(C1428,inf!$A$2:$B$7,2,FALSE)</f>
        <v>61 to 90</v>
      </c>
      <c r="F1428" t="str">
        <f t="shared" si="23"/>
        <v>07/12/2017</v>
      </c>
      <c r="G1428" t="str">
        <f>VLOOKUP(A1428,inf!$D$2:$E$76,2,FALSE)</f>
        <v>SAFEWAY</v>
      </c>
    </row>
    <row r="1429" spans="1:7" x14ac:dyDescent="0.25">
      <c r="A1429" t="s">
        <v>7</v>
      </c>
      <c r="B1429" s="1">
        <v>42928</v>
      </c>
      <c r="C1429" t="s">
        <v>57</v>
      </c>
      <c r="D1429">
        <v>218.89</v>
      </c>
      <c r="E1429" t="str">
        <f>VLOOKUP(C1429,inf!$A$2:$B$7,2,FALSE)</f>
        <v>31 to 60</v>
      </c>
      <c r="F1429" t="str">
        <f t="shared" si="23"/>
        <v>07/12/2017</v>
      </c>
      <c r="G1429" t="str">
        <f>VLOOKUP(A1429,inf!$D$2:$E$76,2,FALSE)</f>
        <v>SAFEWAY</v>
      </c>
    </row>
    <row r="1430" spans="1:7" x14ac:dyDescent="0.25">
      <c r="A1430" t="s">
        <v>5</v>
      </c>
      <c r="B1430" s="1">
        <v>42928</v>
      </c>
      <c r="C1430" t="s">
        <v>55</v>
      </c>
      <c r="D1430">
        <v>4715197.8599999994</v>
      </c>
      <c r="E1430" t="str">
        <f>VLOOKUP(C1430,inf!$A$2:$B$7,2,FALSE)</f>
        <v>Current</v>
      </c>
      <c r="F1430" t="str">
        <f t="shared" si="23"/>
        <v>07/12/2017</v>
      </c>
      <c r="G1430" t="str">
        <f>VLOOKUP(A1430,inf!$D$2:$E$76,2,FALSE)</f>
        <v>SBUX</v>
      </c>
    </row>
    <row r="1431" spans="1:7" x14ac:dyDescent="0.25">
      <c r="A1431" t="s">
        <v>5</v>
      </c>
      <c r="B1431" s="1">
        <v>42928</v>
      </c>
      <c r="C1431" t="s">
        <v>60</v>
      </c>
      <c r="D1431">
        <v>78911.680000000008</v>
      </c>
      <c r="E1431" t="str">
        <f>VLOOKUP(C1431,inf!$A$2:$B$7,2,FALSE)</f>
        <v>Over 90</v>
      </c>
      <c r="F1431" t="str">
        <f t="shared" si="23"/>
        <v>07/12/2017</v>
      </c>
      <c r="G1431" t="str">
        <f>VLOOKUP(A1431,inf!$D$2:$E$76,2,FALSE)</f>
        <v>SBUX</v>
      </c>
    </row>
    <row r="1432" spans="1:7" x14ac:dyDescent="0.25">
      <c r="A1432" t="s">
        <v>5</v>
      </c>
      <c r="B1432" s="1">
        <v>42928</v>
      </c>
      <c r="C1432" t="s">
        <v>56</v>
      </c>
      <c r="D1432">
        <v>34269.669999999991</v>
      </c>
      <c r="E1432" t="str">
        <f>VLOOKUP(C1432,inf!$A$2:$B$7,2,FALSE)</f>
        <v>Current</v>
      </c>
      <c r="F1432" t="str">
        <f t="shared" si="23"/>
        <v>07/12/2017</v>
      </c>
      <c r="G1432" t="str">
        <f>VLOOKUP(A1432,inf!$D$2:$E$76,2,FALSE)</f>
        <v>SBUX</v>
      </c>
    </row>
    <row r="1433" spans="1:7" x14ac:dyDescent="0.25">
      <c r="A1433" t="s">
        <v>5</v>
      </c>
      <c r="B1433" s="1">
        <v>42928</v>
      </c>
      <c r="C1433" t="s">
        <v>57</v>
      </c>
      <c r="D1433">
        <v>18828.269999999997</v>
      </c>
      <c r="E1433" t="str">
        <f>VLOOKUP(C1433,inf!$A$2:$B$7,2,FALSE)</f>
        <v>31 to 60</v>
      </c>
      <c r="F1433" t="str">
        <f t="shared" si="23"/>
        <v>07/12/2017</v>
      </c>
      <c r="G1433" t="str">
        <f>VLOOKUP(A1433,inf!$D$2:$E$76,2,FALSE)</f>
        <v>SBUX</v>
      </c>
    </row>
    <row r="1434" spans="1:7" x14ac:dyDescent="0.25">
      <c r="A1434" t="s">
        <v>5</v>
      </c>
      <c r="B1434" s="1">
        <v>42928</v>
      </c>
      <c r="C1434" t="s">
        <v>58</v>
      </c>
      <c r="D1434">
        <v>2696.25</v>
      </c>
      <c r="E1434" t="str">
        <f>VLOOKUP(C1434,inf!$A$2:$B$7,2,FALSE)</f>
        <v>61 to 90</v>
      </c>
      <c r="F1434" t="str">
        <f t="shared" si="23"/>
        <v>07/12/2017</v>
      </c>
      <c r="G1434" t="str">
        <f>VLOOKUP(A1434,inf!$D$2:$E$76,2,FALSE)</f>
        <v>SBUX</v>
      </c>
    </row>
    <row r="1435" spans="1:7" x14ac:dyDescent="0.25">
      <c r="A1435" t="s">
        <v>5</v>
      </c>
      <c r="B1435" s="1">
        <v>42928</v>
      </c>
      <c r="C1435" t="s">
        <v>59</v>
      </c>
      <c r="D1435">
        <v>610.23</v>
      </c>
      <c r="E1435" t="str">
        <f>VLOOKUP(C1435,inf!$A$2:$B$7,2,FALSE)</f>
        <v>Over 90</v>
      </c>
      <c r="F1435" t="str">
        <f t="shared" si="23"/>
        <v>07/12/2017</v>
      </c>
      <c r="G1435" t="str">
        <f>VLOOKUP(A1435,inf!$D$2:$E$76,2,FALSE)</f>
        <v>SBUX</v>
      </c>
    </row>
    <row r="1436" spans="1:7" x14ac:dyDescent="0.25">
      <c r="A1436" t="s">
        <v>6</v>
      </c>
      <c r="B1436" s="1">
        <v>42928</v>
      </c>
      <c r="C1436" t="s">
        <v>55</v>
      </c>
      <c r="D1436">
        <v>492629.40999999776</v>
      </c>
      <c r="E1436" t="str">
        <f>VLOOKUP(C1436,inf!$A$2:$B$7,2,FALSE)</f>
        <v>Current</v>
      </c>
      <c r="F1436" t="str">
        <f t="shared" si="23"/>
        <v>07/12/2017</v>
      </c>
      <c r="G1436" t="str">
        <f>VLOOKUP(A1436,inf!$D$2:$E$76,2,FALSE)</f>
        <v>SBUX</v>
      </c>
    </row>
    <row r="1437" spans="1:7" x14ac:dyDescent="0.25">
      <c r="A1437" t="s">
        <v>6</v>
      </c>
      <c r="B1437" s="1">
        <v>42928</v>
      </c>
      <c r="C1437" t="s">
        <v>56</v>
      </c>
      <c r="D1437">
        <v>8329.7899999999991</v>
      </c>
      <c r="E1437" t="str">
        <f>VLOOKUP(C1437,inf!$A$2:$B$7,2,FALSE)</f>
        <v>Current</v>
      </c>
      <c r="F1437" t="str">
        <f t="shared" si="23"/>
        <v>07/12/2017</v>
      </c>
      <c r="G1437" t="str">
        <f>VLOOKUP(A1437,inf!$D$2:$E$76,2,FALSE)</f>
        <v>SBUX</v>
      </c>
    </row>
    <row r="1438" spans="1:7" x14ac:dyDescent="0.25">
      <c r="A1438" t="s">
        <v>6</v>
      </c>
      <c r="B1438" s="1">
        <v>42928</v>
      </c>
      <c r="C1438" t="s">
        <v>60</v>
      </c>
      <c r="D1438">
        <v>6925.989999999998</v>
      </c>
      <c r="E1438" t="str">
        <f>VLOOKUP(C1438,inf!$A$2:$B$7,2,FALSE)</f>
        <v>Over 90</v>
      </c>
      <c r="F1438" t="str">
        <f t="shared" si="23"/>
        <v>07/12/2017</v>
      </c>
      <c r="G1438" t="str">
        <f>VLOOKUP(A1438,inf!$D$2:$E$76,2,FALSE)</f>
        <v>SBUX</v>
      </c>
    </row>
    <row r="1439" spans="1:7" x14ac:dyDescent="0.25">
      <c r="A1439" t="s">
        <v>6</v>
      </c>
      <c r="B1439" s="1">
        <v>42928</v>
      </c>
      <c r="C1439" t="s">
        <v>59</v>
      </c>
      <c r="D1439">
        <v>1583.57</v>
      </c>
      <c r="E1439" t="str">
        <f>VLOOKUP(C1439,inf!$A$2:$B$7,2,FALSE)</f>
        <v>Over 90</v>
      </c>
      <c r="F1439" t="str">
        <f t="shared" si="23"/>
        <v>07/12/2017</v>
      </c>
      <c r="G1439" t="str">
        <f>VLOOKUP(A1439,inf!$D$2:$E$76,2,FALSE)</f>
        <v>SBUX</v>
      </c>
    </row>
    <row r="1440" spans="1:7" x14ac:dyDescent="0.25">
      <c r="A1440" t="s">
        <v>6</v>
      </c>
      <c r="B1440" s="1">
        <v>42928</v>
      </c>
      <c r="C1440" t="s">
        <v>58</v>
      </c>
      <c r="D1440">
        <v>1070.6100000000001</v>
      </c>
      <c r="E1440" t="str">
        <f>VLOOKUP(C1440,inf!$A$2:$B$7,2,FALSE)</f>
        <v>61 to 90</v>
      </c>
      <c r="F1440" t="str">
        <f t="shared" si="23"/>
        <v>07/12/2017</v>
      </c>
      <c r="G1440" t="str">
        <f>VLOOKUP(A1440,inf!$D$2:$E$76,2,FALSE)</f>
        <v>SBUX</v>
      </c>
    </row>
    <row r="1441" spans="1:7" x14ac:dyDescent="0.25">
      <c r="A1441" t="s">
        <v>6</v>
      </c>
      <c r="B1441" s="1">
        <v>42928</v>
      </c>
      <c r="C1441" t="s">
        <v>57</v>
      </c>
      <c r="D1441">
        <v>763.46</v>
      </c>
      <c r="E1441" t="str">
        <f>VLOOKUP(C1441,inf!$A$2:$B$7,2,FALSE)</f>
        <v>31 to 60</v>
      </c>
      <c r="F1441" t="str">
        <f t="shared" si="23"/>
        <v>07/12/2017</v>
      </c>
      <c r="G1441" t="str">
        <f>VLOOKUP(A1441,inf!$D$2:$E$76,2,FALSE)</f>
        <v>SBUX</v>
      </c>
    </row>
    <row r="1442" spans="1:7" x14ac:dyDescent="0.25">
      <c r="A1442" t="s">
        <v>49</v>
      </c>
      <c r="B1442" s="1">
        <v>42928</v>
      </c>
      <c r="C1442" t="s">
        <v>55</v>
      </c>
      <c r="D1442">
        <v>150.36000000000001</v>
      </c>
      <c r="E1442" t="str">
        <f>VLOOKUP(C1442,inf!$A$2:$B$7,2,FALSE)</f>
        <v>Current</v>
      </c>
      <c r="F1442" t="str">
        <f t="shared" si="23"/>
        <v>07/12/2017</v>
      </c>
      <c r="G1442" t="str">
        <f>VLOOKUP(A1442,inf!$D$2:$E$76,2,FALSE)</f>
        <v>Other</v>
      </c>
    </row>
    <row r="1443" spans="1:7" x14ac:dyDescent="0.25">
      <c r="A1443" t="s">
        <v>51</v>
      </c>
      <c r="B1443" s="1">
        <v>42928</v>
      </c>
      <c r="C1443" t="s">
        <v>58</v>
      </c>
      <c r="D1443">
        <v>235.2</v>
      </c>
      <c r="E1443" t="str">
        <f>VLOOKUP(C1443,inf!$A$2:$B$7,2,FALSE)</f>
        <v>61 to 90</v>
      </c>
      <c r="F1443" t="str">
        <f t="shared" si="23"/>
        <v>07/12/2017</v>
      </c>
      <c r="G1443" t="str">
        <f>VLOOKUP(A1443,inf!$D$2:$E$76,2,FALSE)</f>
        <v>Other</v>
      </c>
    </row>
    <row r="1444" spans="1:7" x14ac:dyDescent="0.25">
      <c r="A1444" t="s">
        <v>48</v>
      </c>
      <c r="B1444" s="1">
        <v>42928</v>
      </c>
      <c r="C1444" t="s">
        <v>55</v>
      </c>
      <c r="D1444">
        <v>70269.419999999984</v>
      </c>
      <c r="E1444" t="str">
        <f>VLOOKUP(C1444,inf!$A$2:$B$7,2,FALSE)</f>
        <v>Current</v>
      </c>
      <c r="F1444" t="str">
        <f t="shared" si="23"/>
        <v>07/12/2017</v>
      </c>
      <c r="G1444" t="str">
        <f>VLOOKUP(A1444,inf!$D$2:$E$76,2,FALSE)</f>
        <v>Target</v>
      </c>
    </row>
    <row r="1445" spans="1:7" x14ac:dyDescent="0.25">
      <c r="A1445" t="s">
        <v>8</v>
      </c>
      <c r="B1445" s="1">
        <v>42928</v>
      </c>
      <c r="C1445" t="s">
        <v>55</v>
      </c>
      <c r="D1445">
        <v>318663.02999999962</v>
      </c>
      <c r="E1445" t="str">
        <f>VLOOKUP(C1445,inf!$A$2:$B$7,2,FALSE)</f>
        <v>Current</v>
      </c>
      <c r="F1445" t="str">
        <f t="shared" si="23"/>
        <v>07/12/2017</v>
      </c>
      <c r="G1445" t="str">
        <f>VLOOKUP(A1445,inf!$D$2:$E$76,2,FALSE)</f>
        <v>Target</v>
      </c>
    </row>
    <row r="1446" spans="1:7" x14ac:dyDescent="0.25">
      <c r="A1446" t="s">
        <v>8</v>
      </c>
      <c r="B1446" s="1">
        <v>42928</v>
      </c>
      <c r="C1446" t="s">
        <v>60</v>
      </c>
      <c r="D1446">
        <v>17949.189999999999</v>
      </c>
      <c r="E1446" t="str">
        <f>VLOOKUP(C1446,inf!$A$2:$B$7,2,FALSE)</f>
        <v>Over 90</v>
      </c>
      <c r="F1446" t="str">
        <f t="shared" si="23"/>
        <v>07/12/2017</v>
      </c>
      <c r="G1446" t="str">
        <f>VLOOKUP(A1446,inf!$D$2:$E$76,2,FALSE)</f>
        <v>Target</v>
      </c>
    </row>
    <row r="1447" spans="1:7" x14ac:dyDescent="0.25">
      <c r="A1447" t="s">
        <v>8</v>
      </c>
      <c r="B1447" s="1">
        <v>42928</v>
      </c>
      <c r="C1447" t="s">
        <v>59</v>
      </c>
      <c r="D1447">
        <v>2493.0299999999997</v>
      </c>
      <c r="E1447" t="str">
        <f>VLOOKUP(C1447,inf!$A$2:$B$7,2,FALSE)</f>
        <v>Over 90</v>
      </c>
      <c r="F1447" t="str">
        <f t="shared" si="23"/>
        <v>07/12/2017</v>
      </c>
      <c r="G1447" t="str">
        <f>VLOOKUP(A1447,inf!$D$2:$E$76,2,FALSE)</f>
        <v>Target</v>
      </c>
    </row>
    <row r="1448" spans="1:7" x14ac:dyDescent="0.25">
      <c r="A1448" t="s">
        <v>8</v>
      </c>
      <c r="B1448" s="1">
        <v>42928</v>
      </c>
      <c r="C1448" t="s">
        <v>56</v>
      </c>
      <c r="D1448">
        <v>1628.06</v>
      </c>
      <c r="E1448" t="str">
        <f>VLOOKUP(C1448,inf!$A$2:$B$7,2,FALSE)</f>
        <v>Current</v>
      </c>
      <c r="F1448" t="str">
        <f t="shared" si="23"/>
        <v>07/12/2017</v>
      </c>
      <c r="G1448" t="str">
        <f>VLOOKUP(A1448,inf!$D$2:$E$76,2,FALSE)</f>
        <v>Target</v>
      </c>
    </row>
    <row r="1449" spans="1:7" x14ac:dyDescent="0.25">
      <c r="A1449" t="s">
        <v>8</v>
      </c>
      <c r="B1449" s="1">
        <v>42928</v>
      </c>
      <c r="C1449" t="s">
        <v>57</v>
      </c>
      <c r="D1449">
        <v>455.87</v>
      </c>
      <c r="E1449" t="str">
        <f>VLOOKUP(C1449,inf!$A$2:$B$7,2,FALSE)</f>
        <v>31 to 60</v>
      </c>
      <c r="F1449" t="str">
        <f t="shared" si="23"/>
        <v>07/12/2017</v>
      </c>
      <c r="G1449" t="str">
        <f>VLOOKUP(A1449,inf!$D$2:$E$76,2,FALSE)</f>
        <v>Target</v>
      </c>
    </row>
    <row r="1450" spans="1:7" x14ac:dyDescent="0.25">
      <c r="A1450" t="s">
        <v>8</v>
      </c>
      <c r="B1450" s="1">
        <v>42928</v>
      </c>
      <c r="C1450" t="s">
        <v>58</v>
      </c>
      <c r="D1450">
        <v>384.18</v>
      </c>
      <c r="E1450" t="str">
        <f>VLOOKUP(C1450,inf!$A$2:$B$7,2,FALSE)</f>
        <v>61 to 90</v>
      </c>
      <c r="F1450" t="str">
        <f t="shared" si="23"/>
        <v>07/12/2017</v>
      </c>
      <c r="G1450" t="str">
        <f>VLOOKUP(A1450,inf!$D$2:$E$76,2,FALSE)</f>
        <v>Target</v>
      </c>
    </row>
    <row r="1451" spans="1:7" x14ac:dyDescent="0.25">
      <c r="A1451" t="s">
        <v>54</v>
      </c>
      <c r="B1451" s="1">
        <v>42928</v>
      </c>
      <c r="C1451" t="s">
        <v>55</v>
      </c>
      <c r="D1451">
        <v>939.12</v>
      </c>
      <c r="E1451" t="str">
        <f>VLOOKUP(C1451,inf!$A$2:$B$7,2,FALSE)</f>
        <v>Current</v>
      </c>
      <c r="F1451" t="str">
        <f t="shared" si="23"/>
        <v>07/12/2017</v>
      </c>
      <c r="G1451" t="str">
        <f>VLOOKUP(A1451,inf!$D$2:$E$76,2,FALSE)</f>
        <v>Other</v>
      </c>
    </row>
    <row r="1452" spans="1:7" x14ac:dyDescent="0.25">
      <c r="A1452" t="s">
        <v>54</v>
      </c>
      <c r="B1452" s="1">
        <v>42928</v>
      </c>
      <c r="C1452" t="s">
        <v>56</v>
      </c>
      <c r="D1452">
        <v>488.11</v>
      </c>
      <c r="E1452" t="str">
        <f>VLOOKUP(C1452,inf!$A$2:$B$7,2,FALSE)</f>
        <v>Current</v>
      </c>
      <c r="F1452" t="str">
        <f t="shared" si="23"/>
        <v>07/12/2017</v>
      </c>
      <c r="G1452" t="str">
        <f>VLOOKUP(A1452,inf!$D$2:$E$76,2,FALSE)</f>
        <v>Other</v>
      </c>
    </row>
    <row r="1453" spans="1:7" x14ac:dyDescent="0.25">
      <c r="A1453" t="s">
        <v>15</v>
      </c>
      <c r="B1453" s="1">
        <v>42928</v>
      </c>
      <c r="C1453" t="s">
        <v>56</v>
      </c>
      <c r="D1453">
        <v>192.78</v>
      </c>
      <c r="E1453" t="str">
        <f>VLOOKUP(C1453,inf!$A$2:$B$7,2,FALSE)</f>
        <v>Current</v>
      </c>
      <c r="F1453" t="str">
        <f t="shared" si="23"/>
        <v>07/12/2017</v>
      </c>
      <c r="G1453" t="str">
        <f>VLOOKUP(A1453,inf!$D$2:$E$76,2,FALSE)</f>
        <v>Other</v>
      </c>
    </row>
    <row r="1454" spans="1:7" x14ac:dyDescent="0.25">
      <c r="A1454" t="s">
        <v>15</v>
      </c>
      <c r="B1454" s="1">
        <v>42928</v>
      </c>
      <c r="C1454" t="s">
        <v>55</v>
      </c>
      <c r="D1454">
        <v>126.05</v>
      </c>
      <c r="E1454" t="str">
        <f>VLOOKUP(C1454,inf!$A$2:$B$7,2,FALSE)</f>
        <v>Current</v>
      </c>
      <c r="F1454" t="str">
        <f t="shared" si="23"/>
        <v>07/12/2017</v>
      </c>
      <c r="G1454" t="str">
        <f>VLOOKUP(A1454,inf!$D$2:$E$76,2,FALSE)</f>
        <v>Other</v>
      </c>
    </row>
    <row r="1455" spans="1:7" x14ac:dyDescent="0.25">
      <c r="A1455" t="s">
        <v>15</v>
      </c>
      <c r="B1455" s="1">
        <v>42928</v>
      </c>
      <c r="C1455" t="s">
        <v>60</v>
      </c>
      <c r="D1455">
        <v>126.05</v>
      </c>
      <c r="E1455" t="str">
        <f>VLOOKUP(C1455,inf!$A$2:$B$7,2,FALSE)</f>
        <v>Over 90</v>
      </c>
      <c r="F1455" t="str">
        <f t="shared" si="23"/>
        <v>07/12/2017</v>
      </c>
      <c r="G1455" t="str">
        <f>VLOOKUP(A1455,inf!$D$2:$E$76,2,FALSE)</f>
        <v>Other</v>
      </c>
    </row>
    <row r="1456" spans="1:7" x14ac:dyDescent="0.25">
      <c r="A1456" t="s">
        <v>61</v>
      </c>
      <c r="B1456" s="1">
        <v>42935</v>
      </c>
      <c r="C1456" t="s">
        <v>55</v>
      </c>
      <c r="D1456">
        <v>295.32</v>
      </c>
      <c r="E1456" t="str">
        <f>VLOOKUP(C1456,inf!$A$2:$B$7,2,FALSE)</f>
        <v>Current</v>
      </c>
      <c r="F1456" t="str">
        <f t="shared" si="23"/>
        <v>07/19/2017</v>
      </c>
      <c r="G1456" t="str">
        <f>VLOOKUP(A1456,inf!$D$2:$E$76,2,FALSE)</f>
        <v>Other</v>
      </c>
    </row>
    <row r="1457" spans="1:7" x14ac:dyDescent="0.25">
      <c r="A1457" t="s">
        <v>4</v>
      </c>
      <c r="B1457" s="1">
        <v>42935</v>
      </c>
      <c r="C1457" t="s">
        <v>55</v>
      </c>
      <c r="D1457">
        <v>3419.75</v>
      </c>
      <c r="E1457" t="str">
        <f>VLOOKUP(C1457,inf!$A$2:$B$7,2,FALSE)</f>
        <v>Current</v>
      </c>
      <c r="F1457" t="str">
        <f t="shared" si="23"/>
        <v>07/19/2017</v>
      </c>
      <c r="G1457" t="str">
        <f>VLOOKUP(A1457,inf!$D$2:$E$76,2,FALSE)</f>
        <v>Other</v>
      </c>
    </row>
    <row r="1458" spans="1:7" x14ac:dyDescent="0.25">
      <c r="A1458" t="s">
        <v>4</v>
      </c>
      <c r="B1458" s="1">
        <v>42935</v>
      </c>
      <c r="C1458" t="s">
        <v>56</v>
      </c>
      <c r="D1458">
        <v>706.05</v>
      </c>
      <c r="E1458" t="str">
        <f>VLOOKUP(C1458,inf!$A$2:$B$7,2,FALSE)</f>
        <v>Current</v>
      </c>
      <c r="F1458" t="str">
        <f t="shared" si="23"/>
        <v>07/19/2017</v>
      </c>
      <c r="G1458" t="str">
        <f>VLOOKUP(A1458,inf!$D$2:$E$76,2,FALSE)</f>
        <v>Other</v>
      </c>
    </row>
    <row r="1459" spans="1:7" x14ac:dyDescent="0.25">
      <c r="A1459" t="s">
        <v>26</v>
      </c>
      <c r="B1459" s="1">
        <v>42935</v>
      </c>
      <c r="C1459" t="s">
        <v>60</v>
      </c>
      <c r="D1459">
        <v>1380.77</v>
      </c>
      <c r="E1459" t="str">
        <f>VLOOKUP(C1459,inf!$A$2:$B$7,2,FALSE)</f>
        <v>Over 90</v>
      </c>
      <c r="F1459" t="str">
        <f t="shared" si="23"/>
        <v>07/19/2017</v>
      </c>
      <c r="G1459" t="str">
        <f>VLOOKUP(A1459,inf!$D$2:$E$76,2,FALSE)</f>
        <v>Other</v>
      </c>
    </row>
    <row r="1460" spans="1:7" x14ac:dyDescent="0.25">
      <c r="A1460" t="s">
        <v>2</v>
      </c>
      <c r="B1460" s="1">
        <v>42935</v>
      </c>
      <c r="C1460" t="s">
        <v>60</v>
      </c>
      <c r="D1460">
        <v>3717.8600000000006</v>
      </c>
      <c r="E1460" t="str">
        <f>VLOOKUP(C1460,inf!$A$2:$B$7,2,FALSE)</f>
        <v>Over 90</v>
      </c>
      <c r="F1460" t="str">
        <f t="shared" si="23"/>
        <v>07/19/2017</v>
      </c>
      <c r="G1460" t="str">
        <f>VLOOKUP(A1460,inf!$D$2:$E$76,2,FALSE)</f>
        <v>Other</v>
      </c>
    </row>
    <row r="1461" spans="1:7" x14ac:dyDescent="0.25">
      <c r="A1461" t="s">
        <v>32</v>
      </c>
      <c r="B1461" s="1">
        <v>42935</v>
      </c>
      <c r="C1461" t="s">
        <v>56</v>
      </c>
      <c r="D1461">
        <v>424.53</v>
      </c>
      <c r="E1461" t="str">
        <f>VLOOKUP(C1461,inf!$A$2:$B$7,2,FALSE)</f>
        <v>Current</v>
      </c>
      <c r="F1461" t="str">
        <f t="shared" si="23"/>
        <v>07/19/2017</v>
      </c>
      <c r="G1461" t="str">
        <f>VLOOKUP(A1461,inf!$D$2:$E$76,2,FALSE)</f>
        <v>Other</v>
      </c>
    </row>
    <row r="1462" spans="1:7" x14ac:dyDescent="0.25">
      <c r="A1462" t="s">
        <v>52</v>
      </c>
      <c r="B1462" s="1">
        <v>42935</v>
      </c>
      <c r="C1462" t="s">
        <v>55</v>
      </c>
      <c r="D1462">
        <v>3726.03</v>
      </c>
      <c r="E1462" t="str">
        <f>VLOOKUP(C1462,inf!$A$2:$B$7,2,FALSE)</f>
        <v>Current</v>
      </c>
      <c r="F1462" t="str">
        <f t="shared" si="23"/>
        <v>07/19/2017</v>
      </c>
      <c r="G1462" t="str">
        <f>VLOOKUP(A1462,inf!$D$2:$E$76,2,FALSE)</f>
        <v>Other</v>
      </c>
    </row>
    <row r="1463" spans="1:7" x14ac:dyDescent="0.25">
      <c r="A1463" t="s">
        <v>19</v>
      </c>
      <c r="B1463" s="1">
        <v>42935</v>
      </c>
      <c r="C1463" t="s">
        <v>58</v>
      </c>
      <c r="D1463">
        <v>565.36</v>
      </c>
      <c r="E1463" t="str">
        <f>VLOOKUP(C1463,inf!$A$2:$B$7,2,FALSE)</f>
        <v>61 to 90</v>
      </c>
      <c r="F1463" t="str">
        <f t="shared" si="23"/>
        <v>07/19/2017</v>
      </c>
      <c r="G1463" t="str">
        <f>VLOOKUP(A1463,inf!$D$2:$E$76,2,FALSE)</f>
        <v>Other</v>
      </c>
    </row>
    <row r="1464" spans="1:7" x14ac:dyDescent="0.25">
      <c r="A1464" t="s">
        <v>19</v>
      </c>
      <c r="B1464" s="1">
        <v>42935</v>
      </c>
      <c r="C1464" t="s">
        <v>56</v>
      </c>
      <c r="D1464">
        <v>258.41000000000003</v>
      </c>
      <c r="E1464" t="str">
        <f>VLOOKUP(C1464,inf!$A$2:$B$7,2,FALSE)</f>
        <v>Current</v>
      </c>
      <c r="F1464" t="str">
        <f t="shared" si="23"/>
        <v>07/19/2017</v>
      </c>
      <c r="G1464" t="str">
        <f>VLOOKUP(A1464,inf!$D$2:$E$76,2,FALSE)</f>
        <v>Other</v>
      </c>
    </row>
    <row r="1465" spans="1:7" x14ac:dyDescent="0.25">
      <c r="A1465" t="s">
        <v>25</v>
      </c>
      <c r="B1465" s="1">
        <v>42935</v>
      </c>
      <c r="C1465" t="s">
        <v>55</v>
      </c>
      <c r="D1465">
        <v>1173.22</v>
      </c>
      <c r="E1465" t="str">
        <f>VLOOKUP(C1465,inf!$A$2:$B$7,2,FALSE)</f>
        <v>Current</v>
      </c>
      <c r="F1465" t="str">
        <f t="shared" si="23"/>
        <v>07/19/2017</v>
      </c>
      <c r="G1465" t="str">
        <f>VLOOKUP(A1465,inf!$D$2:$E$76,2,FALSE)</f>
        <v>Other</v>
      </c>
    </row>
    <row r="1466" spans="1:7" x14ac:dyDescent="0.25">
      <c r="A1466" t="s">
        <v>31</v>
      </c>
      <c r="B1466" s="1">
        <v>42935</v>
      </c>
      <c r="C1466" t="s">
        <v>55</v>
      </c>
      <c r="D1466">
        <v>296.71000000000004</v>
      </c>
      <c r="E1466" t="str">
        <f>VLOOKUP(C1466,inf!$A$2:$B$7,2,FALSE)</f>
        <v>Current</v>
      </c>
      <c r="F1466" t="str">
        <f t="shared" si="23"/>
        <v>07/19/2017</v>
      </c>
      <c r="G1466" t="str">
        <f>VLOOKUP(A1466,inf!$D$2:$E$76,2,FALSE)</f>
        <v>Other</v>
      </c>
    </row>
    <row r="1467" spans="1:7" x14ac:dyDescent="0.25">
      <c r="A1467" t="s">
        <v>24</v>
      </c>
      <c r="B1467" s="1">
        <v>42935</v>
      </c>
      <c r="C1467" t="s">
        <v>58</v>
      </c>
      <c r="D1467">
        <v>308.7</v>
      </c>
      <c r="E1467" t="str">
        <f>VLOOKUP(C1467,inf!$A$2:$B$7,2,FALSE)</f>
        <v>61 to 90</v>
      </c>
      <c r="F1467" t="str">
        <f t="shared" si="23"/>
        <v>07/19/2017</v>
      </c>
      <c r="G1467" t="str">
        <f>VLOOKUP(A1467,inf!$D$2:$E$76,2,FALSE)</f>
        <v>Other</v>
      </c>
    </row>
    <row r="1468" spans="1:7" x14ac:dyDescent="0.25">
      <c r="A1468" t="s">
        <v>24</v>
      </c>
      <c r="B1468" s="1">
        <v>42935</v>
      </c>
      <c r="C1468" t="s">
        <v>55</v>
      </c>
      <c r="D1468">
        <v>117.52</v>
      </c>
      <c r="E1468" t="str">
        <f>VLOOKUP(C1468,inf!$A$2:$B$7,2,FALSE)</f>
        <v>Current</v>
      </c>
      <c r="F1468" t="str">
        <f t="shared" si="23"/>
        <v>07/19/2017</v>
      </c>
      <c r="G1468" t="str">
        <f>VLOOKUP(A1468,inf!$D$2:$E$76,2,FALSE)</f>
        <v>Other</v>
      </c>
    </row>
    <row r="1469" spans="1:7" x14ac:dyDescent="0.25">
      <c r="A1469" t="s">
        <v>18</v>
      </c>
      <c r="B1469" s="1">
        <v>42935</v>
      </c>
      <c r="C1469" t="s">
        <v>56</v>
      </c>
      <c r="D1469">
        <v>1320.39</v>
      </c>
      <c r="E1469" t="str">
        <f>VLOOKUP(C1469,inf!$A$2:$B$7,2,FALSE)</f>
        <v>Current</v>
      </c>
      <c r="F1469" t="str">
        <f t="shared" si="23"/>
        <v>07/19/2017</v>
      </c>
      <c r="G1469" t="str">
        <f>VLOOKUP(A1469,inf!$D$2:$E$76,2,FALSE)</f>
        <v>Other</v>
      </c>
    </row>
    <row r="1470" spans="1:7" x14ac:dyDescent="0.25">
      <c r="A1470" t="s">
        <v>18</v>
      </c>
      <c r="B1470" s="1">
        <v>42935</v>
      </c>
      <c r="C1470" t="s">
        <v>55</v>
      </c>
      <c r="D1470">
        <v>155.52000000000001</v>
      </c>
      <c r="E1470" t="str">
        <f>VLOOKUP(C1470,inf!$A$2:$B$7,2,FALSE)</f>
        <v>Current</v>
      </c>
      <c r="F1470" t="str">
        <f t="shared" si="23"/>
        <v>07/19/2017</v>
      </c>
      <c r="G1470" t="str">
        <f>VLOOKUP(A1470,inf!$D$2:$E$76,2,FALSE)</f>
        <v>Other</v>
      </c>
    </row>
    <row r="1471" spans="1:7" x14ac:dyDescent="0.25">
      <c r="A1471" t="s">
        <v>27</v>
      </c>
      <c r="B1471" s="1">
        <v>42935</v>
      </c>
      <c r="C1471" t="s">
        <v>55</v>
      </c>
      <c r="D1471">
        <v>1314.1999999999998</v>
      </c>
      <c r="E1471" t="str">
        <f>VLOOKUP(C1471,inf!$A$2:$B$7,2,FALSE)</f>
        <v>Current</v>
      </c>
      <c r="F1471" t="str">
        <f t="shared" si="23"/>
        <v>07/19/2017</v>
      </c>
      <c r="G1471" t="str">
        <f>VLOOKUP(A1471,inf!$D$2:$E$76,2,FALSE)</f>
        <v>Other</v>
      </c>
    </row>
    <row r="1472" spans="1:7" x14ac:dyDescent="0.25">
      <c r="A1472" t="s">
        <v>21</v>
      </c>
      <c r="B1472" s="1">
        <v>42935</v>
      </c>
      <c r="C1472" t="s">
        <v>56</v>
      </c>
      <c r="D1472">
        <v>425.96</v>
      </c>
      <c r="E1472" t="str">
        <f>VLOOKUP(C1472,inf!$A$2:$B$7,2,FALSE)</f>
        <v>Current</v>
      </c>
      <c r="F1472" t="str">
        <f t="shared" si="23"/>
        <v>07/19/2017</v>
      </c>
      <c r="G1472" t="str">
        <f>VLOOKUP(A1472,inf!$D$2:$E$76,2,FALSE)</f>
        <v>Other</v>
      </c>
    </row>
    <row r="1473" spans="1:7" x14ac:dyDescent="0.25">
      <c r="A1473" t="s">
        <v>21</v>
      </c>
      <c r="B1473" s="1">
        <v>42935</v>
      </c>
      <c r="C1473" t="s">
        <v>58</v>
      </c>
      <c r="D1473">
        <v>347.25</v>
      </c>
      <c r="E1473" t="str">
        <f>VLOOKUP(C1473,inf!$A$2:$B$7,2,FALSE)</f>
        <v>61 to 90</v>
      </c>
      <c r="F1473" t="str">
        <f t="shared" si="23"/>
        <v>07/19/2017</v>
      </c>
      <c r="G1473" t="str">
        <f>VLOOKUP(A1473,inf!$D$2:$E$76,2,FALSE)</f>
        <v>Other</v>
      </c>
    </row>
    <row r="1474" spans="1:7" x14ac:dyDescent="0.25">
      <c r="A1474" t="s">
        <v>21</v>
      </c>
      <c r="B1474" s="1">
        <v>42935</v>
      </c>
      <c r="C1474" t="s">
        <v>57</v>
      </c>
      <c r="D1474">
        <v>319.62</v>
      </c>
      <c r="E1474" t="str">
        <f>VLOOKUP(C1474,inf!$A$2:$B$7,2,FALSE)</f>
        <v>31 to 60</v>
      </c>
      <c r="F1474" t="str">
        <f t="shared" si="23"/>
        <v>07/19/2017</v>
      </c>
      <c r="G1474" t="str">
        <f>VLOOKUP(A1474,inf!$D$2:$E$76,2,FALSE)</f>
        <v>Other</v>
      </c>
    </row>
    <row r="1475" spans="1:7" x14ac:dyDescent="0.25">
      <c r="A1475" t="s">
        <v>53</v>
      </c>
      <c r="B1475" s="1">
        <v>42935</v>
      </c>
      <c r="C1475" t="s">
        <v>56</v>
      </c>
      <c r="D1475">
        <v>479.54</v>
      </c>
      <c r="E1475" t="str">
        <f>VLOOKUP(C1475,inf!$A$2:$B$7,2,FALSE)</f>
        <v>Current</v>
      </c>
      <c r="F1475" t="str">
        <f t="shared" ref="F1475:F1538" si="24">TEXT(B1475,"MM/DD/YYYY")</f>
        <v>07/19/2017</v>
      </c>
      <c r="G1475" t="str">
        <f>VLOOKUP(A1475,inf!$D$2:$E$76,2,FALSE)</f>
        <v>Other</v>
      </c>
    </row>
    <row r="1476" spans="1:7" x14ac:dyDescent="0.25">
      <c r="A1476" t="s">
        <v>3</v>
      </c>
      <c r="B1476" s="1">
        <v>42935</v>
      </c>
      <c r="C1476" t="s">
        <v>55</v>
      </c>
      <c r="D1476">
        <v>1092.1600000000001</v>
      </c>
      <c r="E1476" t="str">
        <f>VLOOKUP(C1476,inf!$A$2:$B$7,2,FALSE)</f>
        <v>Current</v>
      </c>
      <c r="F1476" t="str">
        <f t="shared" si="24"/>
        <v>07/19/2017</v>
      </c>
      <c r="G1476" t="str">
        <f>VLOOKUP(A1476,inf!$D$2:$E$76,2,FALSE)</f>
        <v>Other</v>
      </c>
    </row>
    <row r="1477" spans="1:7" x14ac:dyDescent="0.25">
      <c r="A1477" t="s">
        <v>3</v>
      </c>
      <c r="B1477" s="1">
        <v>42935</v>
      </c>
      <c r="C1477" t="s">
        <v>56</v>
      </c>
      <c r="D1477">
        <v>306.85000000000002</v>
      </c>
      <c r="E1477" t="str">
        <f>VLOOKUP(C1477,inf!$A$2:$B$7,2,FALSE)</f>
        <v>Current</v>
      </c>
      <c r="F1477" t="str">
        <f t="shared" si="24"/>
        <v>07/19/2017</v>
      </c>
      <c r="G1477" t="str">
        <f>VLOOKUP(A1477,inf!$D$2:$E$76,2,FALSE)</f>
        <v>Other</v>
      </c>
    </row>
    <row r="1478" spans="1:7" x14ac:dyDescent="0.25">
      <c r="A1478" t="s">
        <v>30</v>
      </c>
      <c r="B1478" s="1">
        <v>42935</v>
      </c>
      <c r="C1478" t="s">
        <v>56</v>
      </c>
      <c r="D1478">
        <v>1561</v>
      </c>
      <c r="E1478" t="str">
        <f>VLOOKUP(C1478,inf!$A$2:$B$7,2,FALSE)</f>
        <v>Current</v>
      </c>
      <c r="F1478" t="str">
        <f t="shared" si="24"/>
        <v>07/19/2017</v>
      </c>
      <c r="G1478" t="str">
        <f>VLOOKUP(A1478,inf!$D$2:$E$76,2,FALSE)</f>
        <v>Other</v>
      </c>
    </row>
    <row r="1479" spans="1:7" x14ac:dyDescent="0.25">
      <c r="A1479" t="s">
        <v>30</v>
      </c>
      <c r="B1479" s="1">
        <v>42935</v>
      </c>
      <c r="C1479" t="s">
        <v>55</v>
      </c>
      <c r="D1479">
        <v>659.4</v>
      </c>
      <c r="E1479" t="str">
        <f>VLOOKUP(C1479,inf!$A$2:$B$7,2,FALSE)</f>
        <v>Current</v>
      </c>
      <c r="F1479" t="str">
        <f t="shared" si="24"/>
        <v>07/19/2017</v>
      </c>
      <c r="G1479" t="str">
        <f>VLOOKUP(A1479,inf!$D$2:$E$76,2,FALSE)</f>
        <v>Other</v>
      </c>
    </row>
    <row r="1480" spans="1:7" x14ac:dyDescent="0.25">
      <c r="A1480" t="s">
        <v>12</v>
      </c>
      <c r="B1480" s="1">
        <v>42935</v>
      </c>
      <c r="C1480" t="s">
        <v>55</v>
      </c>
      <c r="D1480">
        <v>832.54</v>
      </c>
      <c r="E1480" t="str">
        <f>VLOOKUP(C1480,inf!$A$2:$B$7,2,FALSE)</f>
        <v>Current</v>
      </c>
      <c r="F1480" t="str">
        <f t="shared" si="24"/>
        <v>07/19/2017</v>
      </c>
      <c r="G1480" t="str">
        <f>VLOOKUP(A1480,inf!$D$2:$E$76,2,FALSE)</f>
        <v>Other</v>
      </c>
    </row>
    <row r="1481" spans="1:7" x14ac:dyDescent="0.25">
      <c r="A1481" t="s">
        <v>12</v>
      </c>
      <c r="B1481" s="1">
        <v>42935</v>
      </c>
      <c r="C1481" t="s">
        <v>56</v>
      </c>
      <c r="D1481">
        <v>679.2</v>
      </c>
      <c r="E1481" t="str">
        <f>VLOOKUP(C1481,inf!$A$2:$B$7,2,FALSE)</f>
        <v>Current</v>
      </c>
      <c r="F1481" t="str">
        <f t="shared" si="24"/>
        <v>07/19/2017</v>
      </c>
      <c r="G1481" t="str">
        <f>VLOOKUP(A1481,inf!$D$2:$E$76,2,FALSE)</f>
        <v>Other</v>
      </c>
    </row>
    <row r="1482" spans="1:7" x14ac:dyDescent="0.25">
      <c r="A1482" t="s">
        <v>12</v>
      </c>
      <c r="B1482" s="1">
        <v>42935</v>
      </c>
      <c r="C1482" t="s">
        <v>57</v>
      </c>
      <c r="D1482">
        <v>396.35</v>
      </c>
      <c r="E1482" t="str">
        <f>VLOOKUP(C1482,inf!$A$2:$B$7,2,FALSE)</f>
        <v>31 to 60</v>
      </c>
      <c r="F1482" t="str">
        <f t="shared" si="24"/>
        <v>07/19/2017</v>
      </c>
      <c r="G1482" t="str">
        <f>VLOOKUP(A1482,inf!$D$2:$E$76,2,FALSE)</f>
        <v>Other</v>
      </c>
    </row>
    <row r="1483" spans="1:7" x14ac:dyDescent="0.25">
      <c r="A1483" t="s">
        <v>7</v>
      </c>
      <c r="B1483" s="1">
        <v>42935</v>
      </c>
      <c r="C1483" t="s">
        <v>55</v>
      </c>
      <c r="D1483">
        <v>139082.92999999985</v>
      </c>
      <c r="E1483" t="str">
        <f>VLOOKUP(C1483,inf!$A$2:$B$7,2,FALSE)</f>
        <v>Current</v>
      </c>
      <c r="F1483" t="str">
        <f t="shared" si="24"/>
        <v>07/19/2017</v>
      </c>
      <c r="G1483" t="str">
        <f>VLOOKUP(A1483,inf!$D$2:$E$76,2,FALSE)</f>
        <v>SAFEWAY</v>
      </c>
    </row>
    <row r="1484" spans="1:7" x14ac:dyDescent="0.25">
      <c r="A1484" t="s">
        <v>7</v>
      </c>
      <c r="B1484" s="1">
        <v>42935</v>
      </c>
      <c r="C1484" t="s">
        <v>56</v>
      </c>
      <c r="D1484">
        <v>14050.810000000003</v>
      </c>
      <c r="E1484" t="str">
        <f>VLOOKUP(C1484,inf!$A$2:$B$7,2,FALSE)</f>
        <v>Current</v>
      </c>
      <c r="F1484" t="str">
        <f t="shared" si="24"/>
        <v>07/19/2017</v>
      </c>
      <c r="G1484" t="str">
        <f>VLOOKUP(A1484,inf!$D$2:$E$76,2,FALSE)</f>
        <v>SAFEWAY</v>
      </c>
    </row>
    <row r="1485" spans="1:7" x14ac:dyDescent="0.25">
      <c r="A1485" t="s">
        <v>7</v>
      </c>
      <c r="B1485" s="1">
        <v>42935</v>
      </c>
      <c r="C1485" t="s">
        <v>58</v>
      </c>
      <c r="D1485">
        <v>344.56</v>
      </c>
      <c r="E1485" t="str">
        <f>VLOOKUP(C1485,inf!$A$2:$B$7,2,FALSE)</f>
        <v>61 to 90</v>
      </c>
      <c r="F1485" t="str">
        <f t="shared" si="24"/>
        <v>07/19/2017</v>
      </c>
      <c r="G1485" t="str">
        <f>VLOOKUP(A1485,inf!$D$2:$E$76,2,FALSE)</f>
        <v>SAFEWAY</v>
      </c>
    </row>
    <row r="1486" spans="1:7" x14ac:dyDescent="0.25">
      <c r="A1486" t="s">
        <v>7</v>
      </c>
      <c r="B1486" s="1">
        <v>42935</v>
      </c>
      <c r="C1486" t="s">
        <v>57</v>
      </c>
      <c r="D1486">
        <v>218.89</v>
      </c>
      <c r="E1486" t="str">
        <f>VLOOKUP(C1486,inf!$A$2:$B$7,2,FALSE)</f>
        <v>31 to 60</v>
      </c>
      <c r="F1486" t="str">
        <f t="shared" si="24"/>
        <v>07/19/2017</v>
      </c>
      <c r="G1486" t="str">
        <f>VLOOKUP(A1486,inf!$D$2:$E$76,2,FALSE)</f>
        <v>SAFEWAY</v>
      </c>
    </row>
    <row r="1487" spans="1:7" x14ac:dyDescent="0.25">
      <c r="A1487" t="s">
        <v>5</v>
      </c>
      <c r="B1487" s="1">
        <v>42935</v>
      </c>
      <c r="C1487" t="s">
        <v>55</v>
      </c>
      <c r="D1487">
        <v>3834784.640000002</v>
      </c>
      <c r="E1487" t="str">
        <f>VLOOKUP(C1487,inf!$A$2:$B$7,2,FALSE)</f>
        <v>Current</v>
      </c>
      <c r="F1487" t="str">
        <f t="shared" si="24"/>
        <v>07/19/2017</v>
      </c>
      <c r="G1487" t="str">
        <f>VLOOKUP(A1487,inf!$D$2:$E$76,2,FALSE)</f>
        <v>SBUX</v>
      </c>
    </row>
    <row r="1488" spans="1:7" x14ac:dyDescent="0.25">
      <c r="A1488" t="s">
        <v>5</v>
      </c>
      <c r="B1488" s="1">
        <v>42935</v>
      </c>
      <c r="C1488" t="s">
        <v>60</v>
      </c>
      <c r="D1488">
        <v>78166.810000000012</v>
      </c>
      <c r="E1488" t="str">
        <f>VLOOKUP(C1488,inf!$A$2:$B$7,2,FALSE)</f>
        <v>Over 90</v>
      </c>
      <c r="F1488" t="str">
        <f t="shared" si="24"/>
        <v>07/19/2017</v>
      </c>
      <c r="G1488" t="str">
        <f>VLOOKUP(A1488,inf!$D$2:$E$76,2,FALSE)</f>
        <v>SBUX</v>
      </c>
    </row>
    <row r="1489" spans="1:7" x14ac:dyDescent="0.25">
      <c r="A1489" t="s">
        <v>5</v>
      </c>
      <c r="B1489" s="1">
        <v>42935</v>
      </c>
      <c r="C1489" t="s">
        <v>56</v>
      </c>
      <c r="D1489" s="1">
        <v>24817.039999999994</v>
      </c>
      <c r="E1489" t="str">
        <f>VLOOKUP(C1489,inf!$A$2:$B$7,2,FALSE)</f>
        <v>Current</v>
      </c>
      <c r="F1489" t="str">
        <f t="shared" si="24"/>
        <v>07/19/2017</v>
      </c>
      <c r="G1489" t="str">
        <f>VLOOKUP(A1489,inf!$D$2:$E$76,2,FALSE)</f>
        <v>SBUX</v>
      </c>
    </row>
    <row r="1490" spans="1:7" x14ac:dyDescent="0.25">
      <c r="A1490" t="s">
        <v>5</v>
      </c>
      <c r="B1490" s="1">
        <v>42935</v>
      </c>
      <c r="C1490" t="s">
        <v>57</v>
      </c>
      <c r="D1490">
        <v>17953.38</v>
      </c>
      <c r="E1490" t="str">
        <f>VLOOKUP(C1490,inf!$A$2:$B$7,2,FALSE)</f>
        <v>31 to 60</v>
      </c>
      <c r="F1490" t="str">
        <f t="shared" si="24"/>
        <v>07/19/2017</v>
      </c>
      <c r="G1490" t="str">
        <f>VLOOKUP(A1490,inf!$D$2:$E$76,2,FALSE)</f>
        <v>SBUX</v>
      </c>
    </row>
    <row r="1491" spans="1:7" x14ac:dyDescent="0.25">
      <c r="A1491" t="s">
        <v>5</v>
      </c>
      <c r="B1491" s="1">
        <v>42935</v>
      </c>
      <c r="C1491" t="s">
        <v>58</v>
      </c>
      <c r="D1491">
        <v>2460.46</v>
      </c>
      <c r="E1491" t="str">
        <f>VLOOKUP(C1491,inf!$A$2:$B$7,2,FALSE)</f>
        <v>61 to 90</v>
      </c>
      <c r="F1491" t="str">
        <f t="shared" si="24"/>
        <v>07/19/2017</v>
      </c>
      <c r="G1491" t="str">
        <f>VLOOKUP(A1491,inf!$D$2:$E$76,2,FALSE)</f>
        <v>SBUX</v>
      </c>
    </row>
    <row r="1492" spans="1:7" x14ac:dyDescent="0.25">
      <c r="A1492" t="s">
        <v>5</v>
      </c>
      <c r="B1492" s="1">
        <v>42935</v>
      </c>
      <c r="C1492" t="s">
        <v>59</v>
      </c>
      <c r="D1492">
        <v>1649.02</v>
      </c>
      <c r="E1492" t="str">
        <f>VLOOKUP(C1492,inf!$A$2:$B$7,2,FALSE)</f>
        <v>Over 90</v>
      </c>
      <c r="F1492" t="str">
        <f t="shared" si="24"/>
        <v>07/19/2017</v>
      </c>
      <c r="G1492" t="str">
        <f>VLOOKUP(A1492,inf!$D$2:$E$76,2,FALSE)</f>
        <v>SBUX</v>
      </c>
    </row>
    <row r="1493" spans="1:7" x14ac:dyDescent="0.25">
      <c r="A1493" t="s">
        <v>6</v>
      </c>
      <c r="B1493" s="1">
        <v>42935</v>
      </c>
      <c r="C1493" t="s">
        <v>55</v>
      </c>
      <c r="D1493">
        <v>476378.32999999815</v>
      </c>
      <c r="E1493" t="str">
        <f>VLOOKUP(C1493,inf!$A$2:$B$7,2,FALSE)</f>
        <v>Current</v>
      </c>
      <c r="F1493" t="str">
        <f t="shared" si="24"/>
        <v>07/19/2017</v>
      </c>
      <c r="G1493" t="str">
        <f>VLOOKUP(A1493,inf!$D$2:$E$76,2,FALSE)</f>
        <v>SBUX</v>
      </c>
    </row>
    <row r="1494" spans="1:7" x14ac:dyDescent="0.25">
      <c r="A1494" t="s">
        <v>6</v>
      </c>
      <c r="B1494" s="1">
        <v>42935</v>
      </c>
      <c r="C1494" t="s">
        <v>60</v>
      </c>
      <c r="D1494">
        <v>8090.8899999999985</v>
      </c>
      <c r="E1494" t="str">
        <f>VLOOKUP(C1494,inf!$A$2:$B$7,2,FALSE)</f>
        <v>Over 90</v>
      </c>
      <c r="F1494" t="str">
        <f t="shared" si="24"/>
        <v>07/19/2017</v>
      </c>
      <c r="G1494" t="str">
        <f>VLOOKUP(A1494,inf!$D$2:$E$76,2,FALSE)</f>
        <v>SBUX</v>
      </c>
    </row>
    <row r="1495" spans="1:7" x14ac:dyDescent="0.25">
      <c r="A1495" t="s">
        <v>6</v>
      </c>
      <c r="B1495" s="1">
        <v>42935</v>
      </c>
      <c r="C1495" t="s">
        <v>56</v>
      </c>
      <c r="D1495">
        <v>3297.16</v>
      </c>
      <c r="E1495" t="str">
        <f>VLOOKUP(C1495,inf!$A$2:$B$7,2,FALSE)</f>
        <v>Current</v>
      </c>
      <c r="F1495" t="str">
        <f t="shared" si="24"/>
        <v>07/19/2017</v>
      </c>
      <c r="G1495" t="str">
        <f>VLOOKUP(A1495,inf!$D$2:$E$76,2,FALSE)</f>
        <v>SBUX</v>
      </c>
    </row>
    <row r="1496" spans="1:7" x14ac:dyDescent="0.25">
      <c r="A1496" t="s">
        <v>6</v>
      </c>
      <c r="B1496" s="1">
        <v>42935</v>
      </c>
      <c r="C1496" t="s">
        <v>58</v>
      </c>
      <c r="D1496">
        <v>1243.19</v>
      </c>
      <c r="E1496" t="str">
        <f>VLOOKUP(C1496,inf!$A$2:$B$7,2,FALSE)</f>
        <v>61 to 90</v>
      </c>
      <c r="F1496" t="str">
        <f t="shared" si="24"/>
        <v>07/19/2017</v>
      </c>
      <c r="G1496" t="str">
        <f>VLOOKUP(A1496,inf!$D$2:$E$76,2,FALSE)</f>
        <v>SBUX</v>
      </c>
    </row>
    <row r="1497" spans="1:7" x14ac:dyDescent="0.25">
      <c r="A1497" t="s">
        <v>6</v>
      </c>
      <c r="B1497" s="1">
        <v>42935</v>
      </c>
      <c r="C1497" t="s">
        <v>59</v>
      </c>
      <c r="D1497">
        <v>418.67</v>
      </c>
      <c r="E1497" t="str">
        <f>VLOOKUP(C1497,inf!$A$2:$B$7,2,FALSE)</f>
        <v>Over 90</v>
      </c>
      <c r="F1497" t="str">
        <f t="shared" si="24"/>
        <v>07/19/2017</v>
      </c>
      <c r="G1497" t="str">
        <f>VLOOKUP(A1497,inf!$D$2:$E$76,2,FALSE)</f>
        <v>SBUX</v>
      </c>
    </row>
    <row r="1498" spans="1:7" x14ac:dyDescent="0.25">
      <c r="A1498" t="s">
        <v>6</v>
      </c>
      <c r="B1498" s="1">
        <v>42935</v>
      </c>
      <c r="C1498" t="s">
        <v>57</v>
      </c>
      <c r="D1498">
        <v>278.28000000000003</v>
      </c>
      <c r="E1498" t="str">
        <f>VLOOKUP(C1498,inf!$A$2:$B$7,2,FALSE)</f>
        <v>31 to 60</v>
      </c>
      <c r="F1498" t="str">
        <f t="shared" si="24"/>
        <v>07/19/2017</v>
      </c>
      <c r="G1498" t="str">
        <f>VLOOKUP(A1498,inf!$D$2:$E$76,2,FALSE)</f>
        <v>SBUX</v>
      </c>
    </row>
    <row r="1499" spans="1:7" x14ac:dyDescent="0.25">
      <c r="A1499" t="s">
        <v>49</v>
      </c>
      <c r="B1499" s="1">
        <v>42935</v>
      </c>
      <c r="C1499" t="s">
        <v>55</v>
      </c>
      <c r="D1499">
        <v>150.36000000000001</v>
      </c>
      <c r="E1499" t="str">
        <f>VLOOKUP(C1499,inf!$A$2:$B$7,2,FALSE)</f>
        <v>Current</v>
      </c>
      <c r="F1499" t="str">
        <f t="shared" si="24"/>
        <v>07/19/2017</v>
      </c>
      <c r="G1499" t="str">
        <f>VLOOKUP(A1499,inf!$D$2:$E$76,2,FALSE)</f>
        <v>Other</v>
      </c>
    </row>
    <row r="1500" spans="1:7" x14ac:dyDescent="0.25">
      <c r="A1500" t="s">
        <v>51</v>
      </c>
      <c r="B1500" s="1">
        <v>42935</v>
      </c>
      <c r="C1500" t="s">
        <v>58</v>
      </c>
      <c r="D1500">
        <v>235.2</v>
      </c>
      <c r="E1500" t="str">
        <f>VLOOKUP(C1500,inf!$A$2:$B$7,2,FALSE)</f>
        <v>61 to 90</v>
      </c>
      <c r="F1500" t="str">
        <f t="shared" si="24"/>
        <v>07/19/2017</v>
      </c>
      <c r="G1500" t="str">
        <f>VLOOKUP(A1500,inf!$D$2:$E$76,2,FALSE)</f>
        <v>Other</v>
      </c>
    </row>
    <row r="1501" spans="1:7" x14ac:dyDescent="0.25">
      <c r="A1501" t="s">
        <v>48</v>
      </c>
      <c r="B1501" s="1">
        <v>42935</v>
      </c>
      <c r="C1501" t="s">
        <v>55</v>
      </c>
      <c r="D1501">
        <v>93948.460000000036</v>
      </c>
      <c r="E1501" t="str">
        <f>VLOOKUP(C1501,inf!$A$2:$B$7,2,FALSE)</f>
        <v>Current</v>
      </c>
      <c r="F1501" t="str">
        <f t="shared" si="24"/>
        <v>07/19/2017</v>
      </c>
      <c r="G1501" t="str">
        <f>VLOOKUP(A1501,inf!$D$2:$E$76,2,FALSE)</f>
        <v>Target</v>
      </c>
    </row>
    <row r="1502" spans="1:7" x14ac:dyDescent="0.25">
      <c r="A1502" t="s">
        <v>8</v>
      </c>
      <c r="B1502" s="1">
        <v>42935</v>
      </c>
      <c r="C1502" t="s">
        <v>55</v>
      </c>
      <c r="D1502">
        <v>314086.76999999967</v>
      </c>
      <c r="E1502" t="str">
        <f>VLOOKUP(C1502,inf!$A$2:$B$7,2,FALSE)</f>
        <v>Current</v>
      </c>
      <c r="F1502" t="str">
        <f t="shared" si="24"/>
        <v>07/19/2017</v>
      </c>
      <c r="G1502" t="str">
        <f>VLOOKUP(A1502,inf!$D$2:$E$76,2,FALSE)</f>
        <v>Target</v>
      </c>
    </row>
    <row r="1503" spans="1:7" x14ac:dyDescent="0.25">
      <c r="A1503" t="s">
        <v>8</v>
      </c>
      <c r="B1503" s="1">
        <v>42935</v>
      </c>
      <c r="C1503" t="s">
        <v>60</v>
      </c>
      <c r="D1503">
        <v>20429.62</v>
      </c>
      <c r="E1503" t="str">
        <f>VLOOKUP(C1503,inf!$A$2:$B$7,2,FALSE)</f>
        <v>Over 90</v>
      </c>
      <c r="F1503" t="str">
        <f t="shared" si="24"/>
        <v>07/19/2017</v>
      </c>
      <c r="G1503" t="str">
        <f>VLOOKUP(A1503,inf!$D$2:$E$76,2,FALSE)</f>
        <v>Target</v>
      </c>
    </row>
    <row r="1504" spans="1:7" x14ac:dyDescent="0.25">
      <c r="A1504" t="s">
        <v>8</v>
      </c>
      <c r="B1504" s="1">
        <v>42935</v>
      </c>
      <c r="C1504" t="s">
        <v>57</v>
      </c>
      <c r="D1504">
        <v>1308.47</v>
      </c>
      <c r="E1504" t="str">
        <f>VLOOKUP(C1504,inf!$A$2:$B$7,2,FALSE)</f>
        <v>31 to 60</v>
      </c>
      <c r="F1504" t="str">
        <f t="shared" si="24"/>
        <v>07/19/2017</v>
      </c>
      <c r="G1504" t="str">
        <f>VLOOKUP(A1504,inf!$D$2:$E$76,2,FALSE)</f>
        <v>Target</v>
      </c>
    </row>
    <row r="1505" spans="1:7" x14ac:dyDescent="0.25">
      <c r="A1505" t="s">
        <v>8</v>
      </c>
      <c r="B1505" s="1">
        <v>42935</v>
      </c>
      <c r="C1505" t="s">
        <v>56</v>
      </c>
      <c r="D1505">
        <v>997.72</v>
      </c>
      <c r="E1505" t="str">
        <f>VLOOKUP(C1505,inf!$A$2:$B$7,2,FALSE)</f>
        <v>Current</v>
      </c>
      <c r="F1505" t="str">
        <f t="shared" si="24"/>
        <v>07/19/2017</v>
      </c>
      <c r="G1505" t="str">
        <f>VLOOKUP(A1505,inf!$D$2:$E$76,2,FALSE)</f>
        <v>Target</v>
      </c>
    </row>
    <row r="1506" spans="1:7" x14ac:dyDescent="0.25">
      <c r="A1506" t="s">
        <v>8</v>
      </c>
      <c r="B1506" s="1">
        <v>42935</v>
      </c>
      <c r="C1506" t="s">
        <v>58</v>
      </c>
      <c r="D1506">
        <v>375.08</v>
      </c>
      <c r="E1506" t="str">
        <f>VLOOKUP(C1506,inf!$A$2:$B$7,2,FALSE)</f>
        <v>61 to 90</v>
      </c>
      <c r="F1506" t="str">
        <f t="shared" si="24"/>
        <v>07/19/2017</v>
      </c>
      <c r="G1506" t="str">
        <f>VLOOKUP(A1506,inf!$D$2:$E$76,2,FALSE)</f>
        <v>Target</v>
      </c>
    </row>
    <row r="1507" spans="1:7" x14ac:dyDescent="0.25">
      <c r="A1507" t="s">
        <v>8</v>
      </c>
      <c r="B1507" s="1">
        <v>42935</v>
      </c>
      <c r="C1507" t="s">
        <v>59</v>
      </c>
      <c r="D1507">
        <v>21.7</v>
      </c>
      <c r="E1507" t="str">
        <f>VLOOKUP(C1507,inf!$A$2:$B$7,2,FALSE)</f>
        <v>Over 90</v>
      </c>
      <c r="F1507" t="str">
        <f t="shared" si="24"/>
        <v>07/19/2017</v>
      </c>
      <c r="G1507" t="str">
        <f>VLOOKUP(A1507,inf!$D$2:$E$76,2,FALSE)</f>
        <v>Target</v>
      </c>
    </row>
    <row r="1508" spans="1:7" x14ac:dyDescent="0.25">
      <c r="A1508" t="s">
        <v>54</v>
      </c>
      <c r="B1508" s="1">
        <v>42935</v>
      </c>
      <c r="C1508" t="s">
        <v>55</v>
      </c>
      <c r="D1508">
        <v>1053.97</v>
      </c>
      <c r="E1508" t="str">
        <f>VLOOKUP(C1508,inf!$A$2:$B$7,2,FALSE)</f>
        <v>Current</v>
      </c>
      <c r="F1508" t="str">
        <f t="shared" si="24"/>
        <v>07/19/2017</v>
      </c>
      <c r="G1508" t="str">
        <f>VLOOKUP(A1508,inf!$D$2:$E$76,2,FALSE)</f>
        <v>Other</v>
      </c>
    </row>
    <row r="1509" spans="1:7" x14ac:dyDescent="0.25">
      <c r="A1509" t="s">
        <v>54</v>
      </c>
      <c r="B1509" s="1">
        <v>42935</v>
      </c>
      <c r="C1509" t="s">
        <v>56</v>
      </c>
      <c r="D1509">
        <v>488.11</v>
      </c>
      <c r="E1509" t="str">
        <f>VLOOKUP(C1509,inf!$A$2:$B$7,2,FALSE)</f>
        <v>Current</v>
      </c>
      <c r="F1509" t="str">
        <f t="shared" si="24"/>
        <v>07/19/2017</v>
      </c>
      <c r="G1509" t="str">
        <f>VLOOKUP(A1509,inf!$D$2:$E$76,2,FALSE)</f>
        <v>Other</v>
      </c>
    </row>
    <row r="1510" spans="1:7" x14ac:dyDescent="0.25">
      <c r="A1510" t="s">
        <v>15</v>
      </c>
      <c r="B1510" s="1">
        <v>42935</v>
      </c>
      <c r="C1510" t="s">
        <v>55</v>
      </c>
      <c r="D1510">
        <v>417.65000000000003</v>
      </c>
      <c r="E1510" t="str">
        <f>VLOOKUP(C1510,inf!$A$2:$B$7,2,FALSE)</f>
        <v>Current</v>
      </c>
      <c r="F1510" t="str">
        <f t="shared" si="24"/>
        <v>07/19/2017</v>
      </c>
      <c r="G1510" t="str">
        <f>VLOOKUP(A1510,inf!$D$2:$E$76,2,FALSE)</f>
        <v>Other</v>
      </c>
    </row>
    <row r="1511" spans="1:7" x14ac:dyDescent="0.25">
      <c r="A1511" t="s">
        <v>15</v>
      </c>
      <c r="B1511" s="1">
        <v>42935</v>
      </c>
      <c r="C1511" t="s">
        <v>56</v>
      </c>
      <c r="D1511">
        <v>192.78</v>
      </c>
      <c r="E1511" t="str">
        <f>VLOOKUP(C1511,inf!$A$2:$B$7,2,FALSE)</f>
        <v>Current</v>
      </c>
      <c r="F1511" t="str">
        <f t="shared" si="24"/>
        <v>07/19/2017</v>
      </c>
      <c r="G1511" t="str">
        <f>VLOOKUP(A1511,inf!$D$2:$E$76,2,FALSE)</f>
        <v>Other</v>
      </c>
    </row>
    <row r="1512" spans="1:7" x14ac:dyDescent="0.25">
      <c r="A1512" t="s">
        <v>15</v>
      </c>
      <c r="B1512" s="1">
        <v>42935</v>
      </c>
      <c r="C1512" t="s">
        <v>60</v>
      </c>
      <c r="D1512">
        <v>126.05</v>
      </c>
      <c r="E1512" t="str">
        <f>VLOOKUP(C1512,inf!$A$2:$B$7,2,FALSE)</f>
        <v>Over 90</v>
      </c>
      <c r="F1512" t="str">
        <f t="shared" si="24"/>
        <v>07/19/2017</v>
      </c>
      <c r="G1512" t="str">
        <f>VLOOKUP(A1512,inf!$D$2:$E$76,2,FALSE)</f>
        <v>Other</v>
      </c>
    </row>
    <row r="1513" spans="1:7" x14ac:dyDescent="0.25">
      <c r="A1513" t="s">
        <v>61</v>
      </c>
      <c r="B1513" s="1">
        <v>42942</v>
      </c>
      <c r="C1513" t="s">
        <v>55</v>
      </c>
      <c r="D1513">
        <v>295.32</v>
      </c>
      <c r="E1513" t="str">
        <f>VLOOKUP(C1513,inf!$A$2:$B$7,2,FALSE)</f>
        <v>Current</v>
      </c>
      <c r="F1513" t="str">
        <f t="shared" si="24"/>
        <v>07/26/2017</v>
      </c>
      <c r="G1513" t="str">
        <f>VLOOKUP(A1513,inf!$D$2:$E$76,2,FALSE)</f>
        <v>Other</v>
      </c>
    </row>
    <row r="1514" spans="1:7" x14ac:dyDescent="0.25">
      <c r="A1514" t="s">
        <v>4</v>
      </c>
      <c r="B1514" s="1">
        <v>42942</v>
      </c>
      <c r="C1514" t="s">
        <v>55</v>
      </c>
      <c r="D1514">
        <v>5620.75</v>
      </c>
      <c r="E1514" t="str">
        <f>VLOOKUP(C1514,inf!$A$2:$B$7,2,FALSE)</f>
        <v>Current</v>
      </c>
      <c r="F1514" t="str">
        <f t="shared" si="24"/>
        <v>07/26/2017</v>
      </c>
      <c r="G1514" t="str">
        <f>VLOOKUP(A1514,inf!$D$2:$E$76,2,FALSE)</f>
        <v>Other</v>
      </c>
    </row>
    <row r="1515" spans="1:7" x14ac:dyDescent="0.25">
      <c r="A1515" t="s">
        <v>26</v>
      </c>
      <c r="B1515" s="1">
        <v>42942</v>
      </c>
      <c r="C1515" t="s">
        <v>60</v>
      </c>
      <c r="D1515">
        <v>1380.77</v>
      </c>
      <c r="E1515" t="str">
        <f>VLOOKUP(C1515,inf!$A$2:$B$7,2,FALSE)</f>
        <v>Over 90</v>
      </c>
      <c r="F1515" t="str">
        <f t="shared" si="24"/>
        <v>07/26/2017</v>
      </c>
      <c r="G1515" t="str">
        <f>VLOOKUP(A1515,inf!$D$2:$E$76,2,FALSE)</f>
        <v>Other</v>
      </c>
    </row>
    <row r="1516" spans="1:7" x14ac:dyDescent="0.25">
      <c r="A1516" t="s">
        <v>2</v>
      </c>
      <c r="B1516" s="1">
        <v>42942</v>
      </c>
      <c r="C1516" t="s">
        <v>60</v>
      </c>
      <c r="D1516">
        <v>3717.8600000000006</v>
      </c>
      <c r="E1516" t="str">
        <f>VLOOKUP(C1516,inf!$A$2:$B$7,2,FALSE)</f>
        <v>Over 90</v>
      </c>
      <c r="F1516" t="str">
        <f t="shared" si="24"/>
        <v>07/26/2017</v>
      </c>
      <c r="G1516" t="str">
        <f>VLOOKUP(A1516,inf!$D$2:$E$76,2,FALSE)</f>
        <v>Other</v>
      </c>
    </row>
    <row r="1517" spans="1:7" x14ac:dyDescent="0.25">
      <c r="A1517" t="s">
        <v>32</v>
      </c>
      <c r="B1517" s="1">
        <v>42942</v>
      </c>
      <c r="C1517" t="s">
        <v>56</v>
      </c>
      <c r="D1517">
        <v>424.53</v>
      </c>
      <c r="E1517" t="str">
        <f>VLOOKUP(C1517,inf!$A$2:$B$7,2,FALSE)</f>
        <v>Current</v>
      </c>
      <c r="F1517" t="str">
        <f t="shared" si="24"/>
        <v>07/26/2017</v>
      </c>
      <c r="G1517" t="str">
        <f>VLOOKUP(A1517,inf!$D$2:$E$76,2,FALSE)</f>
        <v>Other</v>
      </c>
    </row>
    <row r="1518" spans="1:7" x14ac:dyDescent="0.25">
      <c r="A1518" t="s">
        <v>52</v>
      </c>
      <c r="B1518" s="1">
        <v>42942</v>
      </c>
      <c r="C1518" t="s">
        <v>55</v>
      </c>
      <c r="D1518">
        <v>3726.03</v>
      </c>
      <c r="E1518" t="str">
        <f>VLOOKUP(C1518,inf!$A$2:$B$7,2,FALSE)</f>
        <v>Current</v>
      </c>
      <c r="F1518" t="str">
        <f t="shared" si="24"/>
        <v>07/26/2017</v>
      </c>
      <c r="G1518" t="str">
        <f>VLOOKUP(A1518,inf!$D$2:$E$76,2,FALSE)</f>
        <v>Other</v>
      </c>
    </row>
    <row r="1519" spans="1:7" x14ac:dyDescent="0.25">
      <c r="A1519" t="s">
        <v>19</v>
      </c>
      <c r="B1519" s="1">
        <v>42942</v>
      </c>
      <c r="C1519" t="s">
        <v>59</v>
      </c>
      <c r="D1519">
        <v>565.36</v>
      </c>
      <c r="E1519" t="str">
        <f>VLOOKUP(C1519,inf!$A$2:$B$7,2,FALSE)</f>
        <v>Over 90</v>
      </c>
      <c r="F1519" t="str">
        <f t="shared" si="24"/>
        <v>07/26/2017</v>
      </c>
      <c r="G1519" t="str">
        <f>VLOOKUP(A1519,inf!$D$2:$E$76,2,FALSE)</f>
        <v>Other</v>
      </c>
    </row>
    <row r="1520" spans="1:7" x14ac:dyDescent="0.25">
      <c r="A1520" t="s">
        <v>19</v>
      </c>
      <c r="B1520" s="1">
        <v>42942</v>
      </c>
      <c r="C1520" t="s">
        <v>56</v>
      </c>
      <c r="D1520">
        <v>258.41000000000003</v>
      </c>
      <c r="E1520" t="str">
        <f>VLOOKUP(C1520,inf!$A$2:$B$7,2,FALSE)</f>
        <v>Current</v>
      </c>
      <c r="F1520" t="str">
        <f t="shared" si="24"/>
        <v>07/26/2017</v>
      </c>
      <c r="G1520" t="str">
        <f>VLOOKUP(A1520,inf!$D$2:$E$76,2,FALSE)</f>
        <v>Other</v>
      </c>
    </row>
    <row r="1521" spans="1:7" x14ac:dyDescent="0.25">
      <c r="A1521" t="s">
        <v>25</v>
      </c>
      <c r="B1521" s="1">
        <v>42942</v>
      </c>
      <c r="C1521" t="s">
        <v>55</v>
      </c>
      <c r="D1521">
        <v>821.81</v>
      </c>
      <c r="E1521" t="str">
        <f>VLOOKUP(C1521,inf!$A$2:$B$7,2,FALSE)</f>
        <v>Current</v>
      </c>
      <c r="F1521" t="str">
        <f t="shared" si="24"/>
        <v>07/26/2017</v>
      </c>
      <c r="G1521" t="str">
        <f>VLOOKUP(A1521,inf!$D$2:$E$76,2,FALSE)</f>
        <v>Other</v>
      </c>
    </row>
    <row r="1522" spans="1:7" x14ac:dyDescent="0.25">
      <c r="A1522" t="s">
        <v>25</v>
      </c>
      <c r="B1522" s="1">
        <v>42942</v>
      </c>
      <c r="C1522" t="s">
        <v>56</v>
      </c>
      <c r="D1522">
        <v>351.41</v>
      </c>
      <c r="E1522" t="str">
        <f>VLOOKUP(C1522,inf!$A$2:$B$7,2,FALSE)</f>
        <v>Current</v>
      </c>
      <c r="F1522" t="str">
        <f t="shared" si="24"/>
        <v>07/26/2017</v>
      </c>
      <c r="G1522" t="str">
        <f>VLOOKUP(A1522,inf!$D$2:$E$76,2,FALSE)</f>
        <v>Other</v>
      </c>
    </row>
    <row r="1523" spans="1:7" x14ac:dyDescent="0.25">
      <c r="A1523" t="s">
        <v>31</v>
      </c>
      <c r="B1523" s="1">
        <v>42942</v>
      </c>
      <c r="C1523" t="s">
        <v>55</v>
      </c>
      <c r="D1523">
        <v>296.71000000000004</v>
      </c>
      <c r="E1523" t="str">
        <f>VLOOKUP(C1523,inf!$A$2:$B$7,2,FALSE)</f>
        <v>Current</v>
      </c>
      <c r="F1523" t="str">
        <f t="shared" si="24"/>
        <v>07/26/2017</v>
      </c>
      <c r="G1523" t="str">
        <f>VLOOKUP(A1523,inf!$D$2:$E$76,2,FALSE)</f>
        <v>Other</v>
      </c>
    </row>
    <row r="1524" spans="1:7" x14ac:dyDescent="0.25">
      <c r="A1524" t="s">
        <v>24</v>
      </c>
      <c r="B1524" s="1">
        <v>42942</v>
      </c>
      <c r="C1524" t="s">
        <v>58</v>
      </c>
      <c r="D1524">
        <v>308.7</v>
      </c>
      <c r="E1524" t="str">
        <f>VLOOKUP(C1524,inf!$A$2:$B$7,2,FALSE)</f>
        <v>61 to 90</v>
      </c>
      <c r="F1524" t="str">
        <f t="shared" si="24"/>
        <v>07/26/2017</v>
      </c>
      <c r="G1524" t="str">
        <f>VLOOKUP(A1524,inf!$D$2:$E$76,2,FALSE)</f>
        <v>Other</v>
      </c>
    </row>
    <row r="1525" spans="1:7" x14ac:dyDescent="0.25">
      <c r="A1525" t="s">
        <v>18</v>
      </c>
      <c r="B1525" s="1">
        <v>42942</v>
      </c>
      <c r="C1525" t="s">
        <v>56</v>
      </c>
      <c r="D1525">
        <v>1320.39</v>
      </c>
      <c r="E1525" t="str">
        <f>VLOOKUP(C1525,inf!$A$2:$B$7,2,FALSE)</f>
        <v>Current</v>
      </c>
      <c r="F1525" t="str">
        <f t="shared" si="24"/>
        <v>07/26/2017</v>
      </c>
      <c r="G1525" t="str">
        <f>VLOOKUP(A1525,inf!$D$2:$E$76,2,FALSE)</f>
        <v>Other</v>
      </c>
    </row>
    <row r="1526" spans="1:7" x14ac:dyDescent="0.25">
      <c r="A1526" t="s">
        <v>18</v>
      </c>
      <c r="B1526" s="1">
        <v>42942</v>
      </c>
      <c r="C1526" t="s">
        <v>55</v>
      </c>
      <c r="D1526">
        <v>155.52000000000001</v>
      </c>
      <c r="E1526" t="str">
        <f>VLOOKUP(C1526,inf!$A$2:$B$7,2,FALSE)</f>
        <v>Current</v>
      </c>
      <c r="F1526" t="str">
        <f t="shared" si="24"/>
        <v>07/26/2017</v>
      </c>
      <c r="G1526" t="str">
        <f>VLOOKUP(A1526,inf!$D$2:$E$76,2,FALSE)</f>
        <v>Other</v>
      </c>
    </row>
    <row r="1527" spans="1:7" x14ac:dyDescent="0.25">
      <c r="A1527" t="s">
        <v>27</v>
      </c>
      <c r="B1527" s="1">
        <v>42942</v>
      </c>
      <c r="C1527" t="s">
        <v>55</v>
      </c>
      <c r="D1527">
        <v>1314.1999999999998</v>
      </c>
      <c r="E1527" t="str">
        <f>VLOOKUP(C1527,inf!$A$2:$B$7,2,FALSE)</f>
        <v>Current</v>
      </c>
      <c r="F1527" t="str">
        <f t="shared" si="24"/>
        <v>07/26/2017</v>
      </c>
      <c r="G1527" t="str">
        <f>VLOOKUP(A1527,inf!$D$2:$E$76,2,FALSE)</f>
        <v>Other</v>
      </c>
    </row>
    <row r="1528" spans="1:7" x14ac:dyDescent="0.25">
      <c r="A1528" t="s">
        <v>21</v>
      </c>
      <c r="B1528" s="1">
        <v>42942</v>
      </c>
      <c r="C1528" t="s">
        <v>58</v>
      </c>
      <c r="D1528">
        <v>666.87</v>
      </c>
      <c r="E1528" t="str">
        <f>VLOOKUP(C1528,inf!$A$2:$B$7,2,FALSE)</f>
        <v>61 to 90</v>
      </c>
      <c r="F1528" t="str">
        <f t="shared" si="24"/>
        <v>07/26/2017</v>
      </c>
      <c r="G1528" t="str">
        <f>VLOOKUP(A1528,inf!$D$2:$E$76,2,FALSE)</f>
        <v>Other</v>
      </c>
    </row>
    <row r="1529" spans="1:7" x14ac:dyDescent="0.25">
      <c r="A1529" t="s">
        <v>21</v>
      </c>
      <c r="B1529" s="1">
        <v>42942</v>
      </c>
      <c r="C1529" t="s">
        <v>56</v>
      </c>
      <c r="D1529">
        <v>425.96</v>
      </c>
      <c r="E1529" t="str">
        <f>VLOOKUP(C1529,inf!$A$2:$B$7,2,FALSE)</f>
        <v>Current</v>
      </c>
      <c r="F1529" t="str">
        <f t="shared" si="24"/>
        <v>07/26/2017</v>
      </c>
      <c r="G1529" t="str">
        <f>VLOOKUP(A1529,inf!$D$2:$E$76,2,FALSE)</f>
        <v>Other</v>
      </c>
    </row>
    <row r="1530" spans="1:7" x14ac:dyDescent="0.25">
      <c r="A1530" t="s">
        <v>53</v>
      </c>
      <c r="B1530" s="1">
        <v>42942</v>
      </c>
      <c r="C1530" t="s">
        <v>56</v>
      </c>
      <c r="D1530">
        <v>479.54</v>
      </c>
      <c r="E1530" t="str">
        <f>VLOOKUP(C1530,inf!$A$2:$B$7,2,FALSE)</f>
        <v>Current</v>
      </c>
      <c r="F1530" t="str">
        <f t="shared" si="24"/>
        <v>07/26/2017</v>
      </c>
      <c r="G1530" t="str">
        <f>VLOOKUP(A1530,inf!$D$2:$E$76,2,FALSE)</f>
        <v>Other</v>
      </c>
    </row>
    <row r="1531" spans="1:7" x14ac:dyDescent="0.25">
      <c r="A1531" t="s">
        <v>3</v>
      </c>
      <c r="B1531" s="1">
        <v>42942</v>
      </c>
      <c r="C1531" t="s">
        <v>55</v>
      </c>
      <c r="D1531">
        <v>1092.1600000000001</v>
      </c>
      <c r="E1531" t="str">
        <f>VLOOKUP(C1531,inf!$A$2:$B$7,2,FALSE)</f>
        <v>Current</v>
      </c>
      <c r="F1531" t="str">
        <f t="shared" si="24"/>
        <v>07/26/2017</v>
      </c>
      <c r="G1531" t="str">
        <f>VLOOKUP(A1531,inf!$D$2:$E$76,2,FALSE)</f>
        <v>Other</v>
      </c>
    </row>
    <row r="1532" spans="1:7" x14ac:dyDescent="0.25">
      <c r="A1532" t="s">
        <v>3</v>
      </c>
      <c r="B1532" s="1">
        <v>42942</v>
      </c>
      <c r="C1532" t="s">
        <v>57</v>
      </c>
      <c r="D1532">
        <v>306.85000000000002</v>
      </c>
      <c r="E1532" t="str">
        <f>VLOOKUP(C1532,inf!$A$2:$B$7,2,FALSE)</f>
        <v>31 to 60</v>
      </c>
      <c r="F1532" t="str">
        <f t="shared" si="24"/>
        <v>07/26/2017</v>
      </c>
      <c r="G1532" t="str">
        <f>VLOOKUP(A1532,inf!$D$2:$E$76,2,FALSE)</f>
        <v>Other</v>
      </c>
    </row>
    <row r="1533" spans="1:7" x14ac:dyDescent="0.25">
      <c r="A1533" t="s">
        <v>30</v>
      </c>
      <c r="B1533" s="1">
        <v>42942</v>
      </c>
      <c r="C1533" t="s">
        <v>56</v>
      </c>
      <c r="D1533">
        <v>1561</v>
      </c>
      <c r="E1533" t="str">
        <f>VLOOKUP(C1533,inf!$A$2:$B$7,2,FALSE)</f>
        <v>Current</v>
      </c>
      <c r="F1533" t="str">
        <f t="shared" si="24"/>
        <v>07/26/2017</v>
      </c>
      <c r="G1533" t="str">
        <f>VLOOKUP(A1533,inf!$D$2:$E$76,2,FALSE)</f>
        <v>Other</v>
      </c>
    </row>
    <row r="1534" spans="1:7" x14ac:dyDescent="0.25">
      <c r="A1534" t="s">
        <v>30</v>
      </c>
      <c r="B1534" s="1">
        <v>42942</v>
      </c>
      <c r="C1534" t="s">
        <v>55</v>
      </c>
      <c r="D1534">
        <v>458.40999999999997</v>
      </c>
      <c r="E1534" t="str">
        <f>VLOOKUP(C1534,inf!$A$2:$B$7,2,FALSE)</f>
        <v>Current</v>
      </c>
      <c r="F1534" t="str">
        <f t="shared" si="24"/>
        <v>07/26/2017</v>
      </c>
      <c r="G1534" t="str">
        <f>VLOOKUP(A1534,inf!$D$2:$E$76,2,FALSE)</f>
        <v>Other</v>
      </c>
    </row>
    <row r="1535" spans="1:7" x14ac:dyDescent="0.25">
      <c r="A1535" t="s">
        <v>12</v>
      </c>
      <c r="B1535" s="1">
        <v>42942</v>
      </c>
      <c r="C1535" t="s">
        <v>57</v>
      </c>
      <c r="D1535">
        <v>679.2</v>
      </c>
      <c r="E1535" t="str">
        <f>VLOOKUP(C1535,inf!$A$2:$B$7,2,FALSE)</f>
        <v>31 to 60</v>
      </c>
      <c r="F1535" t="str">
        <f t="shared" si="24"/>
        <v>07/26/2017</v>
      </c>
      <c r="G1535" t="str">
        <f>VLOOKUP(A1535,inf!$D$2:$E$76,2,FALSE)</f>
        <v>Other</v>
      </c>
    </row>
    <row r="1536" spans="1:7" x14ac:dyDescent="0.25">
      <c r="A1536" t="s">
        <v>12</v>
      </c>
      <c r="B1536" s="1">
        <v>42942</v>
      </c>
      <c r="C1536" t="s">
        <v>55</v>
      </c>
      <c r="D1536">
        <v>602.6</v>
      </c>
      <c r="E1536" t="str">
        <f>VLOOKUP(C1536,inf!$A$2:$B$7,2,FALSE)</f>
        <v>Current</v>
      </c>
      <c r="F1536" t="str">
        <f t="shared" si="24"/>
        <v>07/26/2017</v>
      </c>
      <c r="G1536" t="str">
        <f>VLOOKUP(A1536,inf!$D$2:$E$76,2,FALSE)</f>
        <v>Other</v>
      </c>
    </row>
    <row r="1537" spans="1:7" x14ac:dyDescent="0.25">
      <c r="A1537" t="s">
        <v>12</v>
      </c>
      <c r="B1537" s="1">
        <v>42942</v>
      </c>
      <c r="C1537" t="s">
        <v>56</v>
      </c>
      <c r="D1537">
        <v>229.94</v>
      </c>
      <c r="E1537" t="str">
        <f>VLOOKUP(C1537,inf!$A$2:$B$7,2,FALSE)</f>
        <v>Current</v>
      </c>
      <c r="F1537" t="str">
        <f t="shared" si="24"/>
        <v>07/26/2017</v>
      </c>
      <c r="G1537" t="str">
        <f>VLOOKUP(A1537,inf!$D$2:$E$76,2,FALSE)</f>
        <v>Other</v>
      </c>
    </row>
    <row r="1538" spans="1:7" x14ac:dyDescent="0.25">
      <c r="A1538" t="s">
        <v>7</v>
      </c>
      <c r="B1538" s="1">
        <v>42942</v>
      </c>
      <c r="C1538" t="s">
        <v>55</v>
      </c>
      <c r="D1538">
        <v>177489.27000000005</v>
      </c>
      <c r="E1538" t="str">
        <f>VLOOKUP(C1538,inf!$A$2:$B$7,2,FALSE)</f>
        <v>Current</v>
      </c>
      <c r="F1538" t="str">
        <f t="shared" si="24"/>
        <v>07/26/2017</v>
      </c>
      <c r="G1538" t="str">
        <f>VLOOKUP(A1538,inf!$D$2:$E$76,2,FALSE)</f>
        <v>SAFEWAY</v>
      </c>
    </row>
    <row r="1539" spans="1:7" x14ac:dyDescent="0.25">
      <c r="A1539" t="s">
        <v>7</v>
      </c>
      <c r="B1539" s="1">
        <v>42942</v>
      </c>
      <c r="C1539" t="s">
        <v>56</v>
      </c>
      <c r="D1539">
        <v>1390.66</v>
      </c>
      <c r="E1539" t="str">
        <f>VLOOKUP(C1539,inf!$A$2:$B$7,2,FALSE)</f>
        <v>Current</v>
      </c>
      <c r="F1539" t="str">
        <f t="shared" ref="F1539:F1602" si="25">TEXT(B1539,"MM/DD/YYYY")</f>
        <v>07/26/2017</v>
      </c>
      <c r="G1539" t="str">
        <f>VLOOKUP(A1539,inf!$D$2:$E$76,2,FALSE)</f>
        <v>SAFEWAY</v>
      </c>
    </row>
    <row r="1540" spans="1:7" x14ac:dyDescent="0.25">
      <c r="A1540" t="s">
        <v>7</v>
      </c>
      <c r="B1540" s="1">
        <v>42942</v>
      </c>
      <c r="C1540" t="s">
        <v>57</v>
      </c>
      <c r="D1540">
        <v>1272.1400000000001</v>
      </c>
      <c r="E1540" t="str">
        <f>VLOOKUP(C1540,inf!$A$2:$B$7,2,FALSE)</f>
        <v>31 to 60</v>
      </c>
      <c r="F1540" t="str">
        <f t="shared" si="25"/>
        <v>07/26/2017</v>
      </c>
      <c r="G1540" t="str">
        <f>VLOOKUP(A1540,inf!$D$2:$E$76,2,FALSE)</f>
        <v>SAFEWAY</v>
      </c>
    </row>
    <row r="1541" spans="1:7" x14ac:dyDescent="0.25">
      <c r="A1541" t="s">
        <v>7</v>
      </c>
      <c r="B1541" s="1">
        <v>42942</v>
      </c>
      <c r="C1541" t="s">
        <v>58</v>
      </c>
      <c r="D1541">
        <v>563.45000000000005</v>
      </c>
      <c r="E1541" t="str">
        <f>VLOOKUP(C1541,inf!$A$2:$B$7,2,FALSE)</f>
        <v>61 to 90</v>
      </c>
      <c r="F1541" t="str">
        <f t="shared" si="25"/>
        <v>07/26/2017</v>
      </c>
      <c r="G1541" t="str">
        <f>VLOOKUP(A1541,inf!$D$2:$E$76,2,FALSE)</f>
        <v>SAFEWAY</v>
      </c>
    </row>
    <row r="1542" spans="1:7" x14ac:dyDescent="0.25">
      <c r="A1542" t="s">
        <v>5</v>
      </c>
      <c r="B1542" s="1">
        <v>42942</v>
      </c>
      <c r="C1542" t="s">
        <v>55</v>
      </c>
      <c r="D1542" s="5">
        <v>3936210.3800000045</v>
      </c>
      <c r="E1542" t="str">
        <f>VLOOKUP(C1542,inf!$A$2:$B$7,2,FALSE)</f>
        <v>Current</v>
      </c>
      <c r="F1542" t="str">
        <f t="shared" si="25"/>
        <v>07/26/2017</v>
      </c>
      <c r="G1542" t="str">
        <f>VLOOKUP(A1542,inf!$D$2:$E$76,2,FALSE)</f>
        <v>SBUX</v>
      </c>
    </row>
    <row r="1543" spans="1:7" x14ac:dyDescent="0.25">
      <c r="A1543" t="s">
        <v>5</v>
      </c>
      <c r="B1543" s="1">
        <v>42942</v>
      </c>
      <c r="C1543" t="s">
        <v>60</v>
      </c>
      <c r="D1543" s="5">
        <v>78153.27</v>
      </c>
      <c r="E1543" t="str">
        <f>VLOOKUP(C1543,inf!$A$2:$B$7,2,FALSE)</f>
        <v>Over 90</v>
      </c>
      <c r="F1543" t="str">
        <f t="shared" si="25"/>
        <v>07/26/2017</v>
      </c>
      <c r="G1543" t="str">
        <f>VLOOKUP(A1543,inf!$D$2:$E$76,2,FALSE)</f>
        <v>SBUX</v>
      </c>
    </row>
    <row r="1544" spans="1:7" x14ac:dyDescent="0.25">
      <c r="A1544" t="s">
        <v>5</v>
      </c>
      <c r="B1544" s="1">
        <v>42942</v>
      </c>
      <c r="C1544" t="s">
        <v>56</v>
      </c>
      <c r="D1544">
        <v>36451.93</v>
      </c>
      <c r="E1544" t="str">
        <f>VLOOKUP(C1544,inf!$A$2:$B$7,2,FALSE)</f>
        <v>Current</v>
      </c>
      <c r="F1544" t="str">
        <f t="shared" si="25"/>
        <v>07/26/2017</v>
      </c>
      <c r="G1544" t="str">
        <f>VLOOKUP(A1544,inf!$D$2:$E$76,2,FALSE)</f>
        <v>SBUX</v>
      </c>
    </row>
    <row r="1545" spans="1:7" x14ac:dyDescent="0.25">
      <c r="A1545" t="s">
        <v>5</v>
      </c>
      <c r="B1545" s="1">
        <v>42942</v>
      </c>
      <c r="C1545" t="s">
        <v>57</v>
      </c>
      <c r="D1545">
        <v>19262.78</v>
      </c>
      <c r="E1545" t="str">
        <f>VLOOKUP(C1545,inf!$A$2:$B$7,2,FALSE)</f>
        <v>31 to 60</v>
      </c>
      <c r="F1545" t="str">
        <f t="shared" si="25"/>
        <v>07/26/2017</v>
      </c>
      <c r="G1545" t="str">
        <f>VLOOKUP(A1545,inf!$D$2:$E$76,2,FALSE)</f>
        <v>SBUX</v>
      </c>
    </row>
    <row r="1546" spans="1:7" x14ac:dyDescent="0.25">
      <c r="A1546" t="s">
        <v>5</v>
      </c>
      <c r="B1546" s="1">
        <v>42942</v>
      </c>
      <c r="C1546" t="s">
        <v>58</v>
      </c>
      <c r="D1546">
        <v>3038.46</v>
      </c>
      <c r="E1546" t="str">
        <f>VLOOKUP(C1546,inf!$A$2:$B$7,2,FALSE)</f>
        <v>61 to 90</v>
      </c>
      <c r="F1546" t="str">
        <f t="shared" si="25"/>
        <v>07/26/2017</v>
      </c>
      <c r="G1546" t="str">
        <f>VLOOKUP(A1546,inf!$D$2:$E$76,2,FALSE)</f>
        <v>SBUX</v>
      </c>
    </row>
    <row r="1547" spans="1:7" x14ac:dyDescent="0.25">
      <c r="A1547" t="s">
        <v>5</v>
      </c>
      <c r="B1547" s="1">
        <v>42942</v>
      </c>
      <c r="C1547" t="s">
        <v>59</v>
      </c>
      <c r="D1547">
        <v>1849.02</v>
      </c>
      <c r="E1547" t="str">
        <f>VLOOKUP(C1547,inf!$A$2:$B$7,2,FALSE)</f>
        <v>Over 90</v>
      </c>
      <c r="F1547" t="str">
        <f t="shared" si="25"/>
        <v>07/26/2017</v>
      </c>
      <c r="G1547" t="str">
        <f>VLOOKUP(A1547,inf!$D$2:$E$76,2,FALSE)</f>
        <v>SBUX</v>
      </c>
    </row>
    <row r="1548" spans="1:7" x14ac:dyDescent="0.25">
      <c r="A1548" t="s">
        <v>6</v>
      </c>
      <c r="B1548" s="1">
        <v>42942</v>
      </c>
      <c r="C1548" t="s">
        <v>55</v>
      </c>
      <c r="D1548">
        <v>501230.65999999677</v>
      </c>
      <c r="E1548" t="str">
        <f>VLOOKUP(C1548,inf!$A$2:$B$7,2,FALSE)</f>
        <v>Current</v>
      </c>
      <c r="F1548" t="str">
        <f t="shared" si="25"/>
        <v>07/26/2017</v>
      </c>
      <c r="G1548" t="str">
        <f>VLOOKUP(A1548,inf!$D$2:$E$76,2,FALSE)</f>
        <v>SBUX</v>
      </c>
    </row>
    <row r="1549" spans="1:7" x14ac:dyDescent="0.25">
      <c r="A1549" t="s">
        <v>6</v>
      </c>
      <c r="B1549" s="1">
        <v>42942</v>
      </c>
      <c r="C1549" t="s">
        <v>60</v>
      </c>
      <c r="D1549">
        <v>8212.93</v>
      </c>
      <c r="E1549" t="str">
        <f>VLOOKUP(C1549,inf!$A$2:$B$7,2,FALSE)</f>
        <v>Over 90</v>
      </c>
      <c r="F1549" t="str">
        <f t="shared" si="25"/>
        <v>07/26/2017</v>
      </c>
      <c r="G1549" t="str">
        <f>VLOOKUP(A1549,inf!$D$2:$E$76,2,FALSE)</f>
        <v>SBUX</v>
      </c>
    </row>
    <row r="1550" spans="1:7" x14ac:dyDescent="0.25">
      <c r="A1550" t="s">
        <v>6</v>
      </c>
      <c r="B1550" s="1">
        <v>42942</v>
      </c>
      <c r="C1550" t="s">
        <v>56</v>
      </c>
      <c r="D1550">
        <v>4720.96</v>
      </c>
      <c r="E1550" t="str">
        <f>VLOOKUP(C1550,inf!$A$2:$B$7,2,FALSE)</f>
        <v>Current</v>
      </c>
      <c r="F1550" t="str">
        <f t="shared" si="25"/>
        <v>07/26/2017</v>
      </c>
      <c r="G1550" t="str">
        <f>VLOOKUP(A1550,inf!$D$2:$E$76,2,FALSE)</f>
        <v>SBUX</v>
      </c>
    </row>
    <row r="1551" spans="1:7" x14ac:dyDescent="0.25">
      <c r="A1551" t="s">
        <v>6</v>
      </c>
      <c r="B1551" s="1">
        <v>42942</v>
      </c>
      <c r="C1551" t="s">
        <v>59</v>
      </c>
      <c r="D1551">
        <v>830.83</v>
      </c>
      <c r="E1551" t="str">
        <f>VLOOKUP(C1551,inf!$A$2:$B$7,2,FALSE)</f>
        <v>Over 90</v>
      </c>
      <c r="F1551" t="str">
        <f t="shared" si="25"/>
        <v>07/26/2017</v>
      </c>
      <c r="G1551" t="str">
        <f>VLOOKUP(A1551,inf!$D$2:$E$76,2,FALSE)</f>
        <v>SBUX</v>
      </c>
    </row>
    <row r="1552" spans="1:7" x14ac:dyDescent="0.25">
      <c r="A1552" t="s">
        <v>6</v>
      </c>
      <c r="B1552" s="1">
        <v>42942</v>
      </c>
      <c r="C1552" t="s">
        <v>58</v>
      </c>
      <c r="D1552">
        <v>274.27999999999997</v>
      </c>
      <c r="E1552" t="str">
        <f>VLOOKUP(C1552,inf!$A$2:$B$7,2,FALSE)</f>
        <v>61 to 90</v>
      </c>
      <c r="F1552" t="str">
        <f t="shared" si="25"/>
        <v>07/26/2017</v>
      </c>
      <c r="G1552" t="str">
        <f>VLOOKUP(A1552,inf!$D$2:$E$76,2,FALSE)</f>
        <v>SBUX</v>
      </c>
    </row>
    <row r="1553" spans="1:7" x14ac:dyDescent="0.25">
      <c r="A1553" t="s">
        <v>6</v>
      </c>
      <c r="B1553" s="1">
        <v>42942</v>
      </c>
      <c r="C1553" t="s">
        <v>57</v>
      </c>
      <c r="D1553">
        <v>197.64</v>
      </c>
      <c r="E1553" t="str">
        <f>VLOOKUP(C1553,inf!$A$2:$B$7,2,FALSE)</f>
        <v>31 to 60</v>
      </c>
      <c r="F1553" t="str">
        <f t="shared" si="25"/>
        <v>07/26/2017</v>
      </c>
      <c r="G1553" t="str">
        <f>VLOOKUP(A1553,inf!$D$2:$E$76,2,FALSE)</f>
        <v>SBUX</v>
      </c>
    </row>
    <row r="1554" spans="1:7" x14ac:dyDescent="0.25">
      <c r="A1554" t="s">
        <v>49</v>
      </c>
      <c r="B1554" s="1">
        <v>42942</v>
      </c>
      <c r="C1554" t="s">
        <v>56</v>
      </c>
      <c r="D1554">
        <v>150.36000000000001</v>
      </c>
      <c r="E1554" t="str">
        <f>VLOOKUP(C1554,inf!$A$2:$B$7,2,FALSE)</f>
        <v>Current</v>
      </c>
      <c r="F1554" t="str">
        <f t="shared" si="25"/>
        <v>07/26/2017</v>
      </c>
      <c r="G1554" t="str">
        <f>VLOOKUP(A1554,inf!$D$2:$E$76,2,FALSE)</f>
        <v>Other</v>
      </c>
    </row>
    <row r="1555" spans="1:7" x14ac:dyDescent="0.25">
      <c r="A1555" t="s">
        <v>51</v>
      </c>
      <c r="B1555" s="1">
        <v>42942</v>
      </c>
      <c r="C1555" t="s">
        <v>58</v>
      </c>
      <c r="D1555">
        <v>235.2</v>
      </c>
      <c r="E1555" t="str">
        <f>VLOOKUP(C1555,inf!$A$2:$B$7,2,FALSE)</f>
        <v>61 to 90</v>
      </c>
      <c r="F1555" t="str">
        <f t="shared" si="25"/>
        <v>07/26/2017</v>
      </c>
      <c r="G1555" t="str">
        <f>VLOOKUP(A1555,inf!$D$2:$E$76,2,FALSE)</f>
        <v>Other</v>
      </c>
    </row>
    <row r="1556" spans="1:7" x14ac:dyDescent="0.25">
      <c r="A1556" t="s">
        <v>48</v>
      </c>
      <c r="B1556" s="1">
        <v>42942</v>
      </c>
      <c r="C1556" t="s">
        <v>55</v>
      </c>
      <c r="D1556">
        <v>80246.91</v>
      </c>
      <c r="E1556" t="str">
        <f>VLOOKUP(C1556,inf!$A$2:$B$7,2,FALSE)</f>
        <v>Current</v>
      </c>
      <c r="F1556" t="str">
        <f t="shared" si="25"/>
        <v>07/26/2017</v>
      </c>
      <c r="G1556" t="str">
        <f>VLOOKUP(A1556,inf!$D$2:$E$76,2,FALSE)</f>
        <v>Target</v>
      </c>
    </row>
    <row r="1557" spans="1:7" x14ac:dyDescent="0.25">
      <c r="A1557" t="s">
        <v>48</v>
      </c>
      <c r="B1557" s="1">
        <v>42942</v>
      </c>
      <c r="C1557" t="s">
        <v>56</v>
      </c>
      <c r="D1557">
        <v>715.5</v>
      </c>
      <c r="E1557" t="str">
        <f>VLOOKUP(C1557,inf!$A$2:$B$7,2,FALSE)</f>
        <v>Current</v>
      </c>
      <c r="F1557" t="str">
        <f t="shared" si="25"/>
        <v>07/26/2017</v>
      </c>
      <c r="G1557" t="str">
        <f>VLOOKUP(A1557,inf!$D$2:$E$76,2,FALSE)</f>
        <v>Target</v>
      </c>
    </row>
    <row r="1558" spans="1:7" x14ac:dyDescent="0.25">
      <c r="A1558" t="s">
        <v>8</v>
      </c>
      <c r="B1558" s="1">
        <v>42942</v>
      </c>
      <c r="C1558" t="s">
        <v>55</v>
      </c>
      <c r="D1558">
        <v>342592.07000000076</v>
      </c>
      <c r="E1558" t="str">
        <f>VLOOKUP(C1558,inf!$A$2:$B$7,2,FALSE)</f>
        <v>Current</v>
      </c>
      <c r="F1558" t="str">
        <f t="shared" si="25"/>
        <v>07/26/2017</v>
      </c>
      <c r="G1558" t="str">
        <f>VLOOKUP(A1558,inf!$D$2:$E$76,2,FALSE)</f>
        <v>Target</v>
      </c>
    </row>
    <row r="1559" spans="1:7" x14ac:dyDescent="0.25">
      <c r="A1559" t="s">
        <v>8</v>
      </c>
      <c r="B1559" s="1">
        <v>42942</v>
      </c>
      <c r="C1559" t="s">
        <v>60</v>
      </c>
      <c r="D1559">
        <v>20442.219999999998</v>
      </c>
      <c r="E1559" t="str">
        <f>VLOOKUP(C1559,inf!$A$2:$B$7,2,FALSE)</f>
        <v>Over 90</v>
      </c>
      <c r="F1559" t="str">
        <f t="shared" si="25"/>
        <v>07/26/2017</v>
      </c>
      <c r="G1559" t="str">
        <f>VLOOKUP(A1559,inf!$D$2:$E$76,2,FALSE)</f>
        <v>Target</v>
      </c>
    </row>
    <row r="1560" spans="1:7" x14ac:dyDescent="0.25">
      <c r="A1560" t="s">
        <v>8</v>
      </c>
      <c r="B1560" s="1">
        <v>42942</v>
      </c>
      <c r="C1560" t="s">
        <v>56</v>
      </c>
      <c r="D1560">
        <v>17947.82</v>
      </c>
      <c r="E1560" t="str">
        <f>VLOOKUP(C1560,inf!$A$2:$B$7,2,FALSE)</f>
        <v>Current</v>
      </c>
      <c r="F1560" t="str">
        <f t="shared" si="25"/>
        <v>07/26/2017</v>
      </c>
      <c r="G1560" t="str">
        <f>VLOOKUP(A1560,inf!$D$2:$E$76,2,FALSE)</f>
        <v>Target</v>
      </c>
    </row>
    <row r="1561" spans="1:7" x14ac:dyDescent="0.25">
      <c r="A1561" t="s">
        <v>8</v>
      </c>
      <c r="B1561" s="1">
        <v>42942</v>
      </c>
      <c r="C1561" t="s">
        <v>57</v>
      </c>
      <c r="D1561">
        <v>1864.27</v>
      </c>
      <c r="E1561" t="str">
        <f>VLOOKUP(C1561,inf!$A$2:$B$7,2,FALSE)</f>
        <v>31 to 60</v>
      </c>
      <c r="F1561" t="str">
        <f t="shared" si="25"/>
        <v>07/26/2017</v>
      </c>
      <c r="G1561" t="str">
        <f>VLOOKUP(A1561,inf!$D$2:$E$76,2,FALSE)</f>
        <v>Target</v>
      </c>
    </row>
    <row r="1562" spans="1:7" x14ac:dyDescent="0.25">
      <c r="A1562" t="s">
        <v>8</v>
      </c>
      <c r="B1562" s="1">
        <v>42942</v>
      </c>
      <c r="C1562" t="s">
        <v>59</v>
      </c>
      <c r="D1562">
        <v>243.01</v>
      </c>
      <c r="E1562" t="str">
        <f>VLOOKUP(C1562,inf!$A$2:$B$7,2,FALSE)</f>
        <v>Over 90</v>
      </c>
      <c r="F1562" t="str">
        <f t="shared" si="25"/>
        <v>07/26/2017</v>
      </c>
      <c r="G1562" t="str">
        <f>VLOOKUP(A1562,inf!$D$2:$E$76,2,FALSE)</f>
        <v>Target</v>
      </c>
    </row>
    <row r="1563" spans="1:7" x14ac:dyDescent="0.25">
      <c r="A1563" t="s">
        <v>8</v>
      </c>
      <c r="B1563" s="1">
        <v>42942</v>
      </c>
      <c r="C1563" t="s">
        <v>58</v>
      </c>
      <c r="D1563">
        <v>240.2</v>
      </c>
      <c r="E1563" t="str">
        <f>VLOOKUP(C1563,inf!$A$2:$B$7,2,FALSE)</f>
        <v>61 to 90</v>
      </c>
      <c r="F1563" t="str">
        <f t="shared" si="25"/>
        <v>07/26/2017</v>
      </c>
      <c r="G1563" t="str">
        <f>VLOOKUP(A1563,inf!$D$2:$E$76,2,FALSE)</f>
        <v>Target</v>
      </c>
    </row>
    <row r="1564" spans="1:7" x14ac:dyDescent="0.25">
      <c r="A1564" t="s">
        <v>54</v>
      </c>
      <c r="B1564" s="1">
        <v>42942</v>
      </c>
      <c r="C1564" t="s">
        <v>55</v>
      </c>
      <c r="D1564">
        <v>740.35</v>
      </c>
      <c r="E1564" t="str">
        <f>VLOOKUP(C1564,inf!$A$2:$B$7,2,FALSE)</f>
        <v>Current</v>
      </c>
      <c r="F1564" t="str">
        <f t="shared" si="25"/>
        <v>07/26/2017</v>
      </c>
      <c r="G1564" t="str">
        <f>VLOOKUP(A1564,inf!$D$2:$E$76,2,FALSE)</f>
        <v>Other</v>
      </c>
    </row>
    <row r="1565" spans="1:7" x14ac:dyDescent="0.25">
      <c r="A1565" t="s">
        <v>54</v>
      </c>
      <c r="B1565" s="1">
        <v>42942</v>
      </c>
      <c r="C1565" t="s">
        <v>56</v>
      </c>
      <c r="D1565">
        <v>686.88</v>
      </c>
      <c r="E1565" t="str">
        <f>VLOOKUP(C1565,inf!$A$2:$B$7,2,FALSE)</f>
        <v>Current</v>
      </c>
      <c r="F1565" t="str">
        <f t="shared" si="25"/>
        <v>07/26/2017</v>
      </c>
      <c r="G1565" t="str">
        <f>VLOOKUP(A1565,inf!$D$2:$E$76,2,FALSE)</f>
        <v>Other</v>
      </c>
    </row>
    <row r="1566" spans="1:7" x14ac:dyDescent="0.25">
      <c r="A1566" t="s">
        <v>54</v>
      </c>
      <c r="B1566" s="1">
        <v>42942</v>
      </c>
      <c r="C1566" t="s">
        <v>57</v>
      </c>
      <c r="D1566">
        <v>114.85</v>
      </c>
      <c r="E1566" t="str">
        <f>VLOOKUP(C1566,inf!$A$2:$B$7,2,FALSE)</f>
        <v>31 to 60</v>
      </c>
      <c r="F1566" t="str">
        <f t="shared" si="25"/>
        <v>07/26/2017</v>
      </c>
      <c r="G1566" t="str">
        <f>VLOOKUP(A1566,inf!$D$2:$E$76,2,FALSE)</f>
        <v>Other</v>
      </c>
    </row>
    <row r="1567" spans="1:7" x14ac:dyDescent="0.25">
      <c r="A1567" t="s">
        <v>15</v>
      </c>
      <c r="B1567" s="1">
        <v>42942</v>
      </c>
      <c r="C1567" t="s">
        <v>55</v>
      </c>
      <c r="D1567">
        <v>291.60000000000002</v>
      </c>
      <c r="E1567" t="str">
        <f>VLOOKUP(C1567,inf!$A$2:$B$7,2,FALSE)</f>
        <v>Current</v>
      </c>
      <c r="F1567" t="str">
        <f t="shared" si="25"/>
        <v>07/26/2017</v>
      </c>
      <c r="G1567" t="str">
        <f>VLOOKUP(A1567,inf!$D$2:$E$76,2,FALSE)</f>
        <v>Other</v>
      </c>
    </row>
    <row r="1568" spans="1:7" x14ac:dyDescent="0.25">
      <c r="A1568" t="s">
        <v>15</v>
      </c>
      <c r="B1568" s="1">
        <v>42942</v>
      </c>
      <c r="C1568" t="s">
        <v>60</v>
      </c>
      <c r="D1568">
        <v>126.05</v>
      </c>
      <c r="E1568" t="str">
        <f>VLOOKUP(C1568,inf!$A$2:$B$7,2,FALSE)</f>
        <v>Over 90</v>
      </c>
      <c r="F1568" t="str">
        <f t="shared" si="25"/>
        <v>07/26/2017</v>
      </c>
      <c r="G1568" t="str">
        <f>VLOOKUP(A1568,inf!$D$2:$E$76,2,FALSE)</f>
        <v>Other</v>
      </c>
    </row>
    <row r="1569" spans="1:7" x14ac:dyDescent="0.25">
      <c r="A1569" t="s">
        <v>61</v>
      </c>
      <c r="B1569" s="1">
        <v>42949</v>
      </c>
      <c r="C1569" t="s">
        <v>55</v>
      </c>
      <c r="D1569">
        <v>295.32</v>
      </c>
      <c r="E1569" t="str">
        <f>VLOOKUP(C1569,inf!$A$2:$B$7,2,FALSE)</f>
        <v>Current</v>
      </c>
      <c r="F1569" t="str">
        <f t="shared" si="25"/>
        <v>08/02/2017</v>
      </c>
      <c r="G1569" t="str">
        <f>VLOOKUP(A1569,inf!$D$2:$E$76,2,FALSE)</f>
        <v>Other</v>
      </c>
    </row>
    <row r="1570" spans="1:7" x14ac:dyDescent="0.25">
      <c r="A1570" t="s">
        <v>4</v>
      </c>
      <c r="B1570" s="1">
        <v>42949</v>
      </c>
      <c r="C1570" t="s">
        <v>55</v>
      </c>
      <c r="D1570">
        <v>4945.34</v>
      </c>
      <c r="E1570" t="str">
        <f>VLOOKUP(C1570,inf!$A$2:$B$7,2,FALSE)</f>
        <v>Current</v>
      </c>
      <c r="F1570" t="str">
        <f t="shared" si="25"/>
        <v>08/02/2017</v>
      </c>
      <c r="G1570" t="str">
        <f>VLOOKUP(A1570,inf!$D$2:$E$76,2,FALSE)</f>
        <v>Other</v>
      </c>
    </row>
    <row r="1571" spans="1:7" x14ac:dyDescent="0.25">
      <c r="A1571" t="s">
        <v>4</v>
      </c>
      <c r="B1571" s="1">
        <v>42949</v>
      </c>
      <c r="C1571" t="s">
        <v>56</v>
      </c>
      <c r="D1571">
        <v>329.3</v>
      </c>
      <c r="E1571" t="str">
        <f>VLOOKUP(C1571,inf!$A$2:$B$7,2,FALSE)</f>
        <v>Current</v>
      </c>
      <c r="F1571" t="str">
        <f t="shared" si="25"/>
        <v>08/02/2017</v>
      </c>
      <c r="G1571" t="str">
        <f>VLOOKUP(A1571,inf!$D$2:$E$76,2,FALSE)</f>
        <v>Other</v>
      </c>
    </row>
    <row r="1572" spans="1:7" x14ac:dyDescent="0.25">
      <c r="A1572" t="s">
        <v>26</v>
      </c>
      <c r="B1572" s="1">
        <v>42949</v>
      </c>
      <c r="C1572" t="s">
        <v>60</v>
      </c>
      <c r="D1572">
        <v>1380.77</v>
      </c>
      <c r="E1572" t="str">
        <f>VLOOKUP(C1572,inf!$A$2:$B$7,2,FALSE)</f>
        <v>Over 90</v>
      </c>
      <c r="F1572" t="str">
        <f t="shared" si="25"/>
        <v>08/02/2017</v>
      </c>
      <c r="G1572" t="str">
        <f>VLOOKUP(A1572,inf!$D$2:$E$76,2,FALSE)</f>
        <v>Other</v>
      </c>
    </row>
    <row r="1573" spans="1:7" x14ac:dyDescent="0.25">
      <c r="A1573" t="s">
        <v>2</v>
      </c>
      <c r="B1573" s="1">
        <v>42949</v>
      </c>
      <c r="C1573" t="s">
        <v>60</v>
      </c>
      <c r="D1573">
        <v>3717.8600000000006</v>
      </c>
      <c r="E1573" t="str">
        <f>VLOOKUP(C1573,inf!$A$2:$B$7,2,FALSE)</f>
        <v>Over 90</v>
      </c>
      <c r="F1573" t="str">
        <f t="shared" si="25"/>
        <v>08/02/2017</v>
      </c>
      <c r="G1573" t="str">
        <f>VLOOKUP(A1573,inf!$D$2:$E$76,2,FALSE)</f>
        <v>Other</v>
      </c>
    </row>
    <row r="1574" spans="1:7" x14ac:dyDescent="0.25">
      <c r="A1574" t="s">
        <v>32</v>
      </c>
      <c r="B1574" s="1">
        <v>42949</v>
      </c>
      <c r="C1574" t="s">
        <v>56</v>
      </c>
      <c r="D1574">
        <v>424.53</v>
      </c>
      <c r="E1574" t="str">
        <f>VLOOKUP(C1574,inf!$A$2:$B$7,2,FALSE)</f>
        <v>Current</v>
      </c>
      <c r="F1574" t="str">
        <f t="shared" si="25"/>
        <v>08/02/2017</v>
      </c>
      <c r="G1574" t="str">
        <f>VLOOKUP(A1574,inf!$D$2:$E$76,2,FALSE)</f>
        <v>Other</v>
      </c>
    </row>
    <row r="1575" spans="1:7" x14ac:dyDescent="0.25">
      <c r="A1575" t="s">
        <v>32</v>
      </c>
      <c r="B1575" s="1">
        <v>42949</v>
      </c>
      <c r="C1575" t="s">
        <v>55</v>
      </c>
      <c r="D1575">
        <v>162.66</v>
      </c>
      <c r="E1575" t="str">
        <f>VLOOKUP(C1575,inf!$A$2:$B$7,2,FALSE)</f>
        <v>Current</v>
      </c>
      <c r="F1575" t="str">
        <f t="shared" si="25"/>
        <v>08/02/2017</v>
      </c>
      <c r="G1575" t="str">
        <f>VLOOKUP(A1575,inf!$D$2:$E$76,2,FALSE)</f>
        <v>Other</v>
      </c>
    </row>
    <row r="1576" spans="1:7" x14ac:dyDescent="0.25">
      <c r="A1576" t="s">
        <v>52</v>
      </c>
      <c r="B1576" s="1">
        <v>42949</v>
      </c>
      <c r="C1576" t="s">
        <v>55</v>
      </c>
      <c r="D1576">
        <v>3726.03</v>
      </c>
      <c r="E1576" t="str">
        <f>VLOOKUP(C1576,inf!$A$2:$B$7,2,FALSE)</f>
        <v>Current</v>
      </c>
      <c r="F1576" t="str">
        <f t="shared" si="25"/>
        <v>08/02/2017</v>
      </c>
      <c r="G1576" t="str">
        <f>VLOOKUP(A1576,inf!$D$2:$E$76,2,FALSE)</f>
        <v>Other</v>
      </c>
    </row>
    <row r="1577" spans="1:7" x14ac:dyDescent="0.25">
      <c r="A1577" t="s">
        <v>19</v>
      </c>
      <c r="B1577" s="1">
        <v>42949</v>
      </c>
      <c r="C1577" t="s">
        <v>59</v>
      </c>
      <c r="D1577">
        <v>565.36</v>
      </c>
      <c r="E1577" t="str">
        <f>VLOOKUP(C1577,inf!$A$2:$B$7,2,FALSE)</f>
        <v>Over 90</v>
      </c>
      <c r="F1577" t="str">
        <f t="shared" si="25"/>
        <v>08/02/2017</v>
      </c>
      <c r="G1577" t="str">
        <f>VLOOKUP(A1577,inf!$D$2:$E$76,2,FALSE)</f>
        <v>Other</v>
      </c>
    </row>
    <row r="1578" spans="1:7" x14ac:dyDescent="0.25">
      <c r="A1578" t="s">
        <v>19</v>
      </c>
      <c r="B1578" s="1">
        <v>42949</v>
      </c>
      <c r="C1578" t="s">
        <v>56</v>
      </c>
      <c r="D1578">
        <v>258.41000000000003</v>
      </c>
      <c r="E1578" t="str">
        <f>VLOOKUP(C1578,inf!$A$2:$B$7,2,FALSE)</f>
        <v>Current</v>
      </c>
      <c r="F1578" t="str">
        <f t="shared" si="25"/>
        <v>08/02/2017</v>
      </c>
      <c r="G1578" t="str">
        <f>VLOOKUP(A1578,inf!$D$2:$E$76,2,FALSE)</f>
        <v>Other</v>
      </c>
    </row>
    <row r="1579" spans="1:7" x14ac:dyDescent="0.25">
      <c r="A1579" t="s">
        <v>25</v>
      </c>
      <c r="B1579" s="1">
        <v>42949</v>
      </c>
      <c r="C1579" t="s">
        <v>55</v>
      </c>
      <c r="D1579">
        <v>821.81</v>
      </c>
      <c r="E1579" t="str">
        <f>VLOOKUP(C1579,inf!$A$2:$B$7,2,FALSE)</f>
        <v>Current</v>
      </c>
      <c r="F1579" t="str">
        <f t="shared" si="25"/>
        <v>08/02/2017</v>
      </c>
      <c r="G1579" t="str">
        <f>VLOOKUP(A1579,inf!$D$2:$E$76,2,FALSE)</f>
        <v>Other</v>
      </c>
    </row>
    <row r="1580" spans="1:7" x14ac:dyDescent="0.25">
      <c r="A1580" t="s">
        <v>25</v>
      </c>
      <c r="B1580" s="1">
        <v>42949</v>
      </c>
      <c r="C1580" t="s">
        <v>56</v>
      </c>
      <c r="D1580">
        <v>351.41</v>
      </c>
      <c r="E1580" t="str">
        <f>VLOOKUP(C1580,inf!$A$2:$B$7,2,FALSE)</f>
        <v>Current</v>
      </c>
      <c r="F1580" t="str">
        <f t="shared" si="25"/>
        <v>08/02/2017</v>
      </c>
      <c r="G1580" t="str">
        <f>VLOOKUP(A1580,inf!$D$2:$E$76,2,FALSE)</f>
        <v>Other</v>
      </c>
    </row>
    <row r="1581" spans="1:7" x14ac:dyDescent="0.25">
      <c r="A1581" t="s">
        <v>31</v>
      </c>
      <c r="B1581" s="1">
        <v>42949</v>
      </c>
      <c r="C1581" t="s">
        <v>55</v>
      </c>
      <c r="D1581">
        <v>440.27000000000004</v>
      </c>
      <c r="E1581" t="str">
        <f>VLOOKUP(C1581,inf!$A$2:$B$7,2,FALSE)</f>
        <v>Current</v>
      </c>
      <c r="F1581" t="str">
        <f t="shared" si="25"/>
        <v>08/02/2017</v>
      </c>
      <c r="G1581" t="str">
        <f>VLOOKUP(A1581,inf!$D$2:$E$76,2,FALSE)</f>
        <v>Other</v>
      </c>
    </row>
    <row r="1582" spans="1:7" x14ac:dyDescent="0.25">
      <c r="A1582" t="s">
        <v>24</v>
      </c>
      <c r="B1582" s="1">
        <v>42949</v>
      </c>
      <c r="C1582" t="s">
        <v>55</v>
      </c>
      <c r="D1582">
        <v>331.15</v>
      </c>
      <c r="E1582" t="str">
        <f>VLOOKUP(C1582,inf!$A$2:$B$7,2,FALSE)</f>
        <v>Current</v>
      </c>
      <c r="F1582" t="str">
        <f t="shared" si="25"/>
        <v>08/02/2017</v>
      </c>
      <c r="G1582" t="str">
        <f>VLOOKUP(A1582,inf!$D$2:$E$76,2,FALSE)</f>
        <v>Other</v>
      </c>
    </row>
    <row r="1583" spans="1:7" x14ac:dyDescent="0.25">
      <c r="A1583" t="s">
        <v>24</v>
      </c>
      <c r="B1583" s="1">
        <v>42949</v>
      </c>
      <c r="C1583" t="s">
        <v>58</v>
      </c>
      <c r="D1583">
        <v>308.7</v>
      </c>
      <c r="E1583" t="str">
        <f>VLOOKUP(C1583,inf!$A$2:$B$7,2,FALSE)</f>
        <v>61 to 90</v>
      </c>
      <c r="F1583" t="str">
        <f t="shared" si="25"/>
        <v>08/02/2017</v>
      </c>
      <c r="G1583" t="str">
        <f>VLOOKUP(A1583,inf!$D$2:$E$76,2,FALSE)</f>
        <v>Other</v>
      </c>
    </row>
    <row r="1584" spans="1:7" x14ac:dyDescent="0.25">
      <c r="A1584" t="s">
        <v>18</v>
      </c>
      <c r="B1584" s="1">
        <v>42949</v>
      </c>
      <c r="C1584" t="s">
        <v>56</v>
      </c>
      <c r="D1584">
        <v>1320.39</v>
      </c>
      <c r="E1584" t="str">
        <f>VLOOKUP(C1584,inf!$A$2:$B$7,2,FALSE)</f>
        <v>Current</v>
      </c>
      <c r="F1584" t="str">
        <f t="shared" si="25"/>
        <v>08/02/2017</v>
      </c>
      <c r="G1584" t="str">
        <f>VLOOKUP(A1584,inf!$D$2:$E$76,2,FALSE)</f>
        <v>Other</v>
      </c>
    </row>
    <row r="1585" spans="1:7" x14ac:dyDescent="0.25">
      <c r="A1585" t="s">
        <v>18</v>
      </c>
      <c r="B1585" s="1">
        <v>42949</v>
      </c>
      <c r="C1585" t="s">
        <v>55</v>
      </c>
      <c r="D1585">
        <v>155.52000000000001</v>
      </c>
      <c r="E1585" t="str">
        <f>VLOOKUP(C1585,inf!$A$2:$B$7,2,FALSE)</f>
        <v>Current</v>
      </c>
      <c r="F1585" t="str">
        <f t="shared" si="25"/>
        <v>08/02/2017</v>
      </c>
      <c r="G1585" t="str">
        <f>VLOOKUP(A1585,inf!$D$2:$E$76,2,FALSE)</f>
        <v>Other</v>
      </c>
    </row>
    <row r="1586" spans="1:7" x14ac:dyDescent="0.25">
      <c r="A1586" t="s">
        <v>27</v>
      </c>
      <c r="B1586" s="1">
        <v>42949</v>
      </c>
      <c r="C1586" t="s">
        <v>55</v>
      </c>
      <c r="D1586">
        <v>1468.2299999999998</v>
      </c>
      <c r="E1586" t="str">
        <f>VLOOKUP(C1586,inf!$A$2:$B$7,2,FALSE)</f>
        <v>Current</v>
      </c>
      <c r="F1586" t="str">
        <f t="shared" si="25"/>
        <v>08/02/2017</v>
      </c>
      <c r="G1586" t="str">
        <f>VLOOKUP(A1586,inf!$D$2:$E$76,2,FALSE)</f>
        <v>Other</v>
      </c>
    </row>
    <row r="1587" spans="1:7" x14ac:dyDescent="0.25">
      <c r="A1587" t="s">
        <v>21</v>
      </c>
      <c r="B1587" s="1">
        <v>42949</v>
      </c>
      <c r="C1587" t="s">
        <v>55</v>
      </c>
      <c r="D1587">
        <v>1849.49</v>
      </c>
      <c r="E1587" t="str">
        <f>VLOOKUP(C1587,inf!$A$2:$B$7,2,FALSE)</f>
        <v>Current</v>
      </c>
      <c r="F1587" t="str">
        <f t="shared" si="25"/>
        <v>08/02/2017</v>
      </c>
      <c r="G1587" t="str">
        <f>VLOOKUP(A1587,inf!$D$2:$E$76,2,FALSE)</f>
        <v>Other</v>
      </c>
    </row>
    <row r="1588" spans="1:7" x14ac:dyDescent="0.25">
      <c r="A1588" t="s">
        <v>21</v>
      </c>
      <c r="B1588" s="1">
        <v>42949</v>
      </c>
      <c r="C1588" t="s">
        <v>58</v>
      </c>
      <c r="D1588">
        <v>666.87</v>
      </c>
      <c r="E1588" t="str">
        <f>VLOOKUP(C1588,inf!$A$2:$B$7,2,FALSE)</f>
        <v>61 to 90</v>
      </c>
      <c r="F1588" t="str">
        <f t="shared" si="25"/>
        <v>08/02/2017</v>
      </c>
      <c r="G1588" t="str">
        <f>VLOOKUP(A1588,inf!$D$2:$E$76,2,FALSE)</f>
        <v>Other</v>
      </c>
    </row>
    <row r="1589" spans="1:7" x14ac:dyDescent="0.25">
      <c r="A1589" t="s">
        <v>21</v>
      </c>
      <c r="B1589" s="1">
        <v>42949</v>
      </c>
      <c r="C1589" t="s">
        <v>56</v>
      </c>
      <c r="D1589">
        <v>425.96</v>
      </c>
      <c r="E1589" t="str">
        <f>VLOOKUP(C1589,inf!$A$2:$B$7,2,FALSE)</f>
        <v>Current</v>
      </c>
      <c r="F1589" t="str">
        <f t="shared" si="25"/>
        <v>08/02/2017</v>
      </c>
      <c r="G1589" t="str">
        <f>VLOOKUP(A1589,inf!$D$2:$E$76,2,FALSE)</f>
        <v>Other</v>
      </c>
    </row>
    <row r="1590" spans="1:7" x14ac:dyDescent="0.25">
      <c r="A1590" t="s">
        <v>3</v>
      </c>
      <c r="B1590" s="1">
        <v>42949</v>
      </c>
      <c r="C1590" t="s">
        <v>56</v>
      </c>
      <c r="D1590">
        <v>1092.1600000000001</v>
      </c>
      <c r="E1590" t="str">
        <f>VLOOKUP(C1590,inf!$A$2:$B$7,2,FALSE)</f>
        <v>Current</v>
      </c>
      <c r="F1590" t="str">
        <f t="shared" si="25"/>
        <v>08/02/2017</v>
      </c>
      <c r="G1590" t="str">
        <f>VLOOKUP(A1590,inf!$D$2:$E$76,2,FALSE)</f>
        <v>Other</v>
      </c>
    </row>
    <row r="1591" spans="1:7" x14ac:dyDescent="0.25">
      <c r="A1591" t="s">
        <v>3</v>
      </c>
      <c r="B1591" s="1">
        <v>42949</v>
      </c>
      <c r="C1591" t="s">
        <v>57</v>
      </c>
      <c r="D1591">
        <v>306.85000000000002</v>
      </c>
      <c r="E1591" t="str">
        <f>VLOOKUP(C1591,inf!$A$2:$B$7,2,FALSE)</f>
        <v>31 to 60</v>
      </c>
      <c r="F1591" t="str">
        <f t="shared" si="25"/>
        <v>08/02/2017</v>
      </c>
      <c r="G1591" t="str">
        <f>VLOOKUP(A1591,inf!$D$2:$E$76,2,FALSE)</f>
        <v>Other</v>
      </c>
    </row>
    <row r="1592" spans="1:7" x14ac:dyDescent="0.25">
      <c r="A1592" t="s">
        <v>30</v>
      </c>
      <c r="B1592" s="1">
        <v>42949</v>
      </c>
      <c r="C1592" t="s">
        <v>55</v>
      </c>
      <c r="D1592">
        <v>2296.62</v>
      </c>
      <c r="E1592" t="str">
        <f>VLOOKUP(C1592,inf!$A$2:$B$7,2,FALSE)</f>
        <v>Current</v>
      </c>
      <c r="F1592" t="str">
        <f t="shared" si="25"/>
        <v>08/02/2017</v>
      </c>
      <c r="G1592" t="str">
        <f>VLOOKUP(A1592,inf!$D$2:$E$76,2,FALSE)</f>
        <v>Other</v>
      </c>
    </row>
    <row r="1593" spans="1:7" x14ac:dyDescent="0.25">
      <c r="A1593" t="s">
        <v>30</v>
      </c>
      <c r="B1593" s="1">
        <v>42949</v>
      </c>
      <c r="C1593" t="s">
        <v>56</v>
      </c>
      <c r="D1593">
        <v>1561</v>
      </c>
      <c r="E1593" t="str">
        <f>VLOOKUP(C1593,inf!$A$2:$B$7,2,FALSE)</f>
        <v>Current</v>
      </c>
      <c r="F1593" t="str">
        <f t="shared" si="25"/>
        <v>08/02/2017</v>
      </c>
      <c r="G1593" t="str">
        <f>VLOOKUP(A1593,inf!$D$2:$E$76,2,FALSE)</f>
        <v>Other</v>
      </c>
    </row>
    <row r="1594" spans="1:7" x14ac:dyDescent="0.25">
      <c r="A1594" t="s">
        <v>12</v>
      </c>
      <c r="B1594" s="1">
        <v>42949</v>
      </c>
      <c r="C1594" t="s">
        <v>57</v>
      </c>
      <c r="D1594">
        <v>679.2</v>
      </c>
      <c r="E1594" t="str">
        <f>VLOOKUP(C1594,inf!$A$2:$B$7,2,FALSE)</f>
        <v>31 to 60</v>
      </c>
      <c r="F1594" t="str">
        <f t="shared" si="25"/>
        <v>08/02/2017</v>
      </c>
      <c r="G1594" t="str">
        <f>VLOOKUP(A1594,inf!$D$2:$E$76,2,FALSE)</f>
        <v>Other</v>
      </c>
    </row>
    <row r="1595" spans="1:7" x14ac:dyDescent="0.25">
      <c r="A1595" t="s">
        <v>12</v>
      </c>
      <c r="B1595" s="1">
        <v>42949</v>
      </c>
      <c r="C1595" t="s">
        <v>55</v>
      </c>
      <c r="D1595">
        <v>602.6</v>
      </c>
      <c r="E1595" t="str">
        <f>VLOOKUP(C1595,inf!$A$2:$B$7,2,FALSE)</f>
        <v>Current</v>
      </c>
      <c r="F1595" t="str">
        <f t="shared" si="25"/>
        <v>08/02/2017</v>
      </c>
      <c r="G1595" t="str">
        <f>VLOOKUP(A1595,inf!$D$2:$E$76,2,FALSE)</f>
        <v>Other</v>
      </c>
    </row>
    <row r="1596" spans="1:7" x14ac:dyDescent="0.25">
      <c r="A1596" t="s">
        <v>12</v>
      </c>
      <c r="B1596" s="1">
        <v>42949</v>
      </c>
      <c r="C1596" t="s">
        <v>56</v>
      </c>
      <c r="D1596">
        <v>229.94</v>
      </c>
      <c r="E1596" t="str">
        <f>VLOOKUP(C1596,inf!$A$2:$B$7,2,FALSE)</f>
        <v>Current</v>
      </c>
      <c r="F1596" t="str">
        <f t="shared" si="25"/>
        <v>08/02/2017</v>
      </c>
      <c r="G1596" t="str">
        <f>VLOOKUP(A1596,inf!$D$2:$E$76,2,FALSE)</f>
        <v>Other</v>
      </c>
    </row>
    <row r="1597" spans="1:7" x14ac:dyDescent="0.25">
      <c r="A1597" t="s">
        <v>7</v>
      </c>
      <c r="B1597" s="1">
        <v>42949</v>
      </c>
      <c r="C1597" t="s">
        <v>55</v>
      </c>
      <c r="D1597" s="5">
        <v>155821.36999999991</v>
      </c>
      <c r="E1597" t="str">
        <f>VLOOKUP(C1597,inf!$A$2:$B$7,2,FALSE)</f>
        <v>Current</v>
      </c>
      <c r="F1597" t="str">
        <f t="shared" si="25"/>
        <v>08/02/2017</v>
      </c>
      <c r="G1597" t="str">
        <f>VLOOKUP(A1597,inf!$D$2:$E$76,2,FALSE)</f>
        <v>SAFEWAY</v>
      </c>
    </row>
    <row r="1598" spans="1:7" x14ac:dyDescent="0.25">
      <c r="A1598" t="s">
        <v>7</v>
      </c>
      <c r="B1598" s="1">
        <v>42949</v>
      </c>
      <c r="C1598" t="s">
        <v>56</v>
      </c>
      <c r="D1598">
        <v>29662.87</v>
      </c>
      <c r="E1598" t="str">
        <f>VLOOKUP(C1598,inf!$A$2:$B$7,2,FALSE)</f>
        <v>Current</v>
      </c>
      <c r="F1598" t="str">
        <f t="shared" si="25"/>
        <v>08/02/2017</v>
      </c>
      <c r="G1598" t="str">
        <f>VLOOKUP(A1598,inf!$D$2:$E$76,2,FALSE)</f>
        <v>SAFEWAY</v>
      </c>
    </row>
    <row r="1599" spans="1:7" x14ac:dyDescent="0.25">
      <c r="A1599" t="s">
        <v>7</v>
      </c>
      <c r="B1599" s="1">
        <v>42949</v>
      </c>
      <c r="C1599" t="s">
        <v>57</v>
      </c>
      <c r="D1599">
        <v>1272.1400000000001</v>
      </c>
      <c r="E1599" t="str">
        <f>VLOOKUP(C1599,inf!$A$2:$B$7,2,FALSE)</f>
        <v>31 to 60</v>
      </c>
      <c r="F1599" t="str">
        <f t="shared" si="25"/>
        <v>08/02/2017</v>
      </c>
      <c r="G1599" t="str">
        <f>VLOOKUP(A1599,inf!$D$2:$E$76,2,FALSE)</f>
        <v>SAFEWAY</v>
      </c>
    </row>
    <row r="1600" spans="1:7" x14ac:dyDescent="0.25">
      <c r="A1600" t="s">
        <v>7</v>
      </c>
      <c r="B1600" s="1">
        <v>42949</v>
      </c>
      <c r="C1600" t="s">
        <v>58</v>
      </c>
      <c r="D1600">
        <v>563.45000000000005</v>
      </c>
      <c r="E1600" t="str">
        <f>VLOOKUP(C1600,inf!$A$2:$B$7,2,FALSE)</f>
        <v>61 to 90</v>
      </c>
      <c r="F1600" t="str">
        <f t="shared" si="25"/>
        <v>08/02/2017</v>
      </c>
      <c r="G1600" t="str">
        <f>VLOOKUP(A1600,inf!$D$2:$E$76,2,FALSE)</f>
        <v>SAFEWAY</v>
      </c>
    </row>
    <row r="1601" spans="1:7" x14ac:dyDescent="0.25">
      <c r="A1601" t="s">
        <v>5</v>
      </c>
      <c r="B1601" s="1">
        <v>42949</v>
      </c>
      <c r="C1601" t="s">
        <v>55</v>
      </c>
      <c r="D1601">
        <v>4055018.9400000572</v>
      </c>
      <c r="E1601" t="str">
        <f>VLOOKUP(C1601,inf!$A$2:$B$7,2,FALSE)</f>
        <v>Current</v>
      </c>
      <c r="F1601" t="str">
        <f t="shared" si="25"/>
        <v>08/02/2017</v>
      </c>
      <c r="G1601" t="str">
        <f>VLOOKUP(A1601,inf!$D$2:$E$76,2,FALSE)</f>
        <v>SBUX</v>
      </c>
    </row>
    <row r="1602" spans="1:7" x14ac:dyDescent="0.25">
      <c r="A1602" t="s">
        <v>5</v>
      </c>
      <c r="B1602" s="1">
        <v>42949</v>
      </c>
      <c r="C1602" t="s">
        <v>60</v>
      </c>
      <c r="D1602" s="5">
        <v>78551.720000000016</v>
      </c>
      <c r="E1602" t="str">
        <f>VLOOKUP(C1602,inf!$A$2:$B$7,2,FALSE)</f>
        <v>Over 90</v>
      </c>
      <c r="F1602" t="str">
        <f t="shared" si="25"/>
        <v>08/02/2017</v>
      </c>
      <c r="G1602" t="str">
        <f>VLOOKUP(A1602,inf!$D$2:$E$76,2,FALSE)</f>
        <v>SBUX</v>
      </c>
    </row>
    <row r="1603" spans="1:7" x14ac:dyDescent="0.25">
      <c r="A1603" t="s">
        <v>5</v>
      </c>
      <c r="B1603" s="1">
        <v>42949</v>
      </c>
      <c r="C1603" t="s">
        <v>56</v>
      </c>
      <c r="D1603">
        <v>22087.07</v>
      </c>
      <c r="E1603" t="str">
        <f>VLOOKUP(C1603,inf!$A$2:$B$7,2,FALSE)</f>
        <v>Current</v>
      </c>
      <c r="F1603" t="str">
        <f t="shared" ref="F1603:F1666" si="26">TEXT(B1603,"MM/DD/YYYY")</f>
        <v>08/02/2017</v>
      </c>
      <c r="G1603" t="str">
        <f>VLOOKUP(A1603,inf!$D$2:$E$76,2,FALSE)</f>
        <v>SBUX</v>
      </c>
    </row>
    <row r="1604" spans="1:7" x14ac:dyDescent="0.25">
      <c r="A1604" t="s">
        <v>5</v>
      </c>
      <c r="B1604" s="1">
        <v>42949</v>
      </c>
      <c r="C1604" t="s">
        <v>57</v>
      </c>
      <c r="D1604" s="5">
        <v>22073.249999999996</v>
      </c>
      <c r="E1604" t="str">
        <f>VLOOKUP(C1604,inf!$A$2:$B$7,2,FALSE)</f>
        <v>31 to 60</v>
      </c>
      <c r="F1604" t="str">
        <f t="shared" si="26"/>
        <v>08/02/2017</v>
      </c>
      <c r="G1604" t="str">
        <f>VLOOKUP(A1604,inf!$D$2:$E$76,2,FALSE)</f>
        <v>SBUX</v>
      </c>
    </row>
    <row r="1605" spans="1:7" x14ac:dyDescent="0.25">
      <c r="A1605" t="s">
        <v>5</v>
      </c>
      <c r="B1605" s="1">
        <v>42949</v>
      </c>
      <c r="C1605" t="s">
        <v>58</v>
      </c>
      <c r="D1605">
        <v>13994.7</v>
      </c>
      <c r="E1605" t="str">
        <f>VLOOKUP(C1605,inf!$A$2:$B$7,2,FALSE)</f>
        <v>61 to 90</v>
      </c>
      <c r="F1605" t="str">
        <f t="shared" si="26"/>
        <v>08/02/2017</v>
      </c>
      <c r="G1605" t="str">
        <f>VLOOKUP(A1605,inf!$D$2:$E$76,2,FALSE)</f>
        <v>SBUX</v>
      </c>
    </row>
    <row r="1606" spans="1:7" x14ac:dyDescent="0.25">
      <c r="A1606" t="s">
        <v>5</v>
      </c>
      <c r="B1606" s="1">
        <v>42949</v>
      </c>
      <c r="C1606" t="s">
        <v>59</v>
      </c>
      <c r="D1606">
        <v>2904.9100000000003</v>
      </c>
      <c r="E1606" t="str">
        <f>VLOOKUP(C1606,inf!$A$2:$B$7,2,FALSE)</f>
        <v>Over 90</v>
      </c>
      <c r="F1606" t="str">
        <f t="shared" si="26"/>
        <v>08/02/2017</v>
      </c>
      <c r="G1606" t="str">
        <f>VLOOKUP(A1606,inf!$D$2:$E$76,2,FALSE)</f>
        <v>SBUX</v>
      </c>
    </row>
    <row r="1607" spans="1:7" x14ac:dyDescent="0.25">
      <c r="A1607" t="s">
        <v>6</v>
      </c>
      <c r="B1607" s="1">
        <v>42949</v>
      </c>
      <c r="C1607" t="s">
        <v>55</v>
      </c>
      <c r="D1607" s="5">
        <v>489932.93999999639</v>
      </c>
      <c r="E1607" t="str">
        <f>VLOOKUP(C1607,inf!$A$2:$B$7,2,FALSE)</f>
        <v>Current</v>
      </c>
      <c r="F1607" t="str">
        <f t="shared" si="26"/>
        <v>08/02/2017</v>
      </c>
      <c r="G1607" t="str">
        <f>VLOOKUP(A1607,inf!$D$2:$E$76,2,FALSE)</f>
        <v>SBUX</v>
      </c>
    </row>
    <row r="1608" spans="1:7" x14ac:dyDescent="0.25">
      <c r="A1608" t="s">
        <v>6</v>
      </c>
      <c r="B1608" s="1">
        <v>42949</v>
      </c>
      <c r="C1608" t="s">
        <v>60</v>
      </c>
      <c r="D1608">
        <v>8509.5599999999977</v>
      </c>
      <c r="E1608" t="str">
        <f>VLOOKUP(C1608,inf!$A$2:$B$7,2,FALSE)</f>
        <v>Over 90</v>
      </c>
      <c r="F1608" t="str">
        <f t="shared" si="26"/>
        <v>08/02/2017</v>
      </c>
      <c r="G1608" t="str">
        <f>VLOOKUP(A1608,inf!$D$2:$E$76,2,FALSE)</f>
        <v>SBUX</v>
      </c>
    </row>
    <row r="1609" spans="1:7" x14ac:dyDescent="0.25">
      <c r="A1609" t="s">
        <v>6</v>
      </c>
      <c r="B1609" s="1">
        <v>42949</v>
      </c>
      <c r="C1609" t="s">
        <v>56</v>
      </c>
      <c r="D1609">
        <v>4285.22</v>
      </c>
      <c r="E1609" t="str">
        <f>VLOOKUP(C1609,inf!$A$2:$B$7,2,FALSE)</f>
        <v>Current</v>
      </c>
      <c r="F1609" t="str">
        <f t="shared" si="26"/>
        <v>08/02/2017</v>
      </c>
      <c r="G1609" t="str">
        <f>VLOOKUP(A1609,inf!$D$2:$E$76,2,FALSE)</f>
        <v>SBUX</v>
      </c>
    </row>
    <row r="1610" spans="1:7" x14ac:dyDescent="0.25">
      <c r="A1610" t="s">
        <v>6</v>
      </c>
      <c r="B1610" s="1">
        <v>42949</v>
      </c>
      <c r="C1610" t="s">
        <v>57</v>
      </c>
      <c r="D1610">
        <v>2872.66</v>
      </c>
      <c r="E1610" t="str">
        <f>VLOOKUP(C1610,inf!$A$2:$B$7,2,FALSE)</f>
        <v>31 to 60</v>
      </c>
      <c r="F1610" t="str">
        <f t="shared" si="26"/>
        <v>08/02/2017</v>
      </c>
      <c r="G1610" t="str">
        <f>VLOOKUP(A1610,inf!$D$2:$E$76,2,FALSE)</f>
        <v>SBUX</v>
      </c>
    </row>
    <row r="1611" spans="1:7" x14ac:dyDescent="0.25">
      <c r="A1611" t="s">
        <v>6</v>
      </c>
      <c r="B1611" s="1">
        <v>42949</v>
      </c>
      <c r="C1611" t="s">
        <v>59</v>
      </c>
      <c r="D1611">
        <v>635.9</v>
      </c>
      <c r="E1611" t="str">
        <f>VLOOKUP(C1611,inf!$A$2:$B$7,2,FALSE)</f>
        <v>Over 90</v>
      </c>
      <c r="F1611" t="str">
        <f t="shared" si="26"/>
        <v>08/02/2017</v>
      </c>
      <c r="G1611" t="str">
        <f>VLOOKUP(A1611,inf!$D$2:$E$76,2,FALSE)</f>
        <v>SBUX</v>
      </c>
    </row>
    <row r="1612" spans="1:7" x14ac:dyDescent="0.25">
      <c r="A1612" t="s">
        <v>6</v>
      </c>
      <c r="B1612" s="1">
        <v>42949</v>
      </c>
      <c r="C1612" t="s">
        <v>58</v>
      </c>
      <c r="D1612">
        <v>294.62</v>
      </c>
      <c r="E1612" t="str">
        <f>VLOOKUP(C1612,inf!$A$2:$B$7,2,FALSE)</f>
        <v>61 to 90</v>
      </c>
      <c r="F1612" t="str">
        <f t="shared" si="26"/>
        <v>08/02/2017</v>
      </c>
      <c r="G1612" t="str">
        <f>VLOOKUP(A1612,inf!$D$2:$E$76,2,FALSE)</f>
        <v>SBUX</v>
      </c>
    </row>
    <row r="1613" spans="1:7" x14ac:dyDescent="0.25">
      <c r="A1613" t="s">
        <v>49</v>
      </c>
      <c r="B1613" s="1">
        <v>42949</v>
      </c>
      <c r="C1613" t="s">
        <v>56</v>
      </c>
      <c r="D1613">
        <v>150.36000000000001</v>
      </c>
      <c r="E1613" t="str">
        <f>VLOOKUP(C1613,inf!$A$2:$B$7,2,FALSE)</f>
        <v>Current</v>
      </c>
      <c r="F1613" t="str">
        <f t="shared" si="26"/>
        <v>08/02/2017</v>
      </c>
      <c r="G1613" t="str">
        <f>VLOOKUP(A1613,inf!$D$2:$E$76,2,FALSE)</f>
        <v>Other</v>
      </c>
    </row>
    <row r="1614" spans="1:7" x14ac:dyDescent="0.25">
      <c r="A1614" t="s">
        <v>51</v>
      </c>
      <c r="B1614" s="1">
        <v>42949</v>
      </c>
      <c r="C1614" t="s">
        <v>59</v>
      </c>
      <c r="D1614">
        <v>235.2</v>
      </c>
      <c r="E1614" t="str">
        <f>VLOOKUP(C1614,inf!$A$2:$B$7,2,FALSE)</f>
        <v>Over 90</v>
      </c>
      <c r="F1614" t="str">
        <f t="shared" si="26"/>
        <v>08/02/2017</v>
      </c>
      <c r="G1614" t="str">
        <f>VLOOKUP(A1614,inf!$D$2:$E$76,2,FALSE)</f>
        <v>Other</v>
      </c>
    </row>
    <row r="1615" spans="1:7" x14ac:dyDescent="0.25">
      <c r="A1615" t="s">
        <v>48</v>
      </c>
      <c r="B1615" s="1">
        <v>42949</v>
      </c>
      <c r="C1615" t="s">
        <v>55</v>
      </c>
      <c r="D1615" s="5">
        <v>71115.73</v>
      </c>
      <c r="E1615" t="str">
        <f>VLOOKUP(C1615,inf!$A$2:$B$7,2,FALSE)</f>
        <v>Current</v>
      </c>
      <c r="F1615" t="str">
        <f t="shared" si="26"/>
        <v>08/02/2017</v>
      </c>
      <c r="G1615" t="str">
        <f>VLOOKUP(A1615,inf!$D$2:$E$76,2,FALSE)</f>
        <v>Target</v>
      </c>
    </row>
    <row r="1616" spans="1:7" x14ac:dyDescent="0.25">
      <c r="A1616" t="s">
        <v>48</v>
      </c>
      <c r="B1616" s="1">
        <v>42949</v>
      </c>
      <c r="C1616" t="s">
        <v>56</v>
      </c>
      <c r="D1616">
        <v>715.5</v>
      </c>
      <c r="E1616" t="str">
        <f>VLOOKUP(C1616,inf!$A$2:$B$7,2,FALSE)</f>
        <v>Current</v>
      </c>
      <c r="F1616" t="str">
        <f t="shared" si="26"/>
        <v>08/02/2017</v>
      </c>
      <c r="G1616" t="str">
        <f>VLOOKUP(A1616,inf!$D$2:$E$76,2,FALSE)</f>
        <v>Target</v>
      </c>
    </row>
    <row r="1617" spans="1:7" x14ac:dyDescent="0.25">
      <c r="A1617" t="s">
        <v>8</v>
      </c>
      <c r="B1617" s="1">
        <v>42949</v>
      </c>
      <c r="C1617" t="s">
        <v>55</v>
      </c>
      <c r="D1617">
        <v>334343.00000000076</v>
      </c>
      <c r="E1617" t="str">
        <f>VLOOKUP(C1617,inf!$A$2:$B$7,2,FALSE)</f>
        <v>Current</v>
      </c>
      <c r="F1617" t="str">
        <f t="shared" si="26"/>
        <v>08/02/2017</v>
      </c>
      <c r="G1617" t="str">
        <f>VLOOKUP(A1617,inf!$D$2:$E$76,2,FALSE)</f>
        <v>Target</v>
      </c>
    </row>
    <row r="1618" spans="1:7" x14ac:dyDescent="0.25">
      <c r="A1618" t="s">
        <v>8</v>
      </c>
      <c r="B1618" s="1">
        <v>42949</v>
      </c>
      <c r="C1618" t="s">
        <v>60</v>
      </c>
      <c r="D1618" s="5">
        <v>20442.219999999998</v>
      </c>
      <c r="E1618" t="str">
        <f>VLOOKUP(C1618,inf!$A$2:$B$7,2,FALSE)</f>
        <v>Over 90</v>
      </c>
      <c r="F1618" t="str">
        <f t="shared" si="26"/>
        <v>08/02/2017</v>
      </c>
      <c r="G1618" t="str">
        <f>VLOOKUP(A1618,inf!$D$2:$E$76,2,FALSE)</f>
        <v>Target</v>
      </c>
    </row>
    <row r="1619" spans="1:7" x14ac:dyDescent="0.25">
      <c r="A1619" t="s">
        <v>8</v>
      </c>
      <c r="B1619" s="1">
        <v>42949</v>
      </c>
      <c r="C1619" t="s">
        <v>57</v>
      </c>
      <c r="D1619">
        <v>1864.27</v>
      </c>
      <c r="E1619" t="str">
        <f>VLOOKUP(C1619,inf!$A$2:$B$7,2,FALSE)</f>
        <v>31 to 60</v>
      </c>
      <c r="F1619" t="str">
        <f t="shared" si="26"/>
        <v>08/02/2017</v>
      </c>
      <c r="G1619" t="str">
        <f>VLOOKUP(A1619,inf!$D$2:$E$76,2,FALSE)</f>
        <v>Target</v>
      </c>
    </row>
    <row r="1620" spans="1:7" x14ac:dyDescent="0.25">
      <c r="A1620" t="s">
        <v>8</v>
      </c>
      <c r="B1620" s="1">
        <v>42949</v>
      </c>
      <c r="C1620" t="s">
        <v>56</v>
      </c>
      <c r="D1620">
        <v>318.76</v>
      </c>
      <c r="E1620" t="str">
        <f>VLOOKUP(C1620,inf!$A$2:$B$7,2,FALSE)</f>
        <v>Current</v>
      </c>
      <c r="F1620" t="str">
        <f t="shared" si="26"/>
        <v>08/02/2017</v>
      </c>
      <c r="G1620" t="str">
        <f>VLOOKUP(A1620,inf!$D$2:$E$76,2,FALSE)</f>
        <v>Target</v>
      </c>
    </row>
    <row r="1621" spans="1:7" x14ac:dyDescent="0.25">
      <c r="A1621" t="s">
        <v>8</v>
      </c>
      <c r="B1621" s="1">
        <v>42949</v>
      </c>
      <c r="C1621" t="s">
        <v>59</v>
      </c>
      <c r="D1621">
        <v>263.55</v>
      </c>
      <c r="E1621" t="str">
        <f>VLOOKUP(C1621,inf!$A$2:$B$7,2,FALSE)</f>
        <v>Over 90</v>
      </c>
      <c r="F1621" t="str">
        <f t="shared" si="26"/>
        <v>08/02/2017</v>
      </c>
      <c r="G1621" t="str">
        <f>VLOOKUP(A1621,inf!$D$2:$E$76,2,FALSE)</f>
        <v>Target</v>
      </c>
    </row>
    <row r="1622" spans="1:7" x14ac:dyDescent="0.25">
      <c r="A1622" t="s">
        <v>8</v>
      </c>
      <c r="B1622" s="1">
        <v>42949</v>
      </c>
      <c r="C1622" t="s">
        <v>58</v>
      </c>
      <c r="D1622">
        <v>219.66</v>
      </c>
      <c r="E1622" t="str">
        <f>VLOOKUP(C1622,inf!$A$2:$B$7,2,FALSE)</f>
        <v>61 to 90</v>
      </c>
      <c r="F1622" t="str">
        <f t="shared" si="26"/>
        <v>08/02/2017</v>
      </c>
      <c r="G1622" t="str">
        <f>VLOOKUP(A1622,inf!$D$2:$E$76,2,FALSE)</f>
        <v>Target</v>
      </c>
    </row>
    <row r="1623" spans="1:7" x14ac:dyDescent="0.25">
      <c r="A1623" t="s">
        <v>54</v>
      </c>
      <c r="B1623" s="1">
        <v>42949</v>
      </c>
      <c r="C1623" t="s">
        <v>55</v>
      </c>
      <c r="D1623">
        <v>740.35</v>
      </c>
      <c r="E1623" t="str">
        <f>VLOOKUP(C1623,inf!$A$2:$B$7,2,FALSE)</f>
        <v>Current</v>
      </c>
      <c r="F1623" t="str">
        <f t="shared" si="26"/>
        <v>08/02/2017</v>
      </c>
      <c r="G1623" t="str">
        <f>VLOOKUP(A1623,inf!$D$2:$E$76,2,FALSE)</f>
        <v>Other</v>
      </c>
    </row>
    <row r="1624" spans="1:7" x14ac:dyDescent="0.25">
      <c r="A1624" t="s">
        <v>54</v>
      </c>
      <c r="B1624" s="1">
        <v>42949</v>
      </c>
      <c r="C1624" t="s">
        <v>56</v>
      </c>
      <c r="D1624">
        <v>686.88</v>
      </c>
      <c r="E1624" t="str">
        <f>VLOOKUP(C1624,inf!$A$2:$B$7,2,FALSE)</f>
        <v>Current</v>
      </c>
      <c r="F1624" t="str">
        <f t="shared" si="26"/>
        <v>08/02/2017</v>
      </c>
      <c r="G1624" t="str">
        <f>VLOOKUP(A1624,inf!$D$2:$E$76,2,FALSE)</f>
        <v>Other</v>
      </c>
    </row>
    <row r="1625" spans="1:7" x14ac:dyDescent="0.25">
      <c r="A1625" t="s">
        <v>54</v>
      </c>
      <c r="B1625" s="1">
        <v>42949</v>
      </c>
      <c r="C1625" t="s">
        <v>57</v>
      </c>
      <c r="D1625">
        <v>114.85</v>
      </c>
      <c r="E1625" t="str">
        <f>VLOOKUP(C1625,inf!$A$2:$B$7,2,FALSE)</f>
        <v>31 to 60</v>
      </c>
      <c r="F1625" t="str">
        <f t="shared" si="26"/>
        <v>08/02/2017</v>
      </c>
      <c r="G1625" t="str">
        <f>VLOOKUP(A1625,inf!$D$2:$E$76,2,FALSE)</f>
        <v>Other</v>
      </c>
    </row>
    <row r="1626" spans="1:7" x14ac:dyDescent="0.25">
      <c r="A1626" t="s">
        <v>15</v>
      </c>
      <c r="B1626" s="1">
        <v>42949</v>
      </c>
      <c r="C1626" t="s">
        <v>55</v>
      </c>
      <c r="D1626">
        <v>291.60000000000002</v>
      </c>
      <c r="E1626" t="str">
        <f>VLOOKUP(C1626,inf!$A$2:$B$7,2,FALSE)</f>
        <v>Current</v>
      </c>
      <c r="F1626" t="str">
        <f t="shared" si="26"/>
        <v>08/02/2017</v>
      </c>
      <c r="G1626" t="str">
        <f>VLOOKUP(A1626,inf!$D$2:$E$76,2,FALSE)</f>
        <v>Other</v>
      </c>
    </row>
    <row r="1627" spans="1:7" x14ac:dyDescent="0.25">
      <c r="A1627" t="s">
        <v>15</v>
      </c>
      <c r="B1627" s="1">
        <v>42949</v>
      </c>
      <c r="C1627" t="s">
        <v>60</v>
      </c>
      <c r="D1627">
        <v>126.05</v>
      </c>
      <c r="E1627" t="str">
        <f>VLOOKUP(C1627,inf!$A$2:$B$7,2,FALSE)</f>
        <v>Over 90</v>
      </c>
      <c r="F1627" t="str">
        <f t="shared" si="26"/>
        <v>08/02/2017</v>
      </c>
      <c r="G1627" t="str">
        <f>VLOOKUP(A1627,inf!$D$2:$E$76,2,FALSE)</f>
        <v>Other</v>
      </c>
    </row>
    <row r="1628" spans="1:7" x14ac:dyDescent="0.25">
      <c r="A1628" t="s">
        <v>61</v>
      </c>
      <c r="B1628" s="1">
        <v>42956</v>
      </c>
      <c r="C1628" t="s">
        <v>55</v>
      </c>
      <c r="D1628">
        <v>295.32</v>
      </c>
      <c r="E1628" t="str">
        <f>VLOOKUP(C1628,inf!$A$2:$B$7,2,FALSE)</f>
        <v>Current</v>
      </c>
      <c r="F1628" t="str">
        <f t="shared" si="26"/>
        <v>08/09/2017</v>
      </c>
      <c r="G1628" t="str">
        <f>VLOOKUP(A1628,inf!$D$2:$E$76,2,FALSE)</f>
        <v>Other</v>
      </c>
    </row>
    <row r="1629" spans="1:7" x14ac:dyDescent="0.25">
      <c r="A1629" t="s">
        <v>4</v>
      </c>
      <c r="B1629" s="1">
        <v>42956</v>
      </c>
      <c r="C1629" t="s">
        <v>55</v>
      </c>
      <c r="D1629">
        <v>3997.4900000000002</v>
      </c>
      <c r="E1629" t="str">
        <f>VLOOKUP(C1629,inf!$A$2:$B$7,2,FALSE)</f>
        <v>Current</v>
      </c>
      <c r="F1629" t="str">
        <f t="shared" si="26"/>
        <v>08/09/2017</v>
      </c>
      <c r="G1629" t="str">
        <f>VLOOKUP(A1629,inf!$D$2:$E$76,2,FALSE)</f>
        <v>Other</v>
      </c>
    </row>
    <row r="1630" spans="1:7" x14ac:dyDescent="0.25">
      <c r="A1630" t="s">
        <v>26</v>
      </c>
      <c r="B1630" s="1">
        <v>42956</v>
      </c>
      <c r="C1630" t="s">
        <v>60</v>
      </c>
      <c r="D1630">
        <v>1380.77</v>
      </c>
      <c r="E1630" t="str">
        <f>VLOOKUP(C1630,inf!$A$2:$B$7,2,FALSE)</f>
        <v>Over 90</v>
      </c>
      <c r="F1630" t="str">
        <f t="shared" si="26"/>
        <v>08/09/2017</v>
      </c>
      <c r="G1630" t="str">
        <f>VLOOKUP(A1630,inf!$D$2:$E$76,2,FALSE)</f>
        <v>Other</v>
      </c>
    </row>
    <row r="1631" spans="1:7" x14ac:dyDescent="0.25">
      <c r="A1631" t="s">
        <v>2</v>
      </c>
      <c r="B1631" s="1">
        <v>42956</v>
      </c>
      <c r="C1631" t="s">
        <v>60</v>
      </c>
      <c r="D1631">
        <v>3717.8600000000006</v>
      </c>
      <c r="E1631" t="str">
        <f>VLOOKUP(C1631,inf!$A$2:$B$7,2,FALSE)</f>
        <v>Over 90</v>
      </c>
      <c r="F1631" t="str">
        <f t="shared" si="26"/>
        <v>08/09/2017</v>
      </c>
      <c r="G1631" t="str">
        <f>VLOOKUP(A1631,inf!$D$2:$E$76,2,FALSE)</f>
        <v>Other</v>
      </c>
    </row>
    <row r="1632" spans="1:7" x14ac:dyDescent="0.25">
      <c r="A1632" t="s">
        <v>32</v>
      </c>
      <c r="B1632" s="1">
        <v>42956</v>
      </c>
      <c r="C1632" t="s">
        <v>57</v>
      </c>
      <c r="D1632">
        <v>424.53000000000003</v>
      </c>
      <c r="E1632" t="str">
        <f>VLOOKUP(C1632,inf!$A$2:$B$7,2,FALSE)</f>
        <v>31 to 60</v>
      </c>
      <c r="F1632" t="str">
        <f t="shared" si="26"/>
        <v>08/09/2017</v>
      </c>
      <c r="G1632" t="str">
        <f>VLOOKUP(A1632,inf!$D$2:$E$76,2,FALSE)</f>
        <v>Other</v>
      </c>
    </row>
    <row r="1633" spans="1:7" x14ac:dyDescent="0.25">
      <c r="A1633" t="s">
        <v>32</v>
      </c>
      <c r="B1633" s="1">
        <v>42956</v>
      </c>
      <c r="C1633" t="s">
        <v>55</v>
      </c>
      <c r="D1633">
        <v>162.66</v>
      </c>
      <c r="E1633" t="str">
        <f>VLOOKUP(C1633,inf!$A$2:$B$7,2,FALSE)</f>
        <v>Current</v>
      </c>
      <c r="F1633" t="str">
        <f t="shared" si="26"/>
        <v>08/09/2017</v>
      </c>
      <c r="G1633" t="str">
        <f>VLOOKUP(A1633,inf!$D$2:$E$76,2,FALSE)</f>
        <v>Other</v>
      </c>
    </row>
    <row r="1634" spans="1:7" x14ac:dyDescent="0.25">
      <c r="A1634" t="s">
        <v>19</v>
      </c>
      <c r="B1634" s="1">
        <v>42956</v>
      </c>
      <c r="C1634" t="s">
        <v>59</v>
      </c>
      <c r="D1634">
        <v>325.75</v>
      </c>
      <c r="E1634" t="str">
        <f>VLOOKUP(C1634,inf!$A$2:$B$7,2,FALSE)</f>
        <v>Over 90</v>
      </c>
      <c r="F1634" t="str">
        <f t="shared" si="26"/>
        <v>08/09/2017</v>
      </c>
      <c r="G1634" t="str">
        <f>VLOOKUP(A1634,inf!$D$2:$E$76,2,FALSE)</f>
        <v>Other</v>
      </c>
    </row>
    <row r="1635" spans="1:7" x14ac:dyDescent="0.25">
      <c r="A1635" t="s">
        <v>19</v>
      </c>
      <c r="B1635" s="1">
        <v>42956</v>
      </c>
      <c r="C1635" t="s">
        <v>57</v>
      </c>
      <c r="D1635">
        <v>258.41000000000003</v>
      </c>
      <c r="E1635" t="str">
        <f>VLOOKUP(C1635,inf!$A$2:$B$7,2,FALSE)</f>
        <v>31 to 60</v>
      </c>
      <c r="F1635" t="str">
        <f t="shared" si="26"/>
        <v>08/09/2017</v>
      </c>
      <c r="G1635" t="str">
        <f>VLOOKUP(A1635,inf!$D$2:$E$76,2,FALSE)</f>
        <v>Other</v>
      </c>
    </row>
    <row r="1636" spans="1:7" x14ac:dyDescent="0.25">
      <c r="A1636" t="s">
        <v>19</v>
      </c>
      <c r="B1636" s="1">
        <v>42956</v>
      </c>
      <c r="C1636" t="s">
        <v>58</v>
      </c>
      <c r="D1636">
        <v>239.61</v>
      </c>
      <c r="E1636" t="str">
        <f>VLOOKUP(C1636,inf!$A$2:$B$7,2,FALSE)</f>
        <v>61 to 90</v>
      </c>
      <c r="F1636" t="str">
        <f t="shared" si="26"/>
        <v>08/09/2017</v>
      </c>
      <c r="G1636" t="str">
        <f>VLOOKUP(A1636,inf!$D$2:$E$76,2,FALSE)</f>
        <v>Other</v>
      </c>
    </row>
    <row r="1637" spans="1:7" x14ac:dyDescent="0.25">
      <c r="A1637" t="s">
        <v>25</v>
      </c>
      <c r="B1637" s="1">
        <v>42956</v>
      </c>
      <c r="C1637" t="s">
        <v>56</v>
      </c>
      <c r="D1637">
        <v>587.97</v>
      </c>
      <c r="E1637" t="str">
        <f>VLOOKUP(C1637,inf!$A$2:$B$7,2,FALSE)</f>
        <v>Current</v>
      </c>
      <c r="F1637" t="str">
        <f t="shared" si="26"/>
        <v>08/09/2017</v>
      </c>
      <c r="G1637" t="str">
        <f>VLOOKUP(A1637,inf!$D$2:$E$76,2,FALSE)</f>
        <v>Other</v>
      </c>
    </row>
    <row r="1638" spans="1:7" x14ac:dyDescent="0.25">
      <c r="A1638" t="s">
        <v>25</v>
      </c>
      <c r="B1638" s="1">
        <v>42956</v>
      </c>
      <c r="C1638" t="s">
        <v>55</v>
      </c>
      <c r="D1638">
        <v>585.25</v>
      </c>
      <c r="E1638" t="str">
        <f>VLOOKUP(C1638,inf!$A$2:$B$7,2,FALSE)</f>
        <v>Current</v>
      </c>
      <c r="F1638" t="str">
        <f t="shared" si="26"/>
        <v>08/09/2017</v>
      </c>
      <c r="G1638" t="str">
        <f>VLOOKUP(A1638,inf!$D$2:$E$76,2,FALSE)</f>
        <v>Other</v>
      </c>
    </row>
    <row r="1639" spans="1:7" x14ac:dyDescent="0.25">
      <c r="A1639" t="s">
        <v>31</v>
      </c>
      <c r="B1639" s="1">
        <v>42956</v>
      </c>
      <c r="C1639" t="s">
        <v>55</v>
      </c>
      <c r="D1639">
        <v>612.55000000000007</v>
      </c>
      <c r="E1639" t="str">
        <f>VLOOKUP(C1639,inf!$A$2:$B$7,2,FALSE)</f>
        <v>Current</v>
      </c>
      <c r="F1639" t="str">
        <f t="shared" si="26"/>
        <v>08/09/2017</v>
      </c>
      <c r="G1639" t="str">
        <f>VLOOKUP(A1639,inf!$D$2:$E$76,2,FALSE)</f>
        <v>Other</v>
      </c>
    </row>
    <row r="1640" spans="1:7" x14ac:dyDescent="0.25">
      <c r="A1640" t="s">
        <v>18</v>
      </c>
      <c r="B1640" s="1">
        <v>42956</v>
      </c>
      <c r="C1640" t="s">
        <v>57</v>
      </c>
      <c r="D1640">
        <v>1320.39</v>
      </c>
      <c r="E1640" t="str">
        <f>VLOOKUP(C1640,inf!$A$2:$B$7,2,FALSE)</f>
        <v>31 to 60</v>
      </c>
      <c r="F1640" t="str">
        <f t="shared" si="26"/>
        <v>08/09/2017</v>
      </c>
      <c r="G1640" t="str">
        <f>VLOOKUP(A1640,inf!$D$2:$E$76,2,FALSE)</f>
        <v>Other</v>
      </c>
    </row>
    <row r="1641" spans="1:7" x14ac:dyDescent="0.25">
      <c r="A1641" t="s">
        <v>27</v>
      </c>
      <c r="B1641" s="1">
        <v>42956</v>
      </c>
      <c r="C1641" t="s">
        <v>55</v>
      </c>
      <c r="D1641">
        <v>154.03</v>
      </c>
      <c r="E1641" t="str">
        <f>VLOOKUP(C1641,inf!$A$2:$B$7,2,FALSE)</f>
        <v>Current</v>
      </c>
      <c r="F1641" t="str">
        <f t="shared" si="26"/>
        <v>08/09/2017</v>
      </c>
      <c r="G1641" t="str">
        <f>VLOOKUP(A1641,inf!$D$2:$E$76,2,FALSE)</f>
        <v>Other</v>
      </c>
    </row>
    <row r="1642" spans="1:7" x14ac:dyDescent="0.25">
      <c r="A1642" t="s">
        <v>21</v>
      </c>
      <c r="B1642" s="1">
        <v>42956</v>
      </c>
      <c r="C1642" t="s">
        <v>55</v>
      </c>
      <c r="D1642">
        <v>1849.49</v>
      </c>
      <c r="E1642" t="str">
        <f>VLOOKUP(C1642,inf!$A$2:$B$7,2,FALSE)</f>
        <v>Current</v>
      </c>
      <c r="F1642" t="str">
        <f t="shared" si="26"/>
        <v>08/09/2017</v>
      </c>
      <c r="G1642" t="str">
        <f>VLOOKUP(A1642,inf!$D$2:$E$76,2,FALSE)</f>
        <v>Other</v>
      </c>
    </row>
    <row r="1643" spans="1:7" x14ac:dyDescent="0.25">
      <c r="A1643" t="s">
        <v>21</v>
      </c>
      <c r="B1643" s="1">
        <v>42956</v>
      </c>
      <c r="C1643" t="s">
        <v>58</v>
      </c>
      <c r="D1643">
        <v>666.87</v>
      </c>
      <c r="E1643" t="str">
        <f>VLOOKUP(C1643,inf!$A$2:$B$7,2,FALSE)</f>
        <v>61 to 90</v>
      </c>
      <c r="F1643" t="str">
        <f t="shared" si="26"/>
        <v>08/09/2017</v>
      </c>
      <c r="G1643" t="str">
        <f>VLOOKUP(A1643,inf!$D$2:$E$76,2,FALSE)</f>
        <v>Other</v>
      </c>
    </row>
    <row r="1644" spans="1:7" x14ac:dyDescent="0.25">
      <c r="A1644" t="s">
        <v>21</v>
      </c>
      <c r="B1644" s="1">
        <v>42956</v>
      </c>
      <c r="C1644" t="s">
        <v>57</v>
      </c>
      <c r="D1644">
        <v>425.96</v>
      </c>
      <c r="E1644" t="str">
        <f>VLOOKUP(C1644,inf!$A$2:$B$7,2,FALSE)</f>
        <v>31 to 60</v>
      </c>
      <c r="F1644" t="str">
        <f t="shared" si="26"/>
        <v>08/09/2017</v>
      </c>
      <c r="G1644" t="str">
        <f>VLOOKUP(A1644,inf!$D$2:$E$76,2,FALSE)</f>
        <v>Other</v>
      </c>
    </row>
    <row r="1645" spans="1:7" x14ac:dyDescent="0.25">
      <c r="A1645" t="s">
        <v>3</v>
      </c>
      <c r="B1645" s="1">
        <v>42956</v>
      </c>
      <c r="C1645" t="s">
        <v>56</v>
      </c>
      <c r="D1645">
        <v>1092.1600000000001</v>
      </c>
      <c r="E1645" t="str">
        <f>VLOOKUP(C1645,inf!$A$2:$B$7,2,FALSE)</f>
        <v>Current</v>
      </c>
      <c r="F1645" t="str">
        <f t="shared" si="26"/>
        <v>08/09/2017</v>
      </c>
      <c r="G1645" t="str">
        <f>VLOOKUP(A1645,inf!$D$2:$E$76,2,FALSE)</f>
        <v>Other</v>
      </c>
    </row>
    <row r="1646" spans="1:7" x14ac:dyDescent="0.25">
      <c r="A1646" t="s">
        <v>3</v>
      </c>
      <c r="B1646" s="1">
        <v>42956</v>
      </c>
      <c r="C1646" t="s">
        <v>57</v>
      </c>
      <c r="D1646">
        <v>306.85000000000002</v>
      </c>
      <c r="E1646" t="str">
        <f>VLOOKUP(C1646,inf!$A$2:$B$7,2,FALSE)</f>
        <v>31 to 60</v>
      </c>
      <c r="F1646" t="str">
        <f t="shared" si="26"/>
        <v>08/09/2017</v>
      </c>
      <c r="G1646" t="str">
        <f>VLOOKUP(A1646,inf!$D$2:$E$76,2,FALSE)</f>
        <v>Other</v>
      </c>
    </row>
    <row r="1647" spans="1:7" x14ac:dyDescent="0.25">
      <c r="A1647" t="s">
        <v>30</v>
      </c>
      <c r="B1647" s="1">
        <v>42956</v>
      </c>
      <c r="C1647" t="s">
        <v>55</v>
      </c>
      <c r="D1647">
        <v>1993.6100000000001</v>
      </c>
      <c r="E1647" t="str">
        <f>VLOOKUP(C1647,inf!$A$2:$B$7,2,FALSE)</f>
        <v>Current</v>
      </c>
      <c r="F1647" t="str">
        <f t="shared" si="26"/>
        <v>08/09/2017</v>
      </c>
      <c r="G1647" t="str">
        <f>VLOOKUP(A1647,inf!$D$2:$E$76,2,FALSE)</f>
        <v>Other</v>
      </c>
    </row>
    <row r="1648" spans="1:7" x14ac:dyDescent="0.25">
      <c r="A1648" t="s">
        <v>30</v>
      </c>
      <c r="B1648" s="1">
        <v>42956</v>
      </c>
      <c r="C1648" t="s">
        <v>56</v>
      </c>
      <c r="D1648">
        <v>1739.68</v>
      </c>
      <c r="E1648" t="str">
        <f>VLOOKUP(C1648,inf!$A$2:$B$7,2,FALSE)</f>
        <v>Current</v>
      </c>
      <c r="F1648" t="str">
        <f t="shared" si="26"/>
        <v>08/09/2017</v>
      </c>
      <c r="G1648" t="str">
        <f>VLOOKUP(A1648,inf!$D$2:$E$76,2,FALSE)</f>
        <v>Other</v>
      </c>
    </row>
    <row r="1649" spans="1:7" x14ac:dyDescent="0.25">
      <c r="A1649" t="s">
        <v>30</v>
      </c>
      <c r="B1649" s="1">
        <v>42956</v>
      </c>
      <c r="C1649" t="s">
        <v>57</v>
      </c>
      <c r="D1649">
        <v>124.33</v>
      </c>
      <c r="E1649" t="str">
        <f>VLOOKUP(C1649,inf!$A$2:$B$7,2,FALSE)</f>
        <v>31 to 60</v>
      </c>
      <c r="F1649" t="str">
        <f t="shared" si="26"/>
        <v>08/09/2017</v>
      </c>
      <c r="G1649" t="str">
        <f>VLOOKUP(A1649,inf!$D$2:$E$76,2,FALSE)</f>
        <v>Other</v>
      </c>
    </row>
    <row r="1650" spans="1:7" x14ac:dyDescent="0.25">
      <c r="A1650" t="s">
        <v>12</v>
      </c>
      <c r="B1650" s="1">
        <v>42956</v>
      </c>
      <c r="C1650" t="s">
        <v>56</v>
      </c>
      <c r="D1650">
        <v>832.54</v>
      </c>
      <c r="E1650" t="str">
        <f>VLOOKUP(C1650,inf!$A$2:$B$7,2,FALSE)</f>
        <v>Current</v>
      </c>
      <c r="F1650" t="str">
        <f t="shared" si="26"/>
        <v>08/09/2017</v>
      </c>
      <c r="G1650" t="str">
        <f>VLOOKUP(A1650,inf!$D$2:$E$76,2,FALSE)</f>
        <v>Other</v>
      </c>
    </row>
    <row r="1651" spans="1:7" x14ac:dyDescent="0.25">
      <c r="A1651" t="s">
        <v>12</v>
      </c>
      <c r="B1651" s="1">
        <v>42956</v>
      </c>
      <c r="C1651" t="s">
        <v>57</v>
      </c>
      <c r="D1651">
        <v>679.2</v>
      </c>
      <c r="E1651" t="str">
        <f>VLOOKUP(C1651,inf!$A$2:$B$7,2,FALSE)</f>
        <v>31 to 60</v>
      </c>
      <c r="F1651" t="str">
        <f t="shared" si="26"/>
        <v>08/09/2017</v>
      </c>
      <c r="G1651" t="str">
        <f>VLOOKUP(A1651,inf!$D$2:$E$76,2,FALSE)</f>
        <v>Other</v>
      </c>
    </row>
    <row r="1652" spans="1:7" x14ac:dyDescent="0.25">
      <c r="A1652" t="s">
        <v>7</v>
      </c>
      <c r="B1652" s="1">
        <v>42956</v>
      </c>
      <c r="C1652" t="s">
        <v>55</v>
      </c>
      <c r="D1652">
        <v>148859.13999999998</v>
      </c>
      <c r="E1652" t="str">
        <f>VLOOKUP(C1652,inf!$A$2:$B$7,2,FALSE)</f>
        <v>Current</v>
      </c>
      <c r="F1652" t="str">
        <f t="shared" si="26"/>
        <v>08/09/2017</v>
      </c>
      <c r="G1652" t="str">
        <f>VLOOKUP(A1652,inf!$D$2:$E$76,2,FALSE)</f>
        <v>SAFEWAY</v>
      </c>
    </row>
    <row r="1653" spans="1:7" x14ac:dyDescent="0.25">
      <c r="A1653" t="s">
        <v>7</v>
      </c>
      <c r="B1653" s="1">
        <v>42956</v>
      </c>
      <c r="C1653" t="s">
        <v>56</v>
      </c>
      <c r="D1653" s="5">
        <v>19945.07</v>
      </c>
      <c r="E1653" t="str">
        <f>VLOOKUP(C1653,inf!$A$2:$B$7,2,FALSE)</f>
        <v>Current</v>
      </c>
      <c r="F1653" t="str">
        <f t="shared" si="26"/>
        <v>08/09/2017</v>
      </c>
      <c r="G1653" t="str">
        <f>VLOOKUP(A1653,inf!$D$2:$E$76,2,FALSE)</f>
        <v>SAFEWAY</v>
      </c>
    </row>
    <row r="1654" spans="1:7" x14ac:dyDescent="0.25">
      <c r="A1654" t="s">
        <v>7</v>
      </c>
      <c r="B1654" s="1">
        <v>42956</v>
      </c>
      <c r="C1654" t="s">
        <v>57</v>
      </c>
      <c r="D1654">
        <v>1272.1400000000001</v>
      </c>
      <c r="E1654" t="str">
        <f>VLOOKUP(C1654,inf!$A$2:$B$7,2,FALSE)</f>
        <v>31 to 60</v>
      </c>
      <c r="F1654" t="str">
        <f t="shared" si="26"/>
        <v>08/09/2017</v>
      </c>
      <c r="G1654" t="str">
        <f>VLOOKUP(A1654,inf!$D$2:$E$76,2,FALSE)</f>
        <v>SAFEWAY</v>
      </c>
    </row>
    <row r="1655" spans="1:7" x14ac:dyDescent="0.25">
      <c r="A1655" t="s">
        <v>7</v>
      </c>
      <c r="B1655" s="1">
        <v>42956</v>
      </c>
      <c r="C1655" t="s">
        <v>59</v>
      </c>
      <c r="D1655">
        <v>344.56</v>
      </c>
      <c r="E1655" t="str">
        <f>VLOOKUP(C1655,inf!$A$2:$B$7,2,FALSE)</f>
        <v>Over 90</v>
      </c>
      <c r="F1655" t="str">
        <f t="shared" si="26"/>
        <v>08/09/2017</v>
      </c>
      <c r="G1655" t="str">
        <f>VLOOKUP(A1655,inf!$D$2:$E$76,2,FALSE)</f>
        <v>SAFEWAY</v>
      </c>
    </row>
    <row r="1656" spans="1:7" x14ac:dyDescent="0.25">
      <c r="A1656" t="s">
        <v>7</v>
      </c>
      <c r="B1656" s="1">
        <v>42956</v>
      </c>
      <c r="C1656" t="s">
        <v>58</v>
      </c>
      <c r="D1656">
        <v>218.89</v>
      </c>
      <c r="E1656" t="str">
        <f>VLOOKUP(C1656,inf!$A$2:$B$7,2,FALSE)</f>
        <v>61 to 90</v>
      </c>
      <c r="F1656" t="str">
        <f t="shared" si="26"/>
        <v>08/09/2017</v>
      </c>
      <c r="G1656" t="str">
        <f>VLOOKUP(A1656,inf!$D$2:$E$76,2,FALSE)</f>
        <v>SAFEWAY</v>
      </c>
    </row>
    <row r="1657" spans="1:7" x14ac:dyDescent="0.25">
      <c r="A1657" t="s">
        <v>5</v>
      </c>
      <c r="B1657" s="1">
        <v>42956</v>
      </c>
      <c r="C1657" t="s">
        <v>55</v>
      </c>
      <c r="D1657">
        <v>4360991.8600000106</v>
      </c>
      <c r="E1657" t="str">
        <f>VLOOKUP(C1657,inf!$A$2:$B$7,2,FALSE)</f>
        <v>Current</v>
      </c>
      <c r="F1657" t="str">
        <f t="shared" si="26"/>
        <v>08/09/2017</v>
      </c>
      <c r="G1657" t="str">
        <f>VLOOKUP(A1657,inf!$D$2:$E$76,2,FALSE)</f>
        <v>SBUX</v>
      </c>
    </row>
    <row r="1658" spans="1:7" x14ac:dyDescent="0.25">
      <c r="A1658" t="s">
        <v>5</v>
      </c>
      <c r="B1658" s="1">
        <v>42956</v>
      </c>
      <c r="C1658" t="s">
        <v>60</v>
      </c>
      <c r="D1658">
        <v>77979.69</v>
      </c>
      <c r="E1658" t="str">
        <f>VLOOKUP(C1658,inf!$A$2:$B$7,2,FALSE)</f>
        <v>Over 90</v>
      </c>
      <c r="F1658" t="str">
        <f t="shared" si="26"/>
        <v>08/09/2017</v>
      </c>
      <c r="G1658" t="str">
        <f>VLOOKUP(A1658,inf!$D$2:$E$76,2,FALSE)</f>
        <v>SBUX</v>
      </c>
    </row>
    <row r="1659" spans="1:7" x14ac:dyDescent="0.25">
      <c r="A1659" t="s">
        <v>5</v>
      </c>
      <c r="B1659" s="1">
        <v>42956</v>
      </c>
      <c r="C1659" t="s">
        <v>56</v>
      </c>
      <c r="D1659">
        <v>26977.83</v>
      </c>
      <c r="E1659" t="str">
        <f>VLOOKUP(C1659,inf!$A$2:$B$7,2,FALSE)</f>
        <v>Current</v>
      </c>
      <c r="F1659" t="str">
        <f t="shared" si="26"/>
        <v>08/09/2017</v>
      </c>
      <c r="G1659" t="str">
        <f>VLOOKUP(A1659,inf!$D$2:$E$76,2,FALSE)</f>
        <v>SBUX</v>
      </c>
    </row>
    <row r="1660" spans="1:7" x14ac:dyDescent="0.25">
      <c r="A1660" t="s">
        <v>5</v>
      </c>
      <c r="B1660" s="1">
        <v>42956</v>
      </c>
      <c r="C1660" t="s">
        <v>57</v>
      </c>
      <c r="D1660">
        <v>22382.96999999999</v>
      </c>
      <c r="E1660" t="str">
        <f>VLOOKUP(C1660,inf!$A$2:$B$7,2,FALSE)</f>
        <v>31 to 60</v>
      </c>
      <c r="F1660" t="str">
        <f t="shared" si="26"/>
        <v>08/09/2017</v>
      </c>
      <c r="G1660" t="str">
        <f>VLOOKUP(A1660,inf!$D$2:$E$76,2,FALSE)</f>
        <v>SBUX</v>
      </c>
    </row>
    <row r="1661" spans="1:7" x14ac:dyDescent="0.25">
      <c r="A1661" t="s">
        <v>5</v>
      </c>
      <c r="B1661" s="1">
        <v>42956</v>
      </c>
      <c r="C1661" t="s">
        <v>58</v>
      </c>
      <c r="D1661">
        <v>15915.210000000001</v>
      </c>
      <c r="E1661" t="str">
        <f>VLOOKUP(C1661,inf!$A$2:$B$7,2,FALSE)</f>
        <v>61 to 90</v>
      </c>
      <c r="F1661" t="str">
        <f t="shared" si="26"/>
        <v>08/09/2017</v>
      </c>
      <c r="G1661" t="str">
        <f>VLOOKUP(A1661,inf!$D$2:$E$76,2,FALSE)</f>
        <v>SBUX</v>
      </c>
    </row>
    <row r="1662" spans="1:7" x14ac:dyDescent="0.25">
      <c r="A1662" t="s">
        <v>5</v>
      </c>
      <c r="B1662" s="1">
        <v>42956</v>
      </c>
      <c r="C1662" t="s">
        <v>59</v>
      </c>
      <c r="D1662">
        <v>2444.33</v>
      </c>
      <c r="E1662" t="str">
        <f>VLOOKUP(C1662,inf!$A$2:$B$7,2,FALSE)</f>
        <v>Over 90</v>
      </c>
      <c r="F1662" t="str">
        <f t="shared" si="26"/>
        <v>08/09/2017</v>
      </c>
      <c r="G1662" t="str">
        <f>VLOOKUP(A1662,inf!$D$2:$E$76,2,FALSE)</f>
        <v>SBUX</v>
      </c>
    </row>
    <row r="1663" spans="1:7" x14ac:dyDescent="0.25">
      <c r="A1663" t="s">
        <v>6</v>
      </c>
      <c r="B1663" s="1">
        <v>42956</v>
      </c>
      <c r="C1663" t="s">
        <v>55</v>
      </c>
      <c r="D1663">
        <v>472404.8699999961</v>
      </c>
      <c r="E1663" t="str">
        <f>VLOOKUP(C1663,inf!$A$2:$B$7,2,FALSE)</f>
        <v>Current</v>
      </c>
      <c r="F1663" t="str">
        <f t="shared" si="26"/>
        <v>08/09/2017</v>
      </c>
      <c r="G1663" t="str">
        <f>VLOOKUP(A1663,inf!$D$2:$E$76,2,FALSE)</f>
        <v>SBUX</v>
      </c>
    </row>
    <row r="1664" spans="1:7" x14ac:dyDescent="0.25">
      <c r="A1664" t="s">
        <v>6</v>
      </c>
      <c r="B1664" s="1">
        <v>42956</v>
      </c>
      <c r="C1664" t="s">
        <v>60</v>
      </c>
      <c r="D1664">
        <v>8212.93</v>
      </c>
      <c r="E1664" t="str">
        <f>VLOOKUP(C1664,inf!$A$2:$B$7,2,FALSE)</f>
        <v>Over 90</v>
      </c>
      <c r="F1664" t="str">
        <f t="shared" si="26"/>
        <v>08/09/2017</v>
      </c>
      <c r="G1664" t="str">
        <f>VLOOKUP(A1664,inf!$D$2:$E$76,2,FALSE)</f>
        <v>SBUX</v>
      </c>
    </row>
    <row r="1665" spans="1:7" x14ac:dyDescent="0.25">
      <c r="A1665" t="s">
        <v>6</v>
      </c>
      <c r="B1665" s="1">
        <v>42956</v>
      </c>
      <c r="C1665" t="s">
        <v>57</v>
      </c>
      <c r="D1665">
        <v>2872.66</v>
      </c>
      <c r="E1665" t="str">
        <f>VLOOKUP(C1665,inf!$A$2:$B$7,2,FALSE)</f>
        <v>31 to 60</v>
      </c>
      <c r="F1665" t="str">
        <f t="shared" si="26"/>
        <v>08/09/2017</v>
      </c>
      <c r="G1665" t="str">
        <f>VLOOKUP(A1665,inf!$D$2:$E$76,2,FALSE)</f>
        <v>SBUX</v>
      </c>
    </row>
    <row r="1666" spans="1:7" x14ac:dyDescent="0.25">
      <c r="A1666" t="s">
        <v>6</v>
      </c>
      <c r="B1666" s="1">
        <v>42956</v>
      </c>
      <c r="C1666" t="s">
        <v>56</v>
      </c>
      <c r="D1666">
        <v>1730</v>
      </c>
      <c r="E1666" t="str">
        <f>VLOOKUP(C1666,inf!$A$2:$B$7,2,FALSE)</f>
        <v>Current</v>
      </c>
      <c r="F1666" t="str">
        <f t="shared" si="26"/>
        <v>08/09/2017</v>
      </c>
      <c r="G1666" t="str">
        <f>VLOOKUP(A1666,inf!$D$2:$E$76,2,FALSE)</f>
        <v>SBUX</v>
      </c>
    </row>
    <row r="1667" spans="1:7" x14ac:dyDescent="0.25">
      <c r="A1667" t="s">
        <v>6</v>
      </c>
      <c r="B1667" s="1">
        <v>42956</v>
      </c>
      <c r="C1667" t="s">
        <v>59</v>
      </c>
      <c r="D1667">
        <v>635.9</v>
      </c>
      <c r="E1667" t="str">
        <f>VLOOKUP(C1667,inf!$A$2:$B$7,2,FALSE)</f>
        <v>Over 90</v>
      </c>
      <c r="F1667" t="str">
        <f t="shared" ref="F1667:F1730" si="27">TEXT(B1667,"MM/DD/YYYY")</f>
        <v>08/09/2017</v>
      </c>
      <c r="G1667" t="str">
        <f>VLOOKUP(A1667,inf!$D$2:$E$76,2,FALSE)</f>
        <v>SBUX</v>
      </c>
    </row>
    <row r="1668" spans="1:7" x14ac:dyDescent="0.25">
      <c r="A1668" t="s">
        <v>6</v>
      </c>
      <c r="B1668" s="1">
        <v>42956</v>
      </c>
      <c r="C1668" t="s">
        <v>58</v>
      </c>
      <c r="D1668">
        <v>294.62</v>
      </c>
      <c r="E1668" t="str">
        <f>VLOOKUP(C1668,inf!$A$2:$B$7,2,FALSE)</f>
        <v>61 to 90</v>
      </c>
      <c r="F1668" t="str">
        <f t="shared" si="27"/>
        <v>08/09/2017</v>
      </c>
      <c r="G1668" t="str">
        <f>VLOOKUP(A1668,inf!$D$2:$E$76,2,FALSE)</f>
        <v>SBUX</v>
      </c>
    </row>
    <row r="1669" spans="1:7" x14ac:dyDescent="0.25">
      <c r="A1669" t="s">
        <v>49</v>
      </c>
      <c r="B1669" s="1">
        <v>42956</v>
      </c>
      <c r="C1669" t="s">
        <v>56</v>
      </c>
      <c r="D1669">
        <v>150.36000000000001</v>
      </c>
      <c r="E1669" t="str">
        <f>VLOOKUP(C1669,inf!$A$2:$B$7,2,FALSE)</f>
        <v>Current</v>
      </c>
      <c r="F1669" t="str">
        <f t="shared" si="27"/>
        <v>08/09/2017</v>
      </c>
      <c r="G1669" t="str">
        <f>VLOOKUP(A1669,inf!$D$2:$E$76,2,FALSE)</f>
        <v>Other</v>
      </c>
    </row>
    <row r="1670" spans="1:7" x14ac:dyDescent="0.25">
      <c r="A1670" t="s">
        <v>51</v>
      </c>
      <c r="B1670" s="1">
        <v>42956</v>
      </c>
      <c r="C1670" t="s">
        <v>59</v>
      </c>
      <c r="D1670">
        <v>235.2</v>
      </c>
      <c r="E1670" t="str">
        <f>VLOOKUP(C1670,inf!$A$2:$B$7,2,FALSE)</f>
        <v>Over 90</v>
      </c>
      <c r="F1670" t="str">
        <f t="shared" si="27"/>
        <v>08/09/2017</v>
      </c>
      <c r="G1670" t="str">
        <f>VLOOKUP(A1670,inf!$D$2:$E$76,2,FALSE)</f>
        <v>Other</v>
      </c>
    </row>
    <row r="1671" spans="1:7" x14ac:dyDescent="0.25">
      <c r="A1671" t="s">
        <v>48</v>
      </c>
      <c r="B1671" s="1">
        <v>42956</v>
      </c>
      <c r="C1671" t="s">
        <v>55</v>
      </c>
      <c r="D1671">
        <v>90790.209999999963</v>
      </c>
      <c r="E1671" t="str">
        <f>VLOOKUP(C1671,inf!$A$2:$B$7,2,FALSE)</f>
        <v>Current</v>
      </c>
      <c r="F1671" t="str">
        <f t="shared" si="27"/>
        <v>08/09/2017</v>
      </c>
      <c r="G1671" t="str">
        <f>VLOOKUP(A1671,inf!$D$2:$E$76,2,FALSE)</f>
        <v>Target</v>
      </c>
    </row>
    <row r="1672" spans="1:7" x14ac:dyDescent="0.25">
      <c r="A1672" t="s">
        <v>48</v>
      </c>
      <c r="B1672" s="1">
        <v>42956</v>
      </c>
      <c r="C1672" t="s">
        <v>56</v>
      </c>
      <c r="D1672">
        <v>1399.28</v>
      </c>
      <c r="E1672" t="str">
        <f>VLOOKUP(C1672,inf!$A$2:$B$7,2,FALSE)</f>
        <v>Current</v>
      </c>
      <c r="F1672" t="str">
        <f t="shared" si="27"/>
        <v>08/09/2017</v>
      </c>
      <c r="G1672" t="str">
        <f>VLOOKUP(A1672,inf!$D$2:$E$76,2,FALSE)</f>
        <v>Target</v>
      </c>
    </row>
    <row r="1673" spans="1:7" x14ac:dyDescent="0.25">
      <c r="A1673" t="s">
        <v>8</v>
      </c>
      <c r="B1673" s="1">
        <v>42956</v>
      </c>
      <c r="C1673" t="s">
        <v>55</v>
      </c>
      <c r="D1673">
        <v>360757.25000000006</v>
      </c>
      <c r="E1673" t="str">
        <f>VLOOKUP(C1673,inf!$A$2:$B$7,2,FALSE)</f>
        <v>Current</v>
      </c>
      <c r="F1673" t="str">
        <f t="shared" si="27"/>
        <v>08/09/2017</v>
      </c>
      <c r="G1673" t="str">
        <f>VLOOKUP(A1673,inf!$D$2:$E$76,2,FALSE)</f>
        <v>Target</v>
      </c>
    </row>
    <row r="1674" spans="1:7" x14ac:dyDescent="0.25">
      <c r="A1674" t="s">
        <v>8</v>
      </c>
      <c r="B1674" s="1">
        <v>42956</v>
      </c>
      <c r="C1674" t="s">
        <v>60</v>
      </c>
      <c r="D1674">
        <v>20442.219999999998</v>
      </c>
      <c r="E1674" t="str">
        <f>VLOOKUP(C1674,inf!$A$2:$B$7,2,FALSE)</f>
        <v>Over 90</v>
      </c>
      <c r="F1674" t="str">
        <f t="shared" si="27"/>
        <v>08/09/2017</v>
      </c>
      <c r="G1674" t="str">
        <f>VLOOKUP(A1674,inf!$D$2:$E$76,2,FALSE)</f>
        <v>Target</v>
      </c>
    </row>
    <row r="1675" spans="1:7" x14ac:dyDescent="0.25">
      <c r="A1675" t="s">
        <v>8</v>
      </c>
      <c r="B1675" s="1">
        <v>42956</v>
      </c>
      <c r="C1675" t="s">
        <v>56</v>
      </c>
      <c r="D1675">
        <v>14801.16</v>
      </c>
      <c r="E1675" t="str">
        <f>VLOOKUP(C1675,inf!$A$2:$B$7,2,FALSE)</f>
        <v>Current</v>
      </c>
      <c r="F1675" t="str">
        <f t="shared" si="27"/>
        <v>08/09/2017</v>
      </c>
      <c r="G1675" t="str">
        <f>VLOOKUP(A1675,inf!$D$2:$E$76,2,FALSE)</f>
        <v>Target</v>
      </c>
    </row>
    <row r="1676" spans="1:7" x14ac:dyDescent="0.25">
      <c r="A1676" t="s">
        <v>8</v>
      </c>
      <c r="B1676" s="1">
        <v>42956</v>
      </c>
      <c r="C1676" t="s">
        <v>57</v>
      </c>
      <c r="D1676">
        <v>1784.27</v>
      </c>
      <c r="E1676" t="str">
        <f>VLOOKUP(C1676,inf!$A$2:$B$7,2,FALSE)</f>
        <v>31 to 60</v>
      </c>
      <c r="F1676" t="str">
        <f t="shared" si="27"/>
        <v>08/09/2017</v>
      </c>
      <c r="G1676" t="str">
        <f>VLOOKUP(A1676,inf!$D$2:$E$76,2,FALSE)</f>
        <v>Target</v>
      </c>
    </row>
    <row r="1677" spans="1:7" x14ac:dyDescent="0.25">
      <c r="A1677" t="s">
        <v>8</v>
      </c>
      <c r="B1677" s="1">
        <v>42956</v>
      </c>
      <c r="C1677" t="s">
        <v>58</v>
      </c>
      <c r="D1677">
        <v>299.65999999999997</v>
      </c>
      <c r="E1677" t="str">
        <f>VLOOKUP(C1677,inf!$A$2:$B$7,2,FALSE)</f>
        <v>61 to 90</v>
      </c>
      <c r="F1677" t="str">
        <f t="shared" si="27"/>
        <v>08/09/2017</v>
      </c>
      <c r="G1677" t="str">
        <f>VLOOKUP(A1677,inf!$D$2:$E$76,2,FALSE)</f>
        <v>Target</v>
      </c>
    </row>
    <row r="1678" spans="1:7" x14ac:dyDescent="0.25">
      <c r="A1678" t="s">
        <v>8</v>
      </c>
      <c r="B1678" s="1">
        <v>42956</v>
      </c>
      <c r="C1678" t="s">
        <v>59</v>
      </c>
      <c r="D1678">
        <v>263.55</v>
      </c>
      <c r="E1678" t="str">
        <f>VLOOKUP(C1678,inf!$A$2:$B$7,2,FALSE)</f>
        <v>Over 90</v>
      </c>
      <c r="F1678" t="str">
        <f t="shared" si="27"/>
        <v>08/09/2017</v>
      </c>
      <c r="G1678" t="str">
        <f>VLOOKUP(A1678,inf!$D$2:$E$76,2,FALSE)</f>
        <v>Target</v>
      </c>
    </row>
    <row r="1679" spans="1:7" x14ac:dyDescent="0.25">
      <c r="A1679" t="s">
        <v>54</v>
      </c>
      <c r="B1679" s="1">
        <v>42956</v>
      </c>
      <c r="C1679" t="s">
        <v>55</v>
      </c>
      <c r="D1679">
        <v>740.35</v>
      </c>
      <c r="E1679" t="str">
        <f>VLOOKUP(C1679,inf!$A$2:$B$7,2,FALSE)</f>
        <v>Current</v>
      </c>
      <c r="F1679" t="str">
        <f t="shared" si="27"/>
        <v>08/09/2017</v>
      </c>
      <c r="G1679" t="str">
        <f>VLOOKUP(A1679,inf!$D$2:$E$76,2,FALSE)</f>
        <v>Other</v>
      </c>
    </row>
    <row r="1680" spans="1:7" x14ac:dyDescent="0.25">
      <c r="A1680" t="s">
        <v>54</v>
      </c>
      <c r="B1680" s="1">
        <v>42956</v>
      </c>
      <c r="C1680" t="s">
        <v>57</v>
      </c>
      <c r="D1680">
        <v>488.11</v>
      </c>
      <c r="E1680" t="str">
        <f>VLOOKUP(C1680,inf!$A$2:$B$7,2,FALSE)</f>
        <v>31 to 60</v>
      </c>
      <c r="F1680" t="str">
        <f t="shared" si="27"/>
        <v>08/09/2017</v>
      </c>
      <c r="G1680" t="str">
        <f>VLOOKUP(A1680,inf!$D$2:$E$76,2,FALSE)</f>
        <v>Other</v>
      </c>
    </row>
    <row r="1681" spans="1:7" x14ac:dyDescent="0.25">
      <c r="A1681" t="s">
        <v>54</v>
      </c>
      <c r="B1681" s="1">
        <v>42956</v>
      </c>
      <c r="C1681" t="s">
        <v>56</v>
      </c>
      <c r="D1681">
        <v>313.62</v>
      </c>
      <c r="E1681" t="str">
        <f>VLOOKUP(C1681,inf!$A$2:$B$7,2,FALSE)</f>
        <v>Current</v>
      </c>
      <c r="F1681" t="str">
        <f t="shared" si="27"/>
        <v>08/09/2017</v>
      </c>
      <c r="G1681" t="str">
        <f>VLOOKUP(A1681,inf!$D$2:$E$76,2,FALSE)</f>
        <v>Other</v>
      </c>
    </row>
    <row r="1682" spans="1:7" x14ac:dyDescent="0.25">
      <c r="A1682" t="s">
        <v>15</v>
      </c>
      <c r="B1682" s="1">
        <v>42956</v>
      </c>
      <c r="C1682" t="s">
        <v>55</v>
      </c>
      <c r="D1682">
        <v>291.60000000000002</v>
      </c>
      <c r="E1682" t="str">
        <f>VLOOKUP(C1682,inf!$A$2:$B$7,2,FALSE)</f>
        <v>Current</v>
      </c>
      <c r="F1682" t="str">
        <f t="shared" si="27"/>
        <v>08/09/2017</v>
      </c>
      <c r="G1682" t="str">
        <f>VLOOKUP(A1682,inf!$D$2:$E$76,2,FALSE)</f>
        <v>Other</v>
      </c>
    </row>
    <row r="1683" spans="1:7" x14ac:dyDescent="0.25">
      <c r="A1683" t="s">
        <v>15</v>
      </c>
      <c r="B1683" s="1">
        <v>42956</v>
      </c>
      <c r="C1683" t="s">
        <v>60</v>
      </c>
      <c r="D1683">
        <v>126.05</v>
      </c>
      <c r="E1683" t="str">
        <f>VLOOKUP(C1683,inf!$A$2:$B$7,2,FALSE)</f>
        <v>Over 90</v>
      </c>
      <c r="F1683" t="str">
        <f t="shared" si="27"/>
        <v>08/09/2017</v>
      </c>
      <c r="G1683" t="str">
        <f>VLOOKUP(A1683,inf!$D$2:$E$76,2,FALSE)</f>
        <v>Other</v>
      </c>
    </row>
    <row r="1684" spans="1:7" x14ac:dyDescent="0.25">
      <c r="A1684" t="s">
        <v>61</v>
      </c>
      <c r="B1684" s="1">
        <v>42963</v>
      </c>
      <c r="C1684" t="s">
        <v>55</v>
      </c>
      <c r="D1684">
        <v>295.32</v>
      </c>
      <c r="E1684" t="str">
        <f>VLOOKUP(C1684,inf!$A$2:$B$7,2,FALSE)</f>
        <v>Current</v>
      </c>
      <c r="F1684" t="str">
        <f t="shared" si="27"/>
        <v>08/16/2017</v>
      </c>
      <c r="G1684" t="str">
        <f>VLOOKUP(A1684,inf!$D$2:$E$76,2,FALSE)</f>
        <v>Other</v>
      </c>
    </row>
    <row r="1685" spans="1:7" x14ac:dyDescent="0.25">
      <c r="A1685" t="s">
        <v>4</v>
      </c>
      <c r="B1685" s="1">
        <v>42963</v>
      </c>
      <c r="C1685" t="s">
        <v>55</v>
      </c>
      <c r="D1685">
        <v>3997.4900000000002</v>
      </c>
      <c r="E1685" t="str">
        <f>VLOOKUP(C1685,inf!$A$2:$B$7,2,FALSE)</f>
        <v>Current</v>
      </c>
      <c r="F1685" t="str">
        <f t="shared" si="27"/>
        <v>08/16/2017</v>
      </c>
      <c r="G1685" t="str">
        <f>VLOOKUP(A1685,inf!$D$2:$E$76,2,FALSE)</f>
        <v>Other</v>
      </c>
    </row>
    <row r="1686" spans="1:7" x14ac:dyDescent="0.25">
      <c r="A1686" t="s">
        <v>26</v>
      </c>
      <c r="B1686" s="1">
        <v>42963</v>
      </c>
      <c r="C1686" t="s">
        <v>60</v>
      </c>
      <c r="D1686">
        <v>1380.77</v>
      </c>
      <c r="E1686" t="str">
        <f>VLOOKUP(C1686,inf!$A$2:$B$7,2,FALSE)</f>
        <v>Over 90</v>
      </c>
      <c r="F1686" t="str">
        <f t="shared" si="27"/>
        <v>08/16/2017</v>
      </c>
      <c r="G1686" t="str">
        <f>VLOOKUP(A1686,inf!$D$2:$E$76,2,FALSE)</f>
        <v>Other</v>
      </c>
    </row>
    <row r="1687" spans="1:7" x14ac:dyDescent="0.25">
      <c r="A1687" t="s">
        <v>2</v>
      </c>
      <c r="B1687" s="1">
        <v>42963</v>
      </c>
      <c r="C1687" t="s">
        <v>60</v>
      </c>
      <c r="D1687">
        <v>3717.8600000000006</v>
      </c>
      <c r="E1687" t="str">
        <f>VLOOKUP(C1687,inf!$A$2:$B$7,2,FALSE)</f>
        <v>Over 90</v>
      </c>
      <c r="F1687" t="str">
        <f t="shared" si="27"/>
        <v>08/16/2017</v>
      </c>
      <c r="G1687" t="str">
        <f>VLOOKUP(A1687,inf!$D$2:$E$76,2,FALSE)</f>
        <v>Other</v>
      </c>
    </row>
    <row r="1688" spans="1:7" x14ac:dyDescent="0.25">
      <c r="A1688" t="s">
        <v>32</v>
      </c>
      <c r="B1688" s="1">
        <v>42963</v>
      </c>
      <c r="C1688" t="s">
        <v>57</v>
      </c>
      <c r="D1688">
        <v>424.53000000000003</v>
      </c>
      <c r="E1688" t="str">
        <f>VLOOKUP(C1688,inf!$A$2:$B$7,2,FALSE)</f>
        <v>31 to 60</v>
      </c>
      <c r="F1688" t="str">
        <f t="shared" si="27"/>
        <v>08/16/2017</v>
      </c>
      <c r="G1688" t="str">
        <f>VLOOKUP(A1688,inf!$D$2:$E$76,2,FALSE)</f>
        <v>Other</v>
      </c>
    </row>
    <row r="1689" spans="1:7" x14ac:dyDescent="0.25">
      <c r="A1689" t="s">
        <v>32</v>
      </c>
      <c r="B1689" s="1">
        <v>42963</v>
      </c>
      <c r="C1689" t="s">
        <v>55</v>
      </c>
      <c r="D1689">
        <v>162.66</v>
      </c>
      <c r="E1689" t="str">
        <f>VLOOKUP(C1689,inf!$A$2:$B$7,2,FALSE)</f>
        <v>Current</v>
      </c>
      <c r="F1689" t="str">
        <f t="shared" si="27"/>
        <v>08/16/2017</v>
      </c>
      <c r="G1689" t="str">
        <f>VLOOKUP(A1689,inf!$D$2:$E$76,2,FALSE)</f>
        <v>Other</v>
      </c>
    </row>
    <row r="1690" spans="1:7" x14ac:dyDescent="0.25">
      <c r="A1690" t="s">
        <v>47</v>
      </c>
      <c r="B1690" s="1">
        <v>42963</v>
      </c>
      <c r="C1690" t="s">
        <v>55</v>
      </c>
      <c r="D1690">
        <v>431.91</v>
      </c>
      <c r="E1690" t="str">
        <f>VLOOKUP(C1690,inf!$A$2:$B$7,2,FALSE)</f>
        <v>Current</v>
      </c>
      <c r="F1690" t="str">
        <f t="shared" si="27"/>
        <v>08/16/2017</v>
      </c>
      <c r="G1690" t="str">
        <f>VLOOKUP(A1690,inf!$D$2:$E$76,2,FALSE)</f>
        <v>Other</v>
      </c>
    </row>
    <row r="1691" spans="1:7" x14ac:dyDescent="0.25">
      <c r="A1691" t="s">
        <v>19</v>
      </c>
      <c r="B1691" s="1">
        <v>42963</v>
      </c>
      <c r="C1691" t="s">
        <v>56</v>
      </c>
      <c r="D1691">
        <v>258.41000000000003</v>
      </c>
      <c r="E1691" t="str">
        <f>VLOOKUP(C1691,inf!$A$2:$B$7,2,FALSE)</f>
        <v>Current</v>
      </c>
      <c r="F1691" t="str">
        <f t="shared" si="27"/>
        <v>08/16/2017</v>
      </c>
      <c r="G1691" t="str">
        <f>VLOOKUP(A1691,inf!$D$2:$E$76,2,FALSE)</f>
        <v>Other</v>
      </c>
    </row>
    <row r="1692" spans="1:7" x14ac:dyDescent="0.25">
      <c r="A1692" t="s">
        <v>25</v>
      </c>
      <c r="B1692" s="1">
        <v>42963</v>
      </c>
      <c r="C1692" t="s">
        <v>56</v>
      </c>
      <c r="D1692">
        <v>587.97</v>
      </c>
      <c r="E1692" t="str">
        <f>VLOOKUP(C1692,inf!$A$2:$B$7,2,FALSE)</f>
        <v>Current</v>
      </c>
      <c r="F1692" t="str">
        <f t="shared" si="27"/>
        <v>08/16/2017</v>
      </c>
      <c r="G1692" t="str">
        <f>VLOOKUP(A1692,inf!$D$2:$E$76,2,FALSE)</f>
        <v>Other</v>
      </c>
    </row>
    <row r="1693" spans="1:7" x14ac:dyDescent="0.25">
      <c r="A1693" t="s">
        <v>25</v>
      </c>
      <c r="B1693" s="1">
        <v>42963</v>
      </c>
      <c r="C1693" t="s">
        <v>55</v>
      </c>
      <c r="D1693">
        <v>585.25</v>
      </c>
      <c r="E1693" t="str">
        <f>VLOOKUP(C1693,inf!$A$2:$B$7,2,FALSE)</f>
        <v>Current</v>
      </c>
      <c r="F1693" t="str">
        <f t="shared" si="27"/>
        <v>08/16/2017</v>
      </c>
      <c r="G1693" t="str">
        <f>VLOOKUP(A1693,inf!$D$2:$E$76,2,FALSE)</f>
        <v>Other</v>
      </c>
    </row>
    <row r="1694" spans="1:7" x14ac:dyDescent="0.25">
      <c r="A1694" t="s">
        <v>31</v>
      </c>
      <c r="B1694" s="1">
        <v>42963</v>
      </c>
      <c r="C1694" t="s">
        <v>55</v>
      </c>
      <c r="D1694">
        <v>756.11</v>
      </c>
      <c r="E1694" t="str">
        <f>VLOOKUP(C1694,inf!$A$2:$B$7,2,FALSE)</f>
        <v>Current</v>
      </c>
      <c r="F1694" t="str">
        <f t="shared" si="27"/>
        <v>08/16/2017</v>
      </c>
      <c r="G1694" t="str">
        <f>VLOOKUP(A1694,inf!$D$2:$E$76,2,FALSE)</f>
        <v>Other</v>
      </c>
    </row>
    <row r="1695" spans="1:7" x14ac:dyDescent="0.25">
      <c r="A1695" t="s">
        <v>24</v>
      </c>
      <c r="B1695" s="1">
        <v>42963</v>
      </c>
      <c r="C1695" t="s">
        <v>55</v>
      </c>
      <c r="D1695">
        <v>331.15</v>
      </c>
      <c r="E1695" t="str">
        <f>VLOOKUP(C1695,inf!$A$2:$B$7,2,FALSE)</f>
        <v>Current</v>
      </c>
      <c r="F1695" t="str">
        <f t="shared" si="27"/>
        <v>08/16/2017</v>
      </c>
      <c r="G1695" t="str">
        <f>VLOOKUP(A1695,inf!$D$2:$E$76,2,FALSE)</f>
        <v>Other</v>
      </c>
    </row>
    <row r="1696" spans="1:7" x14ac:dyDescent="0.25">
      <c r="A1696" t="s">
        <v>18</v>
      </c>
      <c r="B1696" s="1">
        <v>42963</v>
      </c>
      <c r="C1696" t="s">
        <v>57</v>
      </c>
      <c r="D1696">
        <v>1320.39</v>
      </c>
      <c r="E1696" t="str">
        <f>VLOOKUP(C1696,inf!$A$2:$B$7,2,FALSE)</f>
        <v>31 to 60</v>
      </c>
      <c r="F1696" t="str">
        <f t="shared" si="27"/>
        <v>08/16/2017</v>
      </c>
      <c r="G1696" t="str">
        <f>VLOOKUP(A1696,inf!$D$2:$E$76,2,FALSE)</f>
        <v>Other</v>
      </c>
    </row>
    <row r="1697" spans="1:7" x14ac:dyDescent="0.25">
      <c r="A1697" t="s">
        <v>27</v>
      </c>
      <c r="B1697" s="1">
        <v>42963</v>
      </c>
      <c r="C1697" t="s">
        <v>55</v>
      </c>
      <c r="D1697">
        <v>4957.47</v>
      </c>
      <c r="E1697" t="str">
        <f>VLOOKUP(C1697,inf!$A$2:$B$7,2,FALSE)</f>
        <v>Current</v>
      </c>
      <c r="F1697" t="str">
        <f t="shared" si="27"/>
        <v>08/16/2017</v>
      </c>
      <c r="G1697" t="str">
        <f>VLOOKUP(A1697,inf!$D$2:$E$76,2,FALSE)</f>
        <v>Other</v>
      </c>
    </row>
    <row r="1698" spans="1:7" x14ac:dyDescent="0.25">
      <c r="A1698" t="s">
        <v>62</v>
      </c>
      <c r="B1698" s="1">
        <v>42963</v>
      </c>
      <c r="C1698" t="s">
        <v>55</v>
      </c>
      <c r="D1698">
        <v>241.51</v>
      </c>
      <c r="E1698" t="str">
        <f>VLOOKUP(C1698,inf!$A$2:$B$7,2,FALSE)</f>
        <v>Current</v>
      </c>
      <c r="F1698" t="str">
        <f t="shared" si="27"/>
        <v>08/16/2017</v>
      </c>
      <c r="G1698" t="str">
        <f>VLOOKUP(A1698,inf!$D$2:$E$76,2,FALSE)</f>
        <v>Other</v>
      </c>
    </row>
    <row r="1699" spans="1:7" x14ac:dyDescent="0.25">
      <c r="A1699" t="s">
        <v>21</v>
      </c>
      <c r="B1699" s="1">
        <v>42963</v>
      </c>
      <c r="C1699" t="s">
        <v>55</v>
      </c>
      <c r="D1699">
        <v>1849.49</v>
      </c>
      <c r="E1699" t="str">
        <f>VLOOKUP(C1699,inf!$A$2:$B$7,2,FALSE)</f>
        <v>Current</v>
      </c>
      <c r="F1699" t="str">
        <f t="shared" si="27"/>
        <v>08/16/2017</v>
      </c>
      <c r="G1699" t="str">
        <f>VLOOKUP(A1699,inf!$D$2:$E$76,2,FALSE)</f>
        <v>Other</v>
      </c>
    </row>
    <row r="1700" spans="1:7" x14ac:dyDescent="0.25">
      <c r="A1700" t="s">
        <v>21</v>
      </c>
      <c r="B1700" s="1">
        <v>42963</v>
      </c>
      <c r="C1700" t="s">
        <v>59</v>
      </c>
      <c r="D1700">
        <v>666.87</v>
      </c>
      <c r="E1700" t="str">
        <f>VLOOKUP(C1700,inf!$A$2:$B$7,2,FALSE)</f>
        <v>Over 90</v>
      </c>
      <c r="F1700" t="str">
        <f t="shared" si="27"/>
        <v>08/16/2017</v>
      </c>
      <c r="G1700" t="str">
        <f>VLOOKUP(A1700,inf!$D$2:$E$76,2,FALSE)</f>
        <v>Other</v>
      </c>
    </row>
    <row r="1701" spans="1:7" x14ac:dyDescent="0.25">
      <c r="A1701" t="s">
        <v>21</v>
      </c>
      <c r="B1701" s="1">
        <v>42963</v>
      </c>
      <c r="C1701" t="s">
        <v>57</v>
      </c>
      <c r="D1701">
        <v>425.96</v>
      </c>
      <c r="E1701" t="str">
        <f>VLOOKUP(C1701,inf!$A$2:$B$7,2,FALSE)</f>
        <v>31 to 60</v>
      </c>
      <c r="F1701" t="str">
        <f t="shared" si="27"/>
        <v>08/16/2017</v>
      </c>
      <c r="G1701" t="str">
        <f>VLOOKUP(A1701,inf!$D$2:$E$76,2,FALSE)</f>
        <v>Other</v>
      </c>
    </row>
    <row r="1702" spans="1:7" x14ac:dyDescent="0.25">
      <c r="A1702" t="s">
        <v>3</v>
      </c>
      <c r="B1702" s="1">
        <v>42963</v>
      </c>
      <c r="C1702" t="s">
        <v>56</v>
      </c>
      <c r="D1702">
        <v>1092.1600000000001</v>
      </c>
      <c r="E1702" t="str">
        <f>VLOOKUP(C1702,inf!$A$2:$B$7,2,FALSE)</f>
        <v>Current</v>
      </c>
      <c r="F1702" t="str">
        <f t="shared" si="27"/>
        <v>08/16/2017</v>
      </c>
      <c r="G1702" t="str">
        <f>VLOOKUP(A1702,inf!$D$2:$E$76,2,FALSE)</f>
        <v>Other</v>
      </c>
    </row>
    <row r="1703" spans="1:7" x14ac:dyDescent="0.25">
      <c r="A1703" t="s">
        <v>3</v>
      </c>
      <c r="B1703" s="1">
        <v>42963</v>
      </c>
      <c r="C1703" t="s">
        <v>55</v>
      </c>
      <c r="D1703">
        <v>875.95</v>
      </c>
      <c r="E1703" t="str">
        <f>VLOOKUP(C1703,inf!$A$2:$B$7,2,FALSE)</f>
        <v>Current</v>
      </c>
      <c r="F1703" t="str">
        <f t="shared" si="27"/>
        <v>08/16/2017</v>
      </c>
      <c r="G1703" t="str">
        <f>VLOOKUP(A1703,inf!$D$2:$E$76,2,FALSE)</f>
        <v>Other</v>
      </c>
    </row>
    <row r="1704" spans="1:7" x14ac:dyDescent="0.25">
      <c r="A1704" t="s">
        <v>3</v>
      </c>
      <c r="B1704" s="1">
        <v>42963</v>
      </c>
      <c r="C1704" t="s">
        <v>57</v>
      </c>
      <c r="D1704">
        <v>306.85000000000002</v>
      </c>
      <c r="E1704" t="str">
        <f>VLOOKUP(C1704,inf!$A$2:$B$7,2,FALSE)</f>
        <v>31 to 60</v>
      </c>
      <c r="F1704" t="str">
        <f t="shared" si="27"/>
        <v>08/16/2017</v>
      </c>
      <c r="G1704" t="str">
        <f>VLOOKUP(A1704,inf!$D$2:$E$76,2,FALSE)</f>
        <v>Other</v>
      </c>
    </row>
    <row r="1705" spans="1:7" x14ac:dyDescent="0.25">
      <c r="A1705" t="s">
        <v>30</v>
      </c>
      <c r="B1705" s="1">
        <v>42963</v>
      </c>
      <c r="C1705" t="s">
        <v>55</v>
      </c>
      <c r="D1705">
        <v>2470.14</v>
      </c>
      <c r="E1705" t="str">
        <f>VLOOKUP(C1705,inf!$A$2:$B$7,2,FALSE)</f>
        <v>Current</v>
      </c>
      <c r="F1705" t="str">
        <f t="shared" si="27"/>
        <v>08/16/2017</v>
      </c>
      <c r="G1705" t="str">
        <f>VLOOKUP(A1705,inf!$D$2:$E$76,2,FALSE)</f>
        <v>Other</v>
      </c>
    </row>
    <row r="1706" spans="1:7" x14ac:dyDescent="0.25">
      <c r="A1706" t="s">
        <v>30</v>
      </c>
      <c r="B1706" s="1">
        <v>42963</v>
      </c>
      <c r="C1706" t="s">
        <v>57</v>
      </c>
      <c r="D1706">
        <v>1561</v>
      </c>
      <c r="E1706" t="str">
        <f>VLOOKUP(C1706,inf!$A$2:$B$7,2,FALSE)</f>
        <v>31 to 60</v>
      </c>
      <c r="F1706" t="str">
        <f t="shared" si="27"/>
        <v>08/16/2017</v>
      </c>
      <c r="G1706" t="str">
        <f>VLOOKUP(A1706,inf!$D$2:$E$76,2,FALSE)</f>
        <v>Other</v>
      </c>
    </row>
    <row r="1707" spans="1:7" x14ac:dyDescent="0.25">
      <c r="A1707" t="s">
        <v>30</v>
      </c>
      <c r="B1707" s="1">
        <v>42963</v>
      </c>
      <c r="C1707" t="s">
        <v>56</v>
      </c>
      <c r="D1707">
        <v>458.41</v>
      </c>
      <c r="E1707" t="str">
        <f>VLOOKUP(C1707,inf!$A$2:$B$7,2,FALSE)</f>
        <v>Current</v>
      </c>
      <c r="F1707" t="str">
        <f t="shared" si="27"/>
        <v>08/16/2017</v>
      </c>
      <c r="G1707" t="str">
        <f>VLOOKUP(A1707,inf!$D$2:$E$76,2,FALSE)</f>
        <v>Other</v>
      </c>
    </row>
    <row r="1708" spans="1:7" x14ac:dyDescent="0.25">
      <c r="A1708" t="s">
        <v>63</v>
      </c>
      <c r="B1708" s="1">
        <v>42963</v>
      </c>
      <c r="C1708" t="s">
        <v>55</v>
      </c>
      <c r="D1708">
        <v>170.49</v>
      </c>
      <c r="E1708" t="str">
        <f>VLOOKUP(C1708,inf!$A$2:$B$7,2,FALSE)</f>
        <v>Current</v>
      </c>
      <c r="F1708" t="str">
        <f t="shared" si="27"/>
        <v>08/16/2017</v>
      </c>
      <c r="G1708" t="str">
        <f>VLOOKUP(A1708,inf!$D$2:$E$76,2,FALSE)</f>
        <v>Other</v>
      </c>
    </row>
    <row r="1709" spans="1:7" x14ac:dyDescent="0.25">
      <c r="A1709" t="s">
        <v>12</v>
      </c>
      <c r="B1709" s="1">
        <v>42963</v>
      </c>
      <c r="C1709" t="s">
        <v>56</v>
      </c>
      <c r="D1709">
        <v>832.54</v>
      </c>
      <c r="E1709" t="str">
        <f>VLOOKUP(C1709,inf!$A$2:$B$7,2,FALSE)</f>
        <v>Current</v>
      </c>
      <c r="F1709" t="str">
        <f t="shared" si="27"/>
        <v>08/16/2017</v>
      </c>
      <c r="G1709" t="str">
        <f>VLOOKUP(A1709,inf!$D$2:$E$76,2,FALSE)</f>
        <v>Other</v>
      </c>
    </row>
    <row r="1710" spans="1:7" x14ac:dyDescent="0.25">
      <c r="A1710" t="s">
        <v>12</v>
      </c>
      <c r="B1710" s="1">
        <v>42963</v>
      </c>
      <c r="C1710" t="s">
        <v>55</v>
      </c>
      <c r="D1710">
        <v>333.91</v>
      </c>
      <c r="E1710" t="str">
        <f>VLOOKUP(C1710,inf!$A$2:$B$7,2,FALSE)</f>
        <v>Current</v>
      </c>
      <c r="F1710" t="str">
        <f t="shared" si="27"/>
        <v>08/16/2017</v>
      </c>
      <c r="G1710" t="str">
        <f>VLOOKUP(A1710,inf!$D$2:$E$76,2,FALSE)</f>
        <v>Other</v>
      </c>
    </row>
    <row r="1711" spans="1:7" x14ac:dyDescent="0.25">
      <c r="A1711" t="s">
        <v>12</v>
      </c>
      <c r="B1711" s="1">
        <v>42963</v>
      </c>
      <c r="C1711" t="s">
        <v>57</v>
      </c>
      <c r="D1711">
        <v>165</v>
      </c>
      <c r="E1711" t="str">
        <f>VLOOKUP(C1711,inf!$A$2:$B$7,2,FALSE)</f>
        <v>31 to 60</v>
      </c>
      <c r="F1711" t="str">
        <f t="shared" si="27"/>
        <v>08/16/2017</v>
      </c>
      <c r="G1711" t="str">
        <f>VLOOKUP(A1711,inf!$D$2:$E$76,2,FALSE)</f>
        <v>Other</v>
      </c>
    </row>
    <row r="1712" spans="1:7" x14ac:dyDescent="0.25">
      <c r="A1712" t="s">
        <v>7</v>
      </c>
      <c r="B1712" s="1">
        <v>42963</v>
      </c>
      <c r="C1712" t="s">
        <v>55</v>
      </c>
      <c r="D1712">
        <v>117887.20000000004</v>
      </c>
      <c r="E1712" t="str">
        <f>VLOOKUP(C1712,inf!$A$2:$B$7,2,FALSE)</f>
        <v>Current</v>
      </c>
      <c r="F1712" t="str">
        <f t="shared" si="27"/>
        <v>08/16/2017</v>
      </c>
      <c r="G1712" t="str">
        <f>VLOOKUP(A1712,inf!$D$2:$E$76,2,FALSE)</f>
        <v>SAFEWAY</v>
      </c>
    </row>
    <row r="1713" spans="1:7" x14ac:dyDescent="0.25">
      <c r="A1713" t="s">
        <v>7</v>
      </c>
      <c r="B1713" s="1">
        <v>42963</v>
      </c>
      <c r="C1713" t="s">
        <v>56</v>
      </c>
      <c r="D1713" s="5">
        <v>47927.55</v>
      </c>
      <c r="E1713" t="str">
        <f>VLOOKUP(C1713,inf!$A$2:$B$7,2,FALSE)</f>
        <v>Current</v>
      </c>
      <c r="F1713" t="str">
        <f t="shared" si="27"/>
        <v>08/16/2017</v>
      </c>
      <c r="G1713" t="str">
        <f>VLOOKUP(A1713,inf!$D$2:$E$76,2,FALSE)</f>
        <v>SAFEWAY</v>
      </c>
    </row>
    <row r="1714" spans="1:7" x14ac:dyDescent="0.25">
      <c r="A1714" t="s">
        <v>7</v>
      </c>
      <c r="B1714" s="1">
        <v>42963</v>
      </c>
      <c r="C1714" t="s">
        <v>57</v>
      </c>
      <c r="D1714">
        <v>1272.1400000000001</v>
      </c>
      <c r="E1714" t="str">
        <f>VLOOKUP(C1714,inf!$A$2:$B$7,2,FALSE)</f>
        <v>31 to 60</v>
      </c>
      <c r="F1714" t="str">
        <f t="shared" si="27"/>
        <v>08/16/2017</v>
      </c>
      <c r="G1714" t="str">
        <f>VLOOKUP(A1714,inf!$D$2:$E$76,2,FALSE)</f>
        <v>SAFEWAY</v>
      </c>
    </row>
    <row r="1715" spans="1:7" x14ac:dyDescent="0.25">
      <c r="A1715" t="s">
        <v>7</v>
      </c>
      <c r="B1715" s="1">
        <v>42963</v>
      </c>
      <c r="C1715" t="s">
        <v>59</v>
      </c>
      <c r="D1715">
        <v>344.56</v>
      </c>
      <c r="E1715" t="str">
        <f>VLOOKUP(C1715,inf!$A$2:$B$7,2,FALSE)</f>
        <v>Over 90</v>
      </c>
      <c r="F1715" t="str">
        <f t="shared" si="27"/>
        <v>08/16/2017</v>
      </c>
      <c r="G1715" t="str">
        <f>VLOOKUP(A1715,inf!$D$2:$E$76,2,FALSE)</f>
        <v>SAFEWAY</v>
      </c>
    </row>
    <row r="1716" spans="1:7" x14ac:dyDescent="0.25">
      <c r="A1716" t="s">
        <v>7</v>
      </c>
      <c r="B1716" s="1">
        <v>42963</v>
      </c>
      <c r="C1716" t="s">
        <v>58</v>
      </c>
      <c r="D1716">
        <v>218.89</v>
      </c>
      <c r="E1716" t="str">
        <f>VLOOKUP(C1716,inf!$A$2:$B$7,2,FALSE)</f>
        <v>61 to 90</v>
      </c>
      <c r="F1716" t="str">
        <f t="shared" si="27"/>
        <v>08/16/2017</v>
      </c>
      <c r="G1716" t="str">
        <f>VLOOKUP(A1716,inf!$D$2:$E$76,2,FALSE)</f>
        <v>SAFEWAY</v>
      </c>
    </row>
    <row r="1717" spans="1:7" x14ac:dyDescent="0.25">
      <c r="A1717" t="s">
        <v>5</v>
      </c>
      <c r="B1717" s="1">
        <v>42963</v>
      </c>
      <c r="C1717" t="s">
        <v>55</v>
      </c>
      <c r="D1717">
        <v>3974380.5099999625</v>
      </c>
      <c r="E1717" t="str">
        <f>VLOOKUP(C1717,inf!$A$2:$B$7,2,FALSE)</f>
        <v>Current</v>
      </c>
      <c r="F1717" t="str">
        <f t="shared" si="27"/>
        <v>08/16/2017</v>
      </c>
      <c r="G1717" t="str">
        <f>VLOOKUP(A1717,inf!$D$2:$E$76,2,FALSE)</f>
        <v>SBUX</v>
      </c>
    </row>
    <row r="1718" spans="1:7" x14ac:dyDescent="0.25">
      <c r="A1718" t="s">
        <v>5</v>
      </c>
      <c r="B1718" s="1">
        <v>42963</v>
      </c>
      <c r="C1718" t="s">
        <v>60</v>
      </c>
      <c r="D1718" s="5">
        <v>75126.080000000002</v>
      </c>
      <c r="E1718" t="str">
        <f>VLOOKUP(C1718,inf!$A$2:$B$7,2,FALSE)</f>
        <v>Over 90</v>
      </c>
      <c r="F1718" t="str">
        <f t="shared" si="27"/>
        <v>08/16/2017</v>
      </c>
      <c r="G1718" t="str">
        <f>VLOOKUP(A1718,inf!$D$2:$E$76,2,FALSE)</f>
        <v>SBUX</v>
      </c>
    </row>
    <row r="1719" spans="1:7" x14ac:dyDescent="0.25">
      <c r="A1719" t="s">
        <v>5</v>
      </c>
      <c r="B1719" s="1">
        <v>42963</v>
      </c>
      <c r="C1719" t="s">
        <v>56</v>
      </c>
      <c r="D1719" s="5">
        <v>23793.3</v>
      </c>
      <c r="E1719" t="str">
        <f>VLOOKUP(C1719,inf!$A$2:$B$7,2,FALSE)</f>
        <v>Current</v>
      </c>
      <c r="F1719" t="str">
        <f t="shared" si="27"/>
        <v>08/16/2017</v>
      </c>
      <c r="G1719" t="str">
        <f>VLOOKUP(A1719,inf!$D$2:$E$76,2,FALSE)</f>
        <v>SBUX</v>
      </c>
    </row>
    <row r="1720" spans="1:7" x14ac:dyDescent="0.25">
      <c r="A1720" t="s">
        <v>5</v>
      </c>
      <c r="B1720" s="1">
        <v>42963</v>
      </c>
      <c r="C1720" t="s">
        <v>57</v>
      </c>
      <c r="D1720">
        <v>20095.189999999995</v>
      </c>
      <c r="E1720" t="str">
        <f>VLOOKUP(C1720,inf!$A$2:$B$7,2,FALSE)</f>
        <v>31 to 60</v>
      </c>
      <c r="F1720" t="str">
        <f t="shared" si="27"/>
        <v>08/16/2017</v>
      </c>
      <c r="G1720" t="str">
        <f>VLOOKUP(A1720,inf!$D$2:$E$76,2,FALSE)</f>
        <v>SBUX</v>
      </c>
    </row>
    <row r="1721" spans="1:7" x14ac:dyDescent="0.25">
      <c r="A1721" t="s">
        <v>5</v>
      </c>
      <c r="B1721" s="1">
        <v>42963</v>
      </c>
      <c r="C1721" t="s">
        <v>58</v>
      </c>
      <c r="D1721">
        <v>17224.8</v>
      </c>
      <c r="E1721" t="str">
        <f>VLOOKUP(C1721,inf!$A$2:$B$7,2,FALSE)</f>
        <v>61 to 90</v>
      </c>
      <c r="F1721" t="str">
        <f t="shared" si="27"/>
        <v>08/16/2017</v>
      </c>
      <c r="G1721" t="str">
        <f>VLOOKUP(A1721,inf!$D$2:$E$76,2,FALSE)</f>
        <v>SBUX</v>
      </c>
    </row>
    <row r="1722" spans="1:7" x14ac:dyDescent="0.25">
      <c r="A1722" t="s">
        <v>5</v>
      </c>
      <c r="B1722" s="1">
        <v>42963</v>
      </c>
      <c r="C1722" t="s">
        <v>59</v>
      </c>
      <c r="D1722">
        <v>2208.54</v>
      </c>
      <c r="E1722" t="str">
        <f>VLOOKUP(C1722,inf!$A$2:$B$7,2,FALSE)</f>
        <v>Over 90</v>
      </c>
      <c r="F1722" t="str">
        <f t="shared" si="27"/>
        <v>08/16/2017</v>
      </c>
      <c r="G1722" t="str">
        <f>VLOOKUP(A1722,inf!$D$2:$E$76,2,FALSE)</f>
        <v>SBUX</v>
      </c>
    </row>
    <row r="1723" spans="1:7" x14ac:dyDescent="0.25">
      <c r="A1723" t="s">
        <v>6</v>
      </c>
      <c r="B1723" s="1">
        <v>42963</v>
      </c>
      <c r="C1723" t="s">
        <v>55</v>
      </c>
      <c r="D1723">
        <v>435939.25999999623</v>
      </c>
      <c r="E1723" t="str">
        <f>VLOOKUP(C1723,inf!$A$2:$B$7,2,FALSE)</f>
        <v>Current</v>
      </c>
      <c r="F1723" t="str">
        <f t="shared" si="27"/>
        <v>08/16/2017</v>
      </c>
      <c r="G1723" t="str">
        <f>VLOOKUP(A1723,inf!$D$2:$E$76,2,FALSE)</f>
        <v>SBUX</v>
      </c>
    </row>
    <row r="1724" spans="1:7" x14ac:dyDescent="0.25">
      <c r="A1724" t="s">
        <v>6</v>
      </c>
      <c r="B1724" s="1">
        <v>42963</v>
      </c>
      <c r="C1724" t="s">
        <v>60</v>
      </c>
      <c r="D1724">
        <v>8212.93</v>
      </c>
      <c r="E1724" t="str">
        <f>VLOOKUP(C1724,inf!$A$2:$B$7,2,FALSE)</f>
        <v>Over 90</v>
      </c>
      <c r="F1724" t="str">
        <f t="shared" si="27"/>
        <v>08/16/2017</v>
      </c>
      <c r="G1724" t="str">
        <f>VLOOKUP(A1724,inf!$D$2:$E$76,2,FALSE)</f>
        <v>SBUX</v>
      </c>
    </row>
    <row r="1725" spans="1:7" x14ac:dyDescent="0.25">
      <c r="A1725" t="s">
        <v>6</v>
      </c>
      <c r="B1725" s="1">
        <v>42963</v>
      </c>
      <c r="C1725" t="s">
        <v>57</v>
      </c>
      <c r="D1725">
        <v>2797.06</v>
      </c>
      <c r="E1725" t="str">
        <f>VLOOKUP(C1725,inf!$A$2:$B$7,2,FALSE)</f>
        <v>31 to 60</v>
      </c>
      <c r="F1725" t="str">
        <f t="shared" si="27"/>
        <v>08/16/2017</v>
      </c>
      <c r="G1725" t="str">
        <f>VLOOKUP(A1725,inf!$D$2:$E$76,2,FALSE)</f>
        <v>SBUX</v>
      </c>
    </row>
    <row r="1726" spans="1:7" x14ac:dyDescent="0.25">
      <c r="A1726" t="s">
        <v>6</v>
      </c>
      <c r="B1726" s="1">
        <v>42963</v>
      </c>
      <c r="C1726" t="s">
        <v>56</v>
      </c>
      <c r="D1726">
        <v>1882.09</v>
      </c>
      <c r="E1726" t="str">
        <f>VLOOKUP(C1726,inf!$A$2:$B$7,2,FALSE)</f>
        <v>Current</v>
      </c>
      <c r="F1726" t="str">
        <f t="shared" si="27"/>
        <v>08/16/2017</v>
      </c>
      <c r="G1726" t="str">
        <f>VLOOKUP(A1726,inf!$D$2:$E$76,2,FALSE)</f>
        <v>SBUX</v>
      </c>
    </row>
    <row r="1727" spans="1:7" x14ac:dyDescent="0.25">
      <c r="A1727" t="s">
        <v>6</v>
      </c>
      <c r="B1727" s="1">
        <v>42963</v>
      </c>
      <c r="C1727" t="s">
        <v>59</v>
      </c>
      <c r="D1727">
        <v>482.17999999999995</v>
      </c>
      <c r="E1727" t="str">
        <f>VLOOKUP(C1727,inf!$A$2:$B$7,2,FALSE)</f>
        <v>Over 90</v>
      </c>
      <c r="F1727" t="str">
        <f t="shared" si="27"/>
        <v>08/16/2017</v>
      </c>
      <c r="G1727" t="str">
        <f>VLOOKUP(A1727,inf!$D$2:$E$76,2,FALSE)</f>
        <v>SBUX</v>
      </c>
    </row>
    <row r="1728" spans="1:7" x14ac:dyDescent="0.25">
      <c r="A1728" t="s">
        <v>6</v>
      </c>
      <c r="B1728" s="1">
        <v>42963</v>
      </c>
      <c r="C1728" t="s">
        <v>58</v>
      </c>
      <c r="D1728">
        <v>197.64</v>
      </c>
      <c r="E1728" t="str">
        <f>VLOOKUP(C1728,inf!$A$2:$B$7,2,FALSE)</f>
        <v>61 to 90</v>
      </c>
      <c r="F1728" t="str">
        <f t="shared" si="27"/>
        <v>08/16/2017</v>
      </c>
      <c r="G1728" t="str">
        <f>VLOOKUP(A1728,inf!$D$2:$E$76,2,FALSE)</f>
        <v>SBUX</v>
      </c>
    </row>
    <row r="1729" spans="1:7" x14ac:dyDescent="0.25">
      <c r="A1729" t="s">
        <v>49</v>
      </c>
      <c r="B1729" s="1">
        <v>42963</v>
      </c>
      <c r="C1729" t="s">
        <v>56</v>
      </c>
      <c r="D1729">
        <v>150.36000000000001</v>
      </c>
      <c r="E1729" t="str">
        <f>VLOOKUP(C1729,inf!$A$2:$B$7,2,FALSE)</f>
        <v>Current</v>
      </c>
      <c r="F1729" t="str">
        <f t="shared" si="27"/>
        <v>08/16/2017</v>
      </c>
      <c r="G1729" t="str">
        <f>VLOOKUP(A1729,inf!$D$2:$E$76,2,FALSE)</f>
        <v>Other</v>
      </c>
    </row>
    <row r="1730" spans="1:7" x14ac:dyDescent="0.25">
      <c r="A1730" t="s">
        <v>51</v>
      </c>
      <c r="B1730" s="1">
        <v>42963</v>
      </c>
      <c r="C1730" t="s">
        <v>59</v>
      </c>
      <c r="D1730">
        <v>235.2</v>
      </c>
      <c r="E1730" t="str">
        <f>VLOOKUP(C1730,inf!$A$2:$B$7,2,FALSE)</f>
        <v>Over 90</v>
      </c>
      <c r="F1730" t="str">
        <f t="shared" si="27"/>
        <v>08/16/2017</v>
      </c>
      <c r="G1730" t="str">
        <f>VLOOKUP(A1730,inf!$D$2:$E$76,2,FALSE)</f>
        <v>Other</v>
      </c>
    </row>
    <row r="1731" spans="1:7" x14ac:dyDescent="0.25">
      <c r="A1731" t="s">
        <v>48</v>
      </c>
      <c r="B1731" s="1">
        <v>42963</v>
      </c>
      <c r="C1731" t="s">
        <v>55</v>
      </c>
      <c r="D1731">
        <v>82582.769999999975</v>
      </c>
      <c r="E1731" t="str">
        <f>VLOOKUP(C1731,inf!$A$2:$B$7,2,FALSE)</f>
        <v>Current</v>
      </c>
      <c r="F1731" t="str">
        <f t="shared" ref="F1731:F1794" si="28">TEXT(B1731,"MM/DD/YYYY")</f>
        <v>08/16/2017</v>
      </c>
      <c r="G1731" t="str">
        <f>VLOOKUP(A1731,inf!$D$2:$E$76,2,FALSE)</f>
        <v>Target</v>
      </c>
    </row>
    <row r="1732" spans="1:7" x14ac:dyDescent="0.25">
      <c r="A1732" t="s">
        <v>48</v>
      </c>
      <c r="B1732" s="1">
        <v>42963</v>
      </c>
      <c r="C1732" t="s">
        <v>56</v>
      </c>
      <c r="D1732">
        <v>1399.28</v>
      </c>
      <c r="E1732" t="str">
        <f>VLOOKUP(C1732,inf!$A$2:$B$7,2,FALSE)</f>
        <v>Current</v>
      </c>
      <c r="F1732" t="str">
        <f t="shared" si="28"/>
        <v>08/16/2017</v>
      </c>
      <c r="G1732" t="str">
        <f>VLOOKUP(A1732,inf!$D$2:$E$76,2,FALSE)</f>
        <v>Target</v>
      </c>
    </row>
    <row r="1733" spans="1:7" x14ac:dyDescent="0.25">
      <c r="A1733" t="s">
        <v>8</v>
      </c>
      <c r="B1733" s="1">
        <v>42963</v>
      </c>
      <c r="C1733" t="s">
        <v>55</v>
      </c>
      <c r="D1733" s="5">
        <v>284664.99000000011</v>
      </c>
      <c r="E1733" t="str">
        <f>VLOOKUP(C1733,inf!$A$2:$B$7,2,FALSE)</f>
        <v>Current</v>
      </c>
      <c r="F1733" t="str">
        <f t="shared" si="28"/>
        <v>08/16/2017</v>
      </c>
      <c r="G1733" t="str">
        <f>VLOOKUP(A1733,inf!$D$2:$E$76,2,FALSE)</f>
        <v>Target</v>
      </c>
    </row>
    <row r="1734" spans="1:7" x14ac:dyDescent="0.25">
      <c r="A1734" t="s">
        <v>8</v>
      </c>
      <c r="B1734" s="1">
        <v>42963</v>
      </c>
      <c r="C1734" t="s">
        <v>60</v>
      </c>
      <c r="D1734" s="5">
        <v>20451.319999999996</v>
      </c>
      <c r="E1734" t="str">
        <f>VLOOKUP(C1734,inf!$A$2:$B$7,2,FALSE)</f>
        <v>Over 90</v>
      </c>
      <c r="F1734" t="str">
        <f t="shared" si="28"/>
        <v>08/16/2017</v>
      </c>
      <c r="G1734" t="str">
        <f>VLOOKUP(A1734,inf!$D$2:$E$76,2,FALSE)</f>
        <v>Target</v>
      </c>
    </row>
    <row r="1735" spans="1:7" x14ac:dyDescent="0.25">
      <c r="A1735" t="s">
        <v>8</v>
      </c>
      <c r="B1735" s="1">
        <v>42963</v>
      </c>
      <c r="C1735" t="s">
        <v>58</v>
      </c>
      <c r="D1735">
        <v>1292.47</v>
      </c>
      <c r="E1735" t="str">
        <f>VLOOKUP(C1735,inf!$A$2:$B$7,2,FALSE)</f>
        <v>61 to 90</v>
      </c>
      <c r="F1735" t="str">
        <f t="shared" si="28"/>
        <v>08/16/2017</v>
      </c>
      <c r="G1735" t="str">
        <f>VLOOKUP(A1735,inf!$D$2:$E$76,2,FALSE)</f>
        <v>Target</v>
      </c>
    </row>
    <row r="1736" spans="1:7" x14ac:dyDescent="0.25">
      <c r="A1736" t="s">
        <v>8</v>
      </c>
      <c r="B1736" s="1">
        <v>42963</v>
      </c>
      <c r="C1736" t="s">
        <v>56</v>
      </c>
      <c r="D1736">
        <v>1012.73</v>
      </c>
      <c r="E1736" t="str">
        <f>VLOOKUP(C1736,inf!$A$2:$B$7,2,FALSE)</f>
        <v>Current</v>
      </c>
      <c r="F1736" t="str">
        <f t="shared" si="28"/>
        <v>08/16/2017</v>
      </c>
      <c r="G1736" t="str">
        <f>VLOOKUP(A1736,inf!$D$2:$E$76,2,FALSE)</f>
        <v>Target</v>
      </c>
    </row>
    <row r="1737" spans="1:7" x14ac:dyDescent="0.25">
      <c r="A1737" t="s">
        <v>8</v>
      </c>
      <c r="B1737" s="1">
        <v>42963</v>
      </c>
      <c r="C1737" t="s">
        <v>57</v>
      </c>
      <c r="D1737">
        <v>820.72</v>
      </c>
      <c r="E1737" t="str">
        <f>VLOOKUP(C1737,inf!$A$2:$B$7,2,FALSE)</f>
        <v>31 to 60</v>
      </c>
      <c r="F1737" t="str">
        <f t="shared" si="28"/>
        <v>08/16/2017</v>
      </c>
      <c r="G1737" t="str">
        <f>VLOOKUP(A1737,inf!$D$2:$E$76,2,FALSE)</f>
        <v>Target</v>
      </c>
    </row>
    <row r="1738" spans="1:7" x14ac:dyDescent="0.25">
      <c r="A1738" t="s">
        <v>8</v>
      </c>
      <c r="B1738" s="1">
        <v>42963</v>
      </c>
      <c r="C1738" t="s">
        <v>59</v>
      </c>
      <c r="D1738">
        <v>254.45</v>
      </c>
      <c r="E1738" t="str">
        <f>VLOOKUP(C1738,inf!$A$2:$B$7,2,FALSE)</f>
        <v>Over 90</v>
      </c>
      <c r="F1738" t="str">
        <f t="shared" si="28"/>
        <v>08/16/2017</v>
      </c>
      <c r="G1738" t="str">
        <f>VLOOKUP(A1738,inf!$D$2:$E$76,2,FALSE)</f>
        <v>Target</v>
      </c>
    </row>
    <row r="1739" spans="1:7" x14ac:dyDescent="0.25">
      <c r="A1739" t="s">
        <v>54</v>
      </c>
      <c r="B1739" s="1">
        <v>42963</v>
      </c>
      <c r="C1739" t="s">
        <v>55</v>
      </c>
      <c r="D1739">
        <v>1018.71</v>
      </c>
      <c r="E1739" t="str">
        <f>VLOOKUP(C1739,inf!$A$2:$B$7,2,FALSE)</f>
        <v>Current</v>
      </c>
      <c r="F1739" t="str">
        <f t="shared" si="28"/>
        <v>08/16/2017</v>
      </c>
      <c r="G1739" t="str">
        <f>VLOOKUP(A1739,inf!$D$2:$E$76,2,FALSE)</f>
        <v>Other</v>
      </c>
    </row>
    <row r="1740" spans="1:7" x14ac:dyDescent="0.25">
      <c r="A1740" t="s">
        <v>54</v>
      </c>
      <c r="B1740" s="1">
        <v>42963</v>
      </c>
      <c r="C1740" t="s">
        <v>56</v>
      </c>
      <c r="D1740">
        <v>939.12</v>
      </c>
      <c r="E1740" t="str">
        <f>VLOOKUP(C1740,inf!$A$2:$B$7,2,FALSE)</f>
        <v>Current</v>
      </c>
      <c r="F1740" t="str">
        <f t="shared" si="28"/>
        <v>08/16/2017</v>
      </c>
      <c r="G1740" t="str">
        <f>VLOOKUP(A1740,inf!$D$2:$E$76,2,FALSE)</f>
        <v>Other</v>
      </c>
    </row>
    <row r="1741" spans="1:7" x14ac:dyDescent="0.25">
      <c r="A1741" t="s">
        <v>54</v>
      </c>
      <c r="B1741" s="1">
        <v>42963</v>
      </c>
      <c r="C1741" t="s">
        <v>57</v>
      </c>
      <c r="D1741">
        <v>488.11</v>
      </c>
      <c r="E1741" t="str">
        <f>VLOOKUP(C1741,inf!$A$2:$B$7,2,FALSE)</f>
        <v>31 to 60</v>
      </c>
      <c r="F1741" t="str">
        <f t="shared" si="28"/>
        <v>08/16/2017</v>
      </c>
      <c r="G1741" t="str">
        <f>VLOOKUP(A1741,inf!$D$2:$E$76,2,FALSE)</f>
        <v>Other</v>
      </c>
    </row>
    <row r="1742" spans="1:7" x14ac:dyDescent="0.25">
      <c r="A1742" t="s">
        <v>15</v>
      </c>
      <c r="B1742" s="1">
        <v>42963</v>
      </c>
      <c r="C1742" t="s">
        <v>55</v>
      </c>
      <c r="D1742">
        <v>2129.33</v>
      </c>
      <c r="E1742" t="str">
        <f>VLOOKUP(C1742,inf!$A$2:$B$7,2,FALSE)</f>
        <v>Current</v>
      </c>
      <c r="F1742" t="str">
        <f t="shared" si="28"/>
        <v>08/16/2017</v>
      </c>
      <c r="G1742" t="str">
        <f>VLOOKUP(A1742,inf!$D$2:$E$76,2,FALSE)</f>
        <v>Other</v>
      </c>
    </row>
    <row r="1743" spans="1:7" x14ac:dyDescent="0.25">
      <c r="A1743" t="s">
        <v>15</v>
      </c>
      <c r="B1743" s="1">
        <v>42963</v>
      </c>
      <c r="C1743" t="s">
        <v>56</v>
      </c>
      <c r="D1743">
        <v>291.60000000000002</v>
      </c>
      <c r="E1743" t="str">
        <f>VLOOKUP(C1743,inf!$A$2:$B$7,2,FALSE)</f>
        <v>Current</v>
      </c>
      <c r="F1743" t="str">
        <f t="shared" si="28"/>
        <v>08/16/2017</v>
      </c>
      <c r="G1743" t="str">
        <f>VLOOKUP(A1743,inf!$D$2:$E$76,2,FALSE)</f>
        <v>Other</v>
      </c>
    </row>
    <row r="1744" spans="1:7" x14ac:dyDescent="0.25">
      <c r="A1744" t="s">
        <v>15</v>
      </c>
      <c r="B1744" s="1">
        <v>42963</v>
      </c>
      <c r="C1744" t="s">
        <v>60</v>
      </c>
      <c r="D1744">
        <v>126.05</v>
      </c>
      <c r="E1744" t="str">
        <f>VLOOKUP(C1744,inf!$A$2:$B$7,2,FALSE)</f>
        <v>Over 90</v>
      </c>
      <c r="F1744" t="str">
        <f t="shared" si="28"/>
        <v>08/16/2017</v>
      </c>
      <c r="G1744" t="str">
        <f>VLOOKUP(A1744,inf!$D$2:$E$76,2,FALSE)</f>
        <v>Other</v>
      </c>
    </row>
    <row r="1745" spans="1:7" x14ac:dyDescent="0.25">
      <c r="A1745" t="s">
        <v>61</v>
      </c>
      <c r="B1745" s="1">
        <v>42970</v>
      </c>
      <c r="C1745" t="s">
        <v>56</v>
      </c>
      <c r="D1745" s="13">
        <v>295.32</v>
      </c>
      <c r="E1745" s="12" t="str">
        <f>VLOOKUP(C1745,inf!$A$2:$B$7,2,FALSE)</f>
        <v>Current</v>
      </c>
      <c r="F1745" s="12" t="str">
        <f t="shared" si="28"/>
        <v>08/23/2017</v>
      </c>
      <c r="G1745" t="str">
        <f>VLOOKUP(A1745,inf!$D$2:$E$76,2,FALSE)</f>
        <v>Other</v>
      </c>
    </row>
    <row r="1746" spans="1:7" x14ac:dyDescent="0.25">
      <c r="A1746" t="s">
        <v>4</v>
      </c>
      <c r="B1746" s="1">
        <v>42970</v>
      </c>
      <c r="C1746" t="s">
        <v>55</v>
      </c>
      <c r="D1746" s="13">
        <v>4518.9699999999993</v>
      </c>
      <c r="E1746" s="12" t="str">
        <f>VLOOKUP(C1746,inf!$A$2:$B$7,2,FALSE)</f>
        <v>Current</v>
      </c>
      <c r="F1746" s="12" t="str">
        <f t="shared" si="28"/>
        <v>08/23/2017</v>
      </c>
      <c r="G1746" t="str">
        <f>VLOOKUP(A1746,inf!$D$2:$E$76,2,FALSE)</f>
        <v>Other</v>
      </c>
    </row>
    <row r="1747" spans="1:7" x14ac:dyDescent="0.25">
      <c r="A1747" t="s">
        <v>26</v>
      </c>
      <c r="B1747" s="1">
        <v>42970</v>
      </c>
      <c r="C1747" t="s">
        <v>60</v>
      </c>
      <c r="D1747" s="13">
        <v>1380.77</v>
      </c>
      <c r="E1747" s="12" t="str">
        <f>VLOOKUP(C1747,inf!$A$2:$B$7,2,FALSE)</f>
        <v>Over 90</v>
      </c>
      <c r="F1747" s="12" t="str">
        <f t="shared" si="28"/>
        <v>08/23/2017</v>
      </c>
      <c r="G1747" t="str">
        <f>VLOOKUP(A1747,inf!$D$2:$E$76,2,FALSE)</f>
        <v>Other</v>
      </c>
    </row>
    <row r="1748" spans="1:7" x14ac:dyDescent="0.25">
      <c r="A1748" t="s">
        <v>2</v>
      </c>
      <c r="B1748" s="1">
        <v>42970</v>
      </c>
      <c r="C1748" t="s">
        <v>60</v>
      </c>
      <c r="D1748" s="13">
        <v>3717.8600000000006</v>
      </c>
      <c r="E1748" s="12" t="str">
        <f>VLOOKUP(C1748,inf!$A$2:$B$7,2,FALSE)</f>
        <v>Over 90</v>
      </c>
      <c r="F1748" s="12" t="str">
        <f t="shared" si="28"/>
        <v>08/23/2017</v>
      </c>
      <c r="G1748" t="str">
        <f>VLOOKUP(A1748,inf!$D$2:$E$76,2,FALSE)</f>
        <v>Other</v>
      </c>
    </row>
    <row r="1749" spans="1:7" x14ac:dyDescent="0.25">
      <c r="A1749" t="s">
        <v>32</v>
      </c>
      <c r="B1749" s="1">
        <v>42970</v>
      </c>
      <c r="C1749" t="s">
        <v>55</v>
      </c>
      <c r="D1749" s="13">
        <v>162.66</v>
      </c>
      <c r="E1749" s="12" t="str">
        <f>VLOOKUP(C1749,inf!$A$2:$B$7,2,FALSE)</f>
        <v>Current</v>
      </c>
      <c r="F1749" s="12" t="str">
        <f t="shared" si="28"/>
        <v>08/23/2017</v>
      </c>
      <c r="G1749" t="str">
        <f>VLOOKUP(A1749,inf!$D$2:$E$76,2,FALSE)</f>
        <v>Other</v>
      </c>
    </row>
    <row r="1750" spans="1:7" x14ac:dyDescent="0.25">
      <c r="A1750" t="s">
        <v>32</v>
      </c>
      <c r="B1750" s="1">
        <v>42970</v>
      </c>
      <c r="C1750" t="s">
        <v>57</v>
      </c>
      <c r="D1750" s="13">
        <v>424.53000000000003</v>
      </c>
      <c r="E1750" s="12" t="str">
        <f>VLOOKUP(C1750,inf!$A$2:$B$7,2,FALSE)</f>
        <v>31 to 60</v>
      </c>
      <c r="F1750" s="12" t="str">
        <f t="shared" si="28"/>
        <v>08/23/2017</v>
      </c>
      <c r="G1750" t="str">
        <f>VLOOKUP(A1750,inf!$D$2:$E$76,2,FALSE)</f>
        <v>Other</v>
      </c>
    </row>
    <row r="1751" spans="1:7" x14ac:dyDescent="0.25">
      <c r="A1751" t="s">
        <v>47</v>
      </c>
      <c r="B1751" s="1">
        <v>42970</v>
      </c>
      <c r="C1751" t="s">
        <v>55</v>
      </c>
      <c r="D1751" s="13">
        <v>431.91</v>
      </c>
      <c r="E1751" s="12" t="str">
        <f>VLOOKUP(C1751,inf!$A$2:$B$7,2,FALSE)</f>
        <v>Current</v>
      </c>
      <c r="F1751" s="12" t="str">
        <f t="shared" si="28"/>
        <v>08/23/2017</v>
      </c>
      <c r="G1751" t="str">
        <f>VLOOKUP(A1751,inf!$D$2:$E$76,2,FALSE)</f>
        <v>Other</v>
      </c>
    </row>
    <row r="1752" spans="1:7" x14ac:dyDescent="0.25">
      <c r="A1752" t="s">
        <v>19</v>
      </c>
      <c r="B1752" s="1">
        <v>42970</v>
      </c>
      <c r="C1752" t="s">
        <v>57</v>
      </c>
      <c r="D1752" s="13">
        <v>258.41000000000003</v>
      </c>
      <c r="E1752" s="12" t="str">
        <f>VLOOKUP(C1752,inf!$A$2:$B$7,2,FALSE)</f>
        <v>31 to 60</v>
      </c>
      <c r="F1752" s="12" t="str">
        <f t="shared" si="28"/>
        <v>08/23/2017</v>
      </c>
      <c r="G1752" t="str">
        <f>VLOOKUP(A1752,inf!$D$2:$E$76,2,FALSE)</f>
        <v>Other</v>
      </c>
    </row>
    <row r="1753" spans="1:7" x14ac:dyDescent="0.25">
      <c r="A1753" t="s">
        <v>25</v>
      </c>
      <c r="B1753" s="1">
        <v>42970</v>
      </c>
      <c r="C1753" t="s">
        <v>55</v>
      </c>
      <c r="D1753" s="13">
        <v>555.83999999999992</v>
      </c>
      <c r="E1753" s="12" t="str">
        <f>VLOOKUP(C1753,inf!$A$2:$B$7,2,FALSE)</f>
        <v>Current</v>
      </c>
      <c r="F1753" s="12" t="str">
        <f t="shared" si="28"/>
        <v>08/23/2017</v>
      </c>
      <c r="G1753" t="str">
        <f>VLOOKUP(A1753,inf!$D$2:$E$76,2,FALSE)</f>
        <v>Other</v>
      </c>
    </row>
    <row r="1754" spans="1:7" x14ac:dyDescent="0.25">
      <c r="A1754" t="s">
        <v>25</v>
      </c>
      <c r="B1754" s="1">
        <v>42970</v>
      </c>
      <c r="C1754" t="s">
        <v>56</v>
      </c>
      <c r="D1754" s="13">
        <v>236.56</v>
      </c>
      <c r="E1754" s="12" t="str">
        <f>VLOOKUP(C1754,inf!$A$2:$B$7,2,FALSE)</f>
        <v>Current</v>
      </c>
      <c r="F1754" s="12" t="str">
        <f t="shared" si="28"/>
        <v>08/23/2017</v>
      </c>
      <c r="G1754" t="str">
        <f>VLOOKUP(A1754,inf!$D$2:$E$76,2,FALSE)</f>
        <v>Other</v>
      </c>
    </row>
    <row r="1755" spans="1:7" x14ac:dyDescent="0.25">
      <c r="A1755" t="s">
        <v>25</v>
      </c>
      <c r="B1755" s="1">
        <v>42970</v>
      </c>
      <c r="C1755" t="s">
        <v>57</v>
      </c>
      <c r="D1755" s="13">
        <v>351.41</v>
      </c>
      <c r="E1755" s="12" t="str">
        <f>VLOOKUP(C1755,inf!$A$2:$B$7,2,FALSE)</f>
        <v>31 to 60</v>
      </c>
      <c r="F1755" s="12" t="str">
        <f t="shared" si="28"/>
        <v>08/23/2017</v>
      </c>
      <c r="G1755" t="str">
        <f>VLOOKUP(A1755,inf!$D$2:$E$76,2,FALSE)</f>
        <v>Other</v>
      </c>
    </row>
    <row r="1756" spans="1:7" x14ac:dyDescent="0.25">
      <c r="A1756" t="s">
        <v>31</v>
      </c>
      <c r="B1756" s="1">
        <v>42970</v>
      </c>
      <c r="C1756" t="s">
        <v>55</v>
      </c>
      <c r="D1756" s="13">
        <v>1909.34</v>
      </c>
      <c r="E1756" s="12" t="str">
        <f>VLOOKUP(C1756,inf!$A$2:$B$7,2,FALSE)</f>
        <v>Current</v>
      </c>
      <c r="F1756" s="12" t="str">
        <f t="shared" si="28"/>
        <v>08/23/2017</v>
      </c>
      <c r="G1756" t="str">
        <f>VLOOKUP(A1756,inf!$D$2:$E$76,2,FALSE)</f>
        <v>Other</v>
      </c>
    </row>
    <row r="1757" spans="1:7" x14ac:dyDescent="0.25">
      <c r="A1757" t="s">
        <v>31</v>
      </c>
      <c r="B1757" s="1">
        <v>42970</v>
      </c>
      <c r="C1757" t="s">
        <v>56</v>
      </c>
      <c r="D1757" s="13">
        <v>153.15</v>
      </c>
      <c r="E1757" s="12" t="str">
        <f>VLOOKUP(C1757,inf!$A$2:$B$7,2,FALSE)</f>
        <v>Current</v>
      </c>
      <c r="F1757" s="12" t="str">
        <f t="shared" si="28"/>
        <v>08/23/2017</v>
      </c>
      <c r="G1757" t="str">
        <f>VLOOKUP(A1757,inf!$D$2:$E$76,2,FALSE)</f>
        <v>Other</v>
      </c>
    </row>
    <row r="1758" spans="1:7" x14ac:dyDescent="0.25">
      <c r="A1758" t="s">
        <v>24</v>
      </c>
      <c r="B1758" s="1">
        <v>42970</v>
      </c>
      <c r="C1758" t="s">
        <v>55</v>
      </c>
      <c r="D1758" s="13">
        <v>474.71</v>
      </c>
      <c r="E1758" s="12" t="str">
        <f>VLOOKUP(C1758,inf!$A$2:$B$7,2,FALSE)</f>
        <v>Current</v>
      </c>
      <c r="F1758" s="12" t="str">
        <f t="shared" si="28"/>
        <v>08/23/2017</v>
      </c>
      <c r="G1758" t="str">
        <f>VLOOKUP(A1758,inf!$D$2:$E$76,2,FALSE)</f>
        <v>Other</v>
      </c>
    </row>
    <row r="1759" spans="1:7" x14ac:dyDescent="0.25">
      <c r="A1759" t="s">
        <v>18</v>
      </c>
      <c r="B1759" s="1">
        <v>42970</v>
      </c>
      <c r="C1759" t="s">
        <v>57</v>
      </c>
      <c r="D1759" s="13">
        <v>1320.39</v>
      </c>
      <c r="E1759" s="12" t="str">
        <f>VLOOKUP(C1759,inf!$A$2:$B$7,2,FALSE)</f>
        <v>31 to 60</v>
      </c>
      <c r="F1759" s="12" t="str">
        <f t="shared" si="28"/>
        <v>08/23/2017</v>
      </c>
      <c r="G1759" t="str">
        <f>VLOOKUP(A1759,inf!$D$2:$E$76,2,FALSE)</f>
        <v>Other</v>
      </c>
    </row>
    <row r="1760" spans="1:7" x14ac:dyDescent="0.25">
      <c r="A1760" t="s">
        <v>27</v>
      </c>
      <c r="B1760" s="1">
        <v>42970</v>
      </c>
      <c r="C1760" t="s">
        <v>55</v>
      </c>
      <c r="D1760" s="13">
        <v>4957.47</v>
      </c>
      <c r="E1760" s="12" t="str">
        <f>VLOOKUP(C1760,inf!$A$2:$B$7,2,FALSE)</f>
        <v>Current</v>
      </c>
      <c r="F1760" s="12" t="str">
        <f t="shared" si="28"/>
        <v>08/23/2017</v>
      </c>
      <c r="G1760" t="str">
        <f>VLOOKUP(A1760,inf!$D$2:$E$76,2,FALSE)</f>
        <v>Other</v>
      </c>
    </row>
    <row r="1761" spans="1:7" x14ac:dyDescent="0.25">
      <c r="A1761" t="s">
        <v>62</v>
      </c>
      <c r="B1761" s="1">
        <v>42970</v>
      </c>
      <c r="C1761" t="s">
        <v>55</v>
      </c>
      <c r="D1761" s="13">
        <v>241.51</v>
      </c>
      <c r="E1761" s="12" t="str">
        <f>VLOOKUP(C1761,inf!$A$2:$B$7,2,FALSE)</f>
        <v>Current</v>
      </c>
      <c r="F1761" s="12" t="str">
        <f t="shared" si="28"/>
        <v>08/23/2017</v>
      </c>
      <c r="G1761" t="str">
        <f>VLOOKUP(A1761,inf!$D$2:$E$76,2,FALSE)</f>
        <v>Other</v>
      </c>
    </row>
    <row r="1762" spans="1:7" x14ac:dyDescent="0.25">
      <c r="A1762" t="s">
        <v>53</v>
      </c>
      <c r="B1762" s="1">
        <v>42970</v>
      </c>
      <c r="C1762" t="s">
        <v>55</v>
      </c>
      <c r="D1762" s="13">
        <v>330.29</v>
      </c>
      <c r="E1762" s="12" t="str">
        <f>VLOOKUP(C1762,inf!$A$2:$B$7,2,FALSE)</f>
        <v>Current</v>
      </c>
      <c r="F1762" s="12" t="str">
        <f t="shared" si="28"/>
        <v>08/23/2017</v>
      </c>
      <c r="G1762" t="str">
        <f>VLOOKUP(A1762,inf!$D$2:$E$76,2,FALSE)</f>
        <v>Other</v>
      </c>
    </row>
    <row r="1763" spans="1:7" x14ac:dyDescent="0.25">
      <c r="A1763" t="s">
        <v>3</v>
      </c>
      <c r="B1763" s="1">
        <v>42970</v>
      </c>
      <c r="C1763" t="s">
        <v>55</v>
      </c>
      <c r="D1763" s="13">
        <v>4243.1499999999996</v>
      </c>
      <c r="E1763" s="12" t="str">
        <f>VLOOKUP(C1763,inf!$A$2:$B$7,2,FALSE)</f>
        <v>Current</v>
      </c>
      <c r="F1763" s="12" t="str">
        <f t="shared" si="28"/>
        <v>08/23/2017</v>
      </c>
      <c r="G1763" t="str">
        <f>VLOOKUP(A1763,inf!$D$2:$E$76,2,FALSE)</f>
        <v>Other</v>
      </c>
    </row>
    <row r="1764" spans="1:7" x14ac:dyDescent="0.25">
      <c r="A1764" t="s">
        <v>30</v>
      </c>
      <c r="B1764" s="1">
        <v>42970</v>
      </c>
      <c r="C1764" t="s">
        <v>55</v>
      </c>
      <c r="D1764" s="13">
        <v>3347.3999999999996</v>
      </c>
      <c r="E1764" s="12" t="str">
        <f>VLOOKUP(C1764,inf!$A$2:$B$7,2,FALSE)</f>
        <v>Current</v>
      </c>
      <c r="F1764" s="12" t="str">
        <f t="shared" si="28"/>
        <v>08/23/2017</v>
      </c>
      <c r="G1764" t="str">
        <f>VLOOKUP(A1764,inf!$D$2:$E$76,2,FALSE)</f>
        <v>Other</v>
      </c>
    </row>
    <row r="1765" spans="1:7" x14ac:dyDescent="0.25">
      <c r="A1765" t="s">
        <v>30</v>
      </c>
      <c r="B1765" s="1">
        <v>42970</v>
      </c>
      <c r="C1765" t="s">
        <v>56</v>
      </c>
      <c r="D1765" s="13">
        <v>303.01</v>
      </c>
      <c r="E1765" s="12" t="str">
        <f>VLOOKUP(C1765,inf!$A$2:$B$7,2,FALSE)</f>
        <v>Current</v>
      </c>
      <c r="F1765" s="12" t="str">
        <f t="shared" si="28"/>
        <v>08/23/2017</v>
      </c>
      <c r="G1765" t="str">
        <f>VLOOKUP(A1765,inf!$D$2:$E$76,2,FALSE)</f>
        <v>Other</v>
      </c>
    </row>
    <row r="1766" spans="1:7" x14ac:dyDescent="0.25">
      <c r="A1766" t="s">
        <v>30</v>
      </c>
      <c r="B1766" s="1">
        <v>42970</v>
      </c>
      <c r="C1766" t="s">
        <v>57</v>
      </c>
      <c r="D1766" s="13">
        <v>1561</v>
      </c>
      <c r="E1766" s="12" t="str">
        <f>VLOOKUP(C1766,inf!$A$2:$B$7,2,FALSE)</f>
        <v>31 to 60</v>
      </c>
      <c r="F1766" s="12" t="str">
        <f t="shared" si="28"/>
        <v>08/23/2017</v>
      </c>
      <c r="G1766" t="str">
        <f>VLOOKUP(A1766,inf!$D$2:$E$76,2,FALSE)</f>
        <v>Other</v>
      </c>
    </row>
    <row r="1767" spans="1:7" x14ac:dyDescent="0.25">
      <c r="A1767" t="s">
        <v>63</v>
      </c>
      <c r="B1767" s="1">
        <v>42970</v>
      </c>
      <c r="C1767" t="s">
        <v>55</v>
      </c>
      <c r="D1767" s="13">
        <v>170.49</v>
      </c>
      <c r="E1767" s="12" t="str">
        <f>VLOOKUP(C1767,inf!$A$2:$B$7,2,FALSE)</f>
        <v>Current</v>
      </c>
      <c r="F1767" s="12" t="str">
        <f t="shared" si="28"/>
        <v>08/23/2017</v>
      </c>
      <c r="G1767" t="str">
        <f>VLOOKUP(A1767,inf!$D$2:$E$76,2,FALSE)</f>
        <v>Other</v>
      </c>
    </row>
    <row r="1768" spans="1:7" x14ac:dyDescent="0.25">
      <c r="A1768" t="s">
        <v>12</v>
      </c>
      <c r="B1768" s="1">
        <v>42970</v>
      </c>
      <c r="C1768" t="s">
        <v>55</v>
      </c>
      <c r="D1768" s="13">
        <v>1819.16</v>
      </c>
      <c r="E1768" s="12" t="str">
        <f>VLOOKUP(C1768,inf!$A$2:$B$7,2,FALSE)</f>
        <v>Current</v>
      </c>
      <c r="F1768" s="12" t="str">
        <f t="shared" si="28"/>
        <v>08/23/2017</v>
      </c>
      <c r="G1768" t="str">
        <f>VLOOKUP(A1768,inf!$D$2:$E$76,2,FALSE)</f>
        <v>Other</v>
      </c>
    </row>
    <row r="1769" spans="1:7" x14ac:dyDescent="0.25">
      <c r="A1769" t="s">
        <v>12</v>
      </c>
      <c r="B1769" s="1">
        <v>42970</v>
      </c>
      <c r="C1769" t="s">
        <v>56</v>
      </c>
      <c r="D1769" s="13">
        <v>602.6</v>
      </c>
      <c r="E1769" s="12" t="str">
        <f>VLOOKUP(C1769,inf!$A$2:$B$7,2,FALSE)</f>
        <v>Current</v>
      </c>
      <c r="F1769" s="12" t="str">
        <f t="shared" si="28"/>
        <v>08/23/2017</v>
      </c>
      <c r="G1769" t="str">
        <f>VLOOKUP(A1769,inf!$D$2:$E$76,2,FALSE)</f>
        <v>Other</v>
      </c>
    </row>
    <row r="1770" spans="1:7" x14ac:dyDescent="0.25">
      <c r="A1770" t="s">
        <v>12</v>
      </c>
      <c r="B1770" s="1">
        <v>42970</v>
      </c>
      <c r="C1770" t="s">
        <v>57</v>
      </c>
      <c r="D1770" s="13">
        <v>229.94</v>
      </c>
      <c r="E1770" s="12" t="str">
        <f>VLOOKUP(C1770,inf!$A$2:$B$7,2,FALSE)</f>
        <v>31 to 60</v>
      </c>
      <c r="F1770" s="12" t="str">
        <f t="shared" si="28"/>
        <v>08/23/2017</v>
      </c>
      <c r="G1770" t="str">
        <f>VLOOKUP(A1770,inf!$D$2:$E$76,2,FALSE)</f>
        <v>Other</v>
      </c>
    </row>
    <row r="1771" spans="1:7" x14ac:dyDescent="0.25">
      <c r="A1771" t="s">
        <v>12</v>
      </c>
      <c r="B1771" s="1">
        <v>42970</v>
      </c>
      <c r="C1771" t="s">
        <v>58</v>
      </c>
      <c r="D1771" s="13">
        <v>165</v>
      </c>
      <c r="E1771" s="12" t="str">
        <f>VLOOKUP(C1771,inf!$A$2:$B$7,2,FALSE)</f>
        <v>61 to 90</v>
      </c>
      <c r="F1771" s="12" t="str">
        <f t="shared" si="28"/>
        <v>08/23/2017</v>
      </c>
      <c r="G1771" t="str">
        <f>VLOOKUP(A1771,inf!$D$2:$E$76,2,FALSE)</f>
        <v>Other</v>
      </c>
    </row>
    <row r="1772" spans="1:7" x14ac:dyDescent="0.25">
      <c r="A1772" t="s">
        <v>7</v>
      </c>
      <c r="B1772" s="1">
        <v>42970</v>
      </c>
      <c r="C1772" t="s">
        <v>55</v>
      </c>
      <c r="D1772" s="13">
        <v>103040.46999999996</v>
      </c>
      <c r="E1772" s="12" t="str">
        <f>VLOOKUP(C1772,inf!$A$2:$B$7,2,FALSE)</f>
        <v>Current</v>
      </c>
      <c r="F1772" s="12" t="str">
        <f t="shared" si="28"/>
        <v>08/23/2017</v>
      </c>
      <c r="G1772" t="str">
        <f>VLOOKUP(A1772,inf!$D$2:$E$76,2,FALSE)</f>
        <v>SAFEWAY</v>
      </c>
    </row>
    <row r="1773" spans="1:7" x14ac:dyDescent="0.25">
      <c r="A1773" t="s">
        <v>7</v>
      </c>
      <c r="B1773" s="1">
        <v>42970</v>
      </c>
      <c r="C1773" t="s">
        <v>56</v>
      </c>
      <c r="D1773" s="13">
        <v>37329.799999999952</v>
      </c>
      <c r="E1773" s="12" t="str">
        <f>VLOOKUP(C1773,inf!$A$2:$B$7,2,FALSE)</f>
        <v>Current</v>
      </c>
      <c r="F1773" s="12" t="str">
        <f t="shared" si="28"/>
        <v>08/23/2017</v>
      </c>
      <c r="G1773" t="str">
        <f>VLOOKUP(A1773,inf!$D$2:$E$76,2,FALSE)</f>
        <v>SAFEWAY</v>
      </c>
    </row>
    <row r="1774" spans="1:7" x14ac:dyDescent="0.25">
      <c r="A1774" t="s">
        <v>7</v>
      </c>
      <c r="B1774" s="1">
        <v>42970</v>
      </c>
      <c r="C1774" t="s">
        <v>57</v>
      </c>
      <c r="D1774" s="13">
        <v>1272.1400000000001</v>
      </c>
      <c r="E1774" s="12" t="str">
        <f>VLOOKUP(C1774,inf!$A$2:$B$7,2,FALSE)</f>
        <v>31 to 60</v>
      </c>
      <c r="F1774" s="12" t="str">
        <f t="shared" si="28"/>
        <v>08/23/2017</v>
      </c>
      <c r="G1774" t="str">
        <f>VLOOKUP(A1774,inf!$D$2:$E$76,2,FALSE)</f>
        <v>SAFEWAY</v>
      </c>
    </row>
    <row r="1775" spans="1:7" x14ac:dyDescent="0.25">
      <c r="A1775" t="s">
        <v>7</v>
      </c>
      <c r="B1775" s="1">
        <v>42970</v>
      </c>
      <c r="C1775" t="s">
        <v>58</v>
      </c>
      <c r="D1775" s="13">
        <v>218.89</v>
      </c>
      <c r="E1775" s="12" t="str">
        <f>VLOOKUP(C1775,inf!$A$2:$B$7,2,FALSE)</f>
        <v>61 to 90</v>
      </c>
      <c r="F1775" s="12" t="str">
        <f t="shared" si="28"/>
        <v>08/23/2017</v>
      </c>
      <c r="G1775" t="str">
        <f>VLOOKUP(A1775,inf!$D$2:$E$76,2,FALSE)</f>
        <v>SAFEWAY</v>
      </c>
    </row>
    <row r="1776" spans="1:7" x14ac:dyDescent="0.25">
      <c r="A1776" t="s">
        <v>7</v>
      </c>
      <c r="B1776" s="1">
        <v>42970</v>
      </c>
      <c r="C1776" t="s">
        <v>59</v>
      </c>
      <c r="D1776" s="13">
        <v>344.56</v>
      </c>
      <c r="E1776" s="12" t="str">
        <f>VLOOKUP(C1776,inf!$A$2:$B$7,2,FALSE)</f>
        <v>Over 90</v>
      </c>
      <c r="F1776" s="12" t="str">
        <f t="shared" si="28"/>
        <v>08/23/2017</v>
      </c>
      <c r="G1776" t="str">
        <f>VLOOKUP(A1776,inf!$D$2:$E$76,2,FALSE)</f>
        <v>SAFEWAY</v>
      </c>
    </row>
    <row r="1777" spans="1:7" x14ac:dyDescent="0.25">
      <c r="A1777" t="s">
        <v>5</v>
      </c>
      <c r="B1777" s="1">
        <v>42970</v>
      </c>
      <c r="C1777" t="s">
        <v>55</v>
      </c>
      <c r="D1777" s="13">
        <v>4759818.1399998935</v>
      </c>
      <c r="E1777" s="12" t="str">
        <f>VLOOKUP(C1777,inf!$A$2:$B$7,2,FALSE)</f>
        <v>Current</v>
      </c>
      <c r="F1777" s="12" t="str">
        <f t="shared" si="28"/>
        <v>08/23/2017</v>
      </c>
      <c r="G1777" t="str">
        <f>VLOOKUP(A1777,inf!$D$2:$E$76,2,FALSE)</f>
        <v>SBUX</v>
      </c>
    </row>
    <row r="1778" spans="1:7" x14ac:dyDescent="0.25">
      <c r="A1778" t="s">
        <v>5</v>
      </c>
      <c r="B1778" s="1">
        <v>42970</v>
      </c>
      <c r="C1778" t="s">
        <v>56</v>
      </c>
      <c r="D1778" s="13">
        <v>15866.83</v>
      </c>
      <c r="E1778" s="12" t="str">
        <f>VLOOKUP(C1778,inf!$A$2:$B$7,2,FALSE)</f>
        <v>Current</v>
      </c>
      <c r="F1778" s="12" t="str">
        <f t="shared" si="28"/>
        <v>08/23/2017</v>
      </c>
      <c r="G1778" t="str">
        <f>VLOOKUP(A1778,inf!$D$2:$E$76,2,FALSE)</f>
        <v>SBUX</v>
      </c>
    </row>
    <row r="1779" spans="1:7" x14ac:dyDescent="0.25">
      <c r="A1779" t="s">
        <v>5</v>
      </c>
      <c r="B1779" s="1">
        <v>42970</v>
      </c>
      <c r="C1779" t="s">
        <v>57</v>
      </c>
      <c r="D1779" s="13">
        <v>16063.900000000001</v>
      </c>
      <c r="E1779" s="12" t="str">
        <f>VLOOKUP(C1779,inf!$A$2:$B$7,2,FALSE)</f>
        <v>31 to 60</v>
      </c>
      <c r="F1779" s="12" t="str">
        <f t="shared" si="28"/>
        <v>08/23/2017</v>
      </c>
      <c r="G1779" t="str">
        <f>VLOOKUP(A1779,inf!$D$2:$E$76,2,FALSE)</f>
        <v>SBUX</v>
      </c>
    </row>
    <row r="1780" spans="1:7" x14ac:dyDescent="0.25">
      <c r="A1780" t="s">
        <v>5</v>
      </c>
      <c r="B1780" s="1">
        <v>42970</v>
      </c>
      <c r="C1780" t="s">
        <v>58</v>
      </c>
      <c r="D1780" s="13">
        <v>17733.920000000002</v>
      </c>
      <c r="E1780" s="12" t="str">
        <f>VLOOKUP(C1780,inf!$A$2:$B$7,2,FALSE)</f>
        <v>61 to 90</v>
      </c>
      <c r="F1780" s="12" t="str">
        <f t="shared" si="28"/>
        <v>08/23/2017</v>
      </c>
      <c r="G1780" t="str">
        <f>VLOOKUP(A1780,inf!$D$2:$E$76,2,FALSE)</f>
        <v>SBUX</v>
      </c>
    </row>
    <row r="1781" spans="1:7" x14ac:dyDescent="0.25">
      <c r="A1781" t="s">
        <v>5</v>
      </c>
      <c r="B1781" s="1">
        <v>42970</v>
      </c>
      <c r="C1781" t="s">
        <v>59</v>
      </c>
      <c r="D1781" s="13">
        <v>2008.54</v>
      </c>
      <c r="E1781" s="12" t="str">
        <f>VLOOKUP(C1781,inf!$A$2:$B$7,2,FALSE)</f>
        <v>Over 90</v>
      </c>
      <c r="F1781" s="12" t="str">
        <f t="shared" si="28"/>
        <v>08/23/2017</v>
      </c>
      <c r="G1781" t="str">
        <f>VLOOKUP(A1781,inf!$D$2:$E$76,2,FALSE)</f>
        <v>SBUX</v>
      </c>
    </row>
    <row r="1782" spans="1:7" x14ac:dyDescent="0.25">
      <c r="A1782" t="s">
        <v>5</v>
      </c>
      <c r="B1782" s="1">
        <v>42970</v>
      </c>
      <c r="C1782" t="s">
        <v>60</v>
      </c>
      <c r="D1782" s="13">
        <v>75326.080000000002</v>
      </c>
      <c r="E1782" s="12" t="str">
        <f>VLOOKUP(C1782,inf!$A$2:$B$7,2,FALSE)</f>
        <v>Over 90</v>
      </c>
      <c r="F1782" s="12" t="str">
        <f t="shared" si="28"/>
        <v>08/23/2017</v>
      </c>
      <c r="G1782" t="str">
        <f>VLOOKUP(A1782,inf!$D$2:$E$76,2,FALSE)</f>
        <v>SBUX</v>
      </c>
    </row>
    <row r="1783" spans="1:7" x14ac:dyDescent="0.25">
      <c r="A1783" t="s">
        <v>6</v>
      </c>
      <c r="B1783" s="1">
        <v>42970</v>
      </c>
      <c r="C1783" t="s">
        <v>55</v>
      </c>
      <c r="D1783" s="13">
        <v>417963.11999999825</v>
      </c>
      <c r="E1783" s="12" t="str">
        <f>VLOOKUP(C1783,inf!$A$2:$B$7,2,FALSE)</f>
        <v>Current</v>
      </c>
      <c r="F1783" s="12" t="str">
        <f t="shared" si="28"/>
        <v>08/23/2017</v>
      </c>
      <c r="G1783" t="str">
        <f>VLOOKUP(A1783,inf!$D$2:$E$76,2,FALSE)</f>
        <v>SBUX</v>
      </c>
    </row>
    <row r="1784" spans="1:7" x14ac:dyDescent="0.25">
      <c r="A1784" t="s">
        <v>6</v>
      </c>
      <c r="B1784" s="1">
        <v>42970</v>
      </c>
      <c r="C1784" t="s">
        <v>56</v>
      </c>
      <c r="D1784" s="13">
        <v>4581.3300000000008</v>
      </c>
      <c r="E1784" s="12" t="str">
        <f>VLOOKUP(C1784,inf!$A$2:$B$7,2,FALSE)</f>
        <v>Current</v>
      </c>
      <c r="F1784" s="12" t="str">
        <f t="shared" si="28"/>
        <v>08/23/2017</v>
      </c>
      <c r="G1784" t="str">
        <f>VLOOKUP(A1784,inf!$D$2:$E$76,2,FALSE)</f>
        <v>SBUX</v>
      </c>
    </row>
    <row r="1785" spans="1:7" x14ac:dyDescent="0.25">
      <c r="A1785" t="s">
        <v>6</v>
      </c>
      <c r="B1785" s="1">
        <v>42970</v>
      </c>
      <c r="C1785" t="s">
        <v>57</v>
      </c>
      <c r="D1785" s="13">
        <v>203.74</v>
      </c>
      <c r="E1785" s="12" t="str">
        <f>VLOOKUP(C1785,inf!$A$2:$B$7,2,FALSE)</f>
        <v>31 to 60</v>
      </c>
      <c r="F1785" s="12" t="str">
        <f t="shared" si="28"/>
        <v>08/23/2017</v>
      </c>
      <c r="G1785" t="str">
        <f>VLOOKUP(A1785,inf!$D$2:$E$76,2,FALSE)</f>
        <v>SBUX</v>
      </c>
    </row>
    <row r="1786" spans="1:7" x14ac:dyDescent="0.25">
      <c r="A1786" t="s">
        <v>6</v>
      </c>
      <c r="B1786" s="1">
        <v>42970</v>
      </c>
      <c r="C1786" t="s">
        <v>58</v>
      </c>
      <c r="D1786" s="13">
        <v>197.64</v>
      </c>
      <c r="E1786" s="12" t="str">
        <f>VLOOKUP(C1786,inf!$A$2:$B$7,2,FALSE)</f>
        <v>61 to 90</v>
      </c>
      <c r="F1786" s="12" t="str">
        <f t="shared" si="28"/>
        <v>08/23/2017</v>
      </c>
      <c r="G1786" t="str">
        <f>VLOOKUP(A1786,inf!$D$2:$E$76,2,FALSE)</f>
        <v>SBUX</v>
      </c>
    </row>
    <row r="1787" spans="1:7" x14ac:dyDescent="0.25">
      <c r="A1787" t="s">
        <v>6</v>
      </c>
      <c r="B1787" s="1">
        <v>42970</v>
      </c>
      <c r="C1787" t="s">
        <v>59</v>
      </c>
      <c r="D1787" s="13">
        <v>274.27999999999997</v>
      </c>
      <c r="E1787" s="12" t="str">
        <f>VLOOKUP(C1787,inf!$A$2:$B$7,2,FALSE)</f>
        <v>Over 90</v>
      </c>
      <c r="F1787" s="12" t="str">
        <f t="shared" si="28"/>
        <v>08/23/2017</v>
      </c>
      <c r="G1787" t="str">
        <f>VLOOKUP(A1787,inf!$D$2:$E$76,2,FALSE)</f>
        <v>SBUX</v>
      </c>
    </row>
    <row r="1788" spans="1:7" x14ac:dyDescent="0.25">
      <c r="A1788" t="s">
        <v>6</v>
      </c>
      <c r="B1788" s="1">
        <v>42970</v>
      </c>
      <c r="C1788" t="s">
        <v>60</v>
      </c>
      <c r="D1788" s="13">
        <v>8319.91</v>
      </c>
      <c r="E1788" s="12" t="str">
        <f>VLOOKUP(C1788,inf!$A$2:$B$7,2,FALSE)</f>
        <v>Over 90</v>
      </c>
      <c r="F1788" s="12" t="str">
        <f t="shared" si="28"/>
        <v>08/23/2017</v>
      </c>
      <c r="G1788" t="str">
        <f>VLOOKUP(A1788,inf!$D$2:$E$76,2,FALSE)</f>
        <v>SBUX</v>
      </c>
    </row>
    <row r="1789" spans="1:7" x14ac:dyDescent="0.25">
      <c r="A1789" t="s">
        <v>49</v>
      </c>
      <c r="B1789" s="1">
        <v>42970</v>
      </c>
      <c r="C1789" t="s">
        <v>57</v>
      </c>
      <c r="D1789" s="13">
        <v>150.36000000000001</v>
      </c>
      <c r="E1789" s="12" t="str">
        <f>VLOOKUP(C1789,inf!$A$2:$B$7,2,FALSE)</f>
        <v>31 to 60</v>
      </c>
      <c r="F1789" s="12" t="str">
        <f t="shared" si="28"/>
        <v>08/23/2017</v>
      </c>
      <c r="G1789" t="str">
        <f>VLOOKUP(A1789,inf!$D$2:$E$76,2,FALSE)</f>
        <v>Other</v>
      </c>
    </row>
    <row r="1790" spans="1:7" x14ac:dyDescent="0.25">
      <c r="A1790" t="s">
        <v>48</v>
      </c>
      <c r="B1790" s="1">
        <v>42970</v>
      </c>
      <c r="C1790" t="s">
        <v>55</v>
      </c>
      <c r="D1790" s="13">
        <v>170796.86999999997</v>
      </c>
      <c r="E1790" s="12" t="str">
        <f>VLOOKUP(C1790,inf!$A$2:$B$7,2,FALSE)</f>
        <v>Current</v>
      </c>
      <c r="F1790" s="12" t="str">
        <f t="shared" si="28"/>
        <v>08/23/2017</v>
      </c>
      <c r="G1790" t="str">
        <f>VLOOKUP(A1790,inf!$D$2:$E$76,2,FALSE)</f>
        <v>Target</v>
      </c>
    </row>
    <row r="1791" spans="1:7" x14ac:dyDescent="0.25">
      <c r="A1791" t="s">
        <v>48</v>
      </c>
      <c r="B1791" s="1">
        <v>42970</v>
      </c>
      <c r="C1791" t="s">
        <v>56</v>
      </c>
      <c r="D1791" s="13">
        <v>683.78</v>
      </c>
      <c r="E1791" s="12" t="str">
        <f>VLOOKUP(C1791,inf!$A$2:$B$7,2,FALSE)</f>
        <v>Current</v>
      </c>
      <c r="F1791" s="12" t="str">
        <f t="shared" si="28"/>
        <v>08/23/2017</v>
      </c>
      <c r="G1791" t="str">
        <f>VLOOKUP(A1791,inf!$D$2:$E$76,2,FALSE)</f>
        <v>Target</v>
      </c>
    </row>
    <row r="1792" spans="1:7" x14ac:dyDescent="0.25">
      <c r="A1792" t="s">
        <v>48</v>
      </c>
      <c r="B1792" s="1">
        <v>42970</v>
      </c>
      <c r="C1792" t="s">
        <v>57</v>
      </c>
      <c r="D1792" s="13">
        <v>715.5</v>
      </c>
      <c r="E1792" s="12" t="str">
        <f>VLOOKUP(C1792,inf!$A$2:$B$7,2,FALSE)</f>
        <v>31 to 60</v>
      </c>
      <c r="F1792" s="12" t="str">
        <f t="shared" si="28"/>
        <v>08/23/2017</v>
      </c>
      <c r="G1792" t="str">
        <f>VLOOKUP(A1792,inf!$D$2:$E$76,2,FALSE)</f>
        <v>Target</v>
      </c>
    </row>
    <row r="1793" spans="1:7" x14ac:dyDescent="0.25">
      <c r="A1793" t="s">
        <v>8</v>
      </c>
      <c r="B1793" s="1">
        <v>42970</v>
      </c>
      <c r="C1793" t="s">
        <v>55</v>
      </c>
      <c r="D1793" s="13">
        <v>349700.54000000015</v>
      </c>
      <c r="E1793" s="12" t="str">
        <f>VLOOKUP(C1793,inf!$A$2:$B$7,2,FALSE)</f>
        <v>Current</v>
      </c>
      <c r="F1793" s="12" t="str">
        <f t="shared" si="28"/>
        <v>08/23/2017</v>
      </c>
      <c r="G1793" t="str">
        <f>VLOOKUP(A1793,inf!$D$2:$E$76,2,FALSE)</f>
        <v>Target</v>
      </c>
    </row>
    <row r="1794" spans="1:7" x14ac:dyDescent="0.25">
      <c r="A1794" t="s">
        <v>8</v>
      </c>
      <c r="B1794" s="1">
        <v>42970</v>
      </c>
      <c r="C1794" t="s">
        <v>56</v>
      </c>
      <c r="D1794" s="13">
        <v>916.23</v>
      </c>
      <c r="E1794" s="12" t="str">
        <f>VLOOKUP(C1794,inf!$A$2:$B$7,2,FALSE)</f>
        <v>Current</v>
      </c>
      <c r="F1794" s="12" t="str">
        <f t="shared" si="28"/>
        <v>08/23/2017</v>
      </c>
      <c r="G1794" t="str">
        <f>VLOOKUP(A1794,inf!$D$2:$E$76,2,FALSE)</f>
        <v>Target</v>
      </c>
    </row>
    <row r="1795" spans="1:7" x14ac:dyDescent="0.25">
      <c r="A1795" t="s">
        <v>8</v>
      </c>
      <c r="B1795" s="1">
        <v>42970</v>
      </c>
      <c r="C1795" t="s">
        <v>57</v>
      </c>
      <c r="D1795" s="13">
        <v>125.75999999999999</v>
      </c>
      <c r="E1795" s="12" t="str">
        <f>VLOOKUP(C1795,inf!$A$2:$B$7,2,FALSE)</f>
        <v>31 to 60</v>
      </c>
      <c r="F1795" s="12" t="str">
        <f t="shared" ref="F1795:F1858" si="29">TEXT(B1795,"MM/DD/YYYY")</f>
        <v>08/23/2017</v>
      </c>
      <c r="G1795" t="str">
        <f>VLOOKUP(A1795,inf!$D$2:$E$76,2,FALSE)</f>
        <v>Target</v>
      </c>
    </row>
    <row r="1796" spans="1:7" x14ac:dyDescent="0.25">
      <c r="A1796" t="s">
        <v>8</v>
      </c>
      <c r="B1796" s="1">
        <v>42970</v>
      </c>
      <c r="C1796" t="s">
        <v>58</v>
      </c>
      <c r="D1796" s="13">
        <v>1864.27</v>
      </c>
      <c r="E1796" s="12" t="str">
        <f>VLOOKUP(C1796,inf!$A$2:$B$7,2,FALSE)</f>
        <v>61 to 90</v>
      </c>
      <c r="F1796" s="12" t="str">
        <f t="shared" si="29"/>
        <v>08/23/2017</v>
      </c>
      <c r="G1796" t="str">
        <f>VLOOKUP(A1796,inf!$D$2:$E$76,2,FALSE)</f>
        <v>Target</v>
      </c>
    </row>
    <row r="1797" spans="1:7" x14ac:dyDescent="0.25">
      <c r="A1797" t="s">
        <v>8</v>
      </c>
      <c r="B1797" s="1">
        <v>42970</v>
      </c>
      <c r="C1797" t="s">
        <v>59</v>
      </c>
      <c r="D1797" s="13">
        <v>240.2</v>
      </c>
      <c r="E1797" s="12" t="str">
        <f>VLOOKUP(C1797,inf!$A$2:$B$7,2,FALSE)</f>
        <v>Over 90</v>
      </c>
      <c r="F1797" s="12" t="str">
        <f t="shared" si="29"/>
        <v>08/23/2017</v>
      </c>
      <c r="G1797" t="str">
        <f>VLOOKUP(A1797,inf!$D$2:$E$76,2,FALSE)</f>
        <v>Target</v>
      </c>
    </row>
    <row r="1798" spans="1:7" x14ac:dyDescent="0.25">
      <c r="A1798" t="s">
        <v>8</v>
      </c>
      <c r="B1798" s="1">
        <v>42970</v>
      </c>
      <c r="C1798" t="s">
        <v>60</v>
      </c>
      <c r="D1798" s="13">
        <v>20685.229999999996</v>
      </c>
      <c r="E1798" s="12" t="str">
        <f>VLOOKUP(C1798,inf!$A$2:$B$7,2,FALSE)</f>
        <v>Over 90</v>
      </c>
      <c r="F1798" s="12" t="str">
        <f t="shared" si="29"/>
        <v>08/23/2017</v>
      </c>
      <c r="G1798" t="str">
        <f>VLOOKUP(A1798,inf!$D$2:$E$76,2,FALSE)</f>
        <v>Target</v>
      </c>
    </row>
    <row r="1799" spans="1:7" x14ac:dyDescent="0.25">
      <c r="A1799" t="s">
        <v>54</v>
      </c>
      <c r="B1799" s="1">
        <v>42970</v>
      </c>
      <c r="C1799" t="s">
        <v>55</v>
      </c>
      <c r="D1799" s="13">
        <v>1573.68</v>
      </c>
      <c r="E1799" s="12" t="str">
        <f>VLOOKUP(C1799,inf!$A$2:$B$7,2,FALSE)</f>
        <v>Current</v>
      </c>
      <c r="F1799" s="12" t="str">
        <f t="shared" si="29"/>
        <v>08/23/2017</v>
      </c>
      <c r="G1799" t="str">
        <f>VLOOKUP(A1799,inf!$D$2:$E$76,2,FALSE)</f>
        <v>Other</v>
      </c>
    </row>
    <row r="1800" spans="1:7" x14ac:dyDescent="0.25">
      <c r="A1800" t="s">
        <v>54</v>
      </c>
      <c r="B1800" s="1">
        <v>42970</v>
      </c>
      <c r="C1800" t="s">
        <v>56</v>
      </c>
      <c r="D1800" s="13">
        <v>625.5</v>
      </c>
      <c r="E1800" s="12" t="str">
        <f>VLOOKUP(C1800,inf!$A$2:$B$7,2,FALSE)</f>
        <v>Current</v>
      </c>
      <c r="F1800" s="12" t="str">
        <f t="shared" si="29"/>
        <v>08/23/2017</v>
      </c>
      <c r="G1800" t="str">
        <f>VLOOKUP(A1800,inf!$D$2:$E$76,2,FALSE)</f>
        <v>Other</v>
      </c>
    </row>
    <row r="1801" spans="1:7" x14ac:dyDescent="0.25">
      <c r="A1801" t="s">
        <v>54</v>
      </c>
      <c r="B1801" s="1">
        <v>42970</v>
      </c>
      <c r="C1801" t="s">
        <v>57</v>
      </c>
      <c r="D1801" s="13">
        <v>801.73</v>
      </c>
      <c r="E1801" s="12" t="str">
        <f>VLOOKUP(C1801,inf!$A$2:$B$7,2,FALSE)</f>
        <v>31 to 60</v>
      </c>
      <c r="F1801" s="12" t="str">
        <f t="shared" si="29"/>
        <v>08/23/2017</v>
      </c>
      <c r="G1801" t="str">
        <f>VLOOKUP(A1801,inf!$D$2:$E$76,2,FALSE)</f>
        <v>Other</v>
      </c>
    </row>
    <row r="1802" spans="1:7" x14ac:dyDescent="0.25">
      <c r="A1802" t="s">
        <v>15</v>
      </c>
      <c r="B1802" s="1">
        <v>42970</v>
      </c>
      <c r="C1802" t="s">
        <v>55</v>
      </c>
      <c r="D1802" s="13">
        <v>2129.33</v>
      </c>
      <c r="E1802" s="12" t="str">
        <f>VLOOKUP(C1802,inf!$A$2:$B$7,2,FALSE)</f>
        <v>Current</v>
      </c>
      <c r="F1802" s="12" t="str">
        <f t="shared" si="29"/>
        <v>08/23/2017</v>
      </c>
      <c r="G1802" t="str">
        <f>VLOOKUP(A1802,inf!$D$2:$E$76,2,FALSE)</f>
        <v>Other</v>
      </c>
    </row>
    <row r="1803" spans="1:7" x14ac:dyDescent="0.25">
      <c r="A1803" t="s">
        <v>15</v>
      </c>
      <c r="B1803" s="1">
        <v>42970</v>
      </c>
      <c r="C1803" t="s">
        <v>56</v>
      </c>
      <c r="D1803" s="13">
        <v>291.60000000000002</v>
      </c>
      <c r="E1803" s="12" t="str">
        <f>VLOOKUP(C1803,inf!$A$2:$B$7,2,FALSE)</f>
        <v>Current</v>
      </c>
      <c r="F1803" s="12" t="str">
        <f t="shared" si="29"/>
        <v>08/23/2017</v>
      </c>
      <c r="G1803" t="str">
        <f>VLOOKUP(A1803,inf!$D$2:$E$76,2,FALSE)</f>
        <v>Other</v>
      </c>
    </row>
    <row r="1804" spans="1:7" x14ac:dyDescent="0.25">
      <c r="A1804" t="s">
        <v>15</v>
      </c>
      <c r="B1804" s="1">
        <v>42970</v>
      </c>
      <c r="C1804" t="s">
        <v>60</v>
      </c>
      <c r="D1804" s="13">
        <v>126.05</v>
      </c>
      <c r="E1804" s="12" t="str">
        <f>VLOOKUP(C1804,inf!$A$2:$B$7,2,FALSE)</f>
        <v>Over 90</v>
      </c>
      <c r="F1804" s="12" t="str">
        <f t="shared" si="29"/>
        <v>08/23/2017</v>
      </c>
      <c r="G1804" t="str">
        <f>VLOOKUP(A1804,inf!$D$2:$E$76,2,FALSE)</f>
        <v>Other</v>
      </c>
    </row>
    <row r="1805" spans="1:7" x14ac:dyDescent="0.25">
      <c r="A1805" t="s">
        <v>61</v>
      </c>
      <c r="B1805" s="1">
        <v>42977</v>
      </c>
      <c r="C1805" t="s">
        <v>56</v>
      </c>
      <c r="D1805">
        <v>295.32</v>
      </c>
      <c r="E1805" s="12" t="str">
        <f>VLOOKUP(C1805,inf!$A$2:$B$7,2,FALSE)</f>
        <v>Current</v>
      </c>
      <c r="F1805" s="12" t="str">
        <f t="shared" si="29"/>
        <v>08/30/2017</v>
      </c>
      <c r="G1805" t="str">
        <f>VLOOKUP(A1805,inf!$D$2:$E$76,2,FALSE)</f>
        <v>Other</v>
      </c>
    </row>
    <row r="1806" spans="1:7" x14ac:dyDescent="0.25">
      <c r="A1806" t="s">
        <v>4</v>
      </c>
      <c r="B1806" s="1">
        <v>42977</v>
      </c>
      <c r="C1806" t="s">
        <v>55</v>
      </c>
      <c r="D1806">
        <v>1970.7000000000003</v>
      </c>
      <c r="E1806" s="12" t="str">
        <f>VLOOKUP(C1806,inf!$A$2:$B$7,2,FALSE)</f>
        <v>Current</v>
      </c>
      <c r="F1806" s="12" t="str">
        <f t="shared" si="29"/>
        <v>08/30/2017</v>
      </c>
      <c r="G1806" t="str">
        <f>VLOOKUP(A1806,inf!$D$2:$E$76,2,FALSE)</f>
        <v>Other</v>
      </c>
    </row>
    <row r="1807" spans="1:7" x14ac:dyDescent="0.25">
      <c r="A1807" t="s">
        <v>26</v>
      </c>
      <c r="B1807" s="1">
        <v>42977</v>
      </c>
      <c r="C1807" t="s">
        <v>60</v>
      </c>
      <c r="D1807">
        <v>1380.77</v>
      </c>
      <c r="E1807" s="12" t="str">
        <f>VLOOKUP(C1807,inf!$A$2:$B$7,2,FALSE)</f>
        <v>Over 90</v>
      </c>
      <c r="F1807" s="12" t="str">
        <f t="shared" si="29"/>
        <v>08/30/2017</v>
      </c>
      <c r="G1807" t="str">
        <f>VLOOKUP(A1807,inf!$D$2:$E$76,2,FALSE)</f>
        <v>Other</v>
      </c>
    </row>
    <row r="1808" spans="1:7" x14ac:dyDescent="0.25">
      <c r="A1808" t="s">
        <v>2</v>
      </c>
      <c r="B1808" s="1">
        <v>42977</v>
      </c>
      <c r="C1808" t="s">
        <v>60</v>
      </c>
      <c r="D1808">
        <v>3717.8600000000006</v>
      </c>
      <c r="E1808" s="12" t="str">
        <f>VLOOKUP(C1808,inf!$A$2:$B$7,2,FALSE)</f>
        <v>Over 90</v>
      </c>
      <c r="F1808" s="12" t="str">
        <f t="shared" si="29"/>
        <v>08/30/2017</v>
      </c>
      <c r="G1808" t="str">
        <f>VLOOKUP(A1808,inf!$D$2:$E$76,2,FALSE)</f>
        <v>Other</v>
      </c>
    </row>
    <row r="1809" spans="1:7" x14ac:dyDescent="0.25">
      <c r="A1809" t="s">
        <v>32</v>
      </c>
      <c r="B1809" s="1">
        <v>42977</v>
      </c>
      <c r="C1809" t="s">
        <v>57</v>
      </c>
      <c r="D1809">
        <v>424.53000000000003</v>
      </c>
      <c r="E1809" s="12" t="str">
        <f>VLOOKUP(C1809,inf!$A$2:$B$7,2,FALSE)</f>
        <v>31 to 60</v>
      </c>
      <c r="F1809" s="12" t="str">
        <f t="shared" si="29"/>
        <v>08/30/2017</v>
      </c>
      <c r="G1809" t="str">
        <f>VLOOKUP(A1809,inf!$D$2:$E$76,2,FALSE)</f>
        <v>Other</v>
      </c>
    </row>
    <row r="1810" spans="1:7" x14ac:dyDescent="0.25">
      <c r="A1810" t="s">
        <v>47</v>
      </c>
      <c r="B1810" s="1">
        <v>42977</v>
      </c>
      <c r="C1810" t="s">
        <v>55</v>
      </c>
      <c r="D1810">
        <v>431.91</v>
      </c>
      <c r="E1810" s="12" t="str">
        <f>VLOOKUP(C1810,inf!$A$2:$B$7,2,FALSE)</f>
        <v>Current</v>
      </c>
      <c r="F1810" s="12" t="str">
        <f t="shared" si="29"/>
        <v>08/30/2017</v>
      </c>
      <c r="G1810" t="str">
        <f>VLOOKUP(A1810,inf!$D$2:$E$76,2,FALSE)</f>
        <v>Other</v>
      </c>
    </row>
    <row r="1811" spans="1:7" x14ac:dyDescent="0.25">
      <c r="A1811" t="s">
        <v>19</v>
      </c>
      <c r="B1811" s="1">
        <v>42977</v>
      </c>
      <c r="C1811" t="s">
        <v>57</v>
      </c>
      <c r="D1811">
        <v>258.41000000000003</v>
      </c>
      <c r="E1811" s="12" t="str">
        <f>VLOOKUP(C1811,inf!$A$2:$B$7,2,FALSE)</f>
        <v>31 to 60</v>
      </c>
      <c r="F1811" s="12" t="str">
        <f t="shared" si="29"/>
        <v>08/30/2017</v>
      </c>
      <c r="G1811" t="str">
        <f>VLOOKUP(A1811,inf!$D$2:$E$76,2,FALSE)</f>
        <v>Other</v>
      </c>
    </row>
    <row r="1812" spans="1:7" x14ac:dyDescent="0.25">
      <c r="A1812" t="s">
        <v>25</v>
      </c>
      <c r="B1812" s="1">
        <v>42977</v>
      </c>
      <c r="C1812" t="s">
        <v>55</v>
      </c>
      <c r="D1812">
        <v>555.83999999999992</v>
      </c>
      <c r="E1812" s="12" t="str">
        <f>VLOOKUP(C1812,inf!$A$2:$B$7,2,FALSE)</f>
        <v>Current</v>
      </c>
      <c r="F1812" s="12" t="str">
        <f t="shared" si="29"/>
        <v>08/30/2017</v>
      </c>
      <c r="G1812" t="str">
        <f>VLOOKUP(A1812,inf!$D$2:$E$76,2,FALSE)</f>
        <v>Other</v>
      </c>
    </row>
    <row r="1813" spans="1:7" x14ac:dyDescent="0.25">
      <c r="A1813" t="s">
        <v>25</v>
      </c>
      <c r="B1813" s="1">
        <v>42977</v>
      </c>
      <c r="C1813" t="s">
        <v>56</v>
      </c>
      <c r="D1813">
        <v>236.56</v>
      </c>
      <c r="E1813" s="12" t="str">
        <f>VLOOKUP(C1813,inf!$A$2:$B$7,2,FALSE)</f>
        <v>Current</v>
      </c>
      <c r="F1813" s="12" t="str">
        <f t="shared" si="29"/>
        <v>08/30/2017</v>
      </c>
      <c r="G1813" t="str">
        <f>VLOOKUP(A1813,inf!$D$2:$E$76,2,FALSE)</f>
        <v>Other</v>
      </c>
    </row>
    <row r="1814" spans="1:7" x14ac:dyDescent="0.25">
      <c r="A1814" t="s">
        <v>25</v>
      </c>
      <c r="B1814" s="1">
        <v>42977</v>
      </c>
      <c r="C1814" t="s">
        <v>57</v>
      </c>
      <c r="D1814">
        <v>351.41</v>
      </c>
      <c r="E1814" s="12" t="str">
        <f>VLOOKUP(C1814,inf!$A$2:$B$7,2,FALSE)</f>
        <v>31 to 60</v>
      </c>
      <c r="F1814" s="12" t="str">
        <f t="shared" si="29"/>
        <v>08/30/2017</v>
      </c>
      <c r="G1814" t="str">
        <f>VLOOKUP(A1814,inf!$D$2:$E$76,2,FALSE)</f>
        <v>Other</v>
      </c>
    </row>
    <row r="1815" spans="1:7" x14ac:dyDescent="0.25">
      <c r="A1815" t="s">
        <v>31</v>
      </c>
      <c r="B1815" s="1">
        <v>42977</v>
      </c>
      <c r="C1815" t="s">
        <v>55</v>
      </c>
      <c r="D1815">
        <v>1593.4999999999998</v>
      </c>
      <c r="E1815" s="12" t="str">
        <f>VLOOKUP(C1815,inf!$A$2:$B$7,2,FALSE)</f>
        <v>Current</v>
      </c>
      <c r="F1815" s="12" t="str">
        <f t="shared" si="29"/>
        <v>08/30/2017</v>
      </c>
      <c r="G1815" t="str">
        <f>VLOOKUP(A1815,inf!$D$2:$E$76,2,FALSE)</f>
        <v>Other</v>
      </c>
    </row>
    <row r="1816" spans="1:7" x14ac:dyDescent="0.25">
      <c r="A1816" t="s">
        <v>31</v>
      </c>
      <c r="B1816" s="1">
        <v>42977</v>
      </c>
      <c r="C1816" t="s">
        <v>56</v>
      </c>
      <c r="D1816">
        <v>296.71000000000004</v>
      </c>
      <c r="E1816" s="12" t="str">
        <f>VLOOKUP(C1816,inf!$A$2:$B$7,2,FALSE)</f>
        <v>Current</v>
      </c>
      <c r="F1816" s="12" t="str">
        <f t="shared" si="29"/>
        <v>08/30/2017</v>
      </c>
      <c r="G1816" t="str">
        <f>VLOOKUP(A1816,inf!$D$2:$E$76,2,FALSE)</f>
        <v>Other</v>
      </c>
    </row>
    <row r="1817" spans="1:7" x14ac:dyDescent="0.25">
      <c r="A1817" t="s">
        <v>24</v>
      </c>
      <c r="B1817" s="1">
        <v>42977</v>
      </c>
      <c r="C1817" t="s">
        <v>55</v>
      </c>
      <c r="D1817">
        <v>474.71</v>
      </c>
      <c r="E1817" s="12" t="str">
        <f>VLOOKUP(C1817,inf!$A$2:$B$7,2,FALSE)</f>
        <v>Current</v>
      </c>
      <c r="F1817" s="12" t="str">
        <f t="shared" si="29"/>
        <v>08/30/2017</v>
      </c>
      <c r="G1817" t="str">
        <f>VLOOKUP(A1817,inf!$D$2:$E$76,2,FALSE)</f>
        <v>Other</v>
      </c>
    </row>
    <row r="1818" spans="1:7" x14ac:dyDescent="0.25">
      <c r="A1818" t="s">
        <v>18</v>
      </c>
      <c r="B1818" s="1">
        <v>42977</v>
      </c>
      <c r="C1818" t="s">
        <v>55</v>
      </c>
      <c r="D1818">
        <v>143.56</v>
      </c>
      <c r="E1818" s="12" t="str">
        <f>VLOOKUP(C1818,inf!$A$2:$B$7,2,FALSE)</f>
        <v>Current</v>
      </c>
      <c r="F1818" s="12" t="str">
        <f t="shared" si="29"/>
        <v>08/30/2017</v>
      </c>
      <c r="G1818" t="str">
        <f>VLOOKUP(A1818,inf!$D$2:$E$76,2,FALSE)</f>
        <v>Other</v>
      </c>
    </row>
    <row r="1819" spans="1:7" x14ac:dyDescent="0.25">
      <c r="A1819" t="s">
        <v>18</v>
      </c>
      <c r="B1819" s="1">
        <v>42977</v>
      </c>
      <c r="C1819" t="s">
        <v>57</v>
      </c>
      <c r="D1819">
        <v>1320.39</v>
      </c>
      <c r="E1819" s="12" t="str">
        <f>VLOOKUP(C1819,inf!$A$2:$B$7,2,FALSE)</f>
        <v>31 to 60</v>
      </c>
      <c r="F1819" s="12" t="str">
        <f t="shared" si="29"/>
        <v>08/30/2017</v>
      </c>
      <c r="G1819" t="str">
        <f>VLOOKUP(A1819,inf!$D$2:$E$76,2,FALSE)</f>
        <v>Other</v>
      </c>
    </row>
    <row r="1820" spans="1:7" x14ac:dyDescent="0.25">
      <c r="A1820" t="s">
        <v>27</v>
      </c>
      <c r="B1820" s="1">
        <v>42977</v>
      </c>
      <c r="C1820" t="s">
        <v>55</v>
      </c>
      <c r="D1820">
        <v>3154.38</v>
      </c>
      <c r="E1820" s="12" t="str">
        <f>VLOOKUP(C1820,inf!$A$2:$B$7,2,FALSE)</f>
        <v>Current</v>
      </c>
      <c r="F1820" s="12" t="str">
        <f t="shared" si="29"/>
        <v>08/30/2017</v>
      </c>
      <c r="G1820" t="str">
        <f>VLOOKUP(A1820,inf!$D$2:$E$76,2,FALSE)</f>
        <v>Other</v>
      </c>
    </row>
    <row r="1821" spans="1:7" x14ac:dyDescent="0.25">
      <c r="A1821" t="s">
        <v>62</v>
      </c>
      <c r="B1821" s="1">
        <v>42977</v>
      </c>
      <c r="C1821" t="s">
        <v>55</v>
      </c>
      <c r="D1821">
        <v>241.51</v>
      </c>
      <c r="E1821" s="12" t="str">
        <f>VLOOKUP(C1821,inf!$A$2:$B$7,2,FALSE)</f>
        <v>Current</v>
      </c>
      <c r="F1821" s="12" t="str">
        <f t="shared" si="29"/>
        <v>08/30/2017</v>
      </c>
      <c r="G1821" t="str">
        <f>VLOOKUP(A1821,inf!$D$2:$E$76,2,FALSE)</f>
        <v>Other</v>
      </c>
    </row>
    <row r="1822" spans="1:7" x14ac:dyDescent="0.25">
      <c r="A1822" t="s">
        <v>53</v>
      </c>
      <c r="B1822" s="1">
        <v>42977</v>
      </c>
      <c r="C1822" t="s">
        <v>55</v>
      </c>
      <c r="D1822">
        <v>330.29</v>
      </c>
      <c r="E1822" s="12" t="str">
        <f>VLOOKUP(C1822,inf!$A$2:$B$7,2,FALSE)</f>
        <v>Current</v>
      </c>
      <c r="F1822" s="12" t="str">
        <f t="shared" si="29"/>
        <v>08/30/2017</v>
      </c>
      <c r="G1822" t="str">
        <f>VLOOKUP(A1822,inf!$D$2:$E$76,2,FALSE)</f>
        <v>Other</v>
      </c>
    </row>
    <row r="1823" spans="1:7" x14ac:dyDescent="0.25">
      <c r="A1823" t="s">
        <v>3</v>
      </c>
      <c r="B1823" s="1">
        <v>42977</v>
      </c>
      <c r="C1823" t="s">
        <v>55</v>
      </c>
      <c r="D1823">
        <v>3907.1899999999996</v>
      </c>
      <c r="E1823" s="12" t="str">
        <f>VLOOKUP(C1823,inf!$A$2:$B$7,2,FALSE)</f>
        <v>Current</v>
      </c>
      <c r="F1823" s="12" t="str">
        <f t="shared" si="29"/>
        <v>08/30/2017</v>
      </c>
      <c r="G1823" t="str">
        <f>VLOOKUP(A1823,inf!$D$2:$E$76,2,FALSE)</f>
        <v>Other</v>
      </c>
    </row>
    <row r="1824" spans="1:7" x14ac:dyDescent="0.25">
      <c r="A1824" t="s">
        <v>30</v>
      </c>
      <c r="B1824" s="1">
        <v>42977</v>
      </c>
      <c r="C1824" t="s">
        <v>55</v>
      </c>
      <c r="D1824">
        <v>3117.7</v>
      </c>
      <c r="E1824" s="12" t="str">
        <f>VLOOKUP(C1824,inf!$A$2:$B$7,2,FALSE)</f>
        <v>Current</v>
      </c>
      <c r="F1824" s="12" t="str">
        <f t="shared" si="29"/>
        <v>08/30/2017</v>
      </c>
      <c r="G1824" t="str">
        <f>VLOOKUP(A1824,inf!$D$2:$E$76,2,FALSE)</f>
        <v>Other</v>
      </c>
    </row>
    <row r="1825" spans="1:7" x14ac:dyDescent="0.25">
      <c r="A1825" t="s">
        <v>30</v>
      </c>
      <c r="B1825" s="1">
        <v>42977</v>
      </c>
      <c r="C1825" t="s">
        <v>56</v>
      </c>
      <c r="D1825">
        <v>303.01</v>
      </c>
      <c r="E1825" s="12" t="str">
        <f>VLOOKUP(C1825,inf!$A$2:$B$7,2,FALSE)</f>
        <v>Current</v>
      </c>
      <c r="F1825" s="12" t="str">
        <f t="shared" si="29"/>
        <v>08/30/2017</v>
      </c>
      <c r="G1825" t="str">
        <f>VLOOKUP(A1825,inf!$D$2:$E$76,2,FALSE)</f>
        <v>Other</v>
      </c>
    </row>
    <row r="1826" spans="1:7" x14ac:dyDescent="0.25">
      <c r="A1826" t="s">
        <v>30</v>
      </c>
      <c r="B1826" s="1">
        <v>42977</v>
      </c>
      <c r="C1826" t="s">
        <v>57</v>
      </c>
      <c r="D1826">
        <v>1561</v>
      </c>
      <c r="E1826" s="12" t="str">
        <f>VLOOKUP(C1826,inf!$A$2:$B$7,2,FALSE)</f>
        <v>31 to 60</v>
      </c>
      <c r="F1826" s="12" t="str">
        <f t="shared" si="29"/>
        <v>08/30/2017</v>
      </c>
      <c r="G1826" t="str">
        <f>VLOOKUP(A1826,inf!$D$2:$E$76,2,FALSE)</f>
        <v>Other</v>
      </c>
    </row>
    <row r="1827" spans="1:7" x14ac:dyDescent="0.25">
      <c r="A1827" t="s">
        <v>63</v>
      </c>
      <c r="B1827" s="1">
        <v>42977</v>
      </c>
      <c r="C1827" t="s">
        <v>55</v>
      </c>
      <c r="D1827">
        <v>170.49</v>
      </c>
      <c r="E1827" s="12" t="str">
        <f>VLOOKUP(C1827,inf!$A$2:$B$7,2,FALSE)</f>
        <v>Current</v>
      </c>
      <c r="F1827" s="12" t="str">
        <f t="shared" si="29"/>
        <v>08/30/2017</v>
      </c>
      <c r="G1827" t="str">
        <f>VLOOKUP(A1827,inf!$D$2:$E$76,2,FALSE)</f>
        <v>Other</v>
      </c>
    </row>
    <row r="1828" spans="1:7" x14ac:dyDescent="0.25">
      <c r="A1828" t="s">
        <v>12</v>
      </c>
      <c r="B1828" s="1">
        <v>42977</v>
      </c>
      <c r="C1828" t="s">
        <v>55</v>
      </c>
      <c r="D1828">
        <v>2086.79</v>
      </c>
      <c r="E1828" s="12" t="str">
        <f>VLOOKUP(C1828,inf!$A$2:$B$7,2,FALSE)</f>
        <v>Current</v>
      </c>
      <c r="F1828" s="12" t="str">
        <f t="shared" si="29"/>
        <v>08/30/2017</v>
      </c>
      <c r="G1828" t="str">
        <f>VLOOKUP(A1828,inf!$D$2:$E$76,2,FALSE)</f>
        <v>Other</v>
      </c>
    </row>
    <row r="1829" spans="1:7" x14ac:dyDescent="0.25">
      <c r="A1829" t="s">
        <v>12</v>
      </c>
      <c r="B1829" s="1">
        <v>42977</v>
      </c>
      <c r="C1829" t="s">
        <v>56</v>
      </c>
      <c r="D1829">
        <v>602.6</v>
      </c>
      <c r="E1829" s="12" t="str">
        <f>VLOOKUP(C1829,inf!$A$2:$B$7,2,FALSE)</f>
        <v>Current</v>
      </c>
      <c r="F1829" s="12" t="str">
        <f t="shared" si="29"/>
        <v>08/30/2017</v>
      </c>
      <c r="G1829" t="str">
        <f>VLOOKUP(A1829,inf!$D$2:$E$76,2,FALSE)</f>
        <v>Other</v>
      </c>
    </row>
    <row r="1830" spans="1:7" x14ac:dyDescent="0.25">
      <c r="A1830" t="s">
        <v>12</v>
      </c>
      <c r="B1830" s="1">
        <v>42977</v>
      </c>
      <c r="C1830" t="s">
        <v>57</v>
      </c>
      <c r="D1830">
        <v>229.94</v>
      </c>
      <c r="E1830" s="12" t="str">
        <f>VLOOKUP(C1830,inf!$A$2:$B$7,2,FALSE)</f>
        <v>31 to 60</v>
      </c>
      <c r="F1830" s="12" t="str">
        <f t="shared" si="29"/>
        <v>08/30/2017</v>
      </c>
      <c r="G1830" t="str">
        <f>VLOOKUP(A1830,inf!$D$2:$E$76,2,FALSE)</f>
        <v>Other</v>
      </c>
    </row>
    <row r="1831" spans="1:7" x14ac:dyDescent="0.25">
      <c r="A1831" t="s">
        <v>12</v>
      </c>
      <c r="B1831" s="1">
        <v>42977</v>
      </c>
      <c r="C1831" t="s">
        <v>58</v>
      </c>
      <c r="D1831">
        <v>165</v>
      </c>
      <c r="E1831" s="12" t="str">
        <f>VLOOKUP(C1831,inf!$A$2:$B$7,2,FALSE)</f>
        <v>61 to 90</v>
      </c>
      <c r="F1831" s="12" t="str">
        <f t="shared" si="29"/>
        <v>08/30/2017</v>
      </c>
      <c r="G1831" t="str">
        <f>VLOOKUP(A1831,inf!$D$2:$E$76,2,FALSE)</f>
        <v>Other</v>
      </c>
    </row>
    <row r="1832" spans="1:7" x14ac:dyDescent="0.25">
      <c r="A1832" t="s">
        <v>7</v>
      </c>
      <c r="B1832" s="1">
        <v>42977</v>
      </c>
      <c r="C1832" t="s">
        <v>55</v>
      </c>
      <c r="D1832">
        <v>84031.529999999912</v>
      </c>
      <c r="E1832" s="12" t="str">
        <f>VLOOKUP(C1832,inf!$A$2:$B$7,2,FALSE)</f>
        <v>Current</v>
      </c>
      <c r="F1832" s="12" t="str">
        <f t="shared" si="29"/>
        <v>08/30/2017</v>
      </c>
      <c r="G1832" t="str">
        <f>VLOOKUP(A1832,inf!$D$2:$E$76,2,FALSE)</f>
        <v>SAFEWAY</v>
      </c>
    </row>
    <row r="1833" spans="1:7" x14ac:dyDescent="0.25">
      <c r="A1833" t="s">
        <v>7</v>
      </c>
      <c r="B1833" s="1">
        <v>42977</v>
      </c>
      <c r="C1833" t="s">
        <v>56</v>
      </c>
      <c r="D1833">
        <v>52943.339999999938</v>
      </c>
      <c r="E1833" s="12" t="str">
        <f>VLOOKUP(C1833,inf!$A$2:$B$7,2,FALSE)</f>
        <v>Current</v>
      </c>
      <c r="F1833" s="12" t="str">
        <f t="shared" si="29"/>
        <v>08/30/2017</v>
      </c>
      <c r="G1833" t="str">
        <f>VLOOKUP(A1833,inf!$D$2:$E$76,2,FALSE)</f>
        <v>SAFEWAY</v>
      </c>
    </row>
    <row r="1834" spans="1:7" x14ac:dyDescent="0.25">
      <c r="A1834" t="s">
        <v>7</v>
      </c>
      <c r="B1834" s="1">
        <v>42977</v>
      </c>
      <c r="C1834" t="s">
        <v>57</v>
      </c>
      <c r="D1834">
        <v>241.57</v>
      </c>
      <c r="E1834" s="12" t="str">
        <f>VLOOKUP(C1834,inf!$A$2:$B$7,2,FALSE)</f>
        <v>31 to 60</v>
      </c>
      <c r="F1834" s="12" t="str">
        <f t="shared" si="29"/>
        <v>08/30/2017</v>
      </c>
      <c r="G1834" t="str">
        <f>VLOOKUP(A1834,inf!$D$2:$E$76,2,FALSE)</f>
        <v>SAFEWAY</v>
      </c>
    </row>
    <row r="1835" spans="1:7" x14ac:dyDescent="0.25">
      <c r="A1835" t="s">
        <v>7</v>
      </c>
      <c r="B1835" s="1">
        <v>42977</v>
      </c>
      <c r="C1835" t="s">
        <v>58</v>
      </c>
      <c r="D1835">
        <v>1272.1400000000001</v>
      </c>
      <c r="E1835" s="12" t="str">
        <f>VLOOKUP(C1835,inf!$A$2:$B$7,2,FALSE)</f>
        <v>61 to 90</v>
      </c>
      <c r="F1835" s="12" t="str">
        <f t="shared" si="29"/>
        <v>08/30/2017</v>
      </c>
      <c r="G1835" t="str">
        <f>VLOOKUP(A1835,inf!$D$2:$E$76,2,FALSE)</f>
        <v>SAFEWAY</v>
      </c>
    </row>
    <row r="1836" spans="1:7" x14ac:dyDescent="0.25">
      <c r="A1836" t="s">
        <v>7</v>
      </c>
      <c r="B1836" s="1">
        <v>42977</v>
      </c>
      <c r="C1836" t="s">
        <v>59</v>
      </c>
      <c r="D1836">
        <v>563.45000000000005</v>
      </c>
      <c r="E1836" s="12" t="str">
        <f>VLOOKUP(C1836,inf!$A$2:$B$7,2,FALSE)</f>
        <v>Over 90</v>
      </c>
      <c r="F1836" s="12" t="str">
        <f t="shared" si="29"/>
        <v>08/30/2017</v>
      </c>
      <c r="G1836" t="str">
        <f>VLOOKUP(A1836,inf!$D$2:$E$76,2,FALSE)</f>
        <v>SAFEWAY</v>
      </c>
    </row>
    <row r="1837" spans="1:7" x14ac:dyDescent="0.25">
      <c r="A1837" t="s">
        <v>5</v>
      </c>
      <c r="B1837" s="1">
        <v>42977</v>
      </c>
      <c r="C1837" t="s">
        <v>55</v>
      </c>
      <c r="D1837">
        <v>4755882.6499998858</v>
      </c>
      <c r="E1837" s="12" t="str">
        <f>VLOOKUP(C1837,inf!$A$2:$B$7,2,FALSE)</f>
        <v>Current</v>
      </c>
      <c r="F1837" s="12" t="str">
        <f t="shared" si="29"/>
        <v>08/30/2017</v>
      </c>
      <c r="G1837" t="str">
        <f>VLOOKUP(A1837,inf!$D$2:$E$76,2,FALSE)</f>
        <v>SBUX</v>
      </c>
    </row>
    <row r="1838" spans="1:7" x14ac:dyDescent="0.25">
      <c r="A1838" t="s">
        <v>5</v>
      </c>
      <c r="B1838" s="1">
        <v>42977</v>
      </c>
      <c r="C1838" t="s">
        <v>56</v>
      </c>
      <c r="D1838">
        <v>4243.2700000000004</v>
      </c>
      <c r="E1838" s="12" t="str">
        <f>VLOOKUP(C1838,inf!$A$2:$B$7,2,FALSE)</f>
        <v>Current</v>
      </c>
      <c r="F1838" s="12" t="str">
        <f t="shared" si="29"/>
        <v>08/30/2017</v>
      </c>
      <c r="G1838" t="str">
        <f>VLOOKUP(A1838,inf!$D$2:$E$76,2,FALSE)</f>
        <v>SBUX</v>
      </c>
    </row>
    <row r="1839" spans="1:7" x14ac:dyDescent="0.25">
      <c r="A1839" t="s">
        <v>5</v>
      </c>
      <c r="B1839" s="1">
        <v>42977</v>
      </c>
      <c r="C1839" t="s">
        <v>57</v>
      </c>
      <c r="D1839">
        <v>24847.9</v>
      </c>
      <c r="E1839" s="12" t="str">
        <f>VLOOKUP(C1839,inf!$A$2:$B$7,2,FALSE)</f>
        <v>31 to 60</v>
      </c>
      <c r="F1839" s="12" t="str">
        <f t="shared" si="29"/>
        <v>08/30/2017</v>
      </c>
      <c r="G1839" t="str">
        <f>VLOOKUP(A1839,inf!$D$2:$E$76,2,FALSE)</f>
        <v>SBUX</v>
      </c>
    </row>
    <row r="1840" spans="1:7" x14ac:dyDescent="0.25">
      <c r="A1840" t="s">
        <v>5</v>
      </c>
      <c r="B1840" s="1">
        <v>42977</v>
      </c>
      <c r="C1840" t="s">
        <v>58</v>
      </c>
      <c r="D1840">
        <v>7574.13</v>
      </c>
      <c r="E1840" s="12" t="str">
        <f>VLOOKUP(C1840,inf!$A$2:$B$7,2,FALSE)</f>
        <v>61 to 90</v>
      </c>
      <c r="F1840" s="12" t="str">
        <f t="shared" si="29"/>
        <v>08/30/2017</v>
      </c>
      <c r="G1840" t="str">
        <f>VLOOKUP(A1840,inf!$D$2:$E$76,2,FALSE)</f>
        <v>SBUX</v>
      </c>
    </row>
    <row r="1841" spans="1:7" x14ac:dyDescent="0.25">
      <c r="A1841" t="s">
        <v>5</v>
      </c>
      <c r="B1841" s="1">
        <v>42977</v>
      </c>
      <c r="C1841" t="s">
        <v>59</v>
      </c>
      <c r="D1841">
        <v>12858.95</v>
      </c>
      <c r="E1841" s="12" t="str">
        <f>VLOOKUP(C1841,inf!$A$2:$B$7,2,FALSE)</f>
        <v>Over 90</v>
      </c>
      <c r="F1841" s="12" t="str">
        <f t="shared" si="29"/>
        <v>08/30/2017</v>
      </c>
      <c r="G1841" t="str">
        <f>VLOOKUP(A1841,inf!$D$2:$E$76,2,FALSE)</f>
        <v>SBUX</v>
      </c>
    </row>
    <row r="1842" spans="1:7" x14ac:dyDescent="0.25">
      <c r="A1842" t="s">
        <v>5</v>
      </c>
      <c r="B1842" s="1">
        <v>42977</v>
      </c>
      <c r="C1842" t="s">
        <v>60</v>
      </c>
      <c r="D1842">
        <v>76072.13</v>
      </c>
      <c r="E1842" s="12" t="str">
        <f>VLOOKUP(C1842,inf!$A$2:$B$7,2,FALSE)</f>
        <v>Over 90</v>
      </c>
      <c r="F1842" s="12" t="str">
        <f t="shared" si="29"/>
        <v>08/30/2017</v>
      </c>
      <c r="G1842" t="str">
        <f>VLOOKUP(A1842,inf!$D$2:$E$76,2,FALSE)</f>
        <v>SBUX</v>
      </c>
    </row>
    <row r="1843" spans="1:7" x14ac:dyDescent="0.25">
      <c r="A1843" t="s">
        <v>6</v>
      </c>
      <c r="B1843" s="1">
        <v>42977</v>
      </c>
      <c r="C1843" t="s">
        <v>55</v>
      </c>
      <c r="D1843">
        <v>447217.5099999985</v>
      </c>
      <c r="E1843" s="12" t="str">
        <f>VLOOKUP(C1843,inf!$A$2:$B$7,2,FALSE)</f>
        <v>Current</v>
      </c>
      <c r="F1843" s="12" t="str">
        <f t="shared" si="29"/>
        <v>08/30/2017</v>
      </c>
      <c r="G1843" t="str">
        <f>VLOOKUP(A1843,inf!$D$2:$E$76,2,FALSE)</f>
        <v>SBUX</v>
      </c>
    </row>
    <row r="1844" spans="1:7" x14ac:dyDescent="0.25">
      <c r="A1844" t="s">
        <v>6</v>
      </c>
      <c r="B1844" s="1">
        <v>42977</v>
      </c>
      <c r="C1844" t="s">
        <v>56</v>
      </c>
      <c r="D1844">
        <v>3399.93</v>
      </c>
      <c r="E1844" s="12" t="str">
        <f>VLOOKUP(C1844,inf!$A$2:$B$7,2,FALSE)</f>
        <v>Current</v>
      </c>
      <c r="F1844" s="12" t="str">
        <f t="shared" si="29"/>
        <v>08/30/2017</v>
      </c>
      <c r="G1844" t="str">
        <f>VLOOKUP(A1844,inf!$D$2:$E$76,2,FALSE)</f>
        <v>SBUX</v>
      </c>
    </row>
    <row r="1845" spans="1:7" x14ac:dyDescent="0.25">
      <c r="A1845" t="s">
        <v>6</v>
      </c>
      <c r="B1845" s="1">
        <v>42977</v>
      </c>
      <c r="C1845" t="s">
        <v>57</v>
      </c>
      <c r="D1845">
        <v>203.74</v>
      </c>
      <c r="E1845" s="12" t="str">
        <f>VLOOKUP(C1845,inf!$A$2:$B$7,2,FALSE)</f>
        <v>31 to 60</v>
      </c>
      <c r="F1845" s="12" t="str">
        <f t="shared" si="29"/>
        <v>08/30/2017</v>
      </c>
      <c r="G1845" t="str">
        <f>VLOOKUP(A1845,inf!$D$2:$E$76,2,FALSE)</f>
        <v>SBUX</v>
      </c>
    </row>
    <row r="1846" spans="1:7" x14ac:dyDescent="0.25">
      <c r="A1846" t="s">
        <v>6</v>
      </c>
      <c r="B1846" s="1">
        <v>42977</v>
      </c>
      <c r="C1846" t="s">
        <v>58</v>
      </c>
      <c r="D1846">
        <v>75.599999999999994</v>
      </c>
      <c r="E1846" s="12" t="str">
        <f>VLOOKUP(C1846,inf!$A$2:$B$7,2,FALSE)</f>
        <v>61 to 90</v>
      </c>
      <c r="F1846" s="12" t="str">
        <f t="shared" si="29"/>
        <v>08/30/2017</v>
      </c>
      <c r="G1846" t="str">
        <f>VLOOKUP(A1846,inf!$D$2:$E$76,2,FALSE)</f>
        <v>SBUX</v>
      </c>
    </row>
    <row r="1847" spans="1:7" x14ac:dyDescent="0.25">
      <c r="A1847" t="s">
        <v>6</v>
      </c>
      <c r="B1847" s="1">
        <v>42977</v>
      </c>
      <c r="C1847" t="s">
        <v>59</v>
      </c>
      <c r="D1847">
        <v>294.62</v>
      </c>
      <c r="E1847" s="12" t="str">
        <f>VLOOKUP(C1847,inf!$A$2:$B$7,2,FALSE)</f>
        <v>Over 90</v>
      </c>
      <c r="F1847" s="12" t="str">
        <f t="shared" si="29"/>
        <v>08/30/2017</v>
      </c>
      <c r="G1847" t="str">
        <f>VLOOKUP(A1847,inf!$D$2:$E$76,2,FALSE)</f>
        <v>SBUX</v>
      </c>
    </row>
    <row r="1848" spans="1:7" x14ac:dyDescent="0.25">
      <c r="A1848" t="s">
        <v>6</v>
      </c>
      <c r="B1848" s="1">
        <v>42977</v>
      </c>
      <c r="C1848" t="s">
        <v>60</v>
      </c>
      <c r="D1848">
        <v>8421.6099999999988</v>
      </c>
      <c r="E1848" s="12" t="str">
        <f>VLOOKUP(C1848,inf!$A$2:$B$7,2,FALSE)</f>
        <v>Over 90</v>
      </c>
      <c r="F1848" s="12" t="str">
        <f t="shared" si="29"/>
        <v>08/30/2017</v>
      </c>
      <c r="G1848" t="str">
        <f>VLOOKUP(A1848,inf!$D$2:$E$76,2,FALSE)</f>
        <v>SBUX</v>
      </c>
    </row>
    <row r="1849" spans="1:7" x14ac:dyDescent="0.25">
      <c r="A1849" t="s">
        <v>49</v>
      </c>
      <c r="B1849" s="1">
        <v>42977</v>
      </c>
      <c r="C1849" t="s">
        <v>57</v>
      </c>
      <c r="D1849">
        <v>150.36000000000001</v>
      </c>
      <c r="E1849" s="12" t="str">
        <f>VLOOKUP(C1849,inf!$A$2:$B$7,2,FALSE)</f>
        <v>31 to 60</v>
      </c>
      <c r="F1849" s="12" t="str">
        <f t="shared" si="29"/>
        <v>08/30/2017</v>
      </c>
      <c r="G1849" t="str">
        <f>VLOOKUP(A1849,inf!$D$2:$E$76,2,FALSE)</f>
        <v>Other</v>
      </c>
    </row>
    <row r="1850" spans="1:7" x14ac:dyDescent="0.25">
      <c r="A1850" t="s">
        <v>48</v>
      </c>
      <c r="B1850" s="1">
        <v>42977</v>
      </c>
      <c r="C1850" t="s">
        <v>55</v>
      </c>
      <c r="D1850">
        <v>154967.50999999995</v>
      </c>
      <c r="E1850" s="12" t="str">
        <f>VLOOKUP(C1850,inf!$A$2:$B$7,2,FALSE)</f>
        <v>Current</v>
      </c>
      <c r="F1850" s="12" t="str">
        <f t="shared" si="29"/>
        <v>08/30/2017</v>
      </c>
      <c r="G1850" t="str">
        <f>VLOOKUP(A1850,inf!$D$2:$E$76,2,FALSE)</f>
        <v>Target</v>
      </c>
    </row>
    <row r="1851" spans="1:7" x14ac:dyDescent="0.25">
      <c r="A1851" t="s">
        <v>48</v>
      </c>
      <c r="B1851" s="1">
        <v>42977</v>
      </c>
      <c r="C1851" t="s">
        <v>56</v>
      </c>
      <c r="D1851">
        <v>3187.23</v>
      </c>
      <c r="E1851" s="12" t="str">
        <f>VLOOKUP(C1851,inf!$A$2:$B$7,2,FALSE)</f>
        <v>Current</v>
      </c>
      <c r="F1851" s="12" t="str">
        <f t="shared" si="29"/>
        <v>08/30/2017</v>
      </c>
      <c r="G1851" t="str">
        <f>VLOOKUP(A1851,inf!$D$2:$E$76,2,FALSE)</f>
        <v>Target</v>
      </c>
    </row>
    <row r="1852" spans="1:7" x14ac:dyDescent="0.25">
      <c r="A1852" t="s">
        <v>48</v>
      </c>
      <c r="B1852" s="1">
        <v>42977</v>
      </c>
      <c r="C1852" t="s">
        <v>57</v>
      </c>
      <c r="D1852">
        <v>715.5</v>
      </c>
      <c r="E1852" s="12" t="str">
        <f>VLOOKUP(C1852,inf!$A$2:$B$7,2,FALSE)</f>
        <v>31 to 60</v>
      </c>
      <c r="F1852" s="12" t="str">
        <f t="shared" si="29"/>
        <v>08/30/2017</v>
      </c>
      <c r="G1852" t="str">
        <f>VLOOKUP(A1852,inf!$D$2:$E$76,2,FALSE)</f>
        <v>Target</v>
      </c>
    </row>
    <row r="1853" spans="1:7" x14ac:dyDescent="0.25">
      <c r="A1853" t="s">
        <v>8</v>
      </c>
      <c r="B1853" s="1">
        <v>42977</v>
      </c>
      <c r="C1853" t="s">
        <v>55</v>
      </c>
      <c r="D1853">
        <v>312492.78000000038</v>
      </c>
      <c r="E1853" s="12" t="str">
        <f>VLOOKUP(C1853,inf!$A$2:$B$7,2,FALSE)</f>
        <v>Current</v>
      </c>
      <c r="F1853" s="12" t="str">
        <f t="shared" si="29"/>
        <v>08/30/2017</v>
      </c>
      <c r="G1853" t="str">
        <f>VLOOKUP(A1853,inf!$D$2:$E$76,2,FALSE)</f>
        <v>Target</v>
      </c>
    </row>
    <row r="1854" spans="1:7" x14ac:dyDescent="0.25">
      <c r="A1854" t="s">
        <v>8</v>
      </c>
      <c r="B1854" s="1">
        <v>42977</v>
      </c>
      <c r="C1854" t="s">
        <v>56</v>
      </c>
      <c r="D1854">
        <v>5205.2100000000009</v>
      </c>
      <c r="E1854" s="12" t="str">
        <f>VLOOKUP(C1854,inf!$A$2:$B$7,2,FALSE)</f>
        <v>Current</v>
      </c>
      <c r="F1854" s="12" t="str">
        <f t="shared" si="29"/>
        <v>08/30/2017</v>
      </c>
      <c r="G1854" t="str">
        <f>VLOOKUP(A1854,inf!$D$2:$E$76,2,FALSE)</f>
        <v>Target</v>
      </c>
    </row>
    <row r="1855" spans="1:7" x14ac:dyDescent="0.25">
      <c r="A1855" t="s">
        <v>8</v>
      </c>
      <c r="B1855" s="1">
        <v>42977</v>
      </c>
      <c r="C1855" t="s">
        <v>57</v>
      </c>
      <c r="D1855">
        <v>125.75999999999999</v>
      </c>
      <c r="E1855" s="12" t="str">
        <f>VLOOKUP(C1855,inf!$A$2:$B$7,2,FALSE)</f>
        <v>31 to 60</v>
      </c>
      <c r="F1855" s="12" t="str">
        <f t="shared" si="29"/>
        <v>08/30/2017</v>
      </c>
      <c r="G1855" t="str">
        <f>VLOOKUP(A1855,inf!$D$2:$E$76,2,FALSE)</f>
        <v>Target</v>
      </c>
    </row>
    <row r="1856" spans="1:7" x14ac:dyDescent="0.25">
      <c r="A1856" t="s">
        <v>8</v>
      </c>
      <c r="B1856" s="1">
        <v>42977</v>
      </c>
      <c r="C1856" t="s">
        <v>58</v>
      </c>
      <c r="D1856">
        <v>1864.27</v>
      </c>
      <c r="E1856" s="12" t="str">
        <f>VLOOKUP(C1856,inf!$A$2:$B$7,2,FALSE)</f>
        <v>61 to 90</v>
      </c>
      <c r="F1856" s="12" t="str">
        <f t="shared" si="29"/>
        <v>08/30/2017</v>
      </c>
      <c r="G1856" t="str">
        <f>VLOOKUP(A1856,inf!$D$2:$E$76,2,FALSE)</f>
        <v>Target</v>
      </c>
    </row>
    <row r="1857" spans="1:7" x14ac:dyDescent="0.25">
      <c r="A1857" t="s">
        <v>8</v>
      </c>
      <c r="B1857" s="1">
        <v>42977</v>
      </c>
      <c r="C1857" t="s">
        <v>59</v>
      </c>
      <c r="D1857">
        <v>219.66</v>
      </c>
      <c r="E1857" s="12" t="str">
        <f>VLOOKUP(C1857,inf!$A$2:$B$7,2,FALSE)</f>
        <v>Over 90</v>
      </c>
      <c r="F1857" s="12" t="str">
        <f t="shared" si="29"/>
        <v>08/30/2017</v>
      </c>
      <c r="G1857" t="str">
        <f>VLOOKUP(A1857,inf!$D$2:$E$76,2,FALSE)</f>
        <v>Target</v>
      </c>
    </row>
    <row r="1858" spans="1:7" x14ac:dyDescent="0.25">
      <c r="A1858" t="s">
        <v>8</v>
      </c>
      <c r="B1858" s="1">
        <v>42977</v>
      </c>
      <c r="C1858" t="s">
        <v>60</v>
      </c>
      <c r="D1858">
        <v>20705.769999999997</v>
      </c>
      <c r="E1858" s="12" t="str">
        <f>VLOOKUP(C1858,inf!$A$2:$B$7,2,FALSE)</f>
        <v>Over 90</v>
      </c>
      <c r="F1858" s="12" t="str">
        <f t="shared" si="29"/>
        <v>08/30/2017</v>
      </c>
      <c r="G1858" t="str">
        <f>VLOOKUP(A1858,inf!$D$2:$E$76,2,FALSE)</f>
        <v>Target</v>
      </c>
    </row>
    <row r="1859" spans="1:7" x14ac:dyDescent="0.25">
      <c r="A1859" t="s">
        <v>54</v>
      </c>
      <c r="B1859" s="1">
        <v>42977</v>
      </c>
      <c r="C1859" t="s">
        <v>55</v>
      </c>
      <c r="D1859">
        <v>1458.8300000000002</v>
      </c>
      <c r="E1859" s="12" t="str">
        <f>VLOOKUP(C1859,inf!$A$2:$B$7,2,FALSE)</f>
        <v>Current</v>
      </c>
      <c r="F1859" s="12" t="str">
        <f t="shared" ref="F1859:F1922" si="30">TEXT(B1859,"MM/DD/YYYY")</f>
        <v>08/30/2017</v>
      </c>
      <c r="G1859" t="str">
        <f>VLOOKUP(A1859,inf!$D$2:$E$76,2,FALSE)</f>
        <v>Other</v>
      </c>
    </row>
    <row r="1860" spans="1:7" x14ac:dyDescent="0.25">
      <c r="A1860" t="s">
        <v>54</v>
      </c>
      <c r="B1860" s="1">
        <v>42977</v>
      </c>
      <c r="C1860" t="s">
        <v>56</v>
      </c>
      <c r="D1860">
        <v>740.35</v>
      </c>
      <c r="E1860" s="12" t="str">
        <f>VLOOKUP(C1860,inf!$A$2:$B$7,2,FALSE)</f>
        <v>Current</v>
      </c>
      <c r="F1860" s="12" t="str">
        <f t="shared" si="30"/>
        <v>08/30/2017</v>
      </c>
      <c r="G1860" t="str">
        <f>VLOOKUP(A1860,inf!$D$2:$E$76,2,FALSE)</f>
        <v>Other</v>
      </c>
    </row>
    <row r="1861" spans="1:7" x14ac:dyDescent="0.25">
      <c r="A1861" t="s">
        <v>54</v>
      </c>
      <c r="B1861" s="1">
        <v>42977</v>
      </c>
      <c r="C1861" t="s">
        <v>57</v>
      </c>
      <c r="D1861">
        <v>686.88</v>
      </c>
      <c r="E1861" s="12" t="str">
        <f>VLOOKUP(C1861,inf!$A$2:$B$7,2,FALSE)</f>
        <v>31 to 60</v>
      </c>
      <c r="F1861" s="12" t="str">
        <f t="shared" si="30"/>
        <v>08/30/2017</v>
      </c>
      <c r="G1861" t="str">
        <f>VLOOKUP(A1861,inf!$D$2:$E$76,2,FALSE)</f>
        <v>Other</v>
      </c>
    </row>
    <row r="1862" spans="1:7" x14ac:dyDescent="0.25">
      <c r="A1862" t="s">
        <v>54</v>
      </c>
      <c r="B1862" s="1">
        <v>42977</v>
      </c>
      <c r="C1862" t="s">
        <v>58</v>
      </c>
      <c r="D1862">
        <v>114.85</v>
      </c>
      <c r="E1862" s="12" t="str">
        <f>VLOOKUP(C1862,inf!$A$2:$B$7,2,FALSE)</f>
        <v>61 to 90</v>
      </c>
      <c r="F1862" s="12" t="str">
        <f t="shared" si="30"/>
        <v>08/30/2017</v>
      </c>
      <c r="G1862" t="str">
        <f>VLOOKUP(A1862,inf!$D$2:$E$76,2,FALSE)</f>
        <v>Other</v>
      </c>
    </row>
    <row r="1863" spans="1:7" x14ac:dyDescent="0.25">
      <c r="A1863" t="s">
        <v>15</v>
      </c>
      <c r="B1863" s="1">
        <v>42977</v>
      </c>
      <c r="C1863" t="s">
        <v>55</v>
      </c>
      <c r="D1863">
        <v>2266.29</v>
      </c>
      <c r="E1863" s="12" t="str">
        <f>VLOOKUP(C1863,inf!$A$2:$B$7,2,FALSE)</f>
        <v>Current</v>
      </c>
      <c r="F1863" s="12" t="str">
        <f t="shared" si="30"/>
        <v>08/30/2017</v>
      </c>
      <c r="G1863" t="str">
        <f>VLOOKUP(A1863,inf!$D$2:$E$76,2,FALSE)</f>
        <v>Other</v>
      </c>
    </row>
    <row r="1864" spans="1:7" x14ac:dyDescent="0.25">
      <c r="A1864" t="s">
        <v>15</v>
      </c>
      <c r="B1864" s="1">
        <v>42977</v>
      </c>
      <c r="C1864" t="s">
        <v>56</v>
      </c>
      <c r="D1864">
        <v>291.60000000000002</v>
      </c>
      <c r="E1864" s="12" t="str">
        <f>VLOOKUP(C1864,inf!$A$2:$B$7,2,FALSE)</f>
        <v>Current</v>
      </c>
      <c r="F1864" s="12" t="str">
        <f t="shared" si="30"/>
        <v>08/30/2017</v>
      </c>
      <c r="G1864" t="str">
        <f>VLOOKUP(A1864,inf!$D$2:$E$76,2,FALSE)</f>
        <v>Other</v>
      </c>
    </row>
    <row r="1865" spans="1:7" x14ac:dyDescent="0.25">
      <c r="A1865" t="s">
        <v>15</v>
      </c>
      <c r="B1865" s="1">
        <v>42977</v>
      </c>
      <c r="C1865" t="s">
        <v>60</v>
      </c>
      <c r="D1865">
        <v>126.05</v>
      </c>
      <c r="E1865" s="12" t="str">
        <f>VLOOKUP(C1865,inf!$A$2:$B$7,2,FALSE)</f>
        <v>Over 90</v>
      </c>
      <c r="F1865" s="12" t="str">
        <f t="shared" si="30"/>
        <v>08/30/2017</v>
      </c>
      <c r="G1865" t="str">
        <f>VLOOKUP(A1865,inf!$D$2:$E$76,2,FALSE)</f>
        <v>Other</v>
      </c>
    </row>
    <row r="1866" spans="1:7" x14ac:dyDescent="0.25">
      <c r="A1866" t="s">
        <v>61</v>
      </c>
      <c r="B1866" s="1">
        <v>42984</v>
      </c>
      <c r="C1866" t="s">
        <v>55</v>
      </c>
      <c r="D1866">
        <v>295.32</v>
      </c>
      <c r="E1866" s="12" t="str">
        <f>VLOOKUP(C1866,inf!$A$2:$B$7,2,FALSE)</f>
        <v>Current</v>
      </c>
      <c r="F1866" s="12" t="str">
        <f t="shared" si="30"/>
        <v>09/06/2017</v>
      </c>
      <c r="G1866" t="str">
        <f>VLOOKUP(A1866,inf!$D$2:$E$76,2,FALSE)</f>
        <v>Other</v>
      </c>
    </row>
    <row r="1867" spans="1:7" x14ac:dyDescent="0.25">
      <c r="A1867" t="s">
        <v>4</v>
      </c>
      <c r="B1867" s="1">
        <v>42984</v>
      </c>
      <c r="C1867" t="s">
        <v>55</v>
      </c>
      <c r="D1867">
        <v>1318.79</v>
      </c>
      <c r="E1867" s="12" t="str">
        <f>VLOOKUP(C1867,inf!$A$2:$B$7,2,FALSE)</f>
        <v>Current</v>
      </c>
      <c r="F1867" s="12" t="str">
        <f t="shared" si="30"/>
        <v>09/06/2017</v>
      </c>
      <c r="G1867" t="str">
        <f>VLOOKUP(A1867,inf!$D$2:$E$76,2,FALSE)</f>
        <v>Other</v>
      </c>
    </row>
    <row r="1868" spans="1:7" x14ac:dyDescent="0.25">
      <c r="A1868" t="s">
        <v>26</v>
      </c>
      <c r="B1868" s="1">
        <v>42984</v>
      </c>
      <c r="C1868" t="s">
        <v>60</v>
      </c>
      <c r="D1868">
        <v>1380.77</v>
      </c>
      <c r="E1868" s="12" t="str">
        <f>VLOOKUP(C1868,inf!$A$2:$B$7,2,FALSE)</f>
        <v>Over 90</v>
      </c>
      <c r="F1868" s="12" t="str">
        <f t="shared" si="30"/>
        <v>09/06/2017</v>
      </c>
      <c r="G1868" t="str">
        <f>VLOOKUP(A1868,inf!$D$2:$E$76,2,FALSE)</f>
        <v>Other</v>
      </c>
    </row>
    <row r="1869" spans="1:7" x14ac:dyDescent="0.25">
      <c r="A1869" t="s">
        <v>2</v>
      </c>
      <c r="B1869" s="1">
        <v>42984</v>
      </c>
      <c r="C1869" t="s">
        <v>60</v>
      </c>
      <c r="D1869">
        <v>3717.8600000000006</v>
      </c>
      <c r="E1869" s="12" t="str">
        <f>VLOOKUP(C1869,inf!$A$2:$B$7,2,FALSE)</f>
        <v>Over 90</v>
      </c>
      <c r="F1869" s="12" t="str">
        <f t="shared" si="30"/>
        <v>09/06/2017</v>
      </c>
      <c r="G1869" t="str">
        <f>VLOOKUP(A1869,inf!$D$2:$E$76,2,FALSE)</f>
        <v>Other</v>
      </c>
    </row>
    <row r="1870" spans="1:7" x14ac:dyDescent="0.25">
      <c r="A1870" t="s">
        <v>32</v>
      </c>
      <c r="B1870" s="1">
        <v>42984</v>
      </c>
      <c r="C1870" t="s">
        <v>58</v>
      </c>
      <c r="D1870">
        <v>424.53000000000003</v>
      </c>
      <c r="E1870" s="12" t="str">
        <f>VLOOKUP(C1870,inf!$A$2:$B$7,2,FALSE)</f>
        <v>61 to 90</v>
      </c>
      <c r="F1870" s="12" t="str">
        <f t="shared" si="30"/>
        <v>09/06/2017</v>
      </c>
      <c r="G1870" t="str">
        <f>VLOOKUP(A1870,inf!$D$2:$E$76,2,FALSE)</f>
        <v>Other</v>
      </c>
    </row>
    <row r="1871" spans="1:7" x14ac:dyDescent="0.25">
      <c r="A1871" t="s">
        <v>19</v>
      </c>
      <c r="B1871" s="1">
        <v>42984</v>
      </c>
      <c r="C1871" t="s">
        <v>57</v>
      </c>
      <c r="D1871">
        <v>258.41000000000003</v>
      </c>
      <c r="E1871" s="12" t="str">
        <f>VLOOKUP(C1871,inf!$A$2:$B$7,2,FALSE)</f>
        <v>31 to 60</v>
      </c>
      <c r="F1871" s="12" t="str">
        <f t="shared" si="30"/>
        <v>09/06/2017</v>
      </c>
      <c r="G1871" t="str">
        <f>VLOOKUP(A1871,inf!$D$2:$E$76,2,FALSE)</f>
        <v>Other</v>
      </c>
    </row>
    <row r="1872" spans="1:7" x14ac:dyDescent="0.25">
      <c r="A1872" t="s">
        <v>25</v>
      </c>
      <c r="B1872" s="1">
        <v>42984</v>
      </c>
      <c r="C1872" t="s">
        <v>55</v>
      </c>
      <c r="D1872">
        <v>555.83999999999992</v>
      </c>
      <c r="E1872" s="12" t="str">
        <f>VLOOKUP(C1872,inf!$A$2:$B$7,2,FALSE)</f>
        <v>Current</v>
      </c>
      <c r="F1872" s="12" t="str">
        <f t="shared" si="30"/>
        <v>09/06/2017</v>
      </c>
      <c r="G1872" t="str">
        <f>VLOOKUP(A1872,inf!$D$2:$E$76,2,FALSE)</f>
        <v>Other</v>
      </c>
    </row>
    <row r="1873" spans="1:7" x14ac:dyDescent="0.25">
      <c r="A1873" t="s">
        <v>25</v>
      </c>
      <c r="B1873" s="1">
        <v>42984</v>
      </c>
      <c r="C1873" t="s">
        <v>57</v>
      </c>
      <c r="D1873">
        <v>587.97</v>
      </c>
      <c r="E1873" s="12" t="str">
        <f>VLOOKUP(C1873,inf!$A$2:$B$7,2,FALSE)</f>
        <v>31 to 60</v>
      </c>
      <c r="F1873" s="12" t="str">
        <f t="shared" si="30"/>
        <v>09/06/2017</v>
      </c>
      <c r="G1873" t="str">
        <f>VLOOKUP(A1873,inf!$D$2:$E$76,2,FALSE)</f>
        <v>Other</v>
      </c>
    </row>
    <row r="1874" spans="1:7" x14ac:dyDescent="0.25">
      <c r="A1874" t="s">
        <v>31</v>
      </c>
      <c r="B1874" s="1">
        <v>42984</v>
      </c>
      <c r="C1874" t="s">
        <v>55</v>
      </c>
      <c r="D1874">
        <v>1306.3799999999999</v>
      </c>
      <c r="E1874" s="12" t="str">
        <f>VLOOKUP(C1874,inf!$A$2:$B$7,2,FALSE)</f>
        <v>Current</v>
      </c>
      <c r="F1874" s="12" t="str">
        <f t="shared" si="30"/>
        <v>09/06/2017</v>
      </c>
      <c r="G1874" t="str">
        <f>VLOOKUP(A1874,inf!$D$2:$E$76,2,FALSE)</f>
        <v>Other</v>
      </c>
    </row>
    <row r="1875" spans="1:7" x14ac:dyDescent="0.25">
      <c r="A1875" t="s">
        <v>31</v>
      </c>
      <c r="B1875" s="1">
        <v>42984</v>
      </c>
      <c r="C1875" t="s">
        <v>56</v>
      </c>
      <c r="D1875">
        <v>296.71000000000004</v>
      </c>
      <c r="E1875" s="12" t="str">
        <f>VLOOKUP(C1875,inf!$A$2:$B$7,2,FALSE)</f>
        <v>Current</v>
      </c>
      <c r="F1875" s="12" t="str">
        <f t="shared" si="30"/>
        <v>09/06/2017</v>
      </c>
      <c r="G1875" t="str">
        <f>VLOOKUP(A1875,inf!$D$2:$E$76,2,FALSE)</f>
        <v>Other</v>
      </c>
    </row>
    <row r="1876" spans="1:7" x14ac:dyDescent="0.25">
      <c r="A1876" t="s">
        <v>24</v>
      </c>
      <c r="B1876" s="1">
        <v>42984</v>
      </c>
      <c r="C1876" t="s">
        <v>55</v>
      </c>
      <c r="D1876">
        <v>143.56</v>
      </c>
      <c r="E1876" s="12" t="str">
        <f>VLOOKUP(C1876,inf!$A$2:$B$7,2,FALSE)</f>
        <v>Current</v>
      </c>
      <c r="F1876" s="12" t="str">
        <f t="shared" si="30"/>
        <v>09/06/2017</v>
      </c>
      <c r="G1876" t="str">
        <f>VLOOKUP(A1876,inf!$D$2:$E$76,2,FALSE)</f>
        <v>Other</v>
      </c>
    </row>
    <row r="1877" spans="1:7" x14ac:dyDescent="0.25">
      <c r="A1877" t="s">
        <v>18</v>
      </c>
      <c r="B1877" s="1">
        <v>42984</v>
      </c>
      <c r="C1877" t="s">
        <v>55</v>
      </c>
      <c r="D1877">
        <v>143.56</v>
      </c>
      <c r="E1877" s="12" t="str">
        <f>VLOOKUP(C1877,inf!$A$2:$B$7,2,FALSE)</f>
        <v>Current</v>
      </c>
      <c r="F1877" s="12" t="str">
        <f t="shared" si="30"/>
        <v>09/06/2017</v>
      </c>
      <c r="G1877" t="str">
        <f>VLOOKUP(A1877,inf!$D$2:$E$76,2,FALSE)</f>
        <v>Other</v>
      </c>
    </row>
    <row r="1878" spans="1:7" x14ac:dyDescent="0.25">
      <c r="A1878" t="s">
        <v>18</v>
      </c>
      <c r="B1878" s="1">
        <v>42984</v>
      </c>
      <c r="C1878" t="s">
        <v>58</v>
      </c>
      <c r="D1878">
        <v>1320.39</v>
      </c>
      <c r="E1878" s="12" t="str">
        <f>VLOOKUP(C1878,inf!$A$2:$B$7,2,FALSE)</f>
        <v>61 to 90</v>
      </c>
      <c r="F1878" s="12" t="str">
        <f t="shared" si="30"/>
        <v>09/06/2017</v>
      </c>
      <c r="G1878" t="str">
        <f>VLOOKUP(A1878,inf!$D$2:$E$76,2,FALSE)</f>
        <v>Other</v>
      </c>
    </row>
    <row r="1879" spans="1:7" x14ac:dyDescent="0.25">
      <c r="A1879" t="s">
        <v>27</v>
      </c>
      <c r="B1879" s="1">
        <v>42984</v>
      </c>
      <c r="C1879" t="s">
        <v>55</v>
      </c>
      <c r="D1879">
        <v>578.69000000000005</v>
      </c>
      <c r="E1879" s="12" t="str">
        <f>VLOOKUP(C1879,inf!$A$2:$B$7,2,FALSE)</f>
        <v>Current</v>
      </c>
      <c r="F1879" s="12" t="str">
        <f t="shared" si="30"/>
        <v>09/06/2017</v>
      </c>
      <c r="G1879" t="str">
        <f>VLOOKUP(A1879,inf!$D$2:$E$76,2,FALSE)</f>
        <v>Other</v>
      </c>
    </row>
    <row r="1880" spans="1:7" x14ac:dyDescent="0.25">
      <c r="A1880" t="s">
        <v>62</v>
      </c>
      <c r="B1880" s="1">
        <v>42984</v>
      </c>
      <c r="C1880" t="s">
        <v>55</v>
      </c>
      <c r="D1880">
        <v>241.51</v>
      </c>
      <c r="E1880" s="12" t="str">
        <f>VLOOKUP(C1880,inf!$A$2:$B$7,2,FALSE)</f>
        <v>Current</v>
      </c>
      <c r="F1880" s="12" t="str">
        <f t="shared" si="30"/>
        <v>09/06/2017</v>
      </c>
      <c r="G1880" t="str">
        <f>VLOOKUP(A1880,inf!$D$2:$E$76,2,FALSE)</f>
        <v>Other</v>
      </c>
    </row>
    <row r="1881" spans="1:7" x14ac:dyDescent="0.25">
      <c r="A1881" t="s">
        <v>53</v>
      </c>
      <c r="B1881" s="1">
        <v>42984</v>
      </c>
      <c r="C1881" t="s">
        <v>55</v>
      </c>
      <c r="D1881">
        <v>330.29</v>
      </c>
      <c r="E1881" s="12" t="str">
        <f>VLOOKUP(C1881,inf!$A$2:$B$7,2,FALSE)</f>
        <v>Current</v>
      </c>
      <c r="F1881" s="12" t="str">
        <f t="shared" si="30"/>
        <v>09/06/2017</v>
      </c>
      <c r="G1881" t="str">
        <f>VLOOKUP(A1881,inf!$D$2:$E$76,2,FALSE)</f>
        <v>Other</v>
      </c>
    </row>
    <row r="1882" spans="1:7" x14ac:dyDescent="0.25">
      <c r="A1882" t="s">
        <v>3</v>
      </c>
      <c r="B1882" s="1">
        <v>42984</v>
      </c>
      <c r="C1882" t="s">
        <v>55</v>
      </c>
      <c r="D1882">
        <v>2031.3700000000001</v>
      </c>
      <c r="E1882" s="12" t="str">
        <f>VLOOKUP(C1882,inf!$A$2:$B$7,2,FALSE)</f>
        <v>Current</v>
      </c>
      <c r="F1882" s="12" t="str">
        <f t="shared" si="30"/>
        <v>09/06/2017</v>
      </c>
      <c r="G1882" t="str">
        <f>VLOOKUP(A1882,inf!$D$2:$E$76,2,FALSE)</f>
        <v>Other</v>
      </c>
    </row>
    <row r="1883" spans="1:7" x14ac:dyDescent="0.25">
      <c r="A1883" t="s">
        <v>30</v>
      </c>
      <c r="B1883" s="1">
        <v>42984</v>
      </c>
      <c r="C1883" t="s">
        <v>55</v>
      </c>
      <c r="D1883">
        <v>1664.5900000000001</v>
      </c>
      <c r="E1883" s="12" t="str">
        <f>VLOOKUP(C1883,inf!$A$2:$B$7,2,FALSE)</f>
        <v>Current</v>
      </c>
      <c r="F1883" s="12" t="str">
        <f t="shared" si="30"/>
        <v>09/06/2017</v>
      </c>
      <c r="G1883" t="str">
        <f>VLOOKUP(A1883,inf!$D$2:$E$76,2,FALSE)</f>
        <v>Other</v>
      </c>
    </row>
    <row r="1884" spans="1:7" x14ac:dyDescent="0.25">
      <c r="A1884" t="s">
        <v>30</v>
      </c>
      <c r="B1884" s="1">
        <v>42984</v>
      </c>
      <c r="C1884" t="s">
        <v>56</v>
      </c>
      <c r="D1884">
        <v>1608.51</v>
      </c>
      <c r="E1884" s="12" t="str">
        <f>VLOOKUP(C1884,inf!$A$2:$B$7,2,FALSE)</f>
        <v>Current</v>
      </c>
      <c r="F1884" s="12" t="str">
        <f t="shared" si="30"/>
        <v>09/06/2017</v>
      </c>
      <c r="G1884" t="str">
        <f>VLOOKUP(A1884,inf!$D$2:$E$76,2,FALSE)</f>
        <v>Other</v>
      </c>
    </row>
    <row r="1885" spans="1:7" x14ac:dyDescent="0.25">
      <c r="A1885" t="s">
        <v>30</v>
      </c>
      <c r="B1885" s="1">
        <v>42984</v>
      </c>
      <c r="C1885" t="s">
        <v>57</v>
      </c>
      <c r="D1885">
        <v>1739.68</v>
      </c>
      <c r="E1885" s="12" t="str">
        <f>VLOOKUP(C1885,inf!$A$2:$B$7,2,FALSE)</f>
        <v>31 to 60</v>
      </c>
      <c r="F1885" s="12" t="str">
        <f t="shared" si="30"/>
        <v>09/06/2017</v>
      </c>
      <c r="G1885" t="str">
        <f>VLOOKUP(A1885,inf!$D$2:$E$76,2,FALSE)</f>
        <v>Other</v>
      </c>
    </row>
    <row r="1886" spans="1:7" x14ac:dyDescent="0.25">
      <c r="A1886" t="s">
        <v>30</v>
      </c>
      <c r="B1886" s="1">
        <v>42984</v>
      </c>
      <c r="C1886" t="s">
        <v>58</v>
      </c>
      <c r="D1886">
        <v>124.33</v>
      </c>
      <c r="E1886" s="12" t="str">
        <f>VLOOKUP(C1886,inf!$A$2:$B$7,2,FALSE)</f>
        <v>61 to 90</v>
      </c>
      <c r="F1886" s="12" t="str">
        <f t="shared" si="30"/>
        <v>09/06/2017</v>
      </c>
      <c r="G1886" t="str">
        <f>VLOOKUP(A1886,inf!$D$2:$E$76,2,FALSE)</f>
        <v>Other</v>
      </c>
    </row>
    <row r="1887" spans="1:7" x14ac:dyDescent="0.25">
      <c r="A1887" t="s">
        <v>63</v>
      </c>
      <c r="B1887" s="1">
        <v>42984</v>
      </c>
      <c r="C1887" t="s">
        <v>55</v>
      </c>
      <c r="D1887">
        <v>170.49</v>
      </c>
      <c r="E1887" s="12" t="str">
        <f>VLOOKUP(C1887,inf!$A$2:$B$7,2,FALSE)</f>
        <v>Current</v>
      </c>
      <c r="F1887" s="12" t="str">
        <f t="shared" si="30"/>
        <v>09/06/2017</v>
      </c>
      <c r="G1887" t="str">
        <f>VLOOKUP(A1887,inf!$D$2:$E$76,2,FALSE)</f>
        <v>Other</v>
      </c>
    </row>
    <row r="1888" spans="1:7" x14ac:dyDescent="0.25">
      <c r="A1888" t="s">
        <v>12</v>
      </c>
      <c r="B1888" s="1">
        <v>42984</v>
      </c>
      <c r="C1888" t="s">
        <v>55</v>
      </c>
      <c r="D1888">
        <v>2484.2399999999998</v>
      </c>
      <c r="E1888" s="12" t="str">
        <f>VLOOKUP(C1888,inf!$A$2:$B$7,2,FALSE)</f>
        <v>Current</v>
      </c>
      <c r="F1888" s="12" t="str">
        <f t="shared" si="30"/>
        <v>09/06/2017</v>
      </c>
      <c r="G1888" t="str">
        <f>VLOOKUP(A1888,inf!$D$2:$E$76,2,FALSE)</f>
        <v>Other</v>
      </c>
    </row>
    <row r="1889" spans="1:7" x14ac:dyDescent="0.25">
      <c r="A1889" t="s">
        <v>12</v>
      </c>
      <c r="B1889" s="1">
        <v>42984</v>
      </c>
      <c r="C1889" t="s">
        <v>57</v>
      </c>
      <c r="D1889">
        <v>229.94</v>
      </c>
      <c r="E1889" s="12" t="str">
        <f>VLOOKUP(C1889,inf!$A$2:$B$7,2,FALSE)</f>
        <v>31 to 60</v>
      </c>
      <c r="F1889" s="12" t="str">
        <f t="shared" si="30"/>
        <v>09/06/2017</v>
      </c>
      <c r="G1889" t="str">
        <f>VLOOKUP(A1889,inf!$D$2:$E$76,2,FALSE)</f>
        <v>Other</v>
      </c>
    </row>
    <row r="1890" spans="1:7" x14ac:dyDescent="0.25">
      <c r="A1890" t="s">
        <v>12</v>
      </c>
      <c r="B1890" s="1">
        <v>42984</v>
      </c>
      <c r="C1890" t="s">
        <v>58</v>
      </c>
      <c r="D1890">
        <v>165</v>
      </c>
      <c r="E1890" s="12" t="str">
        <f>VLOOKUP(C1890,inf!$A$2:$B$7,2,FALSE)</f>
        <v>61 to 90</v>
      </c>
      <c r="F1890" s="12" t="str">
        <f t="shared" si="30"/>
        <v>09/06/2017</v>
      </c>
      <c r="G1890" t="str">
        <f>VLOOKUP(A1890,inf!$D$2:$E$76,2,FALSE)</f>
        <v>Other</v>
      </c>
    </row>
    <row r="1891" spans="1:7" x14ac:dyDescent="0.25">
      <c r="A1891" t="s">
        <v>73</v>
      </c>
      <c r="B1891" s="1">
        <v>42984</v>
      </c>
      <c r="C1891" t="s">
        <v>55</v>
      </c>
      <c r="D1891">
        <v>254.21</v>
      </c>
      <c r="E1891" s="12" t="str">
        <f>VLOOKUP(C1891,inf!$A$2:$B$7,2,FALSE)</f>
        <v>Current</v>
      </c>
      <c r="F1891" s="12" t="str">
        <f t="shared" si="30"/>
        <v>09/06/2017</v>
      </c>
      <c r="G1891" t="str">
        <f>VLOOKUP(A1891,inf!$D$2:$E$76,2,FALSE)</f>
        <v>Other</v>
      </c>
    </row>
    <row r="1892" spans="1:7" x14ac:dyDescent="0.25">
      <c r="A1892" t="s">
        <v>7</v>
      </c>
      <c r="B1892" s="1">
        <v>42984</v>
      </c>
      <c r="C1892" t="s">
        <v>55</v>
      </c>
      <c r="D1892">
        <v>69816.979999999967</v>
      </c>
      <c r="E1892" s="12" t="str">
        <f>VLOOKUP(C1892,inf!$A$2:$B$7,2,FALSE)</f>
        <v>Current</v>
      </c>
      <c r="F1892" s="12" t="str">
        <f t="shared" si="30"/>
        <v>09/06/2017</v>
      </c>
      <c r="G1892" t="str">
        <f>VLOOKUP(A1892,inf!$D$2:$E$76,2,FALSE)</f>
        <v>SAFEWAY</v>
      </c>
    </row>
    <row r="1893" spans="1:7" x14ac:dyDescent="0.25">
      <c r="A1893" t="s">
        <v>7</v>
      </c>
      <c r="B1893" s="1">
        <v>42984</v>
      </c>
      <c r="C1893" t="s">
        <v>56</v>
      </c>
      <c r="D1893">
        <v>18871.130000000005</v>
      </c>
      <c r="E1893" s="12" t="str">
        <f>VLOOKUP(C1893,inf!$A$2:$B$7,2,FALSE)</f>
        <v>Current</v>
      </c>
      <c r="F1893" s="12" t="str">
        <f t="shared" si="30"/>
        <v>09/06/2017</v>
      </c>
      <c r="G1893" t="str">
        <f>VLOOKUP(A1893,inf!$D$2:$E$76,2,FALSE)</f>
        <v>SAFEWAY</v>
      </c>
    </row>
    <row r="1894" spans="1:7" x14ac:dyDescent="0.25">
      <c r="A1894" t="s">
        <v>7</v>
      </c>
      <c r="B1894" s="1">
        <v>42984</v>
      </c>
      <c r="C1894" t="s">
        <v>57</v>
      </c>
      <c r="D1894">
        <v>259.38</v>
      </c>
      <c r="E1894" s="12" t="str">
        <f>VLOOKUP(C1894,inf!$A$2:$B$7,2,FALSE)</f>
        <v>31 to 60</v>
      </c>
      <c r="F1894" s="12" t="str">
        <f t="shared" si="30"/>
        <v>09/06/2017</v>
      </c>
      <c r="G1894" t="str">
        <f>VLOOKUP(A1894,inf!$D$2:$E$76,2,FALSE)</f>
        <v>SAFEWAY</v>
      </c>
    </row>
    <row r="1895" spans="1:7" x14ac:dyDescent="0.25">
      <c r="A1895" t="s">
        <v>7</v>
      </c>
      <c r="B1895" s="1">
        <v>42984</v>
      </c>
      <c r="C1895" t="s">
        <v>58</v>
      </c>
      <c r="D1895">
        <v>1272.1400000000001</v>
      </c>
      <c r="E1895" s="12" t="str">
        <f>VLOOKUP(C1895,inf!$A$2:$B$7,2,FALSE)</f>
        <v>61 to 90</v>
      </c>
      <c r="F1895" s="12" t="str">
        <f t="shared" si="30"/>
        <v>09/06/2017</v>
      </c>
      <c r="G1895" t="str">
        <f>VLOOKUP(A1895,inf!$D$2:$E$76,2,FALSE)</f>
        <v>SAFEWAY</v>
      </c>
    </row>
    <row r="1896" spans="1:7" x14ac:dyDescent="0.25">
      <c r="A1896" t="s">
        <v>7</v>
      </c>
      <c r="B1896" s="1">
        <v>42984</v>
      </c>
      <c r="C1896" t="s">
        <v>59</v>
      </c>
      <c r="D1896">
        <v>218.89</v>
      </c>
      <c r="E1896" s="12" t="str">
        <f>VLOOKUP(C1896,inf!$A$2:$B$7,2,FALSE)</f>
        <v>Over 90</v>
      </c>
      <c r="F1896" s="12" t="str">
        <f t="shared" si="30"/>
        <v>09/06/2017</v>
      </c>
      <c r="G1896" t="str">
        <f>VLOOKUP(A1896,inf!$D$2:$E$76,2,FALSE)</f>
        <v>SAFEWAY</v>
      </c>
    </row>
    <row r="1897" spans="1:7" x14ac:dyDescent="0.25">
      <c r="A1897" t="s">
        <v>7</v>
      </c>
      <c r="B1897" s="1">
        <v>42984</v>
      </c>
      <c r="C1897" t="s">
        <v>60</v>
      </c>
      <c r="D1897">
        <v>344.56</v>
      </c>
      <c r="E1897" s="12" t="str">
        <f>VLOOKUP(C1897,inf!$A$2:$B$7,2,FALSE)</f>
        <v>Over 90</v>
      </c>
      <c r="F1897" s="12" t="str">
        <f t="shared" si="30"/>
        <v>09/06/2017</v>
      </c>
      <c r="G1897" t="str">
        <f>VLOOKUP(A1897,inf!$D$2:$E$76,2,FALSE)</f>
        <v>SAFEWAY</v>
      </c>
    </row>
    <row r="1898" spans="1:7" x14ac:dyDescent="0.25">
      <c r="A1898" t="s">
        <v>74</v>
      </c>
      <c r="B1898" s="1">
        <v>42984</v>
      </c>
      <c r="C1898" t="s">
        <v>55</v>
      </c>
      <c r="D1898">
        <v>742.26</v>
      </c>
      <c r="E1898" s="12" t="str">
        <f>VLOOKUP(C1898,inf!$A$2:$B$7,2,FALSE)</f>
        <v>Current</v>
      </c>
      <c r="F1898" s="12" t="str">
        <f t="shared" si="30"/>
        <v>09/06/2017</v>
      </c>
      <c r="G1898" t="str">
        <f>VLOOKUP(A1898,inf!$D$2:$E$76,2,FALSE)</f>
        <v>Other</v>
      </c>
    </row>
    <row r="1899" spans="1:7" x14ac:dyDescent="0.25">
      <c r="A1899" t="s">
        <v>5</v>
      </c>
      <c r="B1899" s="1">
        <v>42984</v>
      </c>
      <c r="C1899" t="s">
        <v>55</v>
      </c>
      <c r="D1899">
        <v>4841478.3799998835</v>
      </c>
      <c r="E1899" s="12" t="str">
        <f>VLOOKUP(C1899,inf!$A$2:$B$7,2,FALSE)</f>
        <v>Current</v>
      </c>
      <c r="F1899" s="12" t="str">
        <f t="shared" si="30"/>
        <v>09/06/2017</v>
      </c>
      <c r="G1899" t="str">
        <f>VLOOKUP(A1899,inf!$D$2:$E$76,2,FALSE)</f>
        <v>SBUX</v>
      </c>
    </row>
    <row r="1900" spans="1:7" x14ac:dyDescent="0.25">
      <c r="A1900" t="s">
        <v>5</v>
      </c>
      <c r="B1900" s="1">
        <v>42984</v>
      </c>
      <c r="C1900" t="s">
        <v>56</v>
      </c>
      <c r="D1900">
        <v>8241.3399999999947</v>
      </c>
      <c r="E1900" s="12" t="str">
        <f>VLOOKUP(C1900,inf!$A$2:$B$7,2,FALSE)</f>
        <v>Current</v>
      </c>
      <c r="F1900" s="12" t="str">
        <f t="shared" si="30"/>
        <v>09/06/2017</v>
      </c>
      <c r="G1900" t="str">
        <f>VLOOKUP(A1900,inf!$D$2:$E$76,2,FALSE)</f>
        <v>SBUX</v>
      </c>
    </row>
    <row r="1901" spans="1:7" x14ac:dyDescent="0.25">
      <c r="A1901" t="s">
        <v>5</v>
      </c>
      <c r="B1901" s="1">
        <v>42984</v>
      </c>
      <c r="C1901" t="s">
        <v>57</v>
      </c>
      <c r="D1901">
        <v>18908.8</v>
      </c>
      <c r="E1901" s="12" t="str">
        <f>VLOOKUP(C1901,inf!$A$2:$B$7,2,FALSE)</f>
        <v>31 to 60</v>
      </c>
      <c r="F1901" s="12" t="str">
        <f t="shared" si="30"/>
        <v>09/06/2017</v>
      </c>
      <c r="G1901" t="str">
        <f>VLOOKUP(A1901,inf!$D$2:$E$76,2,FALSE)</f>
        <v>SBUX</v>
      </c>
    </row>
    <row r="1902" spans="1:7" x14ac:dyDescent="0.25">
      <c r="A1902" t="s">
        <v>5</v>
      </c>
      <c r="B1902" s="1">
        <v>42984</v>
      </c>
      <c r="C1902" t="s">
        <v>58</v>
      </c>
      <c r="D1902">
        <v>9486.7699999999968</v>
      </c>
      <c r="E1902" s="12" t="str">
        <f>VLOOKUP(C1902,inf!$A$2:$B$7,2,FALSE)</f>
        <v>61 to 90</v>
      </c>
      <c r="F1902" s="12" t="str">
        <f t="shared" si="30"/>
        <v>09/06/2017</v>
      </c>
      <c r="G1902" t="str">
        <f>VLOOKUP(A1902,inf!$D$2:$E$76,2,FALSE)</f>
        <v>SBUX</v>
      </c>
    </row>
    <row r="1903" spans="1:7" x14ac:dyDescent="0.25">
      <c r="A1903" t="s">
        <v>5</v>
      </c>
      <c r="B1903" s="1">
        <v>42984</v>
      </c>
      <c r="C1903" t="s">
        <v>59</v>
      </c>
      <c r="D1903">
        <v>14779.460000000001</v>
      </c>
      <c r="E1903" s="12" t="str">
        <f>VLOOKUP(C1903,inf!$A$2:$B$7,2,FALSE)</f>
        <v>Over 90</v>
      </c>
      <c r="F1903" s="12" t="str">
        <f t="shared" si="30"/>
        <v>09/06/2017</v>
      </c>
      <c r="G1903" t="str">
        <f>VLOOKUP(A1903,inf!$D$2:$E$76,2,FALSE)</f>
        <v>SBUX</v>
      </c>
    </row>
    <row r="1904" spans="1:7" x14ac:dyDescent="0.25">
      <c r="A1904" t="s">
        <v>5</v>
      </c>
      <c r="B1904" s="1">
        <v>42984</v>
      </c>
      <c r="C1904" t="s">
        <v>60</v>
      </c>
      <c r="D1904">
        <v>75809.86</v>
      </c>
      <c r="E1904" s="12" t="str">
        <f>VLOOKUP(C1904,inf!$A$2:$B$7,2,FALSE)</f>
        <v>Over 90</v>
      </c>
      <c r="F1904" s="12" t="str">
        <f t="shared" si="30"/>
        <v>09/06/2017</v>
      </c>
      <c r="G1904" t="str">
        <f>VLOOKUP(A1904,inf!$D$2:$E$76,2,FALSE)</f>
        <v>SBUX</v>
      </c>
    </row>
    <row r="1905" spans="1:7" x14ac:dyDescent="0.25">
      <c r="A1905" t="s">
        <v>6</v>
      </c>
      <c r="B1905" s="1">
        <v>42984</v>
      </c>
      <c r="C1905" t="s">
        <v>55</v>
      </c>
      <c r="D1905">
        <v>408969.16999999894</v>
      </c>
      <c r="E1905" s="12" t="str">
        <f>VLOOKUP(C1905,inf!$A$2:$B$7,2,FALSE)</f>
        <v>Current</v>
      </c>
      <c r="F1905" s="12" t="str">
        <f t="shared" si="30"/>
        <v>09/06/2017</v>
      </c>
      <c r="G1905" t="str">
        <f>VLOOKUP(A1905,inf!$D$2:$E$76,2,FALSE)</f>
        <v>SBUX</v>
      </c>
    </row>
    <row r="1906" spans="1:7" x14ac:dyDescent="0.25">
      <c r="A1906" t="s">
        <v>6</v>
      </c>
      <c r="B1906" s="1">
        <v>42984</v>
      </c>
      <c r="C1906" t="s">
        <v>56</v>
      </c>
      <c r="D1906">
        <v>1849.9099999999999</v>
      </c>
      <c r="E1906" s="12" t="str">
        <f>VLOOKUP(C1906,inf!$A$2:$B$7,2,FALSE)</f>
        <v>Current</v>
      </c>
      <c r="F1906" s="12" t="str">
        <f t="shared" si="30"/>
        <v>09/06/2017</v>
      </c>
      <c r="G1906" t="str">
        <f>VLOOKUP(A1906,inf!$D$2:$E$76,2,FALSE)</f>
        <v>SBUX</v>
      </c>
    </row>
    <row r="1907" spans="1:7" x14ac:dyDescent="0.25">
      <c r="A1907" t="s">
        <v>6</v>
      </c>
      <c r="B1907" s="1">
        <v>42984</v>
      </c>
      <c r="C1907" t="s">
        <v>57</v>
      </c>
      <c r="D1907">
        <v>790.26</v>
      </c>
      <c r="E1907" s="12" t="str">
        <f>VLOOKUP(C1907,inf!$A$2:$B$7,2,FALSE)</f>
        <v>31 to 60</v>
      </c>
      <c r="F1907" s="12" t="str">
        <f t="shared" si="30"/>
        <v>09/06/2017</v>
      </c>
      <c r="G1907" t="str">
        <f>VLOOKUP(A1907,inf!$D$2:$E$76,2,FALSE)</f>
        <v>SBUX</v>
      </c>
    </row>
    <row r="1908" spans="1:7" x14ac:dyDescent="0.25">
      <c r="A1908" t="s">
        <v>6</v>
      </c>
      <c r="B1908" s="1">
        <v>42984</v>
      </c>
      <c r="C1908" t="s">
        <v>58</v>
      </c>
      <c r="D1908">
        <v>75.599999999999994</v>
      </c>
      <c r="E1908" s="12" t="str">
        <f>VLOOKUP(C1908,inf!$A$2:$B$7,2,FALSE)</f>
        <v>61 to 90</v>
      </c>
      <c r="F1908" s="12" t="str">
        <f t="shared" si="30"/>
        <v>09/06/2017</v>
      </c>
      <c r="G1908" t="str">
        <f>VLOOKUP(A1908,inf!$D$2:$E$76,2,FALSE)</f>
        <v>SBUX</v>
      </c>
    </row>
    <row r="1909" spans="1:7" x14ac:dyDescent="0.25">
      <c r="A1909" t="s">
        <v>6</v>
      </c>
      <c r="B1909" s="1">
        <v>42984</v>
      </c>
      <c r="C1909" t="s">
        <v>59</v>
      </c>
      <c r="D1909">
        <v>294.62</v>
      </c>
      <c r="E1909" s="12" t="str">
        <f>VLOOKUP(C1909,inf!$A$2:$B$7,2,FALSE)</f>
        <v>Over 90</v>
      </c>
      <c r="F1909" s="12" t="str">
        <f t="shared" si="30"/>
        <v>09/06/2017</v>
      </c>
      <c r="G1909" t="str">
        <f>VLOOKUP(A1909,inf!$D$2:$E$76,2,FALSE)</f>
        <v>SBUX</v>
      </c>
    </row>
    <row r="1910" spans="1:7" x14ac:dyDescent="0.25">
      <c r="A1910" t="s">
        <v>6</v>
      </c>
      <c r="B1910" s="1">
        <v>42984</v>
      </c>
      <c r="C1910" t="s">
        <v>60</v>
      </c>
      <c r="D1910">
        <v>8319.91</v>
      </c>
      <c r="E1910" s="12" t="str">
        <f>VLOOKUP(C1910,inf!$A$2:$B$7,2,FALSE)</f>
        <v>Over 90</v>
      </c>
      <c r="F1910" s="12" t="str">
        <f t="shared" si="30"/>
        <v>09/06/2017</v>
      </c>
      <c r="G1910" t="str">
        <f>VLOOKUP(A1910,inf!$D$2:$E$76,2,FALSE)</f>
        <v>SBUX</v>
      </c>
    </row>
    <row r="1911" spans="1:7" x14ac:dyDescent="0.25">
      <c r="A1911" t="s">
        <v>49</v>
      </c>
      <c r="B1911" s="1">
        <v>42984</v>
      </c>
      <c r="C1911" t="s">
        <v>57</v>
      </c>
      <c r="D1911">
        <v>150.36000000000001</v>
      </c>
      <c r="E1911" s="12" t="str">
        <f>VLOOKUP(C1911,inf!$A$2:$B$7,2,FALSE)</f>
        <v>31 to 60</v>
      </c>
      <c r="F1911" s="12" t="str">
        <f t="shared" si="30"/>
        <v>09/06/2017</v>
      </c>
      <c r="G1911" t="str">
        <f>VLOOKUP(A1911,inf!$D$2:$E$76,2,FALSE)</f>
        <v>Other</v>
      </c>
    </row>
    <row r="1912" spans="1:7" x14ac:dyDescent="0.25">
      <c r="A1912" t="s">
        <v>48</v>
      </c>
      <c r="B1912" s="1">
        <v>42984</v>
      </c>
      <c r="C1912" t="s">
        <v>55</v>
      </c>
      <c r="D1912">
        <v>169410.33000000005</v>
      </c>
      <c r="E1912" s="12" t="str">
        <f>VLOOKUP(C1912,inf!$A$2:$B$7,2,FALSE)</f>
        <v>Current</v>
      </c>
      <c r="F1912" s="12" t="str">
        <f t="shared" si="30"/>
        <v>09/06/2017</v>
      </c>
      <c r="G1912" t="str">
        <f>VLOOKUP(A1912,inf!$D$2:$E$76,2,FALSE)</f>
        <v>Target</v>
      </c>
    </row>
    <row r="1913" spans="1:7" x14ac:dyDescent="0.25">
      <c r="A1913" t="s">
        <v>48</v>
      </c>
      <c r="B1913" s="1">
        <v>42984</v>
      </c>
      <c r="C1913" t="s">
        <v>56</v>
      </c>
      <c r="D1913">
        <v>606.35</v>
      </c>
      <c r="E1913" s="12" t="str">
        <f>VLOOKUP(C1913,inf!$A$2:$B$7,2,FALSE)</f>
        <v>Current</v>
      </c>
      <c r="F1913" s="12" t="str">
        <f t="shared" si="30"/>
        <v>09/06/2017</v>
      </c>
      <c r="G1913" t="str">
        <f>VLOOKUP(A1913,inf!$D$2:$E$76,2,FALSE)</f>
        <v>Target</v>
      </c>
    </row>
    <row r="1914" spans="1:7" x14ac:dyDescent="0.25">
      <c r="A1914" t="s">
        <v>48</v>
      </c>
      <c r="B1914" s="1">
        <v>42984</v>
      </c>
      <c r="C1914" t="s">
        <v>57</v>
      </c>
      <c r="D1914">
        <v>1399.28</v>
      </c>
      <c r="E1914" s="12" t="str">
        <f>VLOOKUP(C1914,inf!$A$2:$B$7,2,FALSE)</f>
        <v>31 to 60</v>
      </c>
      <c r="F1914" s="12" t="str">
        <f t="shared" si="30"/>
        <v>09/06/2017</v>
      </c>
      <c r="G1914" t="str">
        <f>VLOOKUP(A1914,inf!$D$2:$E$76,2,FALSE)</f>
        <v>Target</v>
      </c>
    </row>
    <row r="1915" spans="1:7" x14ac:dyDescent="0.25">
      <c r="A1915" t="s">
        <v>8</v>
      </c>
      <c r="B1915" s="1">
        <v>42984</v>
      </c>
      <c r="C1915" t="s">
        <v>55</v>
      </c>
      <c r="D1915">
        <v>310329.32000000007</v>
      </c>
      <c r="E1915" s="12" t="str">
        <f>VLOOKUP(C1915,inf!$A$2:$B$7,2,FALSE)</f>
        <v>Current</v>
      </c>
      <c r="F1915" s="12" t="str">
        <f t="shared" si="30"/>
        <v>09/06/2017</v>
      </c>
      <c r="G1915" t="str">
        <f>VLOOKUP(A1915,inf!$D$2:$E$76,2,FALSE)</f>
        <v>Target</v>
      </c>
    </row>
    <row r="1916" spans="1:7" x14ac:dyDescent="0.25">
      <c r="A1916" t="s">
        <v>8</v>
      </c>
      <c r="B1916" s="1">
        <v>42984</v>
      </c>
      <c r="C1916" t="s">
        <v>56</v>
      </c>
      <c r="D1916">
        <v>1650.2099999999998</v>
      </c>
      <c r="E1916" s="12" t="str">
        <f>VLOOKUP(C1916,inf!$A$2:$B$7,2,FALSE)</f>
        <v>Current</v>
      </c>
      <c r="F1916" s="12" t="str">
        <f t="shared" si="30"/>
        <v>09/06/2017</v>
      </c>
      <c r="G1916" t="str">
        <f>VLOOKUP(A1916,inf!$D$2:$E$76,2,FALSE)</f>
        <v>Target</v>
      </c>
    </row>
    <row r="1917" spans="1:7" x14ac:dyDescent="0.25">
      <c r="A1917" t="s">
        <v>8</v>
      </c>
      <c r="B1917" s="1">
        <v>42984</v>
      </c>
      <c r="C1917" t="s">
        <v>57</v>
      </c>
      <c r="D1917">
        <v>302.06000000000006</v>
      </c>
      <c r="E1917" s="12" t="str">
        <f>VLOOKUP(C1917,inf!$A$2:$B$7,2,FALSE)</f>
        <v>31 to 60</v>
      </c>
      <c r="F1917" s="12" t="str">
        <f t="shared" si="30"/>
        <v>09/06/2017</v>
      </c>
      <c r="G1917" t="str">
        <f>VLOOKUP(A1917,inf!$D$2:$E$76,2,FALSE)</f>
        <v>Target</v>
      </c>
    </row>
    <row r="1918" spans="1:7" x14ac:dyDescent="0.25">
      <c r="A1918" t="s">
        <v>8</v>
      </c>
      <c r="B1918" s="1">
        <v>42984</v>
      </c>
      <c r="C1918" t="s">
        <v>58</v>
      </c>
      <c r="D1918">
        <v>1784.27</v>
      </c>
      <c r="E1918" s="12" t="str">
        <f>VLOOKUP(C1918,inf!$A$2:$B$7,2,FALSE)</f>
        <v>61 to 90</v>
      </c>
      <c r="F1918" s="12" t="str">
        <f t="shared" si="30"/>
        <v>09/06/2017</v>
      </c>
      <c r="G1918" t="str">
        <f>VLOOKUP(A1918,inf!$D$2:$E$76,2,FALSE)</f>
        <v>Target</v>
      </c>
    </row>
    <row r="1919" spans="1:7" x14ac:dyDescent="0.25">
      <c r="A1919" t="s">
        <v>8</v>
      </c>
      <c r="B1919" s="1">
        <v>42984</v>
      </c>
      <c r="C1919" t="s">
        <v>59</v>
      </c>
      <c r="D1919">
        <v>299.65999999999997</v>
      </c>
      <c r="E1919" s="12" t="str">
        <f>VLOOKUP(C1919,inf!$A$2:$B$7,2,FALSE)</f>
        <v>Over 90</v>
      </c>
      <c r="F1919" s="12" t="str">
        <f t="shared" si="30"/>
        <v>09/06/2017</v>
      </c>
      <c r="G1919" t="str">
        <f>VLOOKUP(A1919,inf!$D$2:$E$76,2,FALSE)</f>
        <v>Target</v>
      </c>
    </row>
    <row r="1920" spans="1:7" x14ac:dyDescent="0.25">
      <c r="A1920" t="s">
        <v>8</v>
      </c>
      <c r="B1920" s="1">
        <v>42984</v>
      </c>
      <c r="C1920" t="s">
        <v>60</v>
      </c>
      <c r="D1920">
        <v>20705.769999999997</v>
      </c>
      <c r="E1920" s="12" t="str">
        <f>VLOOKUP(C1920,inf!$A$2:$B$7,2,FALSE)</f>
        <v>Over 90</v>
      </c>
      <c r="F1920" s="12" t="str">
        <f t="shared" si="30"/>
        <v>09/06/2017</v>
      </c>
      <c r="G1920" t="str">
        <f>VLOOKUP(A1920,inf!$D$2:$E$76,2,FALSE)</f>
        <v>Target</v>
      </c>
    </row>
    <row r="1921" spans="1:7" x14ac:dyDescent="0.25">
      <c r="A1921" t="s">
        <v>54</v>
      </c>
      <c r="B1921" s="1">
        <v>42984</v>
      </c>
      <c r="C1921" t="s">
        <v>55</v>
      </c>
      <c r="D1921">
        <v>1581.55</v>
      </c>
      <c r="E1921" s="12" t="str">
        <f>VLOOKUP(C1921,inf!$A$2:$B$7,2,FALSE)</f>
        <v>Current</v>
      </c>
      <c r="F1921" s="12" t="str">
        <f t="shared" si="30"/>
        <v>09/06/2017</v>
      </c>
      <c r="G1921" t="str">
        <f>VLOOKUP(A1921,inf!$D$2:$E$76,2,FALSE)</f>
        <v>Other</v>
      </c>
    </row>
    <row r="1922" spans="1:7" x14ac:dyDescent="0.25">
      <c r="A1922" t="s">
        <v>54</v>
      </c>
      <c r="B1922" s="1">
        <v>42984</v>
      </c>
      <c r="C1922" t="s">
        <v>56</v>
      </c>
      <c r="D1922">
        <v>740.35</v>
      </c>
      <c r="E1922" s="12" t="str">
        <f>VLOOKUP(C1922,inf!$A$2:$B$7,2,FALSE)</f>
        <v>Current</v>
      </c>
      <c r="F1922" s="12" t="str">
        <f t="shared" si="30"/>
        <v>09/06/2017</v>
      </c>
      <c r="G1922" t="str">
        <f>VLOOKUP(A1922,inf!$D$2:$E$76,2,FALSE)</f>
        <v>Other</v>
      </c>
    </row>
    <row r="1923" spans="1:7" x14ac:dyDescent="0.25">
      <c r="A1923" t="s">
        <v>54</v>
      </c>
      <c r="B1923" s="1">
        <v>42984</v>
      </c>
      <c r="C1923" t="s">
        <v>57</v>
      </c>
      <c r="D1923">
        <v>313.62</v>
      </c>
      <c r="E1923" s="12" t="str">
        <f>VLOOKUP(C1923,inf!$A$2:$B$7,2,FALSE)</f>
        <v>31 to 60</v>
      </c>
      <c r="F1923" s="12" t="str">
        <f t="shared" ref="F1923:F1986" si="31">TEXT(B1923,"MM/DD/YYYY")</f>
        <v>09/06/2017</v>
      </c>
      <c r="G1923" t="str">
        <f>VLOOKUP(A1923,inf!$D$2:$E$76,2,FALSE)</f>
        <v>Other</v>
      </c>
    </row>
    <row r="1924" spans="1:7" x14ac:dyDescent="0.25">
      <c r="A1924" t="s">
        <v>54</v>
      </c>
      <c r="B1924" s="1">
        <v>42984</v>
      </c>
      <c r="C1924" t="s">
        <v>58</v>
      </c>
      <c r="D1924">
        <v>488.11</v>
      </c>
      <c r="E1924" s="12" t="str">
        <f>VLOOKUP(C1924,inf!$A$2:$B$7,2,FALSE)</f>
        <v>61 to 90</v>
      </c>
      <c r="F1924" s="12" t="str">
        <f t="shared" si="31"/>
        <v>09/06/2017</v>
      </c>
      <c r="G1924" t="str">
        <f>VLOOKUP(A1924,inf!$D$2:$E$76,2,FALSE)</f>
        <v>Other</v>
      </c>
    </row>
    <row r="1925" spans="1:7" x14ac:dyDescent="0.25">
      <c r="A1925" t="s">
        <v>15</v>
      </c>
      <c r="B1925" s="1">
        <v>42984</v>
      </c>
      <c r="C1925" t="s">
        <v>55</v>
      </c>
      <c r="D1925">
        <v>2266.29</v>
      </c>
      <c r="E1925" s="12" t="str">
        <f>VLOOKUP(C1925,inf!$A$2:$B$7,2,FALSE)</f>
        <v>Current</v>
      </c>
      <c r="F1925" s="12" t="str">
        <f t="shared" si="31"/>
        <v>09/06/2017</v>
      </c>
      <c r="G1925" t="str">
        <f>VLOOKUP(A1925,inf!$D$2:$E$76,2,FALSE)</f>
        <v>Other</v>
      </c>
    </row>
    <row r="1926" spans="1:7" x14ac:dyDescent="0.25">
      <c r="A1926" t="s">
        <v>15</v>
      </c>
      <c r="B1926" s="1">
        <v>42984</v>
      </c>
      <c r="C1926" t="s">
        <v>56</v>
      </c>
      <c r="D1926">
        <v>291.60000000000002</v>
      </c>
      <c r="E1926" s="12" t="str">
        <f>VLOOKUP(C1926,inf!$A$2:$B$7,2,FALSE)</f>
        <v>Current</v>
      </c>
      <c r="F1926" s="12" t="str">
        <f t="shared" si="31"/>
        <v>09/06/2017</v>
      </c>
      <c r="G1926" t="str">
        <f>VLOOKUP(A1926,inf!$D$2:$E$76,2,FALSE)</f>
        <v>Other</v>
      </c>
    </row>
    <row r="1927" spans="1:7" x14ac:dyDescent="0.25">
      <c r="A1927" t="s">
        <v>15</v>
      </c>
      <c r="B1927" s="1">
        <v>42984</v>
      </c>
      <c r="C1927" t="s">
        <v>60</v>
      </c>
      <c r="D1927">
        <v>126.05</v>
      </c>
      <c r="E1927" s="12" t="str">
        <f>VLOOKUP(C1927,inf!$A$2:$B$7,2,FALSE)</f>
        <v>Over 90</v>
      </c>
      <c r="F1927" s="12" t="str">
        <f t="shared" si="31"/>
        <v>09/06/2017</v>
      </c>
      <c r="G1927" t="str">
        <f>VLOOKUP(A1927,inf!$D$2:$E$76,2,FALSE)</f>
        <v>Other</v>
      </c>
    </row>
    <row r="1928" spans="1:7" x14ac:dyDescent="0.25">
      <c r="A1928" t="s">
        <v>61</v>
      </c>
      <c r="B1928" s="1">
        <v>42991</v>
      </c>
      <c r="C1928" t="s">
        <v>55</v>
      </c>
      <c r="D1928" s="4">
        <v>295.32</v>
      </c>
      <c r="E1928" s="12" t="str">
        <f>VLOOKUP(C1928,inf!$A$2:$B$7,2,FALSE)</f>
        <v>Current</v>
      </c>
      <c r="F1928" s="12" t="str">
        <f t="shared" si="31"/>
        <v>09/13/2017</v>
      </c>
      <c r="G1928" t="str">
        <f>VLOOKUP(A1928,inf!$D$2:$E$76,2,FALSE)</f>
        <v>Other</v>
      </c>
    </row>
    <row r="1929" spans="1:7" x14ac:dyDescent="0.25">
      <c r="A1929" t="s">
        <v>4</v>
      </c>
      <c r="B1929" s="1">
        <v>42991</v>
      </c>
      <c r="C1929" t="s">
        <v>55</v>
      </c>
      <c r="D1929" s="4">
        <v>1318.79</v>
      </c>
      <c r="E1929" s="12" t="str">
        <f>VLOOKUP(C1929,inf!$A$2:$B$7,2,FALSE)</f>
        <v>Current</v>
      </c>
      <c r="F1929" s="12" t="str">
        <f t="shared" si="31"/>
        <v>09/13/2017</v>
      </c>
      <c r="G1929" t="str">
        <f>VLOOKUP(A1929,inf!$D$2:$E$76,2,FALSE)</f>
        <v>Other</v>
      </c>
    </row>
    <row r="1930" spans="1:7" x14ac:dyDescent="0.25">
      <c r="A1930" t="s">
        <v>26</v>
      </c>
      <c r="B1930" s="1">
        <v>42991</v>
      </c>
      <c r="C1930" t="s">
        <v>60</v>
      </c>
      <c r="D1930" s="4">
        <v>1380.77</v>
      </c>
      <c r="E1930" s="12" t="str">
        <f>VLOOKUP(C1930,inf!$A$2:$B$7,2,FALSE)</f>
        <v>Over 90</v>
      </c>
      <c r="F1930" s="12" t="str">
        <f t="shared" si="31"/>
        <v>09/13/2017</v>
      </c>
      <c r="G1930" t="str">
        <f>VLOOKUP(A1930,inf!$D$2:$E$76,2,FALSE)</f>
        <v>Other</v>
      </c>
    </row>
    <row r="1931" spans="1:7" x14ac:dyDescent="0.25">
      <c r="A1931" t="s">
        <v>2</v>
      </c>
      <c r="B1931" s="1">
        <v>42991</v>
      </c>
      <c r="C1931" t="s">
        <v>60</v>
      </c>
      <c r="D1931" s="4">
        <v>6040.4899999999971</v>
      </c>
      <c r="E1931" s="12" t="str">
        <f>VLOOKUP(C1931,inf!$A$2:$B$7,2,FALSE)</f>
        <v>Over 90</v>
      </c>
      <c r="F1931" s="12" t="str">
        <f t="shared" si="31"/>
        <v>09/13/2017</v>
      </c>
      <c r="G1931" t="str">
        <f>VLOOKUP(A1931,inf!$D$2:$E$76,2,FALSE)</f>
        <v>Other</v>
      </c>
    </row>
    <row r="1932" spans="1:7" x14ac:dyDescent="0.25">
      <c r="A1932" t="s">
        <v>32</v>
      </c>
      <c r="B1932" s="1">
        <v>42991</v>
      </c>
      <c r="C1932" t="s">
        <v>58</v>
      </c>
      <c r="D1932" s="4">
        <v>424.53000000000003</v>
      </c>
      <c r="E1932" s="12" t="str">
        <f>VLOOKUP(C1932,inf!$A$2:$B$7,2,FALSE)</f>
        <v>61 to 90</v>
      </c>
      <c r="F1932" s="12" t="str">
        <f t="shared" si="31"/>
        <v>09/13/2017</v>
      </c>
      <c r="G1932" t="str">
        <f>VLOOKUP(A1932,inf!$D$2:$E$76,2,FALSE)</f>
        <v>Other</v>
      </c>
    </row>
    <row r="1933" spans="1:7" x14ac:dyDescent="0.25">
      <c r="A1933" t="s">
        <v>19</v>
      </c>
      <c r="B1933" s="1">
        <v>42991</v>
      </c>
      <c r="C1933" t="s">
        <v>57</v>
      </c>
      <c r="D1933" s="4">
        <v>258.41000000000003</v>
      </c>
      <c r="E1933" s="12" t="str">
        <f>VLOOKUP(C1933,inf!$A$2:$B$7,2,FALSE)</f>
        <v>31 to 60</v>
      </c>
      <c r="F1933" s="12" t="str">
        <f t="shared" si="31"/>
        <v>09/13/2017</v>
      </c>
      <c r="G1933" t="str">
        <f>VLOOKUP(A1933,inf!$D$2:$E$76,2,FALSE)</f>
        <v>Other</v>
      </c>
    </row>
    <row r="1934" spans="1:7" x14ac:dyDescent="0.25">
      <c r="A1934" t="s">
        <v>25</v>
      </c>
      <c r="B1934" s="1">
        <v>42991</v>
      </c>
      <c r="C1934" t="s">
        <v>55</v>
      </c>
      <c r="D1934" s="4">
        <v>555.83999999999992</v>
      </c>
      <c r="E1934" s="12" t="str">
        <f>VLOOKUP(C1934,inf!$A$2:$B$7,2,FALSE)</f>
        <v>Current</v>
      </c>
      <c r="F1934" s="12" t="str">
        <f t="shared" si="31"/>
        <v>09/13/2017</v>
      </c>
      <c r="G1934" t="str">
        <f>VLOOKUP(A1934,inf!$D$2:$E$76,2,FALSE)</f>
        <v>Other</v>
      </c>
    </row>
    <row r="1935" spans="1:7" x14ac:dyDescent="0.25">
      <c r="A1935" t="s">
        <v>25</v>
      </c>
      <c r="B1935" s="1">
        <v>42991</v>
      </c>
      <c r="C1935" t="s">
        <v>57</v>
      </c>
      <c r="D1935" s="4">
        <v>587.97</v>
      </c>
      <c r="E1935" s="12" t="str">
        <f>VLOOKUP(C1935,inf!$A$2:$B$7,2,FALSE)</f>
        <v>31 to 60</v>
      </c>
      <c r="F1935" s="12" t="str">
        <f t="shared" si="31"/>
        <v>09/13/2017</v>
      </c>
      <c r="G1935" t="str">
        <f>VLOOKUP(A1935,inf!$D$2:$E$76,2,FALSE)</f>
        <v>Other</v>
      </c>
    </row>
    <row r="1936" spans="1:7" x14ac:dyDescent="0.25">
      <c r="A1936" t="s">
        <v>31</v>
      </c>
      <c r="B1936" s="1">
        <v>42991</v>
      </c>
      <c r="C1936" t="s">
        <v>55</v>
      </c>
      <c r="D1936" s="4">
        <v>1671.5099999999998</v>
      </c>
      <c r="E1936" s="12" t="str">
        <f>VLOOKUP(C1936,inf!$A$2:$B$7,2,FALSE)</f>
        <v>Current</v>
      </c>
      <c r="F1936" s="12" t="str">
        <f t="shared" si="31"/>
        <v>09/13/2017</v>
      </c>
      <c r="G1936" t="str">
        <f>VLOOKUP(A1936,inf!$D$2:$E$76,2,FALSE)</f>
        <v>Other</v>
      </c>
    </row>
    <row r="1937" spans="1:7" x14ac:dyDescent="0.25">
      <c r="A1937" t="s">
        <v>31</v>
      </c>
      <c r="B1937" s="1">
        <v>42991</v>
      </c>
      <c r="C1937" t="s">
        <v>56</v>
      </c>
      <c r="D1937" s="4">
        <v>296.71000000000004</v>
      </c>
      <c r="E1937" s="12" t="str">
        <f>VLOOKUP(C1937,inf!$A$2:$B$7,2,FALSE)</f>
        <v>Current</v>
      </c>
      <c r="F1937" s="12" t="str">
        <f t="shared" si="31"/>
        <v>09/13/2017</v>
      </c>
      <c r="G1937" t="str">
        <f>VLOOKUP(A1937,inf!$D$2:$E$76,2,FALSE)</f>
        <v>Other</v>
      </c>
    </row>
    <row r="1938" spans="1:7" x14ac:dyDescent="0.25">
      <c r="A1938" t="s">
        <v>24</v>
      </c>
      <c r="B1938" s="1">
        <v>42991</v>
      </c>
      <c r="C1938" t="s">
        <v>55</v>
      </c>
      <c r="D1938" s="4">
        <v>143.56</v>
      </c>
      <c r="E1938" s="12" t="str">
        <f>VLOOKUP(C1938,inf!$A$2:$B$7,2,FALSE)</f>
        <v>Current</v>
      </c>
      <c r="F1938" s="12" t="str">
        <f t="shared" si="31"/>
        <v>09/13/2017</v>
      </c>
      <c r="G1938" t="str">
        <f>VLOOKUP(A1938,inf!$D$2:$E$76,2,FALSE)</f>
        <v>Other</v>
      </c>
    </row>
    <row r="1939" spans="1:7" x14ac:dyDescent="0.25">
      <c r="A1939" t="s">
        <v>18</v>
      </c>
      <c r="B1939" s="1">
        <v>42991</v>
      </c>
      <c r="C1939" t="s">
        <v>55</v>
      </c>
      <c r="D1939" s="4">
        <v>387.05</v>
      </c>
      <c r="E1939" s="12" t="str">
        <f>VLOOKUP(C1939,inf!$A$2:$B$7,2,FALSE)</f>
        <v>Current</v>
      </c>
      <c r="F1939" s="12" t="str">
        <f t="shared" si="31"/>
        <v>09/13/2017</v>
      </c>
      <c r="G1939" t="str">
        <f>VLOOKUP(A1939,inf!$D$2:$E$76,2,FALSE)</f>
        <v>Other</v>
      </c>
    </row>
    <row r="1940" spans="1:7" x14ac:dyDescent="0.25">
      <c r="A1940" t="s">
        <v>18</v>
      </c>
      <c r="B1940" s="1">
        <v>42991</v>
      </c>
      <c r="C1940" t="s">
        <v>58</v>
      </c>
      <c r="D1940" s="4">
        <v>1320.39</v>
      </c>
      <c r="E1940" s="12" t="str">
        <f>VLOOKUP(C1940,inf!$A$2:$B$7,2,FALSE)</f>
        <v>61 to 90</v>
      </c>
      <c r="F1940" s="12" t="str">
        <f t="shared" si="31"/>
        <v>09/13/2017</v>
      </c>
      <c r="G1940" t="str">
        <f>VLOOKUP(A1940,inf!$D$2:$E$76,2,FALSE)</f>
        <v>Other</v>
      </c>
    </row>
    <row r="1941" spans="1:7" x14ac:dyDescent="0.25">
      <c r="A1941" t="s">
        <v>27</v>
      </c>
      <c r="B1941" s="1">
        <v>42991</v>
      </c>
      <c r="C1941" t="s">
        <v>55</v>
      </c>
      <c r="D1941" s="4">
        <v>365.9</v>
      </c>
      <c r="E1941" s="12" t="str">
        <f>VLOOKUP(C1941,inf!$A$2:$B$7,2,FALSE)</f>
        <v>Current</v>
      </c>
      <c r="F1941" s="12" t="str">
        <f t="shared" si="31"/>
        <v>09/13/2017</v>
      </c>
      <c r="G1941" t="str">
        <f>VLOOKUP(A1941,inf!$D$2:$E$76,2,FALSE)</f>
        <v>Other</v>
      </c>
    </row>
    <row r="1942" spans="1:7" x14ac:dyDescent="0.25">
      <c r="A1942" t="s">
        <v>62</v>
      </c>
      <c r="B1942" s="1">
        <v>42991</v>
      </c>
      <c r="C1942" t="s">
        <v>55</v>
      </c>
      <c r="D1942" s="4">
        <v>229.7</v>
      </c>
      <c r="E1942" s="12" t="str">
        <f>VLOOKUP(C1942,inf!$A$2:$B$7,2,FALSE)</f>
        <v>Current</v>
      </c>
      <c r="F1942" s="12" t="str">
        <f t="shared" si="31"/>
        <v>09/13/2017</v>
      </c>
      <c r="G1942" t="str">
        <f>VLOOKUP(A1942,inf!$D$2:$E$76,2,FALSE)</f>
        <v>Other</v>
      </c>
    </row>
    <row r="1943" spans="1:7" x14ac:dyDescent="0.25">
      <c r="A1943" t="s">
        <v>62</v>
      </c>
      <c r="B1943" s="1">
        <v>42991</v>
      </c>
      <c r="C1943" t="s">
        <v>56</v>
      </c>
      <c r="D1943" s="4">
        <v>241.51</v>
      </c>
      <c r="E1943" s="12" t="str">
        <f>VLOOKUP(C1943,inf!$A$2:$B$7,2,FALSE)</f>
        <v>Current</v>
      </c>
      <c r="F1943" s="12" t="str">
        <f t="shared" si="31"/>
        <v>09/13/2017</v>
      </c>
      <c r="G1943" t="str">
        <f>VLOOKUP(A1943,inf!$D$2:$E$76,2,FALSE)</f>
        <v>Other</v>
      </c>
    </row>
    <row r="1944" spans="1:7" x14ac:dyDescent="0.25">
      <c r="A1944" t="s">
        <v>53</v>
      </c>
      <c r="B1944" s="1">
        <v>42991</v>
      </c>
      <c r="C1944" t="s">
        <v>55</v>
      </c>
      <c r="D1944" s="4">
        <v>330.29</v>
      </c>
      <c r="E1944" s="12" t="str">
        <f>VLOOKUP(C1944,inf!$A$2:$B$7,2,FALSE)</f>
        <v>Current</v>
      </c>
      <c r="F1944" s="12" t="str">
        <f t="shared" si="31"/>
        <v>09/13/2017</v>
      </c>
      <c r="G1944" t="str">
        <f>VLOOKUP(A1944,inf!$D$2:$E$76,2,FALSE)</f>
        <v>Other</v>
      </c>
    </row>
    <row r="1945" spans="1:7" x14ac:dyDescent="0.25">
      <c r="A1945" t="s">
        <v>3</v>
      </c>
      <c r="B1945" s="1">
        <v>42991</v>
      </c>
      <c r="C1945" t="s">
        <v>55</v>
      </c>
      <c r="D1945" s="4">
        <v>2358.5200000000004</v>
      </c>
      <c r="E1945" s="12" t="str">
        <f>VLOOKUP(C1945,inf!$A$2:$B$7,2,FALSE)</f>
        <v>Current</v>
      </c>
      <c r="F1945" s="12" t="str">
        <f t="shared" si="31"/>
        <v>09/13/2017</v>
      </c>
      <c r="G1945" t="str">
        <f>VLOOKUP(A1945,inf!$D$2:$E$76,2,FALSE)</f>
        <v>Other</v>
      </c>
    </row>
    <row r="1946" spans="1:7" x14ac:dyDescent="0.25">
      <c r="A1946" t="s">
        <v>30</v>
      </c>
      <c r="B1946" s="1">
        <v>42991</v>
      </c>
      <c r="C1946" t="s">
        <v>55</v>
      </c>
      <c r="D1946" s="4">
        <v>687.36</v>
      </c>
      <c r="E1946" s="12" t="str">
        <f>VLOOKUP(C1946,inf!$A$2:$B$7,2,FALSE)</f>
        <v>Current</v>
      </c>
      <c r="F1946" s="12" t="str">
        <f t="shared" si="31"/>
        <v>09/13/2017</v>
      </c>
      <c r="G1946" t="str">
        <f>VLOOKUP(A1946,inf!$D$2:$E$76,2,FALSE)</f>
        <v>Other</v>
      </c>
    </row>
    <row r="1947" spans="1:7" x14ac:dyDescent="0.25">
      <c r="A1947" t="s">
        <v>30</v>
      </c>
      <c r="B1947" s="1">
        <v>42991</v>
      </c>
      <c r="C1947" t="s">
        <v>56</v>
      </c>
      <c r="D1947" s="4">
        <v>1608.51</v>
      </c>
      <c r="E1947" s="12" t="str">
        <f>VLOOKUP(C1947,inf!$A$2:$B$7,2,FALSE)</f>
        <v>Current</v>
      </c>
      <c r="F1947" s="12" t="str">
        <f t="shared" si="31"/>
        <v>09/13/2017</v>
      </c>
      <c r="G1947" t="str">
        <f>VLOOKUP(A1947,inf!$D$2:$E$76,2,FALSE)</f>
        <v>Other</v>
      </c>
    </row>
    <row r="1948" spans="1:7" x14ac:dyDescent="0.25">
      <c r="A1948" t="s">
        <v>63</v>
      </c>
      <c r="B1948" s="1">
        <v>42991</v>
      </c>
      <c r="C1948" t="s">
        <v>55</v>
      </c>
      <c r="D1948" s="4">
        <v>170.49</v>
      </c>
      <c r="E1948" s="12" t="str">
        <f>VLOOKUP(C1948,inf!$A$2:$B$7,2,FALSE)</f>
        <v>Current</v>
      </c>
      <c r="F1948" s="12" t="str">
        <f t="shared" si="31"/>
        <v>09/13/2017</v>
      </c>
      <c r="G1948" t="str">
        <f>VLOOKUP(A1948,inf!$D$2:$E$76,2,FALSE)</f>
        <v>Other</v>
      </c>
    </row>
    <row r="1949" spans="1:7" x14ac:dyDescent="0.25">
      <c r="A1949" t="s">
        <v>12</v>
      </c>
      <c r="B1949" s="1">
        <v>42991</v>
      </c>
      <c r="C1949" t="s">
        <v>55</v>
      </c>
      <c r="D1949" s="4">
        <v>2540.33</v>
      </c>
      <c r="E1949" s="12" t="str">
        <f>VLOOKUP(C1949,inf!$A$2:$B$7,2,FALSE)</f>
        <v>Current</v>
      </c>
      <c r="F1949" s="12" t="str">
        <f t="shared" si="31"/>
        <v>09/13/2017</v>
      </c>
      <c r="G1949" t="str">
        <f>VLOOKUP(A1949,inf!$D$2:$E$76,2,FALSE)</f>
        <v>Other</v>
      </c>
    </row>
    <row r="1950" spans="1:7" x14ac:dyDescent="0.25">
      <c r="A1950" t="s">
        <v>12</v>
      </c>
      <c r="B1950" s="1">
        <v>42991</v>
      </c>
      <c r="C1950" t="s">
        <v>56</v>
      </c>
      <c r="D1950" s="4">
        <v>333.91</v>
      </c>
      <c r="E1950" s="12" t="str">
        <f>VLOOKUP(C1950,inf!$A$2:$B$7,2,FALSE)</f>
        <v>Current</v>
      </c>
      <c r="F1950" s="12" t="str">
        <f t="shared" si="31"/>
        <v>09/13/2017</v>
      </c>
      <c r="G1950" t="str">
        <f>VLOOKUP(A1950,inf!$D$2:$E$76,2,FALSE)</f>
        <v>Other</v>
      </c>
    </row>
    <row r="1951" spans="1:7" x14ac:dyDescent="0.25">
      <c r="A1951" t="s">
        <v>12</v>
      </c>
      <c r="B1951" s="1">
        <v>42991</v>
      </c>
      <c r="C1951" t="s">
        <v>57</v>
      </c>
      <c r="D1951" s="4">
        <v>229.94</v>
      </c>
      <c r="E1951" s="12" t="str">
        <f>VLOOKUP(C1951,inf!$A$2:$B$7,2,FALSE)</f>
        <v>31 to 60</v>
      </c>
      <c r="F1951" s="12" t="str">
        <f t="shared" si="31"/>
        <v>09/13/2017</v>
      </c>
      <c r="G1951" t="str">
        <f>VLOOKUP(A1951,inf!$D$2:$E$76,2,FALSE)</f>
        <v>Other</v>
      </c>
    </row>
    <row r="1952" spans="1:7" x14ac:dyDescent="0.25">
      <c r="A1952" t="s">
        <v>12</v>
      </c>
      <c r="B1952" s="1">
        <v>42991</v>
      </c>
      <c r="C1952" t="s">
        <v>58</v>
      </c>
      <c r="D1952" s="4">
        <v>165</v>
      </c>
      <c r="E1952" s="12" t="str">
        <f>VLOOKUP(C1952,inf!$A$2:$B$7,2,FALSE)</f>
        <v>61 to 90</v>
      </c>
      <c r="F1952" s="12" t="str">
        <f t="shared" si="31"/>
        <v>09/13/2017</v>
      </c>
      <c r="G1952" t="str">
        <f>VLOOKUP(A1952,inf!$D$2:$E$76,2,FALSE)</f>
        <v>Other</v>
      </c>
    </row>
    <row r="1953" spans="1:7" x14ac:dyDescent="0.25">
      <c r="A1953" t="s">
        <v>73</v>
      </c>
      <c r="B1953" s="1">
        <v>42991</v>
      </c>
      <c r="C1953" t="s">
        <v>55</v>
      </c>
      <c r="D1953" s="4">
        <v>254.21</v>
      </c>
      <c r="E1953" s="12" t="str">
        <f>VLOOKUP(C1953,inf!$A$2:$B$7,2,FALSE)</f>
        <v>Current</v>
      </c>
      <c r="F1953" s="12" t="str">
        <f t="shared" si="31"/>
        <v>09/13/2017</v>
      </c>
      <c r="G1953" t="str">
        <f>VLOOKUP(A1953,inf!$D$2:$E$76,2,FALSE)</f>
        <v>Other</v>
      </c>
    </row>
    <row r="1954" spans="1:7" x14ac:dyDescent="0.25">
      <c r="A1954" t="s">
        <v>7</v>
      </c>
      <c r="B1954" s="1">
        <v>42991</v>
      </c>
      <c r="C1954" t="s">
        <v>55</v>
      </c>
      <c r="D1954" s="4">
        <v>85052.390000000014</v>
      </c>
      <c r="E1954" s="12" t="str">
        <f>VLOOKUP(C1954,inf!$A$2:$B$7,2,FALSE)</f>
        <v>Current</v>
      </c>
      <c r="F1954" s="12" t="str">
        <f t="shared" si="31"/>
        <v>09/13/2017</v>
      </c>
      <c r="G1954" t="str">
        <f>VLOOKUP(A1954,inf!$D$2:$E$76,2,FALSE)</f>
        <v>SAFEWAY</v>
      </c>
    </row>
    <row r="1955" spans="1:7" x14ac:dyDescent="0.25">
      <c r="A1955" t="s">
        <v>7</v>
      </c>
      <c r="B1955" s="1">
        <v>42991</v>
      </c>
      <c r="C1955" t="s">
        <v>56</v>
      </c>
      <c r="D1955" s="4">
        <v>31290.82</v>
      </c>
      <c r="E1955" s="12" t="str">
        <f>VLOOKUP(C1955,inf!$A$2:$B$7,2,FALSE)</f>
        <v>Current</v>
      </c>
      <c r="F1955" s="12" t="str">
        <f t="shared" si="31"/>
        <v>09/13/2017</v>
      </c>
      <c r="G1955" t="str">
        <f>VLOOKUP(A1955,inf!$D$2:$E$76,2,FALSE)</f>
        <v>SAFEWAY</v>
      </c>
    </row>
    <row r="1956" spans="1:7" x14ac:dyDescent="0.25">
      <c r="A1956" t="s">
        <v>7</v>
      </c>
      <c r="B1956" s="1">
        <v>42991</v>
      </c>
      <c r="C1956" t="s">
        <v>57</v>
      </c>
      <c r="D1956" s="4">
        <v>2021.8799999999999</v>
      </c>
      <c r="E1956" s="12" t="str">
        <f>VLOOKUP(C1956,inf!$A$2:$B$7,2,FALSE)</f>
        <v>31 to 60</v>
      </c>
      <c r="F1956" s="12" t="str">
        <f t="shared" si="31"/>
        <v>09/13/2017</v>
      </c>
      <c r="G1956" t="str">
        <f>VLOOKUP(A1956,inf!$D$2:$E$76,2,FALSE)</f>
        <v>SAFEWAY</v>
      </c>
    </row>
    <row r="1957" spans="1:7" x14ac:dyDescent="0.25">
      <c r="A1957" t="s">
        <v>7</v>
      </c>
      <c r="B1957" s="1">
        <v>42991</v>
      </c>
      <c r="C1957" t="s">
        <v>58</v>
      </c>
      <c r="D1957" s="4">
        <v>1453.7600000000002</v>
      </c>
      <c r="E1957" s="12" t="str">
        <f>VLOOKUP(C1957,inf!$A$2:$B$7,2,FALSE)</f>
        <v>61 to 90</v>
      </c>
      <c r="F1957" s="12" t="str">
        <f t="shared" si="31"/>
        <v>09/13/2017</v>
      </c>
      <c r="G1957" t="str">
        <f>VLOOKUP(A1957,inf!$D$2:$E$76,2,FALSE)</f>
        <v>SAFEWAY</v>
      </c>
    </row>
    <row r="1958" spans="1:7" x14ac:dyDescent="0.25">
      <c r="A1958" t="s">
        <v>7</v>
      </c>
      <c r="B1958" s="1">
        <v>42991</v>
      </c>
      <c r="C1958" t="s">
        <v>59</v>
      </c>
      <c r="D1958" s="4">
        <v>553.29999999999995</v>
      </c>
      <c r="E1958" s="12" t="str">
        <f>VLOOKUP(C1958,inf!$A$2:$B$7,2,FALSE)</f>
        <v>Over 90</v>
      </c>
      <c r="F1958" s="12" t="str">
        <f t="shared" si="31"/>
        <v>09/13/2017</v>
      </c>
      <c r="G1958" t="str">
        <f>VLOOKUP(A1958,inf!$D$2:$E$76,2,FALSE)</f>
        <v>SAFEWAY</v>
      </c>
    </row>
    <row r="1959" spans="1:7" x14ac:dyDescent="0.25">
      <c r="A1959" t="s">
        <v>7</v>
      </c>
      <c r="B1959" s="1">
        <v>42991</v>
      </c>
      <c r="C1959" t="s">
        <v>60</v>
      </c>
      <c r="D1959" s="4">
        <v>344.56</v>
      </c>
      <c r="E1959" s="12" t="str">
        <f>VLOOKUP(C1959,inf!$A$2:$B$7,2,FALSE)</f>
        <v>Over 90</v>
      </c>
      <c r="F1959" s="12" t="str">
        <f t="shared" si="31"/>
        <v>09/13/2017</v>
      </c>
      <c r="G1959" t="str">
        <f>VLOOKUP(A1959,inf!$D$2:$E$76,2,FALSE)</f>
        <v>SAFEWAY</v>
      </c>
    </row>
    <row r="1960" spans="1:7" x14ac:dyDescent="0.25">
      <c r="A1960" t="s">
        <v>5</v>
      </c>
      <c r="B1960" s="1">
        <v>42991</v>
      </c>
      <c r="C1960" t="s">
        <v>55</v>
      </c>
      <c r="D1960" s="4">
        <v>6229135.3499996951</v>
      </c>
      <c r="E1960" s="12" t="str">
        <f>VLOOKUP(C1960,inf!$A$2:$B$7,2,FALSE)</f>
        <v>Current</v>
      </c>
      <c r="F1960" s="12" t="str">
        <f t="shared" si="31"/>
        <v>09/13/2017</v>
      </c>
      <c r="G1960" t="str">
        <f>VLOOKUP(A1960,inf!$D$2:$E$76,2,FALSE)</f>
        <v>SBUX</v>
      </c>
    </row>
    <row r="1961" spans="1:7" x14ac:dyDescent="0.25">
      <c r="A1961" t="s">
        <v>5</v>
      </c>
      <c r="B1961" s="1">
        <v>42991</v>
      </c>
      <c r="C1961" t="s">
        <v>56</v>
      </c>
      <c r="D1961" s="4">
        <v>37984.97</v>
      </c>
      <c r="E1961" s="12" t="str">
        <f>VLOOKUP(C1961,inf!$A$2:$B$7,2,FALSE)</f>
        <v>Current</v>
      </c>
      <c r="F1961" s="12" t="str">
        <f t="shared" si="31"/>
        <v>09/13/2017</v>
      </c>
      <c r="G1961" t="str">
        <f>VLOOKUP(A1961,inf!$D$2:$E$76,2,FALSE)</f>
        <v>SBUX</v>
      </c>
    </row>
    <row r="1962" spans="1:7" x14ac:dyDescent="0.25">
      <c r="A1962" t="s">
        <v>5</v>
      </c>
      <c r="B1962" s="1">
        <v>42991</v>
      </c>
      <c r="C1962" t="s">
        <v>57</v>
      </c>
      <c r="D1962" s="4">
        <v>47686.269999999982</v>
      </c>
      <c r="E1962" s="12" t="str">
        <f>VLOOKUP(C1962,inf!$A$2:$B$7,2,FALSE)</f>
        <v>31 to 60</v>
      </c>
      <c r="F1962" s="12" t="str">
        <f t="shared" si="31"/>
        <v>09/13/2017</v>
      </c>
      <c r="G1962" t="str">
        <f>VLOOKUP(A1962,inf!$D$2:$E$76,2,FALSE)</f>
        <v>SBUX</v>
      </c>
    </row>
    <row r="1963" spans="1:7" x14ac:dyDescent="0.25">
      <c r="A1963" t="s">
        <v>5</v>
      </c>
      <c r="B1963" s="1">
        <v>42991</v>
      </c>
      <c r="C1963" t="s">
        <v>58</v>
      </c>
      <c r="D1963" s="4">
        <v>15444.749999999985</v>
      </c>
      <c r="E1963" s="12" t="str">
        <f>VLOOKUP(C1963,inf!$A$2:$B$7,2,FALSE)</f>
        <v>61 to 90</v>
      </c>
      <c r="F1963" s="12" t="str">
        <f t="shared" si="31"/>
        <v>09/13/2017</v>
      </c>
      <c r="G1963" t="str">
        <f>VLOOKUP(A1963,inf!$D$2:$E$76,2,FALSE)</f>
        <v>SBUX</v>
      </c>
    </row>
    <row r="1964" spans="1:7" x14ac:dyDescent="0.25">
      <c r="A1964" t="s">
        <v>5</v>
      </c>
      <c r="B1964" s="1">
        <v>42991</v>
      </c>
      <c r="C1964" t="s">
        <v>59</v>
      </c>
      <c r="D1964" s="4">
        <v>46393.689999999988</v>
      </c>
      <c r="E1964" s="12" t="str">
        <f>VLOOKUP(C1964,inf!$A$2:$B$7,2,FALSE)</f>
        <v>Over 90</v>
      </c>
      <c r="F1964" s="12" t="str">
        <f t="shared" si="31"/>
        <v>09/13/2017</v>
      </c>
      <c r="G1964" t="str">
        <f>VLOOKUP(A1964,inf!$D$2:$E$76,2,FALSE)</f>
        <v>SBUX</v>
      </c>
    </row>
    <row r="1965" spans="1:7" x14ac:dyDescent="0.25">
      <c r="A1965" t="s">
        <v>5</v>
      </c>
      <c r="B1965" s="1">
        <v>42991</v>
      </c>
      <c r="C1965" t="s">
        <v>60</v>
      </c>
      <c r="D1965" s="4">
        <v>145197.34000000011</v>
      </c>
      <c r="E1965" s="12" t="str">
        <f>VLOOKUP(C1965,inf!$A$2:$B$7,2,FALSE)</f>
        <v>Over 90</v>
      </c>
      <c r="F1965" s="12" t="str">
        <f t="shared" si="31"/>
        <v>09/13/2017</v>
      </c>
      <c r="G1965" t="str">
        <f>VLOOKUP(A1965,inf!$D$2:$E$76,2,FALSE)</f>
        <v>SBUX</v>
      </c>
    </row>
    <row r="1966" spans="1:7" x14ac:dyDescent="0.25">
      <c r="A1966" t="s">
        <v>6</v>
      </c>
      <c r="B1966" s="1">
        <v>42991</v>
      </c>
      <c r="C1966" t="s">
        <v>55</v>
      </c>
      <c r="D1966" s="4">
        <v>504474.42999999988</v>
      </c>
      <c r="E1966" s="12" t="str">
        <f>VLOOKUP(C1966,inf!$A$2:$B$7,2,FALSE)</f>
        <v>Current</v>
      </c>
      <c r="F1966" s="12" t="str">
        <f t="shared" si="31"/>
        <v>09/13/2017</v>
      </c>
      <c r="G1966" t="str">
        <f>VLOOKUP(A1966,inf!$D$2:$E$76,2,FALSE)</f>
        <v>SBUX</v>
      </c>
    </row>
    <row r="1967" spans="1:7" x14ac:dyDescent="0.25">
      <c r="A1967" t="s">
        <v>6</v>
      </c>
      <c r="B1967" s="1">
        <v>42991</v>
      </c>
      <c r="C1967" t="s">
        <v>56</v>
      </c>
      <c r="D1967" s="4">
        <v>29498.400000000009</v>
      </c>
      <c r="E1967" s="12" t="str">
        <f>VLOOKUP(C1967,inf!$A$2:$B$7,2,FALSE)</f>
        <v>Current</v>
      </c>
      <c r="F1967" s="12" t="str">
        <f t="shared" si="31"/>
        <v>09/13/2017</v>
      </c>
      <c r="G1967" t="str">
        <f>VLOOKUP(A1967,inf!$D$2:$E$76,2,FALSE)</f>
        <v>SBUX</v>
      </c>
    </row>
    <row r="1968" spans="1:7" x14ac:dyDescent="0.25">
      <c r="A1968" t="s">
        <v>6</v>
      </c>
      <c r="B1968" s="1">
        <v>42991</v>
      </c>
      <c r="C1968" t="s">
        <v>57</v>
      </c>
      <c r="D1968" s="4">
        <v>2129.7599999999998</v>
      </c>
      <c r="E1968" s="12" t="str">
        <f>VLOOKUP(C1968,inf!$A$2:$B$7,2,FALSE)</f>
        <v>31 to 60</v>
      </c>
      <c r="F1968" s="12" t="str">
        <f t="shared" si="31"/>
        <v>09/13/2017</v>
      </c>
      <c r="G1968" t="str">
        <f>VLOOKUP(A1968,inf!$D$2:$E$76,2,FALSE)</f>
        <v>SBUX</v>
      </c>
    </row>
    <row r="1969" spans="1:7" x14ac:dyDescent="0.25">
      <c r="A1969" t="s">
        <v>6</v>
      </c>
      <c r="B1969" s="1">
        <v>42991</v>
      </c>
      <c r="C1969" t="s">
        <v>58</v>
      </c>
      <c r="D1969" s="4">
        <v>2222.1999999999998</v>
      </c>
      <c r="E1969" s="12" t="str">
        <f>VLOOKUP(C1969,inf!$A$2:$B$7,2,FALSE)</f>
        <v>61 to 90</v>
      </c>
      <c r="F1969" s="12" t="str">
        <f t="shared" si="31"/>
        <v>09/13/2017</v>
      </c>
      <c r="G1969" t="str">
        <f>VLOOKUP(A1969,inf!$D$2:$E$76,2,FALSE)</f>
        <v>SBUX</v>
      </c>
    </row>
    <row r="1970" spans="1:7" x14ac:dyDescent="0.25">
      <c r="A1970" t="s">
        <v>6</v>
      </c>
      <c r="B1970" s="1">
        <v>42991</v>
      </c>
      <c r="C1970" t="s">
        <v>59</v>
      </c>
      <c r="D1970" s="4">
        <v>697.74</v>
      </c>
      <c r="E1970" s="12" t="str">
        <f>VLOOKUP(C1970,inf!$A$2:$B$7,2,FALSE)</f>
        <v>Over 90</v>
      </c>
      <c r="F1970" s="12" t="str">
        <f t="shared" si="31"/>
        <v>09/13/2017</v>
      </c>
      <c r="G1970" t="str">
        <f>VLOOKUP(A1970,inf!$D$2:$E$76,2,FALSE)</f>
        <v>SBUX</v>
      </c>
    </row>
    <row r="1971" spans="1:7" x14ac:dyDescent="0.25">
      <c r="A1971" t="s">
        <v>6</v>
      </c>
      <c r="B1971" s="1">
        <v>42991</v>
      </c>
      <c r="C1971" t="s">
        <v>60</v>
      </c>
      <c r="D1971" s="4">
        <v>14357.880000000005</v>
      </c>
      <c r="E1971" s="12" t="str">
        <f>VLOOKUP(C1971,inf!$A$2:$B$7,2,FALSE)</f>
        <v>Over 90</v>
      </c>
      <c r="F1971" s="12" t="str">
        <f t="shared" si="31"/>
        <v>09/13/2017</v>
      </c>
      <c r="G1971" t="str">
        <f>VLOOKUP(A1971,inf!$D$2:$E$76,2,FALSE)</f>
        <v>SBUX</v>
      </c>
    </row>
    <row r="1972" spans="1:7" x14ac:dyDescent="0.25">
      <c r="A1972" t="s">
        <v>49</v>
      </c>
      <c r="B1972" s="1">
        <v>42991</v>
      </c>
      <c r="C1972" t="s">
        <v>57</v>
      </c>
      <c r="D1972" s="4">
        <v>150.36000000000001</v>
      </c>
      <c r="E1972" s="12" t="str">
        <f>VLOOKUP(C1972,inf!$A$2:$B$7,2,FALSE)</f>
        <v>31 to 60</v>
      </c>
      <c r="F1972" s="12" t="str">
        <f t="shared" si="31"/>
        <v>09/13/2017</v>
      </c>
      <c r="G1972" t="str">
        <f>VLOOKUP(A1972,inf!$D$2:$E$76,2,FALSE)</f>
        <v>Other</v>
      </c>
    </row>
    <row r="1973" spans="1:7" x14ac:dyDescent="0.25">
      <c r="A1973" t="s">
        <v>48</v>
      </c>
      <c r="B1973" s="1">
        <v>42991</v>
      </c>
      <c r="C1973" t="s">
        <v>55</v>
      </c>
      <c r="D1973" s="4">
        <v>354809.54999999964</v>
      </c>
      <c r="E1973" s="12" t="str">
        <f>VLOOKUP(C1973,inf!$A$2:$B$7,2,FALSE)</f>
        <v>Current</v>
      </c>
      <c r="F1973" s="12" t="str">
        <f t="shared" si="31"/>
        <v>09/13/2017</v>
      </c>
      <c r="G1973" t="str">
        <f>VLOOKUP(A1973,inf!$D$2:$E$76,2,FALSE)</f>
        <v>Target</v>
      </c>
    </row>
    <row r="1974" spans="1:7" x14ac:dyDescent="0.25">
      <c r="A1974" t="s">
        <v>48</v>
      </c>
      <c r="B1974" s="1">
        <v>42991</v>
      </c>
      <c r="C1974" t="s">
        <v>56</v>
      </c>
      <c r="D1974" s="4">
        <v>23073.250000000004</v>
      </c>
      <c r="E1974" s="12" t="str">
        <f>VLOOKUP(C1974,inf!$A$2:$B$7,2,FALSE)</f>
        <v>Current</v>
      </c>
      <c r="F1974" s="12" t="str">
        <f t="shared" si="31"/>
        <v>09/13/2017</v>
      </c>
      <c r="G1974" t="str">
        <f>VLOOKUP(A1974,inf!$D$2:$E$76,2,FALSE)</f>
        <v>Target</v>
      </c>
    </row>
    <row r="1975" spans="1:7" x14ac:dyDescent="0.25">
      <c r="A1975" t="s">
        <v>48</v>
      </c>
      <c r="B1975" s="1">
        <v>42991</v>
      </c>
      <c r="C1975" t="s">
        <v>57</v>
      </c>
      <c r="D1975" s="4">
        <v>3201.46</v>
      </c>
      <c r="E1975" s="12" t="str">
        <f>VLOOKUP(C1975,inf!$A$2:$B$7,2,FALSE)</f>
        <v>31 to 60</v>
      </c>
      <c r="F1975" s="12" t="str">
        <f t="shared" si="31"/>
        <v>09/13/2017</v>
      </c>
      <c r="G1975" t="str">
        <f>VLOOKUP(A1975,inf!$D$2:$E$76,2,FALSE)</f>
        <v>Target</v>
      </c>
    </row>
    <row r="1976" spans="1:7" x14ac:dyDescent="0.25">
      <c r="A1976" t="s">
        <v>8</v>
      </c>
      <c r="B1976" s="1">
        <v>42991</v>
      </c>
      <c r="C1976" t="s">
        <v>55</v>
      </c>
      <c r="D1976" s="4">
        <v>467715.14</v>
      </c>
      <c r="E1976" s="12" t="str">
        <f>VLOOKUP(C1976,inf!$A$2:$B$7,2,FALSE)</f>
        <v>Current</v>
      </c>
      <c r="F1976" s="12" t="str">
        <f t="shared" si="31"/>
        <v>09/13/2017</v>
      </c>
      <c r="G1976" t="str">
        <f>VLOOKUP(A1976,inf!$D$2:$E$76,2,FALSE)</f>
        <v>Target</v>
      </c>
    </row>
    <row r="1977" spans="1:7" x14ac:dyDescent="0.25">
      <c r="A1977" t="s">
        <v>8</v>
      </c>
      <c r="B1977" s="1">
        <v>42991</v>
      </c>
      <c r="C1977" t="s">
        <v>56</v>
      </c>
      <c r="D1977" s="4">
        <v>7839.4000000000005</v>
      </c>
      <c r="E1977" s="12" t="str">
        <f>VLOOKUP(C1977,inf!$A$2:$B$7,2,FALSE)</f>
        <v>Current</v>
      </c>
      <c r="F1977" s="12" t="str">
        <f t="shared" si="31"/>
        <v>09/13/2017</v>
      </c>
      <c r="G1977" t="str">
        <f>VLOOKUP(A1977,inf!$D$2:$E$76,2,FALSE)</f>
        <v>Target</v>
      </c>
    </row>
    <row r="1978" spans="1:7" x14ac:dyDescent="0.25">
      <c r="A1978" t="s">
        <v>8</v>
      </c>
      <c r="B1978" s="1">
        <v>42991</v>
      </c>
      <c r="C1978" t="s">
        <v>57</v>
      </c>
      <c r="D1978" s="4">
        <v>11429.579999999996</v>
      </c>
      <c r="E1978" s="12" t="str">
        <f>VLOOKUP(C1978,inf!$A$2:$B$7,2,FALSE)</f>
        <v>31 to 60</v>
      </c>
      <c r="F1978" s="12" t="str">
        <f t="shared" si="31"/>
        <v>09/13/2017</v>
      </c>
      <c r="G1978" t="str">
        <f>VLOOKUP(A1978,inf!$D$2:$E$76,2,FALSE)</f>
        <v>Target</v>
      </c>
    </row>
    <row r="1979" spans="1:7" x14ac:dyDescent="0.25">
      <c r="A1979" t="s">
        <v>8</v>
      </c>
      <c r="B1979" s="1">
        <v>42991</v>
      </c>
      <c r="C1979" t="s">
        <v>58</v>
      </c>
      <c r="D1979" s="4">
        <v>2779.2899999999995</v>
      </c>
      <c r="E1979" s="12" t="str">
        <f>VLOOKUP(C1979,inf!$A$2:$B$7,2,FALSE)</f>
        <v>61 to 90</v>
      </c>
      <c r="F1979" s="12" t="str">
        <f t="shared" si="31"/>
        <v>09/13/2017</v>
      </c>
      <c r="G1979" t="str">
        <f>VLOOKUP(A1979,inf!$D$2:$E$76,2,FALSE)</f>
        <v>Target</v>
      </c>
    </row>
    <row r="1980" spans="1:7" x14ac:dyDescent="0.25">
      <c r="A1980" t="s">
        <v>8</v>
      </c>
      <c r="B1980" s="1">
        <v>42991</v>
      </c>
      <c r="C1980" t="s">
        <v>59</v>
      </c>
      <c r="D1980" s="4">
        <v>3451.1499999999996</v>
      </c>
      <c r="E1980" s="12" t="str">
        <f>VLOOKUP(C1980,inf!$A$2:$B$7,2,FALSE)</f>
        <v>Over 90</v>
      </c>
      <c r="F1980" s="12" t="str">
        <f t="shared" si="31"/>
        <v>09/13/2017</v>
      </c>
      <c r="G1980" t="str">
        <f>VLOOKUP(A1980,inf!$D$2:$E$76,2,FALSE)</f>
        <v>Target</v>
      </c>
    </row>
    <row r="1981" spans="1:7" x14ac:dyDescent="0.25">
      <c r="A1981" t="s">
        <v>8</v>
      </c>
      <c r="B1981" s="1">
        <v>42991</v>
      </c>
      <c r="C1981" t="s">
        <v>60</v>
      </c>
      <c r="D1981" s="4">
        <v>57274.939999999973</v>
      </c>
      <c r="E1981" s="12" t="str">
        <f>VLOOKUP(C1981,inf!$A$2:$B$7,2,FALSE)</f>
        <v>Over 90</v>
      </c>
      <c r="F1981" s="12" t="str">
        <f t="shared" si="31"/>
        <v>09/13/2017</v>
      </c>
      <c r="G1981" t="str">
        <f>VLOOKUP(A1981,inf!$D$2:$E$76,2,FALSE)</f>
        <v>Target</v>
      </c>
    </row>
    <row r="1982" spans="1:7" x14ac:dyDescent="0.25">
      <c r="A1982" t="s">
        <v>54</v>
      </c>
      <c r="B1982" s="1">
        <v>42991</v>
      </c>
      <c r="C1982" t="s">
        <v>55</v>
      </c>
      <c r="D1982" s="4">
        <v>677.69</v>
      </c>
      <c r="E1982" s="12" t="str">
        <f>VLOOKUP(C1982,inf!$A$2:$B$7,2,FALSE)</f>
        <v>Current</v>
      </c>
      <c r="F1982" s="12" t="str">
        <f t="shared" si="31"/>
        <v>09/13/2017</v>
      </c>
      <c r="G1982" t="str">
        <f>VLOOKUP(A1982,inf!$D$2:$E$76,2,FALSE)</f>
        <v>Other</v>
      </c>
    </row>
    <row r="1983" spans="1:7" x14ac:dyDescent="0.25">
      <c r="A1983" t="s">
        <v>54</v>
      </c>
      <c r="B1983" s="1">
        <v>42991</v>
      </c>
      <c r="C1983" t="s">
        <v>56</v>
      </c>
      <c r="D1983" s="4">
        <v>673.21</v>
      </c>
      <c r="E1983" s="12" t="str">
        <f>VLOOKUP(C1983,inf!$A$2:$B$7,2,FALSE)</f>
        <v>Current</v>
      </c>
      <c r="F1983" s="12" t="str">
        <f t="shared" si="31"/>
        <v>09/13/2017</v>
      </c>
      <c r="G1983" t="str">
        <f>VLOOKUP(A1983,inf!$D$2:$E$76,2,FALSE)</f>
        <v>Other</v>
      </c>
    </row>
    <row r="1984" spans="1:7" x14ac:dyDescent="0.25">
      <c r="A1984" t="s">
        <v>54</v>
      </c>
      <c r="B1984" s="1">
        <v>42991</v>
      </c>
      <c r="C1984" t="s">
        <v>57</v>
      </c>
      <c r="D1984" s="4">
        <v>939.12</v>
      </c>
      <c r="E1984" s="12" t="str">
        <f>VLOOKUP(C1984,inf!$A$2:$B$7,2,FALSE)</f>
        <v>31 to 60</v>
      </c>
      <c r="F1984" s="12" t="str">
        <f t="shared" si="31"/>
        <v>09/13/2017</v>
      </c>
      <c r="G1984" t="str">
        <f>VLOOKUP(A1984,inf!$D$2:$E$76,2,FALSE)</f>
        <v>Other</v>
      </c>
    </row>
    <row r="1985" spans="1:7" x14ac:dyDescent="0.25">
      <c r="A1985" t="s">
        <v>54</v>
      </c>
      <c r="B1985" s="1">
        <v>42991</v>
      </c>
      <c r="C1985" t="s">
        <v>58</v>
      </c>
      <c r="D1985" s="4">
        <v>488.11</v>
      </c>
      <c r="E1985" s="12" t="str">
        <f>VLOOKUP(C1985,inf!$A$2:$B$7,2,FALSE)</f>
        <v>61 to 90</v>
      </c>
      <c r="F1985" s="12" t="str">
        <f t="shared" si="31"/>
        <v>09/13/2017</v>
      </c>
      <c r="G1985" t="str">
        <f>VLOOKUP(A1985,inf!$D$2:$E$76,2,FALSE)</f>
        <v>Other</v>
      </c>
    </row>
    <row r="1986" spans="1:7" x14ac:dyDescent="0.25">
      <c r="A1986" t="s">
        <v>28</v>
      </c>
      <c r="B1986" s="1">
        <v>42991</v>
      </c>
      <c r="C1986" t="s">
        <v>55</v>
      </c>
      <c r="D1986" s="4">
        <v>963.8</v>
      </c>
      <c r="E1986" s="12" t="str">
        <f>VLOOKUP(C1986,inf!$A$2:$B$7,2,FALSE)</f>
        <v>Current</v>
      </c>
      <c r="F1986" s="12" t="str">
        <f t="shared" si="31"/>
        <v>09/13/2017</v>
      </c>
      <c r="G1986" t="str">
        <f>VLOOKUP(A1986,inf!$D$2:$E$76,2,FALSE)</f>
        <v>Other</v>
      </c>
    </row>
    <row r="1987" spans="1:7" x14ac:dyDescent="0.25">
      <c r="A1987" t="s">
        <v>28</v>
      </c>
      <c r="B1987" s="1">
        <v>42991</v>
      </c>
      <c r="C1987" t="s">
        <v>60</v>
      </c>
      <c r="D1987" s="4">
        <v>187.75</v>
      </c>
      <c r="E1987" s="12" t="str">
        <f>VLOOKUP(C1987,inf!$A$2:$B$7,2,FALSE)</f>
        <v>Over 90</v>
      </c>
      <c r="F1987" s="12" t="str">
        <f t="shared" ref="F1987:F2050" si="32">TEXT(B1987,"MM/DD/YYYY")</f>
        <v>09/13/2017</v>
      </c>
      <c r="G1987" t="str">
        <f>VLOOKUP(A1987,inf!$D$2:$E$76,2,FALSE)</f>
        <v>Other</v>
      </c>
    </row>
    <row r="1988" spans="1:7" x14ac:dyDescent="0.25">
      <c r="A1988" t="s">
        <v>15</v>
      </c>
      <c r="B1988" s="1">
        <v>42991</v>
      </c>
      <c r="C1988" t="s">
        <v>55</v>
      </c>
      <c r="D1988" s="4">
        <v>136.96</v>
      </c>
      <c r="E1988" s="12" t="str">
        <f>VLOOKUP(C1988,inf!$A$2:$B$7,2,FALSE)</f>
        <v>Current</v>
      </c>
      <c r="F1988" s="12" t="str">
        <f t="shared" si="32"/>
        <v>09/13/2017</v>
      </c>
      <c r="G1988" t="str">
        <f>VLOOKUP(A1988,inf!$D$2:$E$76,2,FALSE)</f>
        <v>Other</v>
      </c>
    </row>
    <row r="1989" spans="1:7" x14ac:dyDescent="0.25">
      <c r="A1989" t="s">
        <v>15</v>
      </c>
      <c r="B1989" s="1">
        <v>42991</v>
      </c>
      <c r="C1989" t="s">
        <v>56</v>
      </c>
      <c r="D1989" s="4">
        <v>2129.33</v>
      </c>
      <c r="E1989" s="12" t="str">
        <f>VLOOKUP(C1989,inf!$A$2:$B$7,2,FALSE)</f>
        <v>Current</v>
      </c>
      <c r="F1989" s="12" t="str">
        <f t="shared" si="32"/>
        <v>09/13/2017</v>
      </c>
      <c r="G1989" t="str">
        <f>VLOOKUP(A1989,inf!$D$2:$E$76,2,FALSE)</f>
        <v>Other</v>
      </c>
    </row>
    <row r="1990" spans="1:7" x14ac:dyDescent="0.25">
      <c r="A1990" t="s">
        <v>15</v>
      </c>
      <c r="B1990" s="1">
        <v>42991</v>
      </c>
      <c r="C1990" t="s">
        <v>57</v>
      </c>
      <c r="D1990" s="4">
        <v>291.60000000000002</v>
      </c>
      <c r="E1990" s="12" t="str">
        <f>VLOOKUP(C1990,inf!$A$2:$B$7,2,FALSE)</f>
        <v>31 to 60</v>
      </c>
      <c r="F1990" s="12" t="str">
        <f t="shared" si="32"/>
        <v>09/13/2017</v>
      </c>
      <c r="G1990" t="str">
        <f>VLOOKUP(A1990,inf!$D$2:$E$76,2,FALSE)</f>
        <v>Other</v>
      </c>
    </row>
    <row r="1991" spans="1:7" x14ac:dyDescent="0.25">
      <c r="A1991" t="s">
        <v>15</v>
      </c>
      <c r="B1991" s="1">
        <v>42991</v>
      </c>
      <c r="C1991" t="s">
        <v>60</v>
      </c>
      <c r="D1991" s="4">
        <v>126.05</v>
      </c>
      <c r="E1991" s="12" t="str">
        <f>VLOOKUP(C1991,inf!$A$2:$B$7,2,FALSE)</f>
        <v>Over 90</v>
      </c>
      <c r="F1991" s="12" t="str">
        <f t="shared" si="32"/>
        <v>09/13/2017</v>
      </c>
      <c r="G1991" t="str">
        <f>VLOOKUP(A1991,inf!$D$2:$E$76,2,FALSE)</f>
        <v>Other</v>
      </c>
    </row>
    <row r="1992" spans="1:7" x14ac:dyDescent="0.25">
      <c r="A1992" t="s">
        <v>61</v>
      </c>
      <c r="B1992" s="1">
        <v>42998</v>
      </c>
      <c r="C1992" t="s">
        <v>57</v>
      </c>
      <c r="D1992" s="4">
        <v>295.32</v>
      </c>
      <c r="E1992" s="12" t="str">
        <f>VLOOKUP(C1992,inf!$A$2:$B$7,2,FALSE)</f>
        <v>31 to 60</v>
      </c>
      <c r="F1992" s="12" t="str">
        <f t="shared" si="32"/>
        <v>09/20/2017</v>
      </c>
      <c r="G1992" t="str">
        <f>VLOOKUP(A1992,inf!$D$2:$E$76,2,FALSE)</f>
        <v>Other</v>
      </c>
    </row>
    <row r="1993" spans="1:7" x14ac:dyDescent="0.25">
      <c r="A1993" t="s">
        <v>4</v>
      </c>
      <c r="B1993" s="1">
        <v>42998</v>
      </c>
      <c r="C1993" t="s">
        <v>55</v>
      </c>
      <c r="D1993" s="4">
        <v>184.1</v>
      </c>
      <c r="E1993" s="12" t="str">
        <f>VLOOKUP(C1993,inf!$A$2:$B$7,2,FALSE)</f>
        <v>Current</v>
      </c>
      <c r="F1993" s="12" t="str">
        <f t="shared" si="32"/>
        <v>09/20/2017</v>
      </c>
      <c r="G1993" t="str">
        <f>VLOOKUP(A1993,inf!$D$2:$E$76,2,FALSE)</f>
        <v>Other</v>
      </c>
    </row>
    <row r="1994" spans="1:7" x14ac:dyDescent="0.25">
      <c r="A1994" t="s">
        <v>4</v>
      </c>
      <c r="B1994" s="1">
        <v>42998</v>
      </c>
      <c r="C1994" t="s">
        <v>56</v>
      </c>
      <c r="D1994" s="4">
        <v>1134.69</v>
      </c>
      <c r="E1994" s="12" t="str">
        <f>VLOOKUP(C1994,inf!$A$2:$B$7,2,FALSE)</f>
        <v>Current</v>
      </c>
      <c r="F1994" s="12" t="str">
        <f t="shared" si="32"/>
        <v>09/20/2017</v>
      </c>
      <c r="G1994" t="str">
        <f>VLOOKUP(A1994,inf!$D$2:$E$76,2,FALSE)</f>
        <v>Other</v>
      </c>
    </row>
    <row r="1995" spans="1:7" x14ac:dyDescent="0.25">
      <c r="A1995" t="s">
        <v>26</v>
      </c>
      <c r="B1995" s="1">
        <v>42998</v>
      </c>
      <c r="C1995" t="s">
        <v>60</v>
      </c>
      <c r="D1995" s="4">
        <v>1380.77</v>
      </c>
      <c r="E1995" s="12" t="str">
        <f>VLOOKUP(C1995,inf!$A$2:$B$7,2,FALSE)</f>
        <v>Over 90</v>
      </c>
      <c r="F1995" s="12" t="str">
        <f t="shared" si="32"/>
        <v>09/20/2017</v>
      </c>
      <c r="G1995" t="str">
        <f>VLOOKUP(A1995,inf!$D$2:$E$76,2,FALSE)</f>
        <v>Other</v>
      </c>
    </row>
    <row r="1996" spans="1:7" x14ac:dyDescent="0.25">
      <c r="A1996" t="s">
        <v>2</v>
      </c>
      <c r="B1996" s="1">
        <v>42998</v>
      </c>
      <c r="C1996" t="s">
        <v>60</v>
      </c>
      <c r="D1996" s="4">
        <v>6040.4899999999971</v>
      </c>
      <c r="E1996" s="12" t="str">
        <f>VLOOKUP(C1996,inf!$A$2:$B$7,2,FALSE)</f>
        <v>Over 90</v>
      </c>
      <c r="F1996" s="12" t="str">
        <f t="shared" si="32"/>
        <v>09/20/2017</v>
      </c>
      <c r="G1996" t="str">
        <f>VLOOKUP(A1996,inf!$D$2:$E$76,2,FALSE)</f>
        <v>Other</v>
      </c>
    </row>
    <row r="1997" spans="1:7" x14ac:dyDescent="0.25">
      <c r="A1997" t="s">
        <v>32</v>
      </c>
      <c r="B1997" s="1">
        <v>42998</v>
      </c>
      <c r="C1997" t="s">
        <v>58</v>
      </c>
      <c r="D1997" s="4">
        <v>424.53000000000003</v>
      </c>
      <c r="E1997" s="12" t="str">
        <f>VLOOKUP(C1997,inf!$A$2:$B$7,2,FALSE)</f>
        <v>61 to 90</v>
      </c>
      <c r="F1997" s="12" t="str">
        <f t="shared" si="32"/>
        <v>09/20/2017</v>
      </c>
      <c r="G1997" t="str">
        <f>VLOOKUP(A1997,inf!$D$2:$E$76,2,FALSE)</f>
        <v>Other</v>
      </c>
    </row>
    <row r="1998" spans="1:7" x14ac:dyDescent="0.25">
      <c r="A1998" t="s">
        <v>47</v>
      </c>
      <c r="B1998" s="1">
        <v>42998</v>
      </c>
      <c r="C1998" t="s">
        <v>55</v>
      </c>
      <c r="D1998" s="4">
        <v>380.16</v>
      </c>
      <c r="E1998" s="12" t="str">
        <f>VLOOKUP(C1998,inf!$A$2:$B$7,2,FALSE)</f>
        <v>Current</v>
      </c>
      <c r="F1998" s="12" t="str">
        <f t="shared" si="32"/>
        <v>09/20/2017</v>
      </c>
      <c r="G1998" t="str">
        <f>VLOOKUP(A1998,inf!$D$2:$E$76,2,FALSE)</f>
        <v>Other</v>
      </c>
    </row>
    <row r="1999" spans="1:7" x14ac:dyDescent="0.25">
      <c r="A1999" t="s">
        <v>19</v>
      </c>
      <c r="B1999" s="1">
        <v>42998</v>
      </c>
      <c r="C1999" t="s">
        <v>58</v>
      </c>
      <c r="D1999" s="4">
        <v>258.41000000000003</v>
      </c>
      <c r="E1999" s="12" t="str">
        <f>VLOOKUP(C1999,inf!$A$2:$B$7,2,FALSE)</f>
        <v>61 to 90</v>
      </c>
      <c r="F1999" s="12" t="str">
        <f t="shared" si="32"/>
        <v>09/20/2017</v>
      </c>
      <c r="G1999" t="str">
        <f>VLOOKUP(A1999,inf!$D$2:$E$76,2,FALSE)</f>
        <v>Other</v>
      </c>
    </row>
    <row r="2000" spans="1:7" x14ac:dyDescent="0.25">
      <c r="A2000" t="s">
        <v>25</v>
      </c>
      <c r="B2000" s="1">
        <v>42998</v>
      </c>
      <c r="C2000" t="s">
        <v>55</v>
      </c>
      <c r="D2000" s="4">
        <v>555.83999999999992</v>
      </c>
      <c r="E2000" s="12" t="str">
        <f>VLOOKUP(C2000,inf!$A$2:$B$7,2,FALSE)</f>
        <v>Current</v>
      </c>
      <c r="F2000" s="12" t="str">
        <f t="shared" si="32"/>
        <v>09/20/2017</v>
      </c>
      <c r="G2000" t="str">
        <f>VLOOKUP(A2000,inf!$D$2:$E$76,2,FALSE)</f>
        <v>Other</v>
      </c>
    </row>
    <row r="2001" spans="1:7" x14ac:dyDescent="0.25">
      <c r="A2001" t="s">
        <v>25</v>
      </c>
      <c r="B2001" s="1">
        <v>42998</v>
      </c>
      <c r="C2001" t="s">
        <v>57</v>
      </c>
      <c r="D2001" s="4">
        <v>236.56</v>
      </c>
      <c r="E2001" s="12" t="str">
        <f>VLOOKUP(C2001,inf!$A$2:$B$7,2,FALSE)</f>
        <v>31 to 60</v>
      </c>
      <c r="F2001" s="12" t="str">
        <f t="shared" si="32"/>
        <v>09/20/2017</v>
      </c>
      <c r="G2001" t="str">
        <f>VLOOKUP(A2001,inf!$D$2:$E$76,2,FALSE)</f>
        <v>Other</v>
      </c>
    </row>
    <row r="2002" spans="1:7" x14ac:dyDescent="0.25">
      <c r="A2002" t="s">
        <v>25</v>
      </c>
      <c r="B2002" s="1">
        <v>42998</v>
      </c>
      <c r="C2002" t="s">
        <v>58</v>
      </c>
      <c r="D2002" s="4">
        <v>351.41</v>
      </c>
      <c r="E2002" s="12" t="str">
        <f>VLOOKUP(C2002,inf!$A$2:$B$7,2,FALSE)</f>
        <v>61 to 90</v>
      </c>
      <c r="F2002" s="12" t="str">
        <f t="shared" si="32"/>
        <v>09/20/2017</v>
      </c>
      <c r="G2002" t="str">
        <f>VLOOKUP(A2002,inf!$D$2:$E$76,2,FALSE)</f>
        <v>Other</v>
      </c>
    </row>
    <row r="2003" spans="1:7" x14ac:dyDescent="0.25">
      <c r="A2003" t="s">
        <v>31</v>
      </c>
      <c r="B2003" s="1">
        <v>42998</v>
      </c>
      <c r="C2003" t="s">
        <v>55</v>
      </c>
      <c r="D2003" s="4">
        <v>683.39</v>
      </c>
      <c r="E2003" s="12" t="str">
        <f>VLOOKUP(C2003,inf!$A$2:$B$7,2,FALSE)</f>
        <v>Current</v>
      </c>
      <c r="F2003" s="12" t="str">
        <f t="shared" si="32"/>
        <v>09/20/2017</v>
      </c>
      <c r="G2003" t="str">
        <f>VLOOKUP(A2003,inf!$D$2:$E$76,2,FALSE)</f>
        <v>Other</v>
      </c>
    </row>
    <row r="2004" spans="1:7" x14ac:dyDescent="0.25">
      <c r="A2004" t="s">
        <v>31</v>
      </c>
      <c r="B2004" s="1">
        <v>42998</v>
      </c>
      <c r="C2004" t="s">
        <v>56</v>
      </c>
      <c r="D2004" s="4">
        <v>1131.6799999999998</v>
      </c>
      <c r="E2004" s="12" t="str">
        <f>VLOOKUP(C2004,inf!$A$2:$B$7,2,FALSE)</f>
        <v>Current</v>
      </c>
      <c r="F2004" s="12" t="str">
        <f t="shared" si="32"/>
        <v>09/20/2017</v>
      </c>
      <c r="G2004" t="str">
        <f>VLOOKUP(A2004,inf!$D$2:$E$76,2,FALSE)</f>
        <v>Other</v>
      </c>
    </row>
    <row r="2005" spans="1:7" x14ac:dyDescent="0.25">
      <c r="A2005" t="s">
        <v>31</v>
      </c>
      <c r="B2005" s="1">
        <v>42998</v>
      </c>
      <c r="C2005" t="s">
        <v>57</v>
      </c>
      <c r="D2005" s="4">
        <v>153.15</v>
      </c>
      <c r="E2005" s="12" t="str">
        <f>VLOOKUP(C2005,inf!$A$2:$B$7,2,FALSE)</f>
        <v>31 to 60</v>
      </c>
      <c r="F2005" s="12" t="str">
        <f t="shared" si="32"/>
        <v>09/20/2017</v>
      </c>
      <c r="G2005" t="str">
        <f>VLOOKUP(A2005,inf!$D$2:$E$76,2,FALSE)</f>
        <v>Other</v>
      </c>
    </row>
    <row r="2006" spans="1:7" x14ac:dyDescent="0.25">
      <c r="A2006" t="s">
        <v>24</v>
      </c>
      <c r="B2006" s="1">
        <v>42998</v>
      </c>
      <c r="C2006" t="s">
        <v>55</v>
      </c>
      <c r="D2006" s="4">
        <v>1300.21</v>
      </c>
      <c r="E2006" s="12" t="str">
        <f>VLOOKUP(C2006,inf!$A$2:$B$7,2,FALSE)</f>
        <v>Current</v>
      </c>
      <c r="F2006" s="12" t="str">
        <f t="shared" si="32"/>
        <v>09/20/2017</v>
      </c>
      <c r="G2006" t="str">
        <f>VLOOKUP(A2006,inf!$D$2:$E$76,2,FALSE)</f>
        <v>Other</v>
      </c>
    </row>
    <row r="2007" spans="1:7" x14ac:dyDescent="0.25">
      <c r="A2007" t="s">
        <v>18</v>
      </c>
      <c r="B2007" s="1">
        <v>42998</v>
      </c>
      <c r="C2007" t="s">
        <v>55</v>
      </c>
      <c r="D2007" s="4">
        <v>832.47</v>
      </c>
      <c r="E2007" s="12" t="str">
        <f>VLOOKUP(C2007,inf!$A$2:$B$7,2,FALSE)</f>
        <v>Current</v>
      </c>
      <c r="F2007" s="12" t="str">
        <f t="shared" si="32"/>
        <v>09/20/2017</v>
      </c>
      <c r="G2007" t="str">
        <f>VLOOKUP(A2007,inf!$D$2:$E$76,2,FALSE)</f>
        <v>Other</v>
      </c>
    </row>
    <row r="2008" spans="1:7" x14ac:dyDescent="0.25">
      <c r="A2008" t="s">
        <v>27</v>
      </c>
      <c r="B2008" s="1">
        <v>42998</v>
      </c>
      <c r="C2008" t="s">
        <v>55</v>
      </c>
      <c r="D2008" s="4">
        <v>459.86</v>
      </c>
      <c r="E2008" s="12" t="str">
        <f>VLOOKUP(C2008,inf!$A$2:$B$7,2,FALSE)</f>
        <v>Current</v>
      </c>
      <c r="F2008" s="12" t="str">
        <f t="shared" si="32"/>
        <v>09/20/2017</v>
      </c>
      <c r="G2008" t="str">
        <f>VLOOKUP(A2008,inf!$D$2:$E$76,2,FALSE)</f>
        <v>Other</v>
      </c>
    </row>
    <row r="2009" spans="1:7" x14ac:dyDescent="0.25">
      <c r="A2009" t="s">
        <v>62</v>
      </c>
      <c r="B2009" s="1">
        <v>42998</v>
      </c>
      <c r="C2009" t="s">
        <v>55</v>
      </c>
      <c r="D2009" s="4">
        <v>229.7</v>
      </c>
      <c r="E2009" s="12" t="str">
        <f>VLOOKUP(C2009,inf!$A$2:$B$7,2,FALSE)</f>
        <v>Current</v>
      </c>
      <c r="F2009" s="12" t="str">
        <f t="shared" si="32"/>
        <v>09/20/2017</v>
      </c>
      <c r="G2009" t="str">
        <f>VLOOKUP(A2009,inf!$D$2:$E$76,2,FALSE)</f>
        <v>Other</v>
      </c>
    </row>
    <row r="2010" spans="1:7" x14ac:dyDescent="0.25">
      <c r="A2010" t="s">
        <v>62</v>
      </c>
      <c r="B2010" s="1">
        <v>42998</v>
      </c>
      <c r="C2010" t="s">
        <v>56</v>
      </c>
      <c r="D2010" s="4">
        <v>241.51</v>
      </c>
      <c r="E2010" s="12" t="str">
        <f>VLOOKUP(C2010,inf!$A$2:$B$7,2,FALSE)</f>
        <v>Current</v>
      </c>
      <c r="F2010" s="12" t="str">
        <f t="shared" si="32"/>
        <v>09/20/2017</v>
      </c>
      <c r="G2010" t="str">
        <f>VLOOKUP(A2010,inf!$D$2:$E$76,2,FALSE)</f>
        <v>Other</v>
      </c>
    </row>
    <row r="2011" spans="1:7" x14ac:dyDescent="0.25">
      <c r="A2011" t="s">
        <v>53</v>
      </c>
      <c r="B2011" s="1">
        <v>42998</v>
      </c>
      <c r="C2011" t="s">
        <v>56</v>
      </c>
      <c r="D2011" s="4">
        <v>330.29</v>
      </c>
      <c r="E2011" s="12" t="str">
        <f>VLOOKUP(C2011,inf!$A$2:$B$7,2,FALSE)</f>
        <v>Current</v>
      </c>
      <c r="F2011" s="12" t="str">
        <f t="shared" si="32"/>
        <v>09/20/2017</v>
      </c>
      <c r="G2011" t="str">
        <f>VLOOKUP(A2011,inf!$D$2:$E$76,2,FALSE)</f>
        <v>Other</v>
      </c>
    </row>
    <row r="2012" spans="1:7" x14ac:dyDescent="0.25">
      <c r="A2012" t="s">
        <v>3</v>
      </c>
      <c r="B2012" s="1">
        <v>42998</v>
      </c>
      <c r="C2012" t="s">
        <v>55</v>
      </c>
      <c r="D2012" s="4">
        <v>394.81</v>
      </c>
      <c r="E2012" s="12" t="str">
        <f>VLOOKUP(C2012,inf!$A$2:$B$7,2,FALSE)</f>
        <v>Current</v>
      </c>
      <c r="F2012" s="12" t="str">
        <f t="shared" si="32"/>
        <v>09/20/2017</v>
      </c>
      <c r="G2012" t="str">
        <f>VLOOKUP(A2012,inf!$D$2:$E$76,2,FALSE)</f>
        <v>Other</v>
      </c>
    </row>
    <row r="2013" spans="1:7" x14ac:dyDescent="0.25">
      <c r="A2013" t="s">
        <v>30</v>
      </c>
      <c r="B2013" s="1">
        <v>42998</v>
      </c>
      <c r="C2013" t="s">
        <v>55</v>
      </c>
      <c r="D2013" s="4">
        <v>687.36</v>
      </c>
      <c r="E2013" s="12" t="str">
        <f>VLOOKUP(C2013,inf!$A$2:$B$7,2,FALSE)</f>
        <v>Current</v>
      </c>
      <c r="F2013" s="12" t="str">
        <f t="shared" si="32"/>
        <v>09/20/2017</v>
      </c>
      <c r="G2013" t="str">
        <f>VLOOKUP(A2013,inf!$D$2:$E$76,2,FALSE)</f>
        <v>Other</v>
      </c>
    </row>
    <row r="2014" spans="1:7" x14ac:dyDescent="0.25">
      <c r="A2014" t="s">
        <v>30</v>
      </c>
      <c r="B2014" s="1">
        <v>42998</v>
      </c>
      <c r="C2014" t="s">
        <v>56</v>
      </c>
      <c r="D2014" s="4">
        <v>1608.51</v>
      </c>
      <c r="E2014" s="12" t="str">
        <f>VLOOKUP(C2014,inf!$A$2:$B$7,2,FALSE)</f>
        <v>Current</v>
      </c>
      <c r="F2014" s="12" t="str">
        <f t="shared" si="32"/>
        <v>09/20/2017</v>
      </c>
      <c r="G2014" t="str">
        <f>VLOOKUP(A2014,inf!$D$2:$E$76,2,FALSE)</f>
        <v>Other</v>
      </c>
    </row>
    <row r="2015" spans="1:7" x14ac:dyDescent="0.25">
      <c r="A2015" t="s">
        <v>63</v>
      </c>
      <c r="B2015" s="1">
        <v>42998</v>
      </c>
      <c r="C2015" t="s">
        <v>55</v>
      </c>
      <c r="D2015" s="4">
        <v>170.49</v>
      </c>
      <c r="E2015" s="12" t="str">
        <f>VLOOKUP(C2015,inf!$A$2:$B$7,2,FALSE)</f>
        <v>Current</v>
      </c>
      <c r="F2015" s="12" t="str">
        <f t="shared" si="32"/>
        <v>09/20/2017</v>
      </c>
      <c r="G2015" t="str">
        <f>VLOOKUP(A2015,inf!$D$2:$E$76,2,FALSE)</f>
        <v>Other</v>
      </c>
    </row>
    <row r="2016" spans="1:7" x14ac:dyDescent="0.25">
      <c r="A2016" t="s">
        <v>12</v>
      </c>
      <c r="B2016" s="1">
        <v>42998</v>
      </c>
      <c r="C2016" t="s">
        <v>55</v>
      </c>
      <c r="D2016" s="4">
        <v>1055.08</v>
      </c>
      <c r="E2016" s="12" t="str">
        <f>VLOOKUP(C2016,inf!$A$2:$B$7,2,FALSE)</f>
        <v>Current</v>
      </c>
      <c r="F2016" s="12" t="str">
        <f t="shared" si="32"/>
        <v>09/20/2017</v>
      </c>
      <c r="G2016" t="str">
        <f>VLOOKUP(A2016,inf!$D$2:$E$76,2,FALSE)</f>
        <v>Other</v>
      </c>
    </row>
    <row r="2017" spans="1:7" x14ac:dyDescent="0.25">
      <c r="A2017" t="s">
        <v>12</v>
      </c>
      <c r="B2017" s="1">
        <v>42998</v>
      </c>
      <c r="C2017" t="s">
        <v>56</v>
      </c>
      <c r="D2017" s="4">
        <v>1819.16</v>
      </c>
      <c r="E2017" s="12" t="str">
        <f>VLOOKUP(C2017,inf!$A$2:$B$7,2,FALSE)</f>
        <v>Current</v>
      </c>
      <c r="F2017" s="12" t="str">
        <f t="shared" si="32"/>
        <v>09/20/2017</v>
      </c>
      <c r="G2017" t="str">
        <f>VLOOKUP(A2017,inf!$D$2:$E$76,2,FALSE)</f>
        <v>Other</v>
      </c>
    </row>
    <row r="2018" spans="1:7" x14ac:dyDescent="0.25">
      <c r="A2018" t="s">
        <v>12</v>
      </c>
      <c r="B2018" s="1">
        <v>42998</v>
      </c>
      <c r="C2018" t="s">
        <v>58</v>
      </c>
      <c r="D2018" s="4">
        <v>229.94</v>
      </c>
      <c r="E2018" s="12" t="str">
        <f>VLOOKUP(C2018,inf!$A$2:$B$7,2,FALSE)</f>
        <v>61 to 90</v>
      </c>
      <c r="F2018" s="12" t="str">
        <f t="shared" si="32"/>
        <v>09/20/2017</v>
      </c>
      <c r="G2018" t="str">
        <f>VLOOKUP(A2018,inf!$D$2:$E$76,2,FALSE)</f>
        <v>Other</v>
      </c>
    </row>
    <row r="2019" spans="1:7" x14ac:dyDescent="0.25">
      <c r="A2019" t="s">
        <v>12</v>
      </c>
      <c r="B2019" s="1">
        <v>42998</v>
      </c>
      <c r="C2019" t="s">
        <v>59</v>
      </c>
      <c r="D2019" s="4">
        <v>165</v>
      </c>
      <c r="E2019" s="12" t="str">
        <f>VLOOKUP(C2019,inf!$A$2:$B$7,2,FALSE)</f>
        <v>Over 90</v>
      </c>
      <c r="F2019" s="12" t="str">
        <f t="shared" si="32"/>
        <v>09/20/2017</v>
      </c>
      <c r="G2019" t="str">
        <f>VLOOKUP(A2019,inf!$D$2:$E$76,2,FALSE)</f>
        <v>Other</v>
      </c>
    </row>
    <row r="2020" spans="1:7" x14ac:dyDescent="0.25">
      <c r="A2020" t="s">
        <v>50</v>
      </c>
      <c r="B2020" s="1">
        <v>42998</v>
      </c>
      <c r="C2020" t="s">
        <v>55</v>
      </c>
      <c r="D2020" s="4">
        <v>495.71</v>
      </c>
      <c r="E2020" s="12" t="str">
        <f>VLOOKUP(C2020,inf!$A$2:$B$7,2,FALSE)</f>
        <v>Current</v>
      </c>
      <c r="F2020" s="12" t="str">
        <f t="shared" si="32"/>
        <v>09/20/2017</v>
      </c>
      <c r="G2020" t="str">
        <f>VLOOKUP(A2020,inf!$D$2:$E$76,2,FALSE)</f>
        <v>Other</v>
      </c>
    </row>
    <row r="2021" spans="1:7" x14ac:dyDescent="0.25">
      <c r="A2021" t="s">
        <v>73</v>
      </c>
      <c r="B2021" s="1">
        <v>42998</v>
      </c>
      <c r="C2021" t="s">
        <v>55</v>
      </c>
      <c r="D2021" s="4">
        <v>254.21</v>
      </c>
      <c r="E2021" s="12" t="str">
        <f>VLOOKUP(C2021,inf!$A$2:$B$7,2,FALSE)</f>
        <v>Current</v>
      </c>
      <c r="F2021" s="12" t="str">
        <f t="shared" si="32"/>
        <v>09/20/2017</v>
      </c>
      <c r="G2021" t="str">
        <f>VLOOKUP(A2021,inf!$D$2:$E$76,2,FALSE)</f>
        <v>Other</v>
      </c>
    </row>
    <row r="2022" spans="1:7" x14ac:dyDescent="0.25">
      <c r="A2022" t="s">
        <v>7</v>
      </c>
      <c r="B2022" s="1">
        <v>42998</v>
      </c>
      <c r="C2022" t="s">
        <v>55</v>
      </c>
      <c r="D2022" s="4">
        <v>83141.209999999977</v>
      </c>
      <c r="E2022" s="12" t="str">
        <f>VLOOKUP(C2022,inf!$A$2:$B$7,2,FALSE)</f>
        <v>Current</v>
      </c>
      <c r="F2022" s="12" t="str">
        <f t="shared" si="32"/>
        <v>09/20/2017</v>
      </c>
      <c r="G2022" t="str">
        <f>VLOOKUP(A2022,inf!$D$2:$E$76,2,FALSE)</f>
        <v>SAFEWAY</v>
      </c>
    </row>
    <row r="2023" spans="1:7" x14ac:dyDescent="0.25">
      <c r="A2023" t="s">
        <v>7</v>
      </c>
      <c r="B2023" s="1">
        <v>42998</v>
      </c>
      <c r="C2023" t="s">
        <v>56</v>
      </c>
      <c r="D2023" s="4">
        <v>23673.64</v>
      </c>
      <c r="E2023" s="12" t="str">
        <f>VLOOKUP(C2023,inf!$A$2:$B$7,2,FALSE)</f>
        <v>Current</v>
      </c>
      <c r="F2023" s="12" t="str">
        <f t="shared" si="32"/>
        <v>09/20/2017</v>
      </c>
      <c r="G2023" t="str">
        <f>VLOOKUP(A2023,inf!$D$2:$E$76,2,FALSE)</f>
        <v>SAFEWAY</v>
      </c>
    </row>
    <row r="2024" spans="1:7" x14ac:dyDescent="0.25">
      <c r="A2024" t="s">
        <v>7</v>
      </c>
      <c r="B2024" s="1">
        <v>42998</v>
      </c>
      <c r="C2024" t="s">
        <v>57</v>
      </c>
      <c r="D2024" s="4">
        <v>1780.31</v>
      </c>
      <c r="E2024" s="12" t="str">
        <f>VLOOKUP(C2024,inf!$A$2:$B$7,2,FALSE)</f>
        <v>31 to 60</v>
      </c>
      <c r="F2024" s="12" t="str">
        <f t="shared" si="32"/>
        <v>09/20/2017</v>
      </c>
      <c r="G2024" t="str">
        <f>VLOOKUP(A2024,inf!$D$2:$E$76,2,FALSE)</f>
        <v>SAFEWAY</v>
      </c>
    </row>
    <row r="2025" spans="1:7" x14ac:dyDescent="0.25">
      <c r="A2025" t="s">
        <v>7</v>
      </c>
      <c r="B2025" s="1">
        <v>42998</v>
      </c>
      <c r="C2025" t="s">
        <v>58</v>
      </c>
      <c r="D2025" s="4">
        <v>1453.7600000000002</v>
      </c>
      <c r="E2025" s="12" t="str">
        <f>VLOOKUP(C2025,inf!$A$2:$B$7,2,FALSE)</f>
        <v>61 to 90</v>
      </c>
      <c r="F2025" s="12" t="str">
        <f t="shared" si="32"/>
        <v>09/20/2017</v>
      </c>
      <c r="G2025" t="str">
        <f>VLOOKUP(A2025,inf!$D$2:$E$76,2,FALSE)</f>
        <v>SAFEWAY</v>
      </c>
    </row>
    <row r="2026" spans="1:7" x14ac:dyDescent="0.25">
      <c r="A2026" t="s">
        <v>7</v>
      </c>
      <c r="B2026" s="1">
        <v>42998</v>
      </c>
      <c r="C2026" t="s">
        <v>59</v>
      </c>
      <c r="D2026" s="4">
        <v>553.29999999999995</v>
      </c>
      <c r="E2026" s="12" t="str">
        <f>VLOOKUP(C2026,inf!$A$2:$B$7,2,FALSE)</f>
        <v>Over 90</v>
      </c>
      <c r="F2026" s="12" t="str">
        <f t="shared" si="32"/>
        <v>09/20/2017</v>
      </c>
      <c r="G2026" t="str">
        <f>VLOOKUP(A2026,inf!$D$2:$E$76,2,FALSE)</f>
        <v>SAFEWAY</v>
      </c>
    </row>
    <row r="2027" spans="1:7" x14ac:dyDescent="0.25">
      <c r="A2027" t="s">
        <v>74</v>
      </c>
      <c r="B2027" s="1">
        <v>42998</v>
      </c>
      <c r="C2027" t="s">
        <v>55</v>
      </c>
      <c r="D2027" s="4">
        <v>742.26</v>
      </c>
      <c r="E2027" s="12" t="str">
        <f>VLOOKUP(C2027,inf!$A$2:$B$7,2,FALSE)</f>
        <v>Current</v>
      </c>
      <c r="F2027" s="12" t="str">
        <f t="shared" si="32"/>
        <v>09/20/2017</v>
      </c>
      <c r="G2027" t="str">
        <f>VLOOKUP(A2027,inf!$D$2:$E$76,2,FALSE)</f>
        <v>Other</v>
      </c>
    </row>
    <row r="2028" spans="1:7" x14ac:dyDescent="0.25">
      <c r="A2028" t="s">
        <v>5</v>
      </c>
      <c r="B2028" s="1">
        <v>42998</v>
      </c>
      <c r="C2028" t="s">
        <v>55</v>
      </c>
      <c r="D2028" s="4">
        <v>5887623.0299996687</v>
      </c>
      <c r="E2028" s="12" t="str">
        <f>VLOOKUP(C2028,inf!$A$2:$B$7,2,FALSE)</f>
        <v>Current</v>
      </c>
      <c r="F2028" s="12" t="str">
        <f t="shared" si="32"/>
        <v>09/20/2017</v>
      </c>
      <c r="G2028" t="str">
        <f>VLOOKUP(A2028,inf!$D$2:$E$76,2,FALSE)</f>
        <v>SBUX</v>
      </c>
    </row>
    <row r="2029" spans="1:7" x14ac:dyDescent="0.25">
      <c r="A2029" t="s">
        <v>5</v>
      </c>
      <c r="B2029" s="1">
        <v>42998</v>
      </c>
      <c r="C2029" t="s">
        <v>56</v>
      </c>
      <c r="D2029" s="4">
        <v>46418.479999999996</v>
      </c>
      <c r="E2029" s="12" t="str">
        <f>VLOOKUP(C2029,inf!$A$2:$B$7,2,FALSE)</f>
        <v>Current</v>
      </c>
      <c r="F2029" s="12" t="str">
        <f t="shared" si="32"/>
        <v>09/20/2017</v>
      </c>
      <c r="G2029" t="str">
        <f>VLOOKUP(A2029,inf!$D$2:$E$76,2,FALSE)</f>
        <v>SBUX</v>
      </c>
    </row>
    <row r="2030" spans="1:7" x14ac:dyDescent="0.25">
      <c r="A2030" t="s">
        <v>5</v>
      </c>
      <c r="B2030" s="1">
        <v>42998</v>
      </c>
      <c r="C2030" t="s">
        <v>57</v>
      </c>
      <c r="D2030" s="4">
        <v>44030.33</v>
      </c>
      <c r="E2030" s="12" t="str">
        <f>VLOOKUP(C2030,inf!$A$2:$B$7,2,FALSE)</f>
        <v>31 to 60</v>
      </c>
      <c r="F2030" s="12" t="str">
        <f t="shared" si="32"/>
        <v>09/20/2017</v>
      </c>
      <c r="G2030" t="str">
        <f>VLOOKUP(A2030,inf!$D$2:$E$76,2,FALSE)</f>
        <v>SBUX</v>
      </c>
    </row>
    <row r="2031" spans="1:7" x14ac:dyDescent="0.25">
      <c r="A2031" t="s">
        <v>5</v>
      </c>
      <c r="B2031" s="1">
        <v>42998</v>
      </c>
      <c r="C2031" t="s">
        <v>58</v>
      </c>
      <c r="D2031" s="4">
        <v>13608.969999999998</v>
      </c>
      <c r="E2031" s="12" t="str">
        <f>VLOOKUP(C2031,inf!$A$2:$B$7,2,FALSE)</f>
        <v>61 to 90</v>
      </c>
      <c r="F2031" s="12" t="str">
        <f t="shared" si="32"/>
        <v>09/20/2017</v>
      </c>
      <c r="G2031" t="str">
        <f>VLOOKUP(A2031,inf!$D$2:$E$76,2,FALSE)</f>
        <v>SBUX</v>
      </c>
    </row>
    <row r="2032" spans="1:7" x14ac:dyDescent="0.25">
      <c r="A2032" t="s">
        <v>5</v>
      </c>
      <c r="B2032" s="1">
        <v>42998</v>
      </c>
      <c r="C2032" t="s">
        <v>59</v>
      </c>
      <c r="D2032" s="4">
        <v>47301.419999999991</v>
      </c>
      <c r="E2032" s="12" t="str">
        <f>VLOOKUP(C2032,inf!$A$2:$B$7,2,FALSE)</f>
        <v>Over 90</v>
      </c>
      <c r="F2032" s="12" t="str">
        <f t="shared" si="32"/>
        <v>09/20/2017</v>
      </c>
      <c r="G2032" t="str">
        <f>VLOOKUP(A2032,inf!$D$2:$E$76,2,FALSE)</f>
        <v>SBUX</v>
      </c>
    </row>
    <row r="2033" spans="1:7" x14ac:dyDescent="0.25">
      <c r="A2033" t="s">
        <v>5</v>
      </c>
      <c r="B2033" s="1">
        <v>42998</v>
      </c>
      <c r="C2033" t="s">
        <v>60</v>
      </c>
      <c r="D2033" s="4">
        <v>139959.38000000003</v>
      </c>
      <c r="E2033" s="12" t="str">
        <f>VLOOKUP(C2033,inf!$A$2:$B$7,2,FALSE)</f>
        <v>Over 90</v>
      </c>
      <c r="F2033" s="12" t="str">
        <f t="shared" si="32"/>
        <v>09/20/2017</v>
      </c>
      <c r="G2033" t="str">
        <f>VLOOKUP(A2033,inf!$D$2:$E$76,2,FALSE)</f>
        <v>SBUX</v>
      </c>
    </row>
    <row r="2034" spans="1:7" x14ac:dyDescent="0.25">
      <c r="A2034" t="s">
        <v>6</v>
      </c>
      <c r="B2034" s="1">
        <v>42998</v>
      </c>
      <c r="C2034" t="s">
        <v>55</v>
      </c>
      <c r="D2034" s="4">
        <v>499625.18999999977</v>
      </c>
      <c r="E2034" s="12" t="str">
        <f>VLOOKUP(C2034,inf!$A$2:$B$7,2,FALSE)</f>
        <v>Current</v>
      </c>
      <c r="F2034" s="12" t="str">
        <f t="shared" si="32"/>
        <v>09/20/2017</v>
      </c>
      <c r="G2034" t="str">
        <f>VLOOKUP(A2034,inf!$D$2:$E$76,2,FALSE)</f>
        <v>SBUX</v>
      </c>
    </row>
    <row r="2035" spans="1:7" x14ac:dyDescent="0.25">
      <c r="A2035" t="s">
        <v>6</v>
      </c>
      <c r="B2035" s="1">
        <v>42998</v>
      </c>
      <c r="C2035" t="s">
        <v>56</v>
      </c>
      <c r="D2035" s="4">
        <v>27530.470000000019</v>
      </c>
      <c r="E2035" s="12" t="str">
        <f>VLOOKUP(C2035,inf!$A$2:$B$7,2,FALSE)</f>
        <v>Current</v>
      </c>
      <c r="F2035" s="12" t="str">
        <f t="shared" si="32"/>
        <v>09/20/2017</v>
      </c>
      <c r="G2035" t="str">
        <f>VLOOKUP(A2035,inf!$D$2:$E$76,2,FALSE)</f>
        <v>SBUX</v>
      </c>
    </row>
    <row r="2036" spans="1:7" x14ac:dyDescent="0.25">
      <c r="A2036" t="s">
        <v>6</v>
      </c>
      <c r="B2036" s="1">
        <v>42998</v>
      </c>
      <c r="C2036" t="s">
        <v>57</v>
      </c>
      <c r="D2036" s="4">
        <v>5422.2000000000007</v>
      </c>
      <c r="E2036" s="12" t="str">
        <f>VLOOKUP(C2036,inf!$A$2:$B$7,2,FALSE)</f>
        <v>31 to 60</v>
      </c>
      <c r="F2036" s="12" t="str">
        <f t="shared" si="32"/>
        <v>09/20/2017</v>
      </c>
      <c r="G2036" t="str">
        <f>VLOOKUP(A2036,inf!$D$2:$E$76,2,FALSE)</f>
        <v>SBUX</v>
      </c>
    </row>
    <row r="2037" spans="1:7" x14ac:dyDescent="0.25">
      <c r="A2037" t="s">
        <v>6</v>
      </c>
      <c r="B2037" s="1">
        <v>42998</v>
      </c>
      <c r="C2037" t="s">
        <v>58</v>
      </c>
      <c r="D2037" s="4">
        <v>2758.24</v>
      </c>
      <c r="E2037" s="12" t="str">
        <f>VLOOKUP(C2037,inf!$A$2:$B$7,2,FALSE)</f>
        <v>61 to 90</v>
      </c>
      <c r="F2037" s="12" t="str">
        <f t="shared" si="32"/>
        <v>09/20/2017</v>
      </c>
      <c r="G2037" t="str">
        <f>VLOOKUP(A2037,inf!$D$2:$E$76,2,FALSE)</f>
        <v>SBUX</v>
      </c>
    </row>
    <row r="2038" spans="1:7" x14ac:dyDescent="0.25">
      <c r="A2038" t="s">
        <v>6</v>
      </c>
      <c r="B2038" s="1">
        <v>42998</v>
      </c>
      <c r="C2038" t="s">
        <v>59</v>
      </c>
      <c r="D2038" s="4">
        <v>279</v>
      </c>
      <c r="E2038" s="12" t="str">
        <f>VLOOKUP(C2038,inf!$A$2:$B$7,2,FALSE)</f>
        <v>Over 90</v>
      </c>
      <c r="F2038" s="12" t="str">
        <f t="shared" si="32"/>
        <v>09/20/2017</v>
      </c>
      <c r="G2038" t="str">
        <f>VLOOKUP(A2038,inf!$D$2:$E$76,2,FALSE)</f>
        <v>SBUX</v>
      </c>
    </row>
    <row r="2039" spans="1:7" x14ac:dyDescent="0.25">
      <c r="A2039" t="s">
        <v>6</v>
      </c>
      <c r="B2039" s="1">
        <v>42998</v>
      </c>
      <c r="C2039" t="s">
        <v>60</v>
      </c>
      <c r="D2039" s="4">
        <v>13922.550000000005</v>
      </c>
      <c r="E2039" s="12" t="str">
        <f>VLOOKUP(C2039,inf!$A$2:$B$7,2,FALSE)</f>
        <v>Over 90</v>
      </c>
      <c r="F2039" s="12" t="str">
        <f t="shared" si="32"/>
        <v>09/20/2017</v>
      </c>
      <c r="G2039" t="str">
        <f>VLOOKUP(A2039,inf!$D$2:$E$76,2,FALSE)</f>
        <v>SBUX</v>
      </c>
    </row>
    <row r="2040" spans="1:7" x14ac:dyDescent="0.25">
      <c r="A2040" t="s">
        <v>49</v>
      </c>
      <c r="B2040" s="1">
        <v>42998</v>
      </c>
      <c r="C2040" t="s">
        <v>58</v>
      </c>
      <c r="D2040" s="4">
        <v>150.36000000000001</v>
      </c>
      <c r="E2040" s="12" t="str">
        <f>VLOOKUP(C2040,inf!$A$2:$B$7,2,FALSE)</f>
        <v>61 to 90</v>
      </c>
      <c r="F2040" s="12" t="str">
        <f t="shared" si="32"/>
        <v>09/20/2017</v>
      </c>
      <c r="G2040" t="str">
        <f>VLOOKUP(A2040,inf!$D$2:$E$76,2,FALSE)</f>
        <v>Other</v>
      </c>
    </row>
    <row r="2041" spans="1:7" x14ac:dyDescent="0.25">
      <c r="A2041" t="s">
        <v>48</v>
      </c>
      <c r="B2041" s="1">
        <v>42998</v>
      </c>
      <c r="C2041" t="s">
        <v>55</v>
      </c>
      <c r="D2041" s="4">
        <v>405029.0400000001</v>
      </c>
      <c r="E2041" s="12" t="str">
        <f>VLOOKUP(C2041,inf!$A$2:$B$7,2,FALSE)</f>
        <v>Current</v>
      </c>
      <c r="F2041" s="12" t="str">
        <f t="shared" si="32"/>
        <v>09/20/2017</v>
      </c>
      <c r="G2041" t="str">
        <f>VLOOKUP(A2041,inf!$D$2:$E$76,2,FALSE)</f>
        <v>Target</v>
      </c>
    </row>
    <row r="2042" spans="1:7" x14ac:dyDescent="0.25">
      <c r="A2042" t="s">
        <v>48</v>
      </c>
      <c r="B2042" s="1">
        <v>42998</v>
      </c>
      <c r="C2042" t="s">
        <v>56</v>
      </c>
      <c r="D2042" s="4">
        <v>6672.1</v>
      </c>
      <c r="E2042" s="12" t="str">
        <f>VLOOKUP(C2042,inf!$A$2:$B$7,2,FALSE)</f>
        <v>Current</v>
      </c>
      <c r="F2042" s="12" t="str">
        <f t="shared" si="32"/>
        <v>09/20/2017</v>
      </c>
      <c r="G2042" t="str">
        <f>VLOOKUP(A2042,inf!$D$2:$E$76,2,FALSE)</f>
        <v>Target</v>
      </c>
    </row>
    <row r="2043" spans="1:7" x14ac:dyDescent="0.25">
      <c r="A2043" t="s">
        <v>48</v>
      </c>
      <c r="B2043" s="1">
        <v>42998</v>
      </c>
      <c r="C2043" t="s">
        <v>57</v>
      </c>
      <c r="D2043" s="4">
        <v>1823.28</v>
      </c>
      <c r="E2043" s="12" t="str">
        <f>VLOOKUP(C2043,inf!$A$2:$B$7,2,FALSE)</f>
        <v>31 to 60</v>
      </c>
      <c r="F2043" s="12" t="str">
        <f t="shared" si="32"/>
        <v>09/20/2017</v>
      </c>
      <c r="G2043" t="str">
        <f>VLOOKUP(A2043,inf!$D$2:$E$76,2,FALSE)</f>
        <v>Target</v>
      </c>
    </row>
    <row r="2044" spans="1:7" x14ac:dyDescent="0.25">
      <c r="A2044" t="s">
        <v>8</v>
      </c>
      <c r="B2044" s="1">
        <v>42998</v>
      </c>
      <c r="C2044" t="s">
        <v>55</v>
      </c>
      <c r="D2044" s="4">
        <v>514571.7</v>
      </c>
      <c r="E2044" s="12" t="str">
        <f>VLOOKUP(C2044,inf!$A$2:$B$7,2,FALSE)</f>
        <v>Current</v>
      </c>
      <c r="F2044" s="12" t="str">
        <f t="shared" si="32"/>
        <v>09/20/2017</v>
      </c>
      <c r="G2044" t="str">
        <f>VLOOKUP(A2044,inf!$D$2:$E$76,2,FALSE)</f>
        <v>Target</v>
      </c>
    </row>
    <row r="2045" spans="1:7" x14ac:dyDescent="0.25">
      <c r="A2045" t="s">
        <v>8</v>
      </c>
      <c r="B2045" s="1">
        <v>42998</v>
      </c>
      <c r="C2045" t="s">
        <v>56</v>
      </c>
      <c r="D2045" s="4">
        <v>6190.64</v>
      </c>
      <c r="E2045" s="12" t="str">
        <f>VLOOKUP(C2045,inf!$A$2:$B$7,2,FALSE)</f>
        <v>Current</v>
      </c>
      <c r="F2045" s="12" t="str">
        <f t="shared" si="32"/>
        <v>09/20/2017</v>
      </c>
      <c r="G2045" t="str">
        <f>VLOOKUP(A2045,inf!$D$2:$E$76,2,FALSE)</f>
        <v>Target</v>
      </c>
    </row>
    <row r="2046" spans="1:7" x14ac:dyDescent="0.25">
      <c r="A2046" t="s">
        <v>8</v>
      </c>
      <c r="B2046" s="1">
        <v>42998</v>
      </c>
      <c r="C2046" t="s">
        <v>57</v>
      </c>
      <c r="D2046" s="4">
        <v>5163.99</v>
      </c>
      <c r="E2046" s="12" t="str">
        <f>VLOOKUP(C2046,inf!$A$2:$B$7,2,FALSE)</f>
        <v>31 to 60</v>
      </c>
      <c r="F2046" s="12" t="str">
        <f t="shared" si="32"/>
        <v>09/20/2017</v>
      </c>
      <c r="G2046" t="str">
        <f>VLOOKUP(A2046,inf!$D$2:$E$76,2,FALSE)</f>
        <v>Target</v>
      </c>
    </row>
    <row r="2047" spans="1:7" x14ac:dyDescent="0.25">
      <c r="A2047" t="s">
        <v>8</v>
      </c>
      <c r="B2047" s="1">
        <v>42998</v>
      </c>
      <c r="C2047" t="s">
        <v>58</v>
      </c>
      <c r="D2047" s="4">
        <v>9170.99</v>
      </c>
      <c r="E2047" s="12" t="str">
        <f>VLOOKUP(C2047,inf!$A$2:$B$7,2,FALSE)</f>
        <v>61 to 90</v>
      </c>
      <c r="F2047" s="12" t="str">
        <f t="shared" si="32"/>
        <v>09/20/2017</v>
      </c>
      <c r="G2047" t="str">
        <f>VLOOKUP(A2047,inf!$D$2:$E$76,2,FALSE)</f>
        <v>Target</v>
      </c>
    </row>
    <row r="2048" spans="1:7" x14ac:dyDescent="0.25">
      <c r="A2048" t="s">
        <v>8</v>
      </c>
      <c r="B2048" s="1">
        <v>42998</v>
      </c>
      <c r="C2048" t="s">
        <v>59</v>
      </c>
      <c r="D2048" s="4">
        <v>4022.95</v>
      </c>
      <c r="E2048" s="12" t="str">
        <f>VLOOKUP(C2048,inf!$A$2:$B$7,2,FALSE)</f>
        <v>Over 90</v>
      </c>
      <c r="F2048" s="12" t="str">
        <f t="shared" si="32"/>
        <v>09/20/2017</v>
      </c>
      <c r="G2048" t="str">
        <f>VLOOKUP(A2048,inf!$D$2:$E$76,2,FALSE)</f>
        <v>Target</v>
      </c>
    </row>
    <row r="2049" spans="1:7" x14ac:dyDescent="0.25">
      <c r="A2049" t="s">
        <v>8</v>
      </c>
      <c r="B2049" s="1">
        <v>42998</v>
      </c>
      <c r="C2049" t="s">
        <v>60</v>
      </c>
      <c r="D2049" s="4">
        <v>57494.599999999977</v>
      </c>
      <c r="E2049" s="12" t="str">
        <f>VLOOKUP(C2049,inf!$A$2:$B$7,2,FALSE)</f>
        <v>Over 90</v>
      </c>
      <c r="F2049" s="12" t="str">
        <f t="shared" si="32"/>
        <v>09/20/2017</v>
      </c>
      <c r="G2049" t="str">
        <f>VLOOKUP(A2049,inf!$D$2:$E$76,2,FALSE)</f>
        <v>Target</v>
      </c>
    </row>
    <row r="2050" spans="1:7" x14ac:dyDescent="0.25">
      <c r="A2050" t="s">
        <v>54</v>
      </c>
      <c r="B2050" s="1">
        <v>42998</v>
      </c>
      <c r="C2050" t="s">
        <v>55</v>
      </c>
      <c r="D2050" s="4">
        <v>821.42000000000007</v>
      </c>
      <c r="E2050" s="12" t="str">
        <f>VLOOKUP(C2050,inf!$A$2:$B$7,2,FALSE)</f>
        <v>Current</v>
      </c>
      <c r="F2050" s="12" t="str">
        <f t="shared" si="32"/>
        <v>09/20/2017</v>
      </c>
      <c r="G2050" t="str">
        <f>VLOOKUP(A2050,inf!$D$2:$E$76,2,FALSE)</f>
        <v>Other</v>
      </c>
    </row>
    <row r="2051" spans="1:7" x14ac:dyDescent="0.25">
      <c r="A2051" t="s">
        <v>54</v>
      </c>
      <c r="B2051" s="1">
        <v>42998</v>
      </c>
      <c r="C2051" t="s">
        <v>56</v>
      </c>
      <c r="D2051" s="4">
        <v>673.21</v>
      </c>
      <c r="E2051" s="12" t="str">
        <f>VLOOKUP(C2051,inf!$A$2:$B$7,2,FALSE)</f>
        <v>Current</v>
      </c>
      <c r="F2051" s="12" t="str">
        <f t="shared" ref="F2051:F2114" si="33">TEXT(B2051,"MM/DD/YYYY")</f>
        <v>09/20/2017</v>
      </c>
      <c r="G2051" t="str">
        <f>VLOOKUP(A2051,inf!$D$2:$E$76,2,FALSE)</f>
        <v>Other</v>
      </c>
    </row>
    <row r="2052" spans="1:7" x14ac:dyDescent="0.25">
      <c r="A2052" t="s">
        <v>54</v>
      </c>
      <c r="B2052" s="1">
        <v>42998</v>
      </c>
      <c r="C2052" t="s">
        <v>57</v>
      </c>
      <c r="D2052" s="4">
        <v>625.5</v>
      </c>
      <c r="E2052" s="12" t="str">
        <f>VLOOKUP(C2052,inf!$A$2:$B$7,2,FALSE)</f>
        <v>31 to 60</v>
      </c>
      <c r="F2052" s="12" t="str">
        <f t="shared" si="33"/>
        <v>09/20/2017</v>
      </c>
      <c r="G2052" t="str">
        <f>VLOOKUP(A2052,inf!$D$2:$E$76,2,FALSE)</f>
        <v>Other</v>
      </c>
    </row>
    <row r="2053" spans="1:7" x14ac:dyDescent="0.25">
      <c r="A2053" t="s">
        <v>54</v>
      </c>
      <c r="B2053" s="1">
        <v>42998</v>
      </c>
      <c r="C2053" t="s">
        <v>58</v>
      </c>
      <c r="D2053" s="4">
        <v>801.73</v>
      </c>
      <c r="E2053" s="12" t="str">
        <f>VLOOKUP(C2053,inf!$A$2:$B$7,2,FALSE)</f>
        <v>61 to 90</v>
      </c>
      <c r="F2053" s="12" t="str">
        <f t="shared" si="33"/>
        <v>09/20/2017</v>
      </c>
      <c r="G2053" t="str">
        <f>VLOOKUP(A2053,inf!$D$2:$E$76,2,FALSE)</f>
        <v>Other</v>
      </c>
    </row>
    <row r="2054" spans="1:7" x14ac:dyDescent="0.25">
      <c r="A2054" t="s">
        <v>28</v>
      </c>
      <c r="B2054" s="1">
        <v>42998</v>
      </c>
      <c r="C2054" t="s">
        <v>55</v>
      </c>
      <c r="D2054" s="4">
        <v>3672.0699999999997</v>
      </c>
      <c r="E2054" s="12" t="str">
        <f>VLOOKUP(C2054,inf!$A$2:$B$7,2,FALSE)</f>
        <v>Current</v>
      </c>
      <c r="F2054" s="12" t="str">
        <f t="shared" si="33"/>
        <v>09/20/2017</v>
      </c>
      <c r="G2054" t="str">
        <f>VLOOKUP(A2054,inf!$D$2:$E$76,2,FALSE)</f>
        <v>Other</v>
      </c>
    </row>
    <row r="2055" spans="1:7" x14ac:dyDescent="0.25">
      <c r="A2055" t="s">
        <v>28</v>
      </c>
      <c r="B2055" s="1">
        <v>42998</v>
      </c>
      <c r="C2055" t="s">
        <v>60</v>
      </c>
      <c r="D2055" s="4">
        <v>187.75</v>
      </c>
      <c r="E2055" s="12" t="str">
        <f>VLOOKUP(C2055,inf!$A$2:$B$7,2,FALSE)</f>
        <v>Over 90</v>
      </c>
      <c r="F2055" s="12" t="str">
        <f t="shared" si="33"/>
        <v>09/20/2017</v>
      </c>
      <c r="G2055" t="str">
        <f>VLOOKUP(A2055,inf!$D$2:$E$76,2,FALSE)</f>
        <v>Other</v>
      </c>
    </row>
    <row r="2056" spans="1:7" x14ac:dyDescent="0.25">
      <c r="A2056" t="s">
        <v>15</v>
      </c>
      <c r="B2056" s="1">
        <v>42998</v>
      </c>
      <c r="C2056" t="s">
        <v>55</v>
      </c>
      <c r="D2056" s="4">
        <v>499.22</v>
      </c>
      <c r="E2056" s="12" t="str">
        <f>VLOOKUP(C2056,inf!$A$2:$B$7,2,FALSE)</f>
        <v>Current</v>
      </c>
      <c r="F2056" s="12" t="str">
        <f t="shared" si="33"/>
        <v>09/20/2017</v>
      </c>
      <c r="G2056" t="str">
        <f>VLOOKUP(A2056,inf!$D$2:$E$76,2,FALSE)</f>
        <v>Other</v>
      </c>
    </row>
    <row r="2057" spans="1:7" x14ac:dyDescent="0.25">
      <c r="A2057" t="s">
        <v>15</v>
      </c>
      <c r="B2057" s="1">
        <v>42998</v>
      </c>
      <c r="C2057" t="s">
        <v>56</v>
      </c>
      <c r="D2057" s="4">
        <v>2129.33</v>
      </c>
      <c r="E2057" s="12" t="str">
        <f>VLOOKUP(C2057,inf!$A$2:$B$7,2,FALSE)</f>
        <v>Current</v>
      </c>
      <c r="F2057" s="12" t="str">
        <f t="shared" si="33"/>
        <v>09/20/2017</v>
      </c>
      <c r="G2057" t="str">
        <f>VLOOKUP(A2057,inf!$D$2:$E$76,2,FALSE)</f>
        <v>Other</v>
      </c>
    </row>
    <row r="2058" spans="1:7" x14ac:dyDescent="0.25">
      <c r="A2058" t="s">
        <v>15</v>
      </c>
      <c r="B2058" s="1">
        <v>42998</v>
      </c>
      <c r="C2058" t="s">
        <v>57</v>
      </c>
      <c r="D2058" s="4">
        <v>291.60000000000002</v>
      </c>
      <c r="E2058" s="12" t="str">
        <f>VLOOKUP(C2058,inf!$A$2:$B$7,2,FALSE)</f>
        <v>31 to 60</v>
      </c>
      <c r="F2058" s="12" t="str">
        <f t="shared" si="33"/>
        <v>09/20/2017</v>
      </c>
      <c r="G2058" t="str">
        <f>VLOOKUP(A2058,inf!$D$2:$E$76,2,FALSE)</f>
        <v>Other</v>
      </c>
    </row>
    <row r="2059" spans="1:7" x14ac:dyDescent="0.25">
      <c r="A2059" t="s">
        <v>15</v>
      </c>
      <c r="B2059" s="1">
        <v>42998</v>
      </c>
      <c r="C2059" t="s">
        <v>60</v>
      </c>
      <c r="D2059" s="4">
        <v>126.05</v>
      </c>
      <c r="E2059" s="12" t="str">
        <f>VLOOKUP(C2059,inf!$A$2:$B$7,2,FALSE)</f>
        <v>Over 90</v>
      </c>
      <c r="F2059" s="12" t="str">
        <f t="shared" si="33"/>
        <v>09/20/2017</v>
      </c>
      <c r="G2059" t="str">
        <f>VLOOKUP(A2059,inf!$D$2:$E$76,2,FALSE)</f>
        <v>Other</v>
      </c>
    </row>
    <row r="2060" spans="1:7" x14ac:dyDescent="0.25">
      <c r="A2060" t="s">
        <v>61</v>
      </c>
      <c r="B2060" s="1">
        <v>43005</v>
      </c>
      <c r="C2060" t="s">
        <v>57</v>
      </c>
      <c r="D2060" s="4">
        <v>295.32</v>
      </c>
      <c r="E2060" s="12" t="str">
        <f>VLOOKUP(C2060,inf!$A$2:$B$7,2,FALSE)</f>
        <v>31 to 60</v>
      </c>
      <c r="F2060" s="12" t="str">
        <f t="shared" si="33"/>
        <v>09/27/2017</v>
      </c>
      <c r="G2060" t="str">
        <f>VLOOKUP(A2060,inf!$D$2:$E$76,2,FALSE)</f>
        <v>Other</v>
      </c>
    </row>
    <row r="2061" spans="1:7" x14ac:dyDescent="0.25">
      <c r="A2061" t="s">
        <v>4</v>
      </c>
      <c r="B2061" s="1">
        <v>43005</v>
      </c>
      <c r="C2061" t="s">
        <v>55</v>
      </c>
      <c r="D2061" s="4">
        <v>1134.69</v>
      </c>
      <c r="E2061" s="12" t="str">
        <f>VLOOKUP(C2061,inf!$A$2:$B$7,2,FALSE)</f>
        <v>Current</v>
      </c>
      <c r="F2061" s="12" t="str">
        <f t="shared" si="33"/>
        <v>09/27/2017</v>
      </c>
      <c r="G2061" t="str">
        <f>VLOOKUP(A2061,inf!$D$2:$E$76,2,FALSE)</f>
        <v>Other</v>
      </c>
    </row>
    <row r="2062" spans="1:7" x14ac:dyDescent="0.25">
      <c r="A2062" t="s">
        <v>26</v>
      </c>
      <c r="B2062" s="1">
        <v>43005</v>
      </c>
      <c r="C2062" t="s">
        <v>60</v>
      </c>
      <c r="D2062" s="4">
        <v>1380.77</v>
      </c>
      <c r="E2062" s="12" t="str">
        <f>VLOOKUP(C2062,inf!$A$2:$B$7,2,FALSE)</f>
        <v>Over 90</v>
      </c>
      <c r="F2062" s="12" t="str">
        <f t="shared" si="33"/>
        <v>09/27/2017</v>
      </c>
      <c r="G2062" t="str">
        <f>VLOOKUP(A2062,inf!$D$2:$E$76,2,FALSE)</f>
        <v>Other</v>
      </c>
    </row>
    <row r="2063" spans="1:7" x14ac:dyDescent="0.25">
      <c r="A2063" t="s">
        <v>2</v>
      </c>
      <c r="B2063" s="1">
        <v>43005</v>
      </c>
      <c r="C2063" t="s">
        <v>60</v>
      </c>
      <c r="D2063" s="4">
        <v>6040.4899999999971</v>
      </c>
      <c r="E2063" s="12" t="str">
        <f>VLOOKUP(C2063,inf!$A$2:$B$7,2,FALSE)</f>
        <v>Over 90</v>
      </c>
      <c r="F2063" s="12" t="str">
        <f t="shared" si="33"/>
        <v>09/27/2017</v>
      </c>
      <c r="G2063" t="str">
        <f>VLOOKUP(A2063,inf!$D$2:$E$76,2,FALSE)</f>
        <v>Other</v>
      </c>
    </row>
    <row r="2064" spans="1:7" x14ac:dyDescent="0.25">
      <c r="A2064" t="s">
        <v>47</v>
      </c>
      <c r="B2064" s="1">
        <v>43005</v>
      </c>
      <c r="C2064" t="s">
        <v>55</v>
      </c>
      <c r="D2064" s="4">
        <v>380.16</v>
      </c>
      <c r="E2064" s="12" t="str">
        <f>VLOOKUP(C2064,inf!$A$2:$B$7,2,FALSE)</f>
        <v>Current</v>
      </c>
      <c r="F2064" s="12" t="str">
        <f t="shared" si="33"/>
        <v>09/27/2017</v>
      </c>
      <c r="G2064" t="str">
        <f>VLOOKUP(A2064,inf!$D$2:$E$76,2,FALSE)</f>
        <v>Other</v>
      </c>
    </row>
    <row r="2065" spans="1:7" x14ac:dyDescent="0.25">
      <c r="A2065" t="s">
        <v>31</v>
      </c>
      <c r="B2065" s="1">
        <v>43005</v>
      </c>
      <c r="C2065" t="s">
        <v>55</v>
      </c>
      <c r="D2065" s="4">
        <v>1110.9100000000001</v>
      </c>
      <c r="E2065" s="12" t="str">
        <f>VLOOKUP(C2065,inf!$A$2:$B$7,2,FALSE)</f>
        <v>Current</v>
      </c>
      <c r="F2065" s="12" t="str">
        <f t="shared" si="33"/>
        <v>09/27/2017</v>
      </c>
      <c r="G2065" t="str">
        <f>VLOOKUP(A2065,inf!$D$2:$E$76,2,FALSE)</f>
        <v>Other</v>
      </c>
    </row>
    <row r="2066" spans="1:7" x14ac:dyDescent="0.25">
      <c r="A2066" t="s">
        <v>31</v>
      </c>
      <c r="B2066" s="1">
        <v>43005</v>
      </c>
      <c r="C2066" t="s">
        <v>56</v>
      </c>
      <c r="D2066" s="4">
        <v>143.56</v>
      </c>
      <c r="E2066" s="12" t="str">
        <f>VLOOKUP(C2066,inf!$A$2:$B$7,2,FALSE)</f>
        <v>Current</v>
      </c>
      <c r="F2066" s="12" t="str">
        <f t="shared" si="33"/>
        <v>09/27/2017</v>
      </c>
      <c r="G2066" t="str">
        <f>VLOOKUP(A2066,inf!$D$2:$E$76,2,FALSE)</f>
        <v>Other</v>
      </c>
    </row>
    <row r="2067" spans="1:7" x14ac:dyDescent="0.25">
      <c r="A2067" t="s">
        <v>31</v>
      </c>
      <c r="B2067" s="1">
        <v>43005</v>
      </c>
      <c r="C2067" t="s">
        <v>57</v>
      </c>
      <c r="D2067" s="4">
        <v>153.15</v>
      </c>
      <c r="E2067" s="12" t="str">
        <f>VLOOKUP(C2067,inf!$A$2:$B$7,2,FALSE)</f>
        <v>31 to 60</v>
      </c>
      <c r="F2067" s="12" t="str">
        <f t="shared" si="33"/>
        <v>09/27/2017</v>
      </c>
      <c r="G2067" t="str">
        <f>VLOOKUP(A2067,inf!$D$2:$E$76,2,FALSE)</f>
        <v>Other</v>
      </c>
    </row>
    <row r="2068" spans="1:7" x14ac:dyDescent="0.25">
      <c r="A2068" t="s">
        <v>24</v>
      </c>
      <c r="B2068" s="1">
        <v>43005</v>
      </c>
      <c r="C2068" t="s">
        <v>55</v>
      </c>
      <c r="D2068" s="4">
        <v>1300.21</v>
      </c>
      <c r="E2068" s="12" t="str">
        <f>VLOOKUP(C2068,inf!$A$2:$B$7,2,FALSE)</f>
        <v>Current</v>
      </c>
      <c r="F2068" s="12" t="str">
        <f t="shared" si="33"/>
        <v>09/27/2017</v>
      </c>
      <c r="G2068" t="str">
        <f>VLOOKUP(A2068,inf!$D$2:$E$76,2,FALSE)</f>
        <v>Other</v>
      </c>
    </row>
    <row r="2069" spans="1:7" x14ac:dyDescent="0.25">
      <c r="A2069" t="s">
        <v>18</v>
      </c>
      <c r="B2069" s="1">
        <v>43005</v>
      </c>
      <c r="C2069" t="s">
        <v>55</v>
      </c>
      <c r="D2069" s="4">
        <v>832.47</v>
      </c>
      <c r="E2069" s="12" t="str">
        <f>VLOOKUP(C2069,inf!$A$2:$B$7,2,FALSE)</f>
        <v>Current</v>
      </c>
      <c r="F2069" s="12" t="str">
        <f t="shared" si="33"/>
        <v>09/27/2017</v>
      </c>
      <c r="G2069" t="str">
        <f>VLOOKUP(A2069,inf!$D$2:$E$76,2,FALSE)</f>
        <v>Other</v>
      </c>
    </row>
    <row r="2070" spans="1:7" x14ac:dyDescent="0.25">
      <c r="A2070" t="s">
        <v>27</v>
      </c>
      <c r="B2070" s="1">
        <v>43005</v>
      </c>
      <c r="C2070" t="s">
        <v>55</v>
      </c>
      <c r="D2070" s="4">
        <v>427.26</v>
      </c>
      <c r="E2070" s="12" t="str">
        <f>VLOOKUP(C2070,inf!$A$2:$B$7,2,FALSE)</f>
        <v>Current</v>
      </c>
      <c r="F2070" s="12" t="str">
        <f t="shared" si="33"/>
        <v>09/27/2017</v>
      </c>
      <c r="G2070" t="str">
        <f>VLOOKUP(A2070,inf!$D$2:$E$76,2,FALSE)</f>
        <v>Other</v>
      </c>
    </row>
    <row r="2071" spans="1:7" x14ac:dyDescent="0.25">
      <c r="A2071" t="s">
        <v>62</v>
      </c>
      <c r="B2071" s="1">
        <v>43005</v>
      </c>
      <c r="C2071" t="s">
        <v>55</v>
      </c>
      <c r="D2071" s="4">
        <v>229.7</v>
      </c>
      <c r="E2071" s="12" t="str">
        <f>VLOOKUP(C2071,inf!$A$2:$B$7,2,FALSE)</f>
        <v>Current</v>
      </c>
      <c r="F2071" s="12" t="str">
        <f t="shared" si="33"/>
        <v>09/27/2017</v>
      </c>
      <c r="G2071" t="str">
        <f>VLOOKUP(A2071,inf!$D$2:$E$76,2,FALSE)</f>
        <v>Other</v>
      </c>
    </row>
    <row r="2072" spans="1:7" x14ac:dyDescent="0.25">
      <c r="A2072" t="s">
        <v>62</v>
      </c>
      <c r="B2072" s="1">
        <v>43005</v>
      </c>
      <c r="C2072" t="s">
        <v>56</v>
      </c>
      <c r="D2072" s="4">
        <v>241.51</v>
      </c>
      <c r="E2072" s="12" t="str">
        <f>VLOOKUP(C2072,inf!$A$2:$B$7,2,FALSE)</f>
        <v>Current</v>
      </c>
      <c r="F2072" s="12" t="str">
        <f t="shared" si="33"/>
        <v>09/27/2017</v>
      </c>
      <c r="G2072" t="str">
        <f>VLOOKUP(A2072,inf!$D$2:$E$76,2,FALSE)</f>
        <v>Other</v>
      </c>
    </row>
    <row r="2073" spans="1:7" x14ac:dyDescent="0.25">
      <c r="A2073" t="s">
        <v>3</v>
      </c>
      <c r="B2073" s="1">
        <v>43005</v>
      </c>
      <c r="C2073" t="s">
        <v>55</v>
      </c>
      <c r="D2073" s="4">
        <v>809.71</v>
      </c>
      <c r="E2073" s="12" t="str">
        <f>VLOOKUP(C2073,inf!$A$2:$B$7,2,FALSE)</f>
        <v>Current</v>
      </c>
      <c r="F2073" s="12" t="str">
        <f t="shared" si="33"/>
        <v>09/27/2017</v>
      </c>
      <c r="G2073" t="str">
        <f>VLOOKUP(A2073,inf!$D$2:$E$76,2,FALSE)</f>
        <v>Other</v>
      </c>
    </row>
    <row r="2074" spans="1:7" x14ac:dyDescent="0.25">
      <c r="A2074" t="s">
        <v>30</v>
      </c>
      <c r="B2074" s="1">
        <v>43005</v>
      </c>
      <c r="C2074" t="s">
        <v>55</v>
      </c>
      <c r="D2074" s="4">
        <v>1255.48</v>
      </c>
      <c r="E2074" s="12" t="str">
        <f>VLOOKUP(C2074,inf!$A$2:$B$7,2,FALSE)</f>
        <v>Current</v>
      </c>
      <c r="F2074" s="12" t="str">
        <f t="shared" si="33"/>
        <v>09/27/2017</v>
      </c>
      <c r="G2074" t="str">
        <f>VLOOKUP(A2074,inf!$D$2:$E$76,2,FALSE)</f>
        <v>Other</v>
      </c>
    </row>
    <row r="2075" spans="1:7" x14ac:dyDescent="0.25">
      <c r="A2075" t="s">
        <v>30</v>
      </c>
      <c r="B2075" s="1">
        <v>43005</v>
      </c>
      <c r="C2075" t="s">
        <v>56</v>
      </c>
      <c r="D2075" s="4">
        <v>1608.51</v>
      </c>
      <c r="E2075" s="12" t="str">
        <f>VLOOKUP(C2075,inf!$A$2:$B$7,2,FALSE)</f>
        <v>Current</v>
      </c>
      <c r="F2075" s="12" t="str">
        <f t="shared" si="33"/>
        <v>09/27/2017</v>
      </c>
      <c r="G2075" t="str">
        <f>VLOOKUP(A2075,inf!$D$2:$E$76,2,FALSE)</f>
        <v>Other</v>
      </c>
    </row>
    <row r="2076" spans="1:7" x14ac:dyDescent="0.25">
      <c r="A2076" t="s">
        <v>63</v>
      </c>
      <c r="B2076" s="1">
        <v>43005</v>
      </c>
      <c r="C2076" t="s">
        <v>56</v>
      </c>
      <c r="D2076" s="4">
        <v>170.49</v>
      </c>
      <c r="E2076" s="12" t="str">
        <f>VLOOKUP(C2076,inf!$A$2:$B$7,2,FALSE)</f>
        <v>Current</v>
      </c>
      <c r="F2076" s="12" t="str">
        <f t="shared" si="33"/>
        <v>09/27/2017</v>
      </c>
      <c r="G2076" t="str">
        <f>VLOOKUP(A2076,inf!$D$2:$E$76,2,FALSE)</f>
        <v>Other</v>
      </c>
    </row>
    <row r="2077" spans="1:7" x14ac:dyDescent="0.25">
      <c r="A2077" t="s">
        <v>12</v>
      </c>
      <c r="B2077" s="1">
        <v>43005</v>
      </c>
      <c r="C2077" t="s">
        <v>55</v>
      </c>
      <c r="D2077" s="4">
        <v>1147.0899999999999</v>
      </c>
      <c r="E2077" s="12" t="str">
        <f>VLOOKUP(C2077,inf!$A$2:$B$7,2,FALSE)</f>
        <v>Current</v>
      </c>
      <c r="F2077" s="12" t="str">
        <f t="shared" si="33"/>
        <v>09/27/2017</v>
      </c>
      <c r="G2077" t="str">
        <f>VLOOKUP(A2077,inf!$D$2:$E$76,2,FALSE)</f>
        <v>Other</v>
      </c>
    </row>
    <row r="2078" spans="1:7" x14ac:dyDescent="0.25">
      <c r="A2078" t="s">
        <v>12</v>
      </c>
      <c r="B2078" s="1">
        <v>43005</v>
      </c>
      <c r="C2078" t="s">
        <v>56</v>
      </c>
      <c r="D2078" s="4">
        <v>1819.16</v>
      </c>
      <c r="E2078" s="12" t="str">
        <f>VLOOKUP(C2078,inf!$A$2:$B$7,2,FALSE)</f>
        <v>Current</v>
      </c>
      <c r="F2078" s="12" t="str">
        <f t="shared" si="33"/>
        <v>09/27/2017</v>
      </c>
      <c r="G2078" t="str">
        <f>VLOOKUP(A2078,inf!$D$2:$E$76,2,FALSE)</f>
        <v>Other</v>
      </c>
    </row>
    <row r="2079" spans="1:7" x14ac:dyDescent="0.25">
      <c r="A2079" t="s">
        <v>12</v>
      </c>
      <c r="B2079" s="1">
        <v>43005</v>
      </c>
      <c r="C2079" t="s">
        <v>58</v>
      </c>
      <c r="D2079" s="4">
        <v>229.94</v>
      </c>
      <c r="E2079" s="12" t="str">
        <f>VLOOKUP(C2079,inf!$A$2:$B$7,2,FALSE)</f>
        <v>61 to 90</v>
      </c>
      <c r="F2079" s="12" t="str">
        <f t="shared" si="33"/>
        <v>09/27/2017</v>
      </c>
      <c r="G2079" t="str">
        <f>VLOOKUP(A2079,inf!$D$2:$E$76,2,FALSE)</f>
        <v>Other</v>
      </c>
    </row>
    <row r="2080" spans="1:7" x14ac:dyDescent="0.25">
      <c r="A2080" t="s">
        <v>12</v>
      </c>
      <c r="B2080" s="1">
        <v>43005</v>
      </c>
      <c r="C2080" t="s">
        <v>59</v>
      </c>
      <c r="D2080" s="4">
        <v>165</v>
      </c>
      <c r="E2080" s="12" t="str">
        <f>VLOOKUP(C2080,inf!$A$2:$B$7,2,FALSE)</f>
        <v>Over 90</v>
      </c>
      <c r="F2080" s="12" t="str">
        <f t="shared" si="33"/>
        <v>09/27/2017</v>
      </c>
      <c r="G2080" t="str">
        <f>VLOOKUP(A2080,inf!$D$2:$E$76,2,FALSE)</f>
        <v>Other</v>
      </c>
    </row>
    <row r="2081" spans="1:7" x14ac:dyDescent="0.25">
      <c r="A2081" t="s">
        <v>50</v>
      </c>
      <c r="B2081" s="1">
        <v>43005</v>
      </c>
      <c r="C2081" t="s">
        <v>55</v>
      </c>
      <c r="D2081" s="4">
        <v>495.71</v>
      </c>
      <c r="E2081" s="12" t="str">
        <f>VLOOKUP(C2081,inf!$A$2:$B$7,2,FALSE)</f>
        <v>Current</v>
      </c>
      <c r="F2081" s="12" t="str">
        <f t="shared" si="33"/>
        <v>09/27/2017</v>
      </c>
      <c r="G2081" t="str">
        <f>VLOOKUP(A2081,inf!$D$2:$E$76,2,FALSE)</f>
        <v>Other</v>
      </c>
    </row>
    <row r="2082" spans="1:7" x14ac:dyDescent="0.25">
      <c r="A2082" t="s">
        <v>73</v>
      </c>
      <c r="B2082" s="1">
        <v>43005</v>
      </c>
      <c r="C2082" t="s">
        <v>55</v>
      </c>
      <c r="D2082" s="4">
        <v>254.21</v>
      </c>
      <c r="E2082" s="12" t="str">
        <f>VLOOKUP(C2082,inf!$A$2:$B$7,2,FALSE)</f>
        <v>Current</v>
      </c>
      <c r="F2082" s="12" t="str">
        <f t="shared" si="33"/>
        <v>09/27/2017</v>
      </c>
      <c r="G2082" t="str">
        <f>VLOOKUP(A2082,inf!$D$2:$E$76,2,FALSE)</f>
        <v>Other</v>
      </c>
    </row>
    <row r="2083" spans="1:7" x14ac:dyDescent="0.25">
      <c r="A2083" t="s">
        <v>7</v>
      </c>
      <c r="B2083" s="1">
        <v>43005</v>
      </c>
      <c r="C2083" t="s">
        <v>55</v>
      </c>
      <c r="D2083" s="4">
        <v>82906.44999999991</v>
      </c>
      <c r="E2083" s="12" t="str">
        <f>VLOOKUP(C2083,inf!$A$2:$B$7,2,FALSE)</f>
        <v>Current</v>
      </c>
      <c r="F2083" s="12" t="str">
        <f t="shared" si="33"/>
        <v>09/27/2017</v>
      </c>
      <c r="G2083" t="str">
        <f>VLOOKUP(A2083,inf!$D$2:$E$76,2,FALSE)</f>
        <v>SAFEWAY</v>
      </c>
    </row>
    <row r="2084" spans="1:7" x14ac:dyDescent="0.25">
      <c r="A2084" t="s">
        <v>7</v>
      </c>
      <c r="B2084" s="1">
        <v>43005</v>
      </c>
      <c r="C2084" t="s">
        <v>56</v>
      </c>
      <c r="D2084" s="4">
        <v>23682.02</v>
      </c>
      <c r="E2084" s="12" t="str">
        <f>VLOOKUP(C2084,inf!$A$2:$B$7,2,FALSE)</f>
        <v>Current</v>
      </c>
      <c r="F2084" s="12" t="str">
        <f t="shared" si="33"/>
        <v>09/27/2017</v>
      </c>
      <c r="G2084" t="str">
        <f>VLOOKUP(A2084,inf!$D$2:$E$76,2,FALSE)</f>
        <v>SAFEWAY</v>
      </c>
    </row>
    <row r="2085" spans="1:7" x14ac:dyDescent="0.25">
      <c r="A2085" t="s">
        <v>7</v>
      </c>
      <c r="B2085" s="1">
        <v>43005</v>
      </c>
      <c r="C2085" t="s">
        <v>57</v>
      </c>
      <c r="D2085" s="4">
        <v>1136.3399999999999</v>
      </c>
      <c r="E2085" s="12" t="str">
        <f>VLOOKUP(C2085,inf!$A$2:$B$7,2,FALSE)</f>
        <v>31 to 60</v>
      </c>
      <c r="F2085" s="12" t="str">
        <f t="shared" si="33"/>
        <v>09/27/2017</v>
      </c>
      <c r="G2085" t="str">
        <f>VLOOKUP(A2085,inf!$D$2:$E$76,2,FALSE)</f>
        <v>SAFEWAY</v>
      </c>
    </row>
    <row r="2086" spans="1:7" x14ac:dyDescent="0.25">
      <c r="A2086" t="s">
        <v>7</v>
      </c>
      <c r="B2086" s="1">
        <v>43005</v>
      </c>
      <c r="C2086" t="s">
        <v>58</v>
      </c>
      <c r="D2086" s="4">
        <v>988.65</v>
      </c>
      <c r="E2086" s="12" t="str">
        <f>VLOOKUP(C2086,inf!$A$2:$B$7,2,FALSE)</f>
        <v>61 to 90</v>
      </c>
      <c r="F2086" s="12" t="str">
        <f t="shared" si="33"/>
        <v>09/27/2017</v>
      </c>
      <c r="G2086" t="str">
        <f>VLOOKUP(A2086,inf!$D$2:$E$76,2,FALSE)</f>
        <v>SAFEWAY</v>
      </c>
    </row>
    <row r="2087" spans="1:7" x14ac:dyDescent="0.25">
      <c r="A2087" t="s">
        <v>7</v>
      </c>
      <c r="B2087" s="1">
        <v>43005</v>
      </c>
      <c r="C2087" t="s">
        <v>59</v>
      </c>
      <c r="D2087" s="4">
        <v>1606.5500000000002</v>
      </c>
      <c r="E2087" s="12" t="str">
        <f>VLOOKUP(C2087,inf!$A$2:$B$7,2,FALSE)</f>
        <v>Over 90</v>
      </c>
      <c r="F2087" s="12" t="str">
        <f t="shared" si="33"/>
        <v>09/27/2017</v>
      </c>
      <c r="G2087" t="str">
        <f>VLOOKUP(A2087,inf!$D$2:$E$76,2,FALSE)</f>
        <v>SAFEWAY</v>
      </c>
    </row>
    <row r="2088" spans="1:7" x14ac:dyDescent="0.25">
      <c r="A2088" t="s">
        <v>74</v>
      </c>
      <c r="B2088" s="1">
        <v>43005</v>
      </c>
      <c r="C2088" t="s">
        <v>55</v>
      </c>
      <c r="D2088" s="4">
        <v>742.26</v>
      </c>
      <c r="E2088" s="12" t="str">
        <f>VLOOKUP(C2088,inf!$A$2:$B$7,2,FALSE)</f>
        <v>Current</v>
      </c>
      <c r="F2088" s="12" t="str">
        <f t="shared" si="33"/>
        <v>09/27/2017</v>
      </c>
      <c r="G2088" t="str">
        <f>VLOOKUP(A2088,inf!$D$2:$E$76,2,FALSE)</f>
        <v>Other</v>
      </c>
    </row>
    <row r="2089" spans="1:7" x14ac:dyDescent="0.25">
      <c r="A2089" t="s">
        <v>5</v>
      </c>
      <c r="B2089" s="1">
        <v>43005</v>
      </c>
      <c r="C2089" t="s">
        <v>55</v>
      </c>
      <c r="D2089" s="4">
        <v>5679370.2199997865</v>
      </c>
      <c r="E2089" s="12" t="str">
        <f>VLOOKUP(C2089,inf!$A$2:$B$7,2,FALSE)</f>
        <v>Current</v>
      </c>
      <c r="F2089" s="12" t="str">
        <f t="shared" si="33"/>
        <v>09/27/2017</v>
      </c>
      <c r="G2089" t="str">
        <f>VLOOKUP(A2089,inf!$D$2:$E$76,2,FALSE)</f>
        <v>SBUX</v>
      </c>
    </row>
    <row r="2090" spans="1:7" x14ac:dyDescent="0.25">
      <c r="A2090" t="s">
        <v>5</v>
      </c>
      <c r="B2090" s="1">
        <v>43005</v>
      </c>
      <c r="C2090" t="s">
        <v>56</v>
      </c>
      <c r="D2090" s="4">
        <v>35749.250000000015</v>
      </c>
      <c r="E2090" s="12" t="str">
        <f>VLOOKUP(C2090,inf!$A$2:$B$7,2,FALSE)</f>
        <v>Current</v>
      </c>
      <c r="F2090" s="12" t="str">
        <f t="shared" si="33"/>
        <v>09/27/2017</v>
      </c>
      <c r="G2090" t="str">
        <f>VLOOKUP(A2090,inf!$D$2:$E$76,2,FALSE)</f>
        <v>SBUX</v>
      </c>
    </row>
    <row r="2091" spans="1:7" x14ac:dyDescent="0.25">
      <c r="A2091" t="s">
        <v>5</v>
      </c>
      <c r="B2091" s="1">
        <v>43005</v>
      </c>
      <c r="C2091" t="s">
        <v>57</v>
      </c>
      <c r="D2091" s="4">
        <v>19862.579999999998</v>
      </c>
      <c r="E2091" s="12" t="str">
        <f>VLOOKUP(C2091,inf!$A$2:$B$7,2,FALSE)</f>
        <v>31 to 60</v>
      </c>
      <c r="F2091" s="12" t="str">
        <f t="shared" si="33"/>
        <v>09/27/2017</v>
      </c>
      <c r="G2091" t="str">
        <f>VLOOKUP(A2091,inf!$D$2:$E$76,2,FALSE)</f>
        <v>SBUX</v>
      </c>
    </row>
    <row r="2092" spans="1:7" x14ac:dyDescent="0.25">
      <c r="A2092" t="s">
        <v>5</v>
      </c>
      <c r="B2092" s="1">
        <v>43005</v>
      </c>
      <c r="C2092" t="s">
        <v>58</v>
      </c>
      <c r="D2092" s="4">
        <v>43683.940000000031</v>
      </c>
      <c r="E2092" s="12" t="str">
        <f>VLOOKUP(C2092,inf!$A$2:$B$7,2,FALSE)</f>
        <v>61 to 90</v>
      </c>
      <c r="F2092" s="12" t="str">
        <f t="shared" si="33"/>
        <v>09/27/2017</v>
      </c>
      <c r="G2092" t="str">
        <f>VLOOKUP(A2092,inf!$D$2:$E$76,2,FALSE)</f>
        <v>SBUX</v>
      </c>
    </row>
    <row r="2093" spans="1:7" x14ac:dyDescent="0.25">
      <c r="A2093" t="s">
        <v>5</v>
      </c>
      <c r="B2093" s="1">
        <v>43005</v>
      </c>
      <c r="C2093" t="s">
        <v>59</v>
      </c>
      <c r="D2093" s="4">
        <v>13730.02</v>
      </c>
      <c r="E2093" s="12" t="str">
        <f>VLOOKUP(C2093,inf!$A$2:$B$7,2,FALSE)</f>
        <v>Over 90</v>
      </c>
      <c r="F2093" s="12" t="str">
        <f t="shared" si="33"/>
        <v>09/27/2017</v>
      </c>
      <c r="G2093" t="str">
        <f>VLOOKUP(A2093,inf!$D$2:$E$76,2,FALSE)</f>
        <v>SBUX</v>
      </c>
    </row>
    <row r="2094" spans="1:7" x14ac:dyDescent="0.25">
      <c r="A2094" t="s">
        <v>5</v>
      </c>
      <c r="B2094" s="1">
        <v>43005</v>
      </c>
      <c r="C2094" t="s">
        <v>60</v>
      </c>
      <c r="D2094" s="4">
        <v>168601.17</v>
      </c>
      <c r="E2094" s="12" t="str">
        <f>VLOOKUP(C2094,inf!$A$2:$B$7,2,FALSE)</f>
        <v>Over 90</v>
      </c>
      <c r="F2094" s="12" t="str">
        <f t="shared" si="33"/>
        <v>09/27/2017</v>
      </c>
      <c r="G2094" t="str">
        <f>VLOOKUP(A2094,inf!$D$2:$E$76,2,FALSE)</f>
        <v>SBUX</v>
      </c>
    </row>
    <row r="2095" spans="1:7" x14ac:dyDescent="0.25">
      <c r="A2095" t="s">
        <v>6</v>
      </c>
      <c r="B2095" s="1">
        <v>43005</v>
      </c>
      <c r="C2095" t="s">
        <v>55</v>
      </c>
      <c r="D2095" s="4">
        <v>499052.22999999986</v>
      </c>
      <c r="E2095" s="12" t="str">
        <f>VLOOKUP(C2095,inf!$A$2:$B$7,2,FALSE)</f>
        <v>Current</v>
      </c>
      <c r="F2095" s="12" t="str">
        <f t="shared" si="33"/>
        <v>09/27/2017</v>
      </c>
      <c r="G2095" t="str">
        <f>VLOOKUP(A2095,inf!$D$2:$E$76,2,FALSE)</f>
        <v>SBUX</v>
      </c>
    </row>
    <row r="2096" spans="1:7" x14ac:dyDescent="0.25">
      <c r="A2096" t="s">
        <v>6</v>
      </c>
      <c r="B2096" s="1">
        <v>43005</v>
      </c>
      <c r="C2096" t="s">
        <v>56</v>
      </c>
      <c r="D2096" s="4">
        <v>22362.500000000007</v>
      </c>
      <c r="E2096" s="12" t="str">
        <f>VLOOKUP(C2096,inf!$A$2:$B$7,2,FALSE)</f>
        <v>Current</v>
      </c>
      <c r="F2096" s="12" t="str">
        <f t="shared" si="33"/>
        <v>09/27/2017</v>
      </c>
      <c r="G2096" t="str">
        <f>VLOOKUP(A2096,inf!$D$2:$E$76,2,FALSE)</f>
        <v>SBUX</v>
      </c>
    </row>
    <row r="2097" spans="1:7" x14ac:dyDescent="0.25">
      <c r="A2097" t="s">
        <v>6</v>
      </c>
      <c r="B2097" s="1">
        <v>43005</v>
      </c>
      <c r="C2097" t="s">
        <v>57</v>
      </c>
      <c r="D2097" s="4">
        <v>12982.969999999994</v>
      </c>
      <c r="E2097" s="12" t="str">
        <f>VLOOKUP(C2097,inf!$A$2:$B$7,2,FALSE)</f>
        <v>31 to 60</v>
      </c>
      <c r="F2097" s="12" t="str">
        <f t="shared" si="33"/>
        <v>09/27/2017</v>
      </c>
      <c r="G2097" t="str">
        <f>VLOOKUP(A2097,inf!$D$2:$E$76,2,FALSE)</f>
        <v>SBUX</v>
      </c>
    </row>
    <row r="2098" spans="1:7" x14ac:dyDescent="0.25">
      <c r="A2098" t="s">
        <v>6</v>
      </c>
      <c r="B2098" s="1">
        <v>43005</v>
      </c>
      <c r="C2098" t="s">
        <v>58</v>
      </c>
      <c r="D2098" s="4">
        <v>561.54</v>
      </c>
      <c r="E2098" s="12" t="str">
        <f>VLOOKUP(C2098,inf!$A$2:$B$7,2,FALSE)</f>
        <v>61 to 90</v>
      </c>
      <c r="F2098" s="12" t="str">
        <f t="shared" si="33"/>
        <v>09/27/2017</v>
      </c>
      <c r="G2098" t="str">
        <f>VLOOKUP(A2098,inf!$D$2:$E$76,2,FALSE)</f>
        <v>SBUX</v>
      </c>
    </row>
    <row r="2099" spans="1:7" x14ac:dyDescent="0.25">
      <c r="A2099" t="s">
        <v>6</v>
      </c>
      <c r="B2099" s="1">
        <v>43005</v>
      </c>
      <c r="C2099" t="s">
        <v>59</v>
      </c>
      <c r="D2099" s="4">
        <v>75.599999999999994</v>
      </c>
      <c r="E2099" s="12" t="str">
        <f>VLOOKUP(C2099,inf!$A$2:$B$7,2,FALSE)</f>
        <v>Over 90</v>
      </c>
      <c r="F2099" s="12" t="str">
        <f t="shared" si="33"/>
        <v>09/27/2017</v>
      </c>
      <c r="G2099" t="str">
        <f>VLOOKUP(A2099,inf!$D$2:$E$76,2,FALSE)</f>
        <v>SBUX</v>
      </c>
    </row>
    <row r="2100" spans="1:7" x14ac:dyDescent="0.25">
      <c r="A2100" t="s">
        <v>6</v>
      </c>
      <c r="B2100" s="1">
        <v>43005</v>
      </c>
      <c r="C2100" t="s">
        <v>60</v>
      </c>
      <c r="D2100" s="4">
        <v>13632.450000000004</v>
      </c>
      <c r="E2100" s="12" t="str">
        <f>VLOOKUP(C2100,inf!$A$2:$B$7,2,FALSE)</f>
        <v>Over 90</v>
      </c>
      <c r="F2100" s="12" t="str">
        <f t="shared" si="33"/>
        <v>09/27/2017</v>
      </c>
      <c r="G2100" t="str">
        <f>VLOOKUP(A2100,inf!$D$2:$E$76,2,FALSE)</f>
        <v>SBUX</v>
      </c>
    </row>
    <row r="2101" spans="1:7" x14ac:dyDescent="0.25">
      <c r="A2101" t="s">
        <v>49</v>
      </c>
      <c r="B2101" s="1">
        <v>43005</v>
      </c>
      <c r="C2101" t="s">
        <v>58</v>
      </c>
      <c r="D2101" s="4">
        <v>150.36000000000001</v>
      </c>
      <c r="E2101" s="12" t="str">
        <f>VLOOKUP(C2101,inf!$A$2:$B$7,2,FALSE)</f>
        <v>61 to 90</v>
      </c>
      <c r="F2101" s="12" t="str">
        <f t="shared" si="33"/>
        <v>09/27/2017</v>
      </c>
      <c r="G2101" t="str">
        <f>VLOOKUP(A2101,inf!$D$2:$E$76,2,FALSE)</f>
        <v>Other</v>
      </c>
    </row>
    <row r="2102" spans="1:7" x14ac:dyDescent="0.25">
      <c r="A2102" t="s">
        <v>48</v>
      </c>
      <c r="B2102" s="1">
        <v>43005</v>
      </c>
      <c r="C2102" t="s">
        <v>55</v>
      </c>
      <c r="D2102" s="4">
        <v>419131.89000000013</v>
      </c>
      <c r="E2102" s="12" t="str">
        <f>VLOOKUP(C2102,inf!$A$2:$B$7,2,FALSE)</f>
        <v>Current</v>
      </c>
      <c r="F2102" s="12" t="str">
        <f t="shared" si="33"/>
        <v>09/27/2017</v>
      </c>
      <c r="G2102" t="str">
        <f>VLOOKUP(A2102,inf!$D$2:$E$76,2,FALSE)</f>
        <v>Target</v>
      </c>
    </row>
    <row r="2103" spans="1:7" x14ac:dyDescent="0.25">
      <c r="A2103" t="s">
        <v>48</v>
      </c>
      <c r="B2103" s="1">
        <v>43005</v>
      </c>
      <c r="C2103" t="s">
        <v>56</v>
      </c>
      <c r="D2103" s="4">
        <v>8360.0400000000009</v>
      </c>
      <c r="E2103" s="12" t="str">
        <f>VLOOKUP(C2103,inf!$A$2:$B$7,2,FALSE)</f>
        <v>Current</v>
      </c>
      <c r="F2103" s="12" t="str">
        <f t="shared" si="33"/>
        <v>09/27/2017</v>
      </c>
      <c r="G2103" t="str">
        <f>VLOOKUP(A2103,inf!$D$2:$E$76,2,FALSE)</f>
        <v>Target</v>
      </c>
    </row>
    <row r="2104" spans="1:7" x14ac:dyDescent="0.25">
      <c r="A2104" t="s">
        <v>48</v>
      </c>
      <c r="B2104" s="1">
        <v>43005</v>
      </c>
      <c r="C2104" t="s">
        <v>57</v>
      </c>
      <c r="D2104" s="4">
        <v>1285.78</v>
      </c>
      <c r="E2104" s="12" t="str">
        <f>VLOOKUP(C2104,inf!$A$2:$B$7,2,FALSE)</f>
        <v>31 to 60</v>
      </c>
      <c r="F2104" s="12" t="str">
        <f t="shared" si="33"/>
        <v>09/27/2017</v>
      </c>
      <c r="G2104" t="str">
        <f>VLOOKUP(A2104,inf!$D$2:$E$76,2,FALSE)</f>
        <v>Target</v>
      </c>
    </row>
    <row r="2105" spans="1:7" x14ac:dyDescent="0.25">
      <c r="A2105" t="s">
        <v>48</v>
      </c>
      <c r="B2105" s="1">
        <v>43005</v>
      </c>
      <c r="C2105" t="s">
        <v>58</v>
      </c>
      <c r="D2105" s="4">
        <v>715.5</v>
      </c>
      <c r="E2105" s="12" t="str">
        <f>VLOOKUP(C2105,inf!$A$2:$B$7,2,FALSE)</f>
        <v>61 to 90</v>
      </c>
      <c r="F2105" s="12" t="str">
        <f t="shared" si="33"/>
        <v>09/27/2017</v>
      </c>
      <c r="G2105" t="str">
        <f>VLOOKUP(A2105,inf!$D$2:$E$76,2,FALSE)</f>
        <v>Target</v>
      </c>
    </row>
    <row r="2106" spans="1:7" x14ac:dyDescent="0.25">
      <c r="A2106" t="s">
        <v>8</v>
      </c>
      <c r="B2106" s="1">
        <v>43005</v>
      </c>
      <c r="C2106" t="s">
        <v>55</v>
      </c>
      <c r="D2106" s="4">
        <v>403093.35000000015</v>
      </c>
      <c r="E2106" s="12" t="str">
        <f>VLOOKUP(C2106,inf!$A$2:$B$7,2,FALSE)</f>
        <v>Current</v>
      </c>
      <c r="F2106" s="12" t="str">
        <f t="shared" si="33"/>
        <v>09/27/2017</v>
      </c>
      <c r="G2106" t="str">
        <f>VLOOKUP(A2106,inf!$D$2:$E$76,2,FALSE)</f>
        <v>Target</v>
      </c>
    </row>
    <row r="2107" spans="1:7" x14ac:dyDescent="0.25">
      <c r="A2107" t="s">
        <v>8</v>
      </c>
      <c r="B2107" s="1">
        <v>43005</v>
      </c>
      <c r="C2107" t="s">
        <v>56</v>
      </c>
      <c r="D2107" s="4">
        <v>6350.3600000000006</v>
      </c>
      <c r="E2107" s="12" t="str">
        <f>VLOOKUP(C2107,inf!$A$2:$B$7,2,FALSE)</f>
        <v>Current</v>
      </c>
      <c r="F2107" s="12" t="str">
        <f t="shared" si="33"/>
        <v>09/27/2017</v>
      </c>
      <c r="G2107" t="str">
        <f>VLOOKUP(A2107,inf!$D$2:$E$76,2,FALSE)</f>
        <v>Target</v>
      </c>
    </row>
    <row r="2108" spans="1:7" x14ac:dyDescent="0.25">
      <c r="A2108" t="s">
        <v>8</v>
      </c>
      <c r="B2108" s="1">
        <v>43005</v>
      </c>
      <c r="C2108" t="s">
        <v>57</v>
      </c>
      <c r="D2108" s="4">
        <v>5743.1900000000005</v>
      </c>
      <c r="E2108" s="12" t="str">
        <f>VLOOKUP(C2108,inf!$A$2:$B$7,2,FALSE)</f>
        <v>31 to 60</v>
      </c>
      <c r="F2108" s="12" t="str">
        <f t="shared" si="33"/>
        <v>09/27/2017</v>
      </c>
      <c r="G2108" t="str">
        <f>VLOOKUP(A2108,inf!$D$2:$E$76,2,FALSE)</f>
        <v>Target</v>
      </c>
    </row>
    <row r="2109" spans="1:7" x14ac:dyDescent="0.25">
      <c r="A2109" t="s">
        <v>8</v>
      </c>
      <c r="B2109" s="1">
        <v>43005</v>
      </c>
      <c r="C2109" t="s">
        <v>58</v>
      </c>
      <c r="D2109" s="4">
        <v>8391.64</v>
      </c>
      <c r="E2109" s="12" t="str">
        <f>VLOOKUP(C2109,inf!$A$2:$B$7,2,FALSE)</f>
        <v>61 to 90</v>
      </c>
      <c r="F2109" s="12" t="str">
        <f t="shared" si="33"/>
        <v>09/27/2017</v>
      </c>
      <c r="G2109" t="str">
        <f>VLOOKUP(A2109,inf!$D$2:$E$76,2,FALSE)</f>
        <v>Target</v>
      </c>
    </row>
    <row r="2110" spans="1:7" x14ac:dyDescent="0.25">
      <c r="A2110" t="s">
        <v>8</v>
      </c>
      <c r="B2110" s="1">
        <v>43005</v>
      </c>
      <c r="C2110" t="s">
        <v>59</v>
      </c>
      <c r="D2110" s="4">
        <v>4480.7999999999993</v>
      </c>
      <c r="E2110" s="12" t="str">
        <f>VLOOKUP(C2110,inf!$A$2:$B$7,2,FALSE)</f>
        <v>Over 90</v>
      </c>
      <c r="F2110" s="12" t="str">
        <f t="shared" si="33"/>
        <v>09/27/2017</v>
      </c>
      <c r="G2110" t="str">
        <f>VLOOKUP(A2110,inf!$D$2:$E$76,2,FALSE)</f>
        <v>Target</v>
      </c>
    </row>
    <row r="2111" spans="1:7" x14ac:dyDescent="0.25">
      <c r="A2111" t="s">
        <v>8</v>
      </c>
      <c r="B2111" s="1">
        <v>43005</v>
      </c>
      <c r="C2111" t="s">
        <v>60</v>
      </c>
      <c r="D2111" s="4">
        <v>57912.599999999977</v>
      </c>
      <c r="E2111" s="12" t="str">
        <f>VLOOKUP(C2111,inf!$A$2:$B$7,2,FALSE)</f>
        <v>Over 90</v>
      </c>
      <c r="F2111" s="12" t="str">
        <f t="shared" si="33"/>
        <v>09/27/2017</v>
      </c>
      <c r="G2111" t="str">
        <f>VLOOKUP(A2111,inf!$D$2:$E$76,2,FALSE)</f>
        <v>Target</v>
      </c>
    </row>
    <row r="2112" spans="1:7" x14ac:dyDescent="0.25">
      <c r="A2112" t="s">
        <v>54</v>
      </c>
      <c r="B2112" s="1">
        <v>43005</v>
      </c>
      <c r="C2112" t="s">
        <v>55</v>
      </c>
      <c r="D2112" s="4">
        <v>1038.0700000000002</v>
      </c>
      <c r="E2112" s="12" t="str">
        <f>VLOOKUP(C2112,inf!$A$2:$B$7,2,FALSE)</f>
        <v>Current</v>
      </c>
      <c r="F2112" s="12" t="str">
        <f t="shared" si="33"/>
        <v>09/27/2017</v>
      </c>
      <c r="G2112" t="str">
        <f>VLOOKUP(A2112,inf!$D$2:$E$76,2,FALSE)</f>
        <v>Other</v>
      </c>
    </row>
    <row r="2113" spans="1:7" x14ac:dyDescent="0.25">
      <c r="A2113" t="s">
        <v>54</v>
      </c>
      <c r="B2113" s="1">
        <v>43005</v>
      </c>
      <c r="C2113" t="s">
        <v>56</v>
      </c>
      <c r="D2113" s="4">
        <v>558.36</v>
      </c>
      <c r="E2113" s="12" t="str">
        <f>VLOOKUP(C2113,inf!$A$2:$B$7,2,FALSE)</f>
        <v>Current</v>
      </c>
      <c r="F2113" s="12" t="str">
        <f t="shared" si="33"/>
        <v>09/27/2017</v>
      </c>
      <c r="G2113" t="str">
        <f>VLOOKUP(A2113,inf!$D$2:$E$76,2,FALSE)</f>
        <v>Other</v>
      </c>
    </row>
    <row r="2114" spans="1:7" x14ac:dyDescent="0.25">
      <c r="A2114" t="s">
        <v>54</v>
      </c>
      <c r="B2114" s="1">
        <v>43005</v>
      </c>
      <c r="C2114" t="s">
        <v>57</v>
      </c>
      <c r="D2114" s="4">
        <v>740.35</v>
      </c>
      <c r="E2114" s="12" t="str">
        <f>VLOOKUP(C2114,inf!$A$2:$B$7,2,FALSE)</f>
        <v>31 to 60</v>
      </c>
      <c r="F2114" s="12" t="str">
        <f t="shared" si="33"/>
        <v>09/27/2017</v>
      </c>
      <c r="G2114" t="str">
        <f>VLOOKUP(A2114,inf!$D$2:$E$76,2,FALSE)</f>
        <v>Other</v>
      </c>
    </row>
    <row r="2115" spans="1:7" x14ac:dyDescent="0.25">
      <c r="A2115" t="s">
        <v>54</v>
      </c>
      <c r="B2115" s="1">
        <v>43005</v>
      </c>
      <c r="C2115" t="s">
        <v>58</v>
      </c>
      <c r="D2115" s="4">
        <v>686.88</v>
      </c>
      <c r="E2115" s="12" t="str">
        <f>VLOOKUP(C2115,inf!$A$2:$B$7,2,FALSE)</f>
        <v>61 to 90</v>
      </c>
      <c r="F2115" s="12" t="str">
        <f t="shared" ref="F2115:F2178" si="34">TEXT(B2115,"MM/DD/YYYY")</f>
        <v>09/27/2017</v>
      </c>
      <c r="G2115" t="str">
        <f>VLOOKUP(A2115,inf!$D$2:$E$76,2,FALSE)</f>
        <v>Other</v>
      </c>
    </row>
    <row r="2116" spans="1:7" x14ac:dyDescent="0.25">
      <c r="A2116" t="s">
        <v>54</v>
      </c>
      <c r="B2116" s="1">
        <v>43005</v>
      </c>
      <c r="C2116" t="s">
        <v>59</v>
      </c>
      <c r="D2116" s="4">
        <v>114.85</v>
      </c>
      <c r="E2116" s="12" t="str">
        <f>VLOOKUP(C2116,inf!$A$2:$B$7,2,FALSE)</f>
        <v>Over 90</v>
      </c>
      <c r="F2116" s="12" t="str">
        <f t="shared" si="34"/>
        <v>09/27/2017</v>
      </c>
      <c r="G2116" t="str">
        <f>VLOOKUP(A2116,inf!$D$2:$E$76,2,FALSE)</f>
        <v>Other</v>
      </c>
    </row>
    <row r="2117" spans="1:7" x14ac:dyDescent="0.25">
      <c r="A2117" t="s">
        <v>28</v>
      </c>
      <c r="B2117" s="1">
        <v>43005</v>
      </c>
      <c r="C2117" t="s">
        <v>55</v>
      </c>
      <c r="D2117" s="4">
        <v>4513.3799999999992</v>
      </c>
      <c r="E2117" s="12" t="str">
        <f>VLOOKUP(C2117,inf!$A$2:$B$7,2,FALSE)</f>
        <v>Current</v>
      </c>
      <c r="F2117" s="12" t="str">
        <f t="shared" si="34"/>
        <v>09/27/2017</v>
      </c>
      <c r="G2117" t="str">
        <f>VLOOKUP(A2117,inf!$D$2:$E$76,2,FALSE)</f>
        <v>Other</v>
      </c>
    </row>
    <row r="2118" spans="1:7" x14ac:dyDescent="0.25">
      <c r="A2118" t="s">
        <v>28</v>
      </c>
      <c r="B2118" s="1">
        <v>43005</v>
      </c>
      <c r="C2118" t="s">
        <v>60</v>
      </c>
      <c r="D2118" s="4">
        <v>187.75</v>
      </c>
      <c r="E2118" s="12" t="str">
        <f>VLOOKUP(C2118,inf!$A$2:$B$7,2,FALSE)</f>
        <v>Over 90</v>
      </c>
      <c r="F2118" s="12" t="str">
        <f t="shared" si="34"/>
        <v>09/27/2017</v>
      </c>
      <c r="G2118" t="str">
        <f>VLOOKUP(A2118,inf!$D$2:$E$76,2,FALSE)</f>
        <v>Other</v>
      </c>
    </row>
    <row r="2119" spans="1:7" x14ac:dyDescent="0.25">
      <c r="A2119" t="s">
        <v>15</v>
      </c>
      <c r="B2119" s="1">
        <v>43005</v>
      </c>
      <c r="C2119" t="s">
        <v>55</v>
      </c>
      <c r="D2119" s="4">
        <v>499.22</v>
      </c>
      <c r="E2119" s="12" t="str">
        <f>VLOOKUP(C2119,inf!$A$2:$B$7,2,FALSE)</f>
        <v>Current</v>
      </c>
      <c r="F2119" s="12" t="str">
        <f t="shared" si="34"/>
        <v>09/27/2017</v>
      </c>
      <c r="G2119" t="str">
        <f>VLOOKUP(A2119,inf!$D$2:$E$76,2,FALSE)</f>
        <v>Other</v>
      </c>
    </row>
    <row r="2120" spans="1:7" x14ac:dyDescent="0.25">
      <c r="A2120" t="s">
        <v>15</v>
      </c>
      <c r="B2120" s="1">
        <v>43005</v>
      </c>
      <c r="C2120" t="s">
        <v>56</v>
      </c>
      <c r="D2120" s="4">
        <v>2129.33</v>
      </c>
      <c r="E2120" s="12" t="str">
        <f>VLOOKUP(C2120,inf!$A$2:$B$7,2,FALSE)</f>
        <v>Current</v>
      </c>
      <c r="F2120" s="12" t="str">
        <f t="shared" si="34"/>
        <v>09/27/2017</v>
      </c>
      <c r="G2120" t="str">
        <f>VLOOKUP(A2120,inf!$D$2:$E$76,2,FALSE)</f>
        <v>Other</v>
      </c>
    </row>
    <row r="2121" spans="1:7" x14ac:dyDescent="0.25">
      <c r="A2121" t="s">
        <v>15</v>
      </c>
      <c r="B2121" s="1">
        <v>43005</v>
      </c>
      <c r="C2121" t="s">
        <v>57</v>
      </c>
      <c r="D2121" s="4">
        <v>291.60000000000002</v>
      </c>
      <c r="E2121" s="12" t="str">
        <f>VLOOKUP(C2121,inf!$A$2:$B$7,2,FALSE)</f>
        <v>31 to 60</v>
      </c>
      <c r="F2121" s="12" t="str">
        <f t="shared" si="34"/>
        <v>09/27/2017</v>
      </c>
      <c r="G2121" t="str">
        <f>VLOOKUP(A2121,inf!$D$2:$E$76,2,FALSE)</f>
        <v>Other</v>
      </c>
    </row>
    <row r="2122" spans="1:7" x14ac:dyDescent="0.25">
      <c r="A2122" t="s">
        <v>15</v>
      </c>
      <c r="B2122" s="1">
        <v>43005</v>
      </c>
      <c r="C2122" t="s">
        <v>60</v>
      </c>
      <c r="D2122" s="4">
        <v>126.05</v>
      </c>
      <c r="E2122" s="12" t="str">
        <f>VLOOKUP(C2122,inf!$A$2:$B$7,2,FALSE)</f>
        <v>Over 90</v>
      </c>
      <c r="F2122" s="12" t="str">
        <f t="shared" si="34"/>
        <v>09/27/2017</v>
      </c>
      <c r="G2122" t="str">
        <f>VLOOKUP(A2122,inf!$D$2:$E$76,2,FALSE)</f>
        <v>Other</v>
      </c>
    </row>
    <row r="2123" spans="1:7" x14ac:dyDescent="0.25">
      <c r="A2123" t="s">
        <v>61</v>
      </c>
      <c r="B2123" s="1">
        <v>43012</v>
      </c>
      <c r="C2123" t="s">
        <v>57</v>
      </c>
      <c r="D2123" s="4">
        <v>295.32</v>
      </c>
      <c r="E2123" s="12" t="str">
        <f>VLOOKUP(C2123,inf!$A$2:$B$7,2,FALSE)</f>
        <v>31 to 60</v>
      </c>
      <c r="F2123" s="12" t="str">
        <f t="shared" si="34"/>
        <v>10/04/2017</v>
      </c>
      <c r="G2123" t="str">
        <f>VLOOKUP(A2123,inf!$D$2:$E$76,2,FALSE)</f>
        <v>Other</v>
      </c>
    </row>
    <row r="2124" spans="1:7" x14ac:dyDescent="0.25">
      <c r="A2124" t="s">
        <v>4</v>
      </c>
      <c r="B2124" s="1">
        <v>43012</v>
      </c>
      <c r="C2124" t="s">
        <v>55</v>
      </c>
      <c r="D2124" s="4">
        <v>619.47</v>
      </c>
      <c r="E2124" s="12" t="str">
        <f>VLOOKUP(C2124,inf!$A$2:$B$7,2,FALSE)</f>
        <v>Current</v>
      </c>
      <c r="F2124" s="12" t="str">
        <f t="shared" si="34"/>
        <v>10/04/2017</v>
      </c>
      <c r="G2124" t="str">
        <f>VLOOKUP(A2124,inf!$D$2:$E$76,2,FALSE)</f>
        <v>Other</v>
      </c>
    </row>
    <row r="2125" spans="1:7" x14ac:dyDescent="0.25">
      <c r="A2125" t="s">
        <v>26</v>
      </c>
      <c r="B2125" s="1">
        <v>43012</v>
      </c>
      <c r="C2125" t="s">
        <v>60</v>
      </c>
      <c r="D2125" s="4">
        <v>1380.77</v>
      </c>
      <c r="E2125" s="12" t="str">
        <f>VLOOKUP(C2125,inf!$A$2:$B$7,2,FALSE)</f>
        <v>Over 90</v>
      </c>
      <c r="F2125" s="12" t="str">
        <f t="shared" si="34"/>
        <v>10/04/2017</v>
      </c>
      <c r="G2125" t="str">
        <f>VLOOKUP(A2125,inf!$D$2:$E$76,2,FALSE)</f>
        <v>Other</v>
      </c>
    </row>
    <row r="2126" spans="1:7" x14ac:dyDescent="0.25">
      <c r="A2126" t="s">
        <v>2</v>
      </c>
      <c r="B2126" s="1">
        <v>43012</v>
      </c>
      <c r="C2126" t="s">
        <v>60</v>
      </c>
      <c r="D2126" s="4">
        <v>6040.4899999999971</v>
      </c>
      <c r="E2126" s="12" t="str">
        <f>VLOOKUP(C2126,inf!$A$2:$B$7,2,FALSE)</f>
        <v>Over 90</v>
      </c>
      <c r="F2126" s="12" t="str">
        <f t="shared" si="34"/>
        <v>10/04/2017</v>
      </c>
      <c r="G2126" t="str">
        <f>VLOOKUP(A2126,inf!$D$2:$E$76,2,FALSE)</f>
        <v>Other</v>
      </c>
    </row>
    <row r="2127" spans="1:7" x14ac:dyDescent="0.25">
      <c r="A2127" t="s">
        <v>32</v>
      </c>
      <c r="B2127" s="1">
        <v>43012</v>
      </c>
      <c r="C2127" t="s">
        <v>55</v>
      </c>
      <c r="D2127" s="4">
        <v>408.14</v>
      </c>
      <c r="E2127" s="12" t="str">
        <f>VLOOKUP(C2127,inf!$A$2:$B$7,2,FALSE)</f>
        <v>Current</v>
      </c>
      <c r="F2127" s="12" t="str">
        <f t="shared" si="34"/>
        <v>10/04/2017</v>
      </c>
      <c r="G2127" t="str">
        <f>VLOOKUP(A2127,inf!$D$2:$E$76,2,FALSE)</f>
        <v>Other</v>
      </c>
    </row>
    <row r="2128" spans="1:7" x14ac:dyDescent="0.25">
      <c r="A2128" t="s">
        <v>47</v>
      </c>
      <c r="B2128" s="1">
        <v>43012</v>
      </c>
      <c r="C2128" t="s">
        <v>55</v>
      </c>
      <c r="D2128" s="4">
        <v>380.16</v>
      </c>
      <c r="E2128" s="12" t="str">
        <f>VLOOKUP(C2128,inf!$A$2:$B$7,2,FALSE)</f>
        <v>Current</v>
      </c>
      <c r="F2128" s="12" t="str">
        <f t="shared" si="34"/>
        <v>10/04/2017</v>
      </c>
      <c r="G2128" t="str">
        <f>VLOOKUP(A2128,inf!$D$2:$E$76,2,FALSE)</f>
        <v>Other</v>
      </c>
    </row>
    <row r="2129" spans="1:7" x14ac:dyDescent="0.25">
      <c r="A2129" t="s">
        <v>31</v>
      </c>
      <c r="B2129" s="1">
        <v>43012</v>
      </c>
      <c r="C2129" t="s">
        <v>55</v>
      </c>
      <c r="D2129" s="4">
        <v>936.21</v>
      </c>
      <c r="E2129" s="12" t="str">
        <f>VLOOKUP(C2129,inf!$A$2:$B$7,2,FALSE)</f>
        <v>Current</v>
      </c>
      <c r="F2129" s="12" t="str">
        <f t="shared" si="34"/>
        <v>10/04/2017</v>
      </c>
      <c r="G2129" t="str">
        <f>VLOOKUP(A2129,inf!$D$2:$E$76,2,FALSE)</f>
        <v>Other</v>
      </c>
    </row>
    <row r="2130" spans="1:7" x14ac:dyDescent="0.25">
      <c r="A2130" t="s">
        <v>31</v>
      </c>
      <c r="B2130" s="1">
        <v>43012</v>
      </c>
      <c r="C2130" t="s">
        <v>56</v>
      </c>
      <c r="D2130" s="4">
        <v>174.7</v>
      </c>
      <c r="E2130" s="12" t="str">
        <f>VLOOKUP(C2130,inf!$A$2:$B$7,2,FALSE)</f>
        <v>Current</v>
      </c>
      <c r="F2130" s="12" t="str">
        <f t="shared" si="34"/>
        <v>10/04/2017</v>
      </c>
      <c r="G2130" t="str">
        <f>VLOOKUP(A2130,inf!$D$2:$E$76,2,FALSE)</f>
        <v>Other</v>
      </c>
    </row>
    <row r="2131" spans="1:7" x14ac:dyDescent="0.25">
      <c r="A2131" t="s">
        <v>31</v>
      </c>
      <c r="B2131" s="1">
        <v>43012</v>
      </c>
      <c r="C2131" t="s">
        <v>57</v>
      </c>
      <c r="D2131" s="4">
        <v>296.71000000000004</v>
      </c>
      <c r="E2131" s="12" t="str">
        <f>VLOOKUP(C2131,inf!$A$2:$B$7,2,FALSE)</f>
        <v>31 to 60</v>
      </c>
      <c r="F2131" s="12" t="str">
        <f t="shared" si="34"/>
        <v>10/04/2017</v>
      </c>
      <c r="G2131" t="str">
        <f>VLOOKUP(A2131,inf!$D$2:$E$76,2,FALSE)</f>
        <v>Other</v>
      </c>
    </row>
    <row r="2132" spans="1:7" x14ac:dyDescent="0.25">
      <c r="A2132" t="s">
        <v>24</v>
      </c>
      <c r="B2132" s="1">
        <v>43012</v>
      </c>
      <c r="C2132" t="s">
        <v>55</v>
      </c>
      <c r="D2132" s="4">
        <v>1542.74</v>
      </c>
      <c r="E2132" s="12" t="str">
        <f>VLOOKUP(C2132,inf!$A$2:$B$7,2,FALSE)</f>
        <v>Current</v>
      </c>
      <c r="F2132" s="12" t="str">
        <f t="shared" si="34"/>
        <v>10/04/2017</v>
      </c>
      <c r="G2132" t="str">
        <f>VLOOKUP(A2132,inf!$D$2:$E$76,2,FALSE)</f>
        <v>Other</v>
      </c>
    </row>
    <row r="2133" spans="1:7" x14ac:dyDescent="0.25">
      <c r="A2133" t="s">
        <v>18</v>
      </c>
      <c r="B2133" s="1">
        <v>43012</v>
      </c>
      <c r="C2133" t="s">
        <v>55</v>
      </c>
      <c r="D2133" s="4">
        <v>560.27</v>
      </c>
      <c r="E2133" s="12" t="str">
        <f>VLOOKUP(C2133,inf!$A$2:$B$7,2,FALSE)</f>
        <v>Current</v>
      </c>
      <c r="F2133" s="12" t="str">
        <f t="shared" si="34"/>
        <v>10/04/2017</v>
      </c>
      <c r="G2133" t="str">
        <f>VLOOKUP(A2133,inf!$D$2:$E$76,2,FALSE)</f>
        <v>Other</v>
      </c>
    </row>
    <row r="2134" spans="1:7" x14ac:dyDescent="0.25">
      <c r="A2134" t="s">
        <v>27</v>
      </c>
      <c r="B2134" s="1">
        <v>43012</v>
      </c>
      <c r="C2134" t="s">
        <v>55</v>
      </c>
      <c r="D2134" s="4">
        <v>427.26</v>
      </c>
      <c r="E2134" s="12" t="str">
        <f>VLOOKUP(C2134,inf!$A$2:$B$7,2,FALSE)</f>
        <v>Current</v>
      </c>
      <c r="F2134" s="12" t="str">
        <f t="shared" si="34"/>
        <v>10/04/2017</v>
      </c>
      <c r="G2134" t="str">
        <f>VLOOKUP(A2134,inf!$D$2:$E$76,2,FALSE)</f>
        <v>Other</v>
      </c>
    </row>
    <row r="2135" spans="1:7" x14ac:dyDescent="0.25">
      <c r="A2135" t="s">
        <v>62</v>
      </c>
      <c r="B2135" s="1">
        <v>43012</v>
      </c>
      <c r="C2135" t="s">
        <v>55</v>
      </c>
      <c r="D2135" s="4">
        <v>229.7</v>
      </c>
      <c r="E2135" s="12" t="str">
        <f>VLOOKUP(C2135,inf!$A$2:$B$7,2,FALSE)</f>
        <v>Current</v>
      </c>
      <c r="F2135" s="12" t="str">
        <f t="shared" si="34"/>
        <v>10/04/2017</v>
      </c>
      <c r="G2135" t="str">
        <f>VLOOKUP(A2135,inf!$D$2:$E$76,2,FALSE)</f>
        <v>Other</v>
      </c>
    </row>
    <row r="2136" spans="1:7" x14ac:dyDescent="0.25">
      <c r="A2136" t="s">
        <v>62</v>
      </c>
      <c r="B2136" s="1">
        <v>43012</v>
      </c>
      <c r="C2136" t="s">
        <v>56</v>
      </c>
      <c r="D2136" s="4">
        <v>241.51</v>
      </c>
      <c r="E2136" s="12" t="str">
        <f>VLOOKUP(C2136,inf!$A$2:$B$7,2,FALSE)</f>
        <v>Current</v>
      </c>
      <c r="F2136" s="12" t="str">
        <f t="shared" si="34"/>
        <v>10/04/2017</v>
      </c>
      <c r="G2136" t="str">
        <f>VLOOKUP(A2136,inf!$D$2:$E$76,2,FALSE)</f>
        <v>Other</v>
      </c>
    </row>
    <row r="2137" spans="1:7" x14ac:dyDescent="0.25">
      <c r="A2137" t="s">
        <v>21</v>
      </c>
      <c r="B2137" s="1">
        <v>43012</v>
      </c>
      <c r="C2137" t="s">
        <v>55</v>
      </c>
      <c r="D2137" s="4">
        <v>172.28</v>
      </c>
      <c r="E2137" s="12" t="str">
        <f>VLOOKUP(C2137,inf!$A$2:$B$7,2,FALSE)</f>
        <v>Current</v>
      </c>
      <c r="F2137" s="12" t="str">
        <f t="shared" si="34"/>
        <v>10/04/2017</v>
      </c>
      <c r="G2137" t="str">
        <f>VLOOKUP(A2137,inf!$D$2:$E$76,2,FALSE)</f>
        <v>Other</v>
      </c>
    </row>
    <row r="2138" spans="1:7" x14ac:dyDescent="0.25">
      <c r="A2138" t="s">
        <v>3</v>
      </c>
      <c r="B2138" s="1">
        <v>43012</v>
      </c>
      <c r="C2138" t="s">
        <v>55</v>
      </c>
      <c r="D2138" s="4">
        <v>545.05999999999995</v>
      </c>
      <c r="E2138" s="12" t="str">
        <f>VLOOKUP(C2138,inf!$A$2:$B$7,2,FALSE)</f>
        <v>Current</v>
      </c>
      <c r="F2138" s="12" t="str">
        <f t="shared" si="34"/>
        <v>10/04/2017</v>
      </c>
      <c r="G2138" t="str">
        <f>VLOOKUP(A2138,inf!$D$2:$E$76,2,FALSE)</f>
        <v>Other</v>
      </c>
    </row>
    <row r="2139" spans="1:7" x14ac:dyDescent="0.25">
      <c r="A2139" t="s">
        <v>3</v>
      </c>
      <c r="B2139" s="1">
        <v>43012</v>
      </c>
      <c r="C2139" t="s">
        <v>56</v>
      </c>
      <c r="D2139" s="4">
        <v>67.66</v>
      </c>
      <c r="E2139" s="12" t="str">
        <f>VLOOKUP(C2139,inf!$A$2:$B$7,2,FALSE)</f>
        <v>Current</v>
      </c>
      <c r="F2139" s="12" t="str">
        <f t="shared" si="34"/>
        <v>10/04/2017</v>
      </c>
      <c r="G2139" t="str">
        <f>VLOOKUP(A2139,inf!$D$2:$E$76,2,FALSE)</f>
        <v>Other</v>
      </c>
    </row>
    <row r="2140" spans="1:7" x14ac:dyDescent="0.25">
      <c r="A2140" t="s">
        <v>30</v>
      </c>
      <c r="B2140" s="1">
        <v>43012</v>
      </c>
      <c r="C2140" t="s">
        <v>55</v>
      </c>
      <c r="D2140" s="4">
        <v>1761.7699999999998</v>
      </c>
      <c r="E2140" s="12" t="str">
        <f>VLOOKUP(C2140,inf!$A$2:$B$7,2,FALSE)</f>
        <v>Current</v>
      </c>
      <c r="F2140" s="12" t="str">
        <f t="shared" si="34"/>
        <v>10/04/2017</v>
      </c>
      <c r="G2140" t="str">
        <f>VLOOKUP(A2140,inf!$D$2:$E$76,2,FALSE)</f>
        <v>Other</v>
      </c>
    </row>
    <row r="2141" spans="1:7" x14ac:dyDescent="0.25">
      <c r="A2141" t="s">
        <v>30</v>
      </c>
      <c r="B2141" s="1">
        <v>43012</v>
      </c>
      <c r="C2141" t="s">
        <v>56</v>
      </c>
      <c r="D2141" s="4">
        <v>1763.91</v>
      </c>
      <c r="E2141" s="12" t="str">
        <f>VLOOKUP(C2141,inf!$A$2:$B$7,2,FALSE)</f>
        <v>Current</v>
      </c>
      <c r="F2141" s="12" t="str">
        <f t="shared" si="34"/>
        <v>10/04/2017</v>
      </c>
      <c r="G2141" t="str">
        <f>VLOOKUP(A2141,inf!$D$2:$E$76,2,FALSE)</f>
        <v>Other</v>
      </c>
    </row>
    <row r="2142" spans="1:7" x14ac:dyDescent="0.25">
      <c r="A2142" t="s">
        <v>63</v>
      </c>
      <c r="B2142" s="1">
        <v>43012</v>
      </c>
      <c r="C2142" t="s">
        <v>56</v>
      </c>
      <c r="D2142" s="4">
        <v>170.49</v>
      </c>
      <c r="E2142" s="12" t="str">
        <f>VLOOKUP(C2142,inf!$A$2:$B$7,2,FALSE)</f>
        <v>Current</v>
      </c>
      <c r="F2142" s="12" t="str">
        <f t="shared" si="34"/>
        <v>10/04/2017</v>
      </c>
      <c r="G2142" t="str">
        <f>VLOOKUP(A2142,inf!$D$2:$E$76,2,FALSE)</f>
        <v>Other</v>
      </c>
    </row>
    <row r="2143" spans="1:7" x14ac:dyDescent="0.25">
      <c r="A2143" t="s">
        <v>12</v>
      </c>
      <c r="B2143" s="1">
        <v>43012</v>
      </c>
      <c r="C2143" t="s">
        <v>55</v>
      </c>
      <c r="D2143" s="4">
        <v>820.83999999999992</v>
      </c>
      <c r="E2143" s="12" t="str">
        <f>VLOOKUP(C2143,inf!$A$2:$B$7,2,FALSE)</f>
        <v>Current</v>
      </c>
      <c r="F2143" s="12" t="str">
        <f t="shared" si="34"/>
        <v>10/04/2017</v>
      </c>
      <c r="G2143" t="str">
        <f>VLOOKUP(A2143,inf!$D$2:$E$76,2,FALSE)</f>
        <v>Other</v>
      </c>
    </row>
    <row r="2144" spans="1:7" x14ac:dyDescent="0.25">
      <c r="A2144" t="s">
        <v>12</v>
      </c>
      <c r="B2144" s="1">
        <v>43012</v>
      </c>
      <c r="C2144" t="s">
        <v>56</v>
      </c>
      <c r="D2144" s="4">
        <v>665.07999999999993</v>
      </c>
      <c r="E2144" s="12" t="str">
        <f>VLOOKUP(C2144,inf!$A$2:$B$7,2,FALSE)</f>
        <v>Current</v>
      </c>
      <c r="F2144" s="12" t="str">
        <f t="shared" si="34"/>
        <v>10/04/2017</v>
      </c>
      <c r="G2144" t="str">
        <f>VLOOKUP(A2144,inf!$D$2:$E$76,2,FALSE)</f>
        <v>Other</v>
      </c>
    </row>
    <row r="2145" spans="1:7" x14ac:dyDescent="0.25">
      <c r="A2145" t="s">
        <v>12</v>
      </c>
      <c r="B2145" s="1">
        <v>43012</v>
      </c>
      <c r="C2145" t="s">
        <v>58</v>
      </c>
      <c r="D2145" s="4">
        <v>229.94</v>
      </c>
      <c r="E2145" s="12" t="str">
        <f>VLOOKUP(C2145,inf!$A$2:$B$7,2,FALSE)</f>
        <v>61 to 90</v>
      </c>
      <c r="F2145" s="12" t="str">
        <f t="shared" si="34"/>
        <v>10/04/2017</v>
      </c>
      <c r="G2145" t="str">
        <f>VLOOKUP(A2145,inf!$D$2:$E$76,2,FALSE)</f>
        <v>Other</v>
      </c>
    </row>
    <row r="2146" spans="1:7" x14ac:dyDescent="0.25">
      <c r="A2146" t="s">
        <v>12</v>
      </c>
      <c r="B2146" s="1">
        <v>43012</v>
      </c>
      <c r="C2146" t="s">
        <v>59</v>
      </c>
      <c r="D2146" s="4">
        <v>165</v>
      </c>
      <c r="E2146" s="12" t="str">
        <f>VLOOKUP(C2146,inf!$A$2:$B$7,2,FALSE)</f>
        <v>Over 90</v>
      </c>
      <c r="F2146" s="12" t="str">
        <f t="shared" si="34"/>
        <v>10/04/2017</v>
      </c>
      <c r="G2146" t="str">
        <f>VLOOKUP(A2146,inf!$D$2:$E$76,2,FALSE)</f>
        <v>Other</v>
      </c>
    </row>
    <row r="2147" spans="1:7" x14ac:dyDescent="0.25">
      <c r="A2147" t="s">
        <v>50</v>
      </c>
      <c r="B2147" s="1">
        <v>43012</v>
      </c>
      <c r="C2147" t="s">
        <v>55</v>
      </c>
      <c r="D2147" s="4">
        <v>495.71</v>
      </c>
      <c r="E2147" s="12" t="str">
        <f>VLOOKUP(C2147,inf!$A$2:$B$7,2,FALSE)</f>
        <v>Current</v>
      </c>
      <c r="F2147" s="12" t="str">
        <f t="shared" si="34"/>
        <v>10/04/2017</v>
      </c>
      <c r="G2147" t="str">
        <f>VLOOKUP(A2147,inf!$D$2:$E$76,2,FALSE)</f>
        <v>Other</v>
      </c>
    </row>
    <row r="2148" spans="1:7" x14ac:dyDescent="0.25">
      <c r="A2148" t="s">
        <v>23</v>
      </c>
      <c r="B2148" s="1">
        <v>43012</v>
      </c>
      <c r="C2148" t="s">
        <v>55</v>
      </c>
      <c r="D2148" s="4">
        <v>114.85</v>
      </c>
      <c r="E2148" s="12" t="str">
        <f>VLOOKUP(C2148,inf!$A$2:$B$7,2,FALSE)</f>
        <v>Current</v>
      </c>
      <c r="F2148" s="12" t="str">
        <f t="shared" si="34"/>
        <v>10/04/2017</v>
      </c>
      <c r="G2148" t="str">
        <f>VLOOKUP(A2148,inf!$D$2:$E$76,2,FALSE)</f>
        <v>Other</v>
      </c>
    </row>
    <row r="2149" spans="1:7" x14ac:dyDescent="0.25">
      <c r="A2149" t="s">
        <v>7</v>
      </c>
      <c r="B2149" s="1">
        <v>43012</v>
      </c>
      <c r="C2149" t="s">
        <v>55</v>
      </c>
      <c r="D2149" s="4">
        <v>72847.159999999945</v>
      </c>
      <c r="E2149" s="12" t="str">
        <f>VLOOKUP(C2149,inf!$A$2:$B$7,2,FALSE)</f>
        <v>Current</v>
      </c>
      <c r="F2149" s="12" t="str">
        <f t="shared" si="34"/>
        <v>10/04/2017</v>
      </c>
      <c r="G2149" t="str">
        <f>VLOOKUP(A2149,inf!$D$2:$E$76,2,FALSE)</f>
        <v>SAFEWAY</v>
      </c>
    </row>
    <row r="2150" spans="1:7" x14ac:dyDescent="0.25">
      <c r="A2150" t="s">
        <v>7</v>
      </c>
      <c r="B2150" s="1">
        <v>43012</v>
      </c>
      <c r="C2150" t="s">
        <v>56</v>
      </c>
      <c r="D2150" s="4">
        <v>24800.259999999995</v>
      </c>
      <c r="E2150" s="12" t="str">
        <f>VLOOKUP(C2150,inf!$A$2:$B$7,2,FALSE)</f>
        <v>Current</v>
      </c>
      <c r="F2150" s="12" t="str">
        <f t="shared" si="34"/>
        <v>10/04/2017</v>
      </c>
      <c r="G2150" t="str">
        <f>VLOOKUP(A2150,inf!$D$2:$E$76,2,FALSE)</f>
        <v>SAFEWAY</v>
      </c>
    </row>
    <row r="2151" spans="1:7" x14ac:dyDescent="0.25">
      <c r="A2151" t="s">
        <v>7</v>
      </c>
      <c r="B2151" s="1">
        <v>43012</v>
      </c>
      <c r="C2151" t="s">
        <v>57</v>
      </c>
      <c r="D2151" s="4">
        <v>1136.3399999999999</v>
      </c>
      <c r="E2151" s="12" t="str">
        <f>VLOOKUP(C2151,inf!$A$2:$B$7,2,FALSE)</f>
        <v>31 to 60</v>
      </c>
      <c r="F2151" s="12" t="str">
        <f t="shared" si="34"/>
        <v>10/04/2017</v>
      </c>
      <c r="G2151" t="str">
        <f>VLOOKUP(A2151,inf!$D$2:$E$76,2,FALSE)</f>
        <v>SAFEWAY</v>
      </c>
    </row>
    <row r="2152" spans="1:7" x14ac:dyDescent="0.25">
      <c r="A2152" t="s">
        <v>7</v>
      </c>
      <c r="B2152" s="1">
        <v>43012</v>
      </c>
      <c r="C2152" t="s">
        <v>58</v>
      </c>
      <c r="D2152" s="4">
        <v>807.03</v>
      </c>
      <c r="E2152" s="12" t="str">
        <f>VLOOKUP(C2152,inf!$A$2:$B$7,2,FALSE)</f>
        <v>61 to 90</v>
      </c>
      <c r="F2152" s="12" t="str">
        <f t="shared" si="34"/>
        <v>10/04/2017</v>
      </c>
      <c r="G2152" t="str">
        <f>VLOOKUP(A2152,inf!$D$2:$E$76,2,FALSE)</f>
        <v>SAFEWAY</v>
      </c>
    </row>
    <row r="2153" spans="1:7" x14ac:dyDescent="0.25">
      <c r="A2153" t="s">
        <v>7</v>
      </c>
      <c r="B2153" s="1">
        <v>43012</v>
      </c>
      <c r="C2153" t="s">
        <v>59</v>
      </c>
      <c r="D2153" s="4">
        <v>1606.5500000000002</v>
      </c>
      <c r="E2153" s="12" t="str">
        <f>VLOOKUP(C2153,inf!$A$2:$B$7,2,FALSE)</f>
        <v>Over 90</v>
      </c>
      <c r="F2153" s="12" t="str">
        <f t="shared" si="34"/>
        <v>10/04/2017</v>
      </c>
      <c r="G2153" t="str">
        <f>VLOOKUP(A2153,inf!$D$2:$E$76,2,FALSE)</f>
        <v>SAFEWAY</v>
      </c>
    </row>
    <row r="2154" spans="1:7" x14ac:dyDescent="0.25">
      <c r="A2154" t="s">
        <v>74</v>
      </c>
      <c r="B2154" s="1">
        <v>43012</v>
      </c>
      <c r="C2154" t="s">
        <v>55</v>
      </c>
      <c r="D2154" s="4">
        <v>742.26</v>
      </c>
      <c r="E2154" s="12" t="str">
        <f>VLOOKUP(C2154,inf!$A$2:$B$7,2,FALSE)</f>
        <v>Current</v>
      </c>
      <c r="F2154" s="12" t="str">
        <f t="shared" si="34"/>
        <v>10/04/2017</v>
      </c>
      <c r="G2154" t="str">
        <f>VLOOKUP(A2154,inf!$D$2:$E$76,2,FALSE)</f>
        <v>Other</v>
      </c>
    </row>
    <row r="2155" spans="1:7" x14ac:dyDescent="0.25">
      <c r="A2155" t="s">
        <v>72</v>
      </c>
      <c r="B2155" s="1">
        <v>43012</v>
      </c>
      <c r="C2155" t="s">
        <v>55</v>
      </c>
      <c r="D2155" s="4">
        <v>292.45999999999998</v>
      </c>
      <c r="E2155" s="12" t="str">
        <f>VLOOKUP(C2155,inf!$A$2:$B$7,2,FALSE)</f>
        <v>Current</v>
      </c>
      <c r="F2155" s="12" t="str">
        <f t="shared" si="34"/>
        <v>10/04/2017</v>
      </c>
      <c r="G2155" t="str">
        <f>VLOOKUP(A2155,inf!$D$2:$E$76,2,FALSE)</f>
        <v>Other</v>
      </c>
    </row>
    <row r="2156" spans="1:7" x14ac:dyDescent="0.25">
      <c r="A2156" t="s">
        <v>5</v>
      </c>
      <c r="B2156" s="1">
        <v>43012</v>
      </c>
      <c r="C2156" t="s">
        <v>55</v>
      </c>
      <c r="D2156" s="4">
        <v>6154521.2899996908</v>
      </c>
      <c r="E2156" s="12" t="str">
        <f>VLOOKUP(C2156,inf!$A$2:$B$7,2,FALSE)</f>
        <v>Current</v>
      </c>
      <c r="F2156" s="12" t="str">
        <f t="shared" si="34"/>
        <v>10/04/2017</v>
      </c>
      <c r="G2156" t="str">
        <f>VLOOKUP(A2156,inf!$D$2:$E$76,2,FALSE)</f>
        <v>SBUX</v>
      </c>
    </row>
    <row r="2157" spans="1:7" x14ac:dyDescent="0.25">
      <c r="A2157" t="s">
        <v>5</v>
      </c>
      <c r="B2157" s="1">
        <v>43012</v>
      </c>
      <c r="C2157" t="s">
        <v>56</v>
      </c>
      <c r="D2157" s="4">
        <v>45340.54</v>
      </c>
      <c r="E2157" s="12" t="str">
        <f>VLOOKUP(C2157,inf!$A$2:$B$7,2,FALSE)</f>
        <v>Current</v>
      </c>
      <c r="F2157" s="12" t="str">
        <f t="shared" si="34"/>
        <v>10/04/2017</v>
      </c>
      <c r="G2157" t="str">
        <f>VLOOKUP(A2157,inf!$D$2:$E$76,2,FALSE)</f>
        <v>SBUX</v>
      </c>
    </row>
    <row r="2158" spans="1:7" x14ac:dyDescent="0.25">
      <c r="A2158" t="s">
        <v>5</v>
      </c>
      <c r="B2158" s="1">
        <v>43012</v>
      </c>
      <c r="C2158" t="s">
        <v>57</v>
      </c>
      <c r="D2158" s="4">
        <v>38596.150000000045</v>
      </c>
      <c r="E2158" s="12" t="str">
        <f>VLOOKUP(C2158,inf!$A$2:$B$7,2,FALSE)</f>
        <v>31 to 60</v>
      </c>
      <c r="F2158" s="12" t="str">
        <f t="shared" si="34"/>
        <v>10/04/2017</v>
      </c>
      <c r="G2158" t="str">
        <f>VLOOKUP(A2158,inf!$D$2:$E$76,2,FALSE)</f>
        <v>SBUX</v>
      </c>
    </row>
    <row r="2159" spans="1:7" x14ac:dyDescent="0.25">
      <c r="A2159" t="s">
        <v>5</v>
      </c>
      <c r="B2159" s="1">
        <v>43012</v>
      </c>
      <c r="C2159" t="s">
        <v>58</v>
      </c>
      <c r="D2159" s="4">
        <v>39248.459999999985</v>
      </c>
      <c r="E2159" s="12" t="str">
        <f>VLOOKUP(C2159,inf!$A$2:$B$7,2,FALSE)</f>
        <v>61 to 90</v>
      </c>
      <c r="F2159" s="12" t="str">
        <f t="shared" si="34"/>
        <v>10/04/2017</v>
      </c>
      <c r="G2159" t="str">
        <f>VLOOKUP(A2159,inf!$D$2:$E$76,2,FALSE)</f>
        <v>SBUX</v>
      </c>
    </row>
    <row r="2160" spans="1:7" x14ac:dyDescent="0.25">
      <c r="A2160" t="s">
        <v>5</v>
      </c>
      <c r="B2160" s="1">
        <v>43012</v>
      </c>
      <c r="C2160" t="s">
        <v>59</v>
      </c>
      <c r="D2160" s="4">
        <v>12440.939999999988</v>
      </c>
      <c r="E2160" s="12" t="str">
        <f>VLOOKUP(C2160,inf!$A$2:$B$7,2,FALSE)</f>
        <v>Over 90</v>
      </c>
      <c r="F2160" s="12" t="str">
        <f t="shared" si="34"/>
        <v>10/04/2017</v>
      </c>
      <c r="G2160" t="str">
        <f>VLOOKUP(A2160,inf!$D$2:$E$76,2,FALSE)</f>
        <v>SBUX</v>
      </c>
    </row>
    <row r="2161" spans="1:7" x14ac:dyDescent="0.25">
      <c r="A2161" t="s">
        <v>5</v>
      </c>
      <c r="B2161" s="1">
        <v>43012</v>
      </c>
      <c r="C2161" t="s">
        <v>60</v>
      </c>
      <c r="D2161" s="4">
        <v>161521.57000000012</v>
      </c>
      <c r="E2161" s="12" t="str">
        <f>VLOOKUP(C2161,inf!$A$2:$B$7,2,FALSE)</f>
        <v>Over 90</v>
      </c>
      <c r="F2161" s="12" t="str">
        <f t="shared" si="34"/>
        <v>10/04/2017</v>
      </c>
      <c r="G2161" t="str">
        <f>VLOOKUP(A2161,inf!$D$2:$E$76,2,FALSE)</f>
        <v>SBUX</v>
      </c>
    </row>
    <row r="2162" spans="1:7" x14ac:dyDescent="0.25">
      <c r="A2162" t="s">
        <v>6</v>
      </c>
      <c r="B2162" s="1">
        <v>43012</v>
      </c>
      <c r="C2162" t="s">
        <v>55</v>
      </c>
      <c r="D2162" s="4">
        <v>438799.16999999981</v>
      </c>
      <c r="E2162" s="12" t="str">
        <f>VLOOKUP(C2162,inf!$A$2:$B$7,2,FALSE)</f>
        <v>Current</v>
      </c>
      <c r="F2162" s="12" t="str">
        <f t="shared" si="34"/>
        <v>10/04/2017</v>
      </c>
      <c r="G2162" t="str">
        <f>VLOOKUP(A2162,inf!$D$2:$E$76,2,FALSE)</f>
        <v>SBUX</v>
      </c>
    </row>
    <row r="2163" spans="1:7" x14ac:dyDescent="0.25">
      <c r="A2163" t="s">
        <v>6</v>
      </c>
      <c r="B2163" s="1">
        <v>43012</v>
      </c>
      <c r="C2163" t="s">
        <v>56</v>
      </c>
      <c r="D2163" s="4">
        <v>15990.970000000005</v>
      </c>
      <c r="E2163" s="12" t="str">
        <f>VLOOKUP(C2163,inf!$A$2:$B$7,2,FALSE)</f>
        <v>Current</v>
      </c>
      <c r="F2163" s="12" t="str">
        <f t="shared" si="34"/>
        <v>10/04/2017</v>
      </c>
      <c r="G2163" t="str">
        <f>VLOOKUP(A2163,inf!$D$2:$E$76,2,FALSE)</f>
        <v>SBUX</v>
      </c>
    </row>
    <row r="2164" spans="1:7" x14ac:dyDescent="0.25">
      <c r="A2164" t="s">
        <v>6</v>
      </c>
      <c r="B2164" s="1">
        <v>43012</v>
      </c>
      <c r="C2164" t="s">
        <v>57</v>
      </c>
      <c r="D2164" s="4">
        <v>21516.959999999992</v>
      </c>
      <c r="E2164" s="12" t="str">
        <f>VLOOKUP(C2164,inf!$A$2:$B$7,2,FALSE)</f>
        <v>31 to 60</v>
      </c>
      <c r="F2164" s="12" t="str">
        <f t="shared" si="34"/>
        <v>10/04/2017</v>
      </c>
      <c r="G2164" t="str">
        <f>VLOOKUP(A2164,inf!$D$2:$E$76,2,FALSE)</f>
        <v>SBUX</v>
      </c>
    </row>
    <row r="2165" spans="1:7" x14ac:dyDescent="0.25">
      <c r="A2165" t="s">
        <v>6</v>
      </c>
      <c r="B2165" s="1">
        <v>43012</v>
      </c>
      <c r="C2165" t="s">
        <v>58</v>
      </c>
      <c r="D2165" s="4">
        <v>561.54</v>
      </c>
      <c r="E2165" s="12" t="str">
        <f>VLOOKUP(C2165,inf!$A$2:$B$7,2,FALSE)</f>
        <v>61 to 90</v>
      </c>
      <c r="F2165" s="12" t="str">
        <f t="shared" si="34"/>
        <v>10/04/2017</v>
      </c>
      <c r="G2165" t="str">
        <f>VLOOKUP(A2165,inf!$D$2:$E$76,2,FALSE)</f>
        <v>SBUX</v>
      </c>
    </row>
    <row r="2166" spans="1:7" x14ac:dyDescent="0.25">
      <c r="A2166" t="s">
        <v>6</v>
      </c>
      <c r="B2166" s="1">
        <v>43012</v>
      </c>
      <c r="C2166" t="s">
        <v>59</v>
      </c>
      <c r="D2166" s="4">
        <v>75.599999999999994</v>
      </c>
      <c r="E2166" s="12" t="str">
        <f>VLOOKUP(C2166,inf!$A$2:$B$7,2,FALSE)</f>
        <v>Over 90</v>
      </c>
      <c r="F2166" s="12" t="str">
        <f t="shared" si="34"/>
        <v>10/04/2017</v>
      </c>
      <c r="G2166" t="str">
        <f>VLOOKUP(A2166,inf!$D$2:$E$76,2,FALSE)</f>
        <v>SBUX</v>
      </c>
    </row>
    <row r="2167" spans="1:7" x14ac:dyDescent="0.25">
      <c r="A2167" t="s">
        <v>6</v>
      </c>
      <c r="B2167" s="1">
        <v>43012</v>
      </c>
      <c r="C2167" t="s">
        <v>60</v>
      </c>
      <c r="D2167" s="4">
        <v>13363.900000000005</v>
      </c>
      <c r="E2167" s="12" t="str">
        <f>VLOOKUP(C2167,inf!$A$2:$B$7,2,FALSE)</f>
        <v>Over 90</v>
      </c>
      <c r="F2167" s="12" t="str">
        <f t="shared" si="34"/>
        <v>10/04/2017</v>
      </c>
      <c r="G2167" t="str">
        <f>VLOOKUP(A2167,inf!$D$2:$E$76,2,FALSE)</f>
        <v>SBUX</v>
      </c>
    </row>
    <row r="2168" spans="1:7" x14ac:dyDescent="0.25">
      <c r="A2168" t="s">
        <v>49</v>
      </c>
      <c r="B2168" s="1">
        <v>43012</v>
      </c>
      <c r="C2168" t="s">
        <v>58</v>
      </c>
      <c r="D2168" s="4">
        <v>150.36000000000001</v>
      </c>
      <c r="E2168" s="12" t="str">
        <f>VLOOKUP(C2168,inf!$A$2:$B$7,2,FALSE)</f>
        <v>61 to 90</v>
      </c>
      <c r="F2168" s="12" t="str">
        <f t="shared" si="34"/>
        <v>10/04/2017</v>
      </c>
      <c r="G2168" t="str">
        <f>VLOOKUP(A2168,inf!$D$2:$E$76,2,FALSE)</f>
        <v>Other</v>
      </c>
    </row>
    <row r="2169" spans="1:7" x14ac:dyDescent="0.25">
      <c r="A2169" t="s">
        <v>48</v>
      </c>
      <c r="B2169" s="1">
        <v>43012</v>
      </c>
      <c r="C2169" t="s">
        <v>55</v>
      </c>
      <c r="D2169" s="4">
        <v>387637.90999999974</v>
      </c>
      <c r="E2169" s="12" t="str">
        <f>VLOOKUP(C2169,inf!$A$2:$B$7,2,FALSE)</f>
        <v>Current</v>
      </c>
      <c r="F2169" s="12" t="str">
        <f t="shared" si="34"/>
        <v>10/04/2017</v>
      </c>
      <c r="G2169" t="str">
        <f>VLOOKUP(A2169,inf!$D$2:$E$76,2,FALSE)</f>
        <v>Target</v>
      </c>
    </row>
    <row r="2170" spans="1:7" x14ac:dyDescent="0.25">
      <c r="A2170" t="s">
        <v>48</v>
      </c>
      <c r="B2170" s="1">
        <v>43012</v>
      </c>
      <c r="C2170" t="s">
        <v>56</v>
      </c>
      <c r="D2170" s="4">
        <v>9195.5300000000007</v>
      </c>
      <c r="E2170" s="12" t="str">
        <f>VLOOKUP(C2170,inf!$A$2:$B$7,2,FALSE)</f>
        <v>Current</v>
      </c>
      <c r="F2170" s="12" t="str">
        <f t="shared" si="34"/>
        <v>10/04/2017</v>
      </c>
      <c r="G2170" t="str">
        <f>VLOOKUP(A2170,inf!$D$2:$E$76,2,FALSE)</f>
        <v>Target</v>
      </c>
    </row>
    <row r="2171" spans="1:7" x14ac:dyDescent="0.25">
      <c r="A2171" t="s">
        <v>48</v>
      </c>
      <c r="B2171" s="1">
        <v>43012</v>
      </c>
      <c r="C2171" t="s">
        <v>57</v>
      </c>
      <c r="D2171" s="4">
        <v>1714.13</v>
      </c>
      <c r="E2171" s="12" t="str">
        <f>VLOOKUP(C2171,inf!$A$2:$B$7,2,FALSE)</f>
        <v>31 to 60</v>
      </c>
      <c r="F2171" s="12" t="str">
        <f t="shared" si="34"/>
        <v>10/04/2017</v>
      </c>
      <c r="G2171" t="str">
        <f>VLOOKUP(A2171,inf!$D$2:$E$76,2,FALSE)</f>
        <v>Target</v>
      </c>
    </row>
    <row r="2172" spans="1:7" x14ac:dyDescent="0.25">
      <c r="A2172" t="s">
        <v>48</v>
      </c>
      <c r="B2172" s="1">
        <v>43012</v>
      </c>
      <c r="C2172" t="s">
        <v>58</v>
      </c>
      <c r="D2172" s="4">
        <v>893.5</v>
      </c>
      <c r="E2172" s="12" t="str">
        <f>VLOOKUP(C2172,inf!$A$2:$B$7,2,FALSE)</f>
        <v>61 to 90</v>
      </c>
      <c r="F2172" s="12" t="str">
        <f t="shared" si="34"/>
        <v>10/04/2017</v>
      </c>
      <c r="G2172" t="str">
        <f>VLOOKUP(A2172,inf!$D$2:$E$76,2,FALSE)</f>
        <v>Target</v>
      </c>
    </row>
    <row r="2173" spans="1:7" x14ac:dyDescent="0.25">
      <c r="A2173" t="s">
        <v>8</v>
      </c>
      <c r="B2173" s="1">
        <v>43012</v>
      </c>
      <c r="C2173" t="s">
        <v>55</v>
      </c>
      <c r="D2173" s="4">
        <v>446207.00000000017</v>
      </c>
      <c r="E2173" s="12" t="str">
        <f>VLOOKUP(C2173,inf!$A$2:$B$7,2,FALSE)</f>
        <v>Current</v>
      </c>
      <c r="F2173" s="12" t="str">
        <f t="shared" si="34"/>
        <v>10/04/2017</v>
      </c>
      <c r="G2173" t="str">
        <f>VLOOKUP(A2173,inf!$D$2:$E$76,2,FALSE)</f>
        <v>Target</v>
      </c>
    </row>
    <row r="2174" spans="1:7" x14ac:dyDescent="0.25">
      <c r="A2174" t="s">
        <v>8</v>
      </c>
      <c r="B2174" s="1">
        <v>43012</v>
      </c>
      <c r="C2174" t="s">
        <v>56</v>
      </c>
      <c r="D2174" s="4">
        <v>13886.620000000003</v>
      </c>
      <c r="E2174" s="12" t="str">
        <f>VLOOKUP(C2174,inf!$A$2:$B$7,2,FALSE)</f>
        <v>Current</v>
      </c>
      <c r="F2174" s="12" t="str">
        <f t="shared" si="34"/>
        <v>10/04/2017</v>
      </c>
      <c r="G2174" t="str">
        <f>VLOOKUP(A2174,inf!$D$2:$E$76,2,FALSE)</f>
        <v>Target</v>
      </c>
    </row>
    <row r="2175" spans="1:7" x14ac:dyDescent="0.25">
      <c r="A2175" t="s">
        <v>8</v>
      </c>
      <c r="B2175" s="1">
        <v>43012</v>
      </c>
      <c r="C2175" t="s">
        <v>57</v>
      </c>
      <c r="D2175" s="4">
        <v>5482</v>
      </c>
      <c r="E2175" s="12" t="str">
        <f>VLOOKUP(C2175,inf!$A$2:$B$7,2,FALSE)</f>
        <v>31 to 60</v>
      </c>
      <c r="F2175" s="12" t="str">
        <f t="shared" si="34"/>
        <v>10/04/2017</v>
      </c>
      <c r="G2175" t="str">
        <f>VLOOKUP(A2175,inf!$D$2:$E$76,2,FALSE)</f>
        <v>Target</v>
      </c>
    </row>
    <row r="2176" spans="1:7" x14ac:dyDescent="0.25">
      <c r="A2176" t="s">
        <v>8</v>
      </c>
      <c r="B2176" s="1">
        <v>43012</v>
      </c>
      <c r="C2176" t="s">
        <v>58</v>
      </c>
      <c r="D2176" s="4">
        <v>10178.27</v>
      </c>
      <c r="E2176" s="12" t="str">
        <f>VLOOKUP(C2176,inf!$A$2:$B$7,2,FALSE)</f>
        <v>61 to 90</v>
      </c>
      <c r="F2176" s="12" t="str">
        <f t="shared" si="34"/>
        <v>10/04/2017</v>
      </c>
      <c r="G2176" t="str">
        <f>VLOOKUP(A2176,inf!$D$2:$E$76,2,FALSE)</f>
        <v>Target</v>
      </c>
    </row>
    <row r="2177" spans="1:7" x14ac:dyDescent="0.25">
      <c r="A2177" t="s">
        <v>8</v>
      </c>
      <c r="B2177" s="1">
        <v>43012</v>
      </c>
      <c r="C2177" t="s">
        <v>59</v>
      </c>
      <c r="D2177" s="4">
        <v>4590.54</v>
      </c>
      <c r="E2177" s="12" t="str">
        <f>VLOOKUP(C2177,inf!$A$2:$B$7,2,FALSE)</f>
        <v>Over 90</v>
      </c>
      <c r="F2177" s="12" t="str">
        <f t="shared" si="34"/>
        <v>10/04/2017</v>
      </c>
      <c r="G2177" t="str">
        <f>VLOOKUP(A2177,inf!$D$2:$E$76,2,FALSE)</f>
        <v>Target</v>
      </c>
    </row>
    <row r="2178" spans="1:7" x14ac:dyDescent="0.25">
      <c r="A2178" t="s">
        <v>8</v>
      </c>
      <c r="B2178" s="1">
        <v>43012</v>
      </c>
      <c r="C2178" t="s">
        <v>60</v>
      </c>
      <c r="D2178" s="4">
        <v>34276.910000000003</v>
      </c>
      <c r="E2178" s="12" t="str">
        <f>VLOOKUP(C2178,inf!$A$2:$B$7,2,FALSE)</f>
        <v>Over 90</v>
      </c>
      <c r="F2178" s="12" t="str">
        <f t="shared" si="34"/>
        <v>10/04/2017</v>
      </c>
      <c r="G2178" t="str">
        <f>VLOOKUP(A2178,inf!$D$2:$E$76,2,FALSE)</f>
        <v>Target</v>
      </c>
    </row>
    <row r="2179" spans="1:7" x14ac:dyDescent="0.25">
      <c r="A2179" t="s">
        <v>54</v>
      </c>
      <c r="B2179" s="1">
        <v>43012</v>
      </c>
      <c r="C2179" t="s">
        <v>55</v>
      </c>
      <c r="D2179" s="4">
        <v>360.38</v>
      </c>
      <c r="E2179" s="12" t="str">
        <f>VLOOKUP(C2179,inf!$A$2:$B$7,2,FALSE)</f>
        <v>Current</v>
      </c>
      <c r="F2179" s="12" t="str">
        <f t="shared" ref="F2179:F2242" si="35">TEXT(B2179,"MM/DD/YYYY")</f>
        <v>10/04/2017</v>
      </c>
      <c r="G2179" t="str">
        <f>VLOOKUP(A2179,inf!$D$2:$E$76,2,FALSE)</f>
        <v>Other</v>
      </c>
    </row>
    <row r="2180" spans="1:7" x14ac:dyDescent="0.25">
      <c r="A2180" t="s">
        <v>54</v>
      </c>
      <c r="B2180" s="1">
        <v>43012</v>
      </c>
      <c r="C2180" t="s">
        <v>56</v>
      </c>
      <c r="D2180" s="4">
        <v>1236.05</v>
      </c>
      <c r="E2180" s="12" t="str">
        <f>VLOOKUP(C2180,inf!$A$2:$B$7,2,FALSE)</f>
        <v>Current</v>
      </c>
      <c r="F2180" s="12" t="str">
        <f t="shared" si="35"/>
        <v>10/04/2017</v>
      </c>
      <c r="G2180" t="str">
        <f>VLOOKUP(A2180,inf!$D$2:$E$76,2,FALSE)</f>
        <v>Other</v>
      </c>
    </row>
    <row r="2181" spans="1:7" x14ac:dyDescent="0.25">
      <c r="A2181" t="s">
        <v>54</v>
      </c>
      <c r="B2181" s="1">
        <v>43012</v>
      </c>
      <c r="C2181" t="s">
        <v>57</v>
      </c>
      <c r="D2181" s="4">
        <v>740.35</v>
      </c>
      <c r="E2181" s="12" t="str">
        <f>VLOOKUP(C2181,inf!$A$2:$B$7,2,FALSE)</f>
        <v>31 to 60</v>
      </c>
      <c r="F2181" s="12" t="str">
        <f t="shared" si="35"/>
        <v>10/04/2017</v>
      </c>
      <c r="G2181" t="str">
        <f>VLOOKUP(A2181,inf!$D$2:$E$76,2,FALSE)</f>
        <v>Other</v>
      </c>
    </row>
    <row r="2182" spans="1:7" x14ac:dyDescent="0.25">
      <c r="A2182" t="s">
        <v>54</v>
      </c>
      <c r="B2182" s="1">
        <v>43012</v>
      </c>
      <c r="C2182" t="s">
        <v>58</v>
      </c>
      <c r="D2182" s="4">
        <v>313.62</v>
      </c>
      <c r="E2182" s="12" t="str">
        <f>VLOOKUP(C2182,inf!$A$2:$B$7,2,FALSE)</f>
        <v>61 to 90</v>
      </c>
      <c r="F2182" s="12" t="str">
        <f t="shared" si="35"/>
        <v>10/04/2017</v>
      </c>
      <c r="G2182" t="str">
        <f>VLOOKUP(A2182,inf!$D$2:$E$76,2,FALSE)</f>
        <v>Other</v>
      </c>
    </row>
    <row r="2183" spans="1:7" x14ac:dyDescent="0.25">
      <c r="A2183" t="s">
        <v>54</v>
      </c>
      <c r="B2183" s="1">
        <v>43012</v>
      </c>
      <c r="C2183" t="s">
        <v>59</v>
      </c>
      <c r="D2183" s="4">
        <v>373.26</v>
      </c>
      <c r="E2183" s="12" t="str">
        <f>VLOOKUP(C2183,inf!$A$2:$B$7,2,FALSE)</f>
        <v>Over 90</v>
      </c>
      <c r="F2183" s="12" t="str">
        <f t="shared" si="35"/>
        <v>10/04/2017</v>
      </c>
      <c r="G2183" t="str">
        <f>VLOOKUP(A2183,inf!$D$2:$E$76,2,FALSE)</f>
        <v>Other</v>
      </c>
    </row>
    <row r="2184" spans="1:7" x14ac:dyDescent="0.25">
      <c r="A2184" t="s">
        <v>28</v>
      </c>
      <c r="B2184" s="1">
        <v>43012</v>
      </c>
      <c r="C2184" t="s">
        <v>55</v>
      </c>
      <c r="D2184" s="4">
        <v>4513.3799999999992</v>
      </c>
      <c r="E2184" s="12" t="str">
        <f>VLOOKUP(C2184,inf!$A$2:$B$7,2,FALSE)</f>
        <v>Current</v>
      </c>
      <c r="F2184" s="12" t="str">
        <f t="shared" si="35"/>
        <v>10/04/2017</v>
      </c>
      <c r="G2184" t="str">
        <f>VLOOKUP(A2184,inf!$D$2:$E$76,2,FALSE)</f>
        <v>Other</v>
      </c>
    </row>
    <row r="2185" spans="1:7" x14ac:dyDescent="0.25">
      <c r="A2185" t="s">
        <v>28</v>
      </c>
      <c r="B2185" s="1">
        <v>43012</v>
      </c>
      <c r="C2185" t="s">
        <v>60</v>
      </c>
      <c r="D2185" s="4">
        <v>187.75</v>
      </c>
      <c r="E2185" s="12" t="str">
        <f>VLOOKUP(C2185,inf!$A$2:$B$7,2,FALSE)</f>
        <v>Over 90</v>
      </c>
      <c r="F2185" s="12" t="str">
        <f t="shared" si="35"/>
        <v>10/04/2017</v>
      </c>
      <c r="G2185" t="str">
        <f>VLOOKUP(A2185,inf!$D$2:$E$76,2,FALSE)</f>
        <v>Other</v>
      </c>
    </row>
    <row r="2186" spans="1:7" x14ac:dyDescent="0.25">
      <c r="A2186" t="s">
        <v>15</v>
      </c>
      <c r="B2186" s="1">
        <v>43012</v>
      </c>
      <c r="C2186" t="s">
        <v>55</v>
      </c>
      <c r="D2186" s="4">
        <v>362.26</v>
      </c>
      <c r="E2186" s="12" t="str">
        <f>VLOOKUP(C2186,inf!$A$2:$B$7,2,FALSE)</f>
        <v>Current</v>
      </c>
      <c r="F2186" s="12" t="str">
        <f t="shared" si="35"/>
        <v>10/04/2017</v>
      </c>
      <c r="G2186" t="str">
        <f>VLOOKUP(A2186,inf!$D$2:$E$76,2,FALSE)</f>
        <v>Other</v>
      </c>
    </row>
    <row r="2187" spans="1:7" x14ac:dyDescent="0.25">
      <c r="A2187" t="s">
        <v>15</v>
      </c>
      <c r="B2187" s="1">
        <v>43012</v>
      </c>
      <c r="C2187" t="s">
        <v>56</v>
      </c>
      <c r="D2187" s="4">
        <v>2266.29</v>
      </c>
      <c r="E2187" s="12" t="str">
        <f>VLOOKUP(C2187,inf!$A$2:$B$7,2,FALSE)</f>
        <v>Current</v>
      </c>
      <c r="F2187" s="12" t="str">
        <f t="shared" si="35"/>
        <v>10/04/2017</v>
      </c>
      <c r="G2187" t="str">
        <f>VLOOKUP(A2187,inf!$D$2:$E$76,2,FALSE)</f>
        <v>Other</v>
      </c>
    </row>
    <row r="2188" spans="1:7" x14ac:dyDescent="0.25">
      <c r="A2188" t="s">
        <v>15</v>
      </c>
      <c r="B2188" s="1">
        <v>43012</v>
      </c>
      <c r="C2188" t="s">
        <v>57</v>
      </c>
      <c r="D2188" s="4">
        <v>291.60000000000002</v>
      </c>
      <c r="E2188" s="12" t="str">
        <f>VLOOKUP(C2188,inf!$A$2:$B$7,2,FALSE)</f>
        <v>31 to 60</v>
      </c>
      <c r="F2188" s="12" t="str">
        <f t="shared" si="35"/>
        <v>10/04/2017</v>
      </c>
      <c r="G2188" t="str">
        <f>VLOOKUP(A2188,inf!$D$2:$E$76,2,FALSE)</f>
        <v>Other</v>
      </c>
    </row>
    <row r="2189" spans="1:7" x14ac:dyDescent="0.25">
      <c r="A2189" t="s">
        <v>15</v>
      </c>
      <c r="B2189" s="1">
        <v>43012</v>
      </c>
      <c r="C2189" t="s">
        <v>60</v>
      </c>
      <c r="D2189" s="4">
        <v>126.05</v>
      </c>
      <c r="E2189" s="12" t="str">
        <f>VLOOKUP(C2189,inf!$A$2:$B$7,2,FALSE)</f>
        <v>Over 90</v>
      </c>
      <c r="F2189" s="12" t="str">
        <f t="shared" si="35"/>
        <v>10/04/2017</v>
      </c>
      <c r="G2189" t="str">
        <f>VLOOKUP(A2189,inf!$D$2:$E$76,2,FALSE)</f>
        <v>Other</v>
      </c>
    </row>
    <row r="2190" spans="1:7" x14ac:dyDescent="0.25">
      <c r="A2190" t="s">
        <v>61</v>
      </c>
      <c r="B2190" s="1">
        <v>43019</v>
      </c>
      <c r="C2190" t="s">
        <v>57</v>
      </c>
      <c r="D2190" s="4">
        <v>295.32</v>
      </c>
      <c r="E2190" s="12" t="str">
        <f>VLOOKUP(C2190,inf!$A$2:$B$7,2,FALSE)</f>
        <v>31 to 60</v>
      </c>
      <c r="F2190" s="12" t="str">
        <f t="shared" si="35"/>
        <v>10/11/2017</v>
      </c>
      <c r="G2190" t="str">
        <f>VLOOKUP(A2190,inf!$D$2:$E$76,2,FALSE)</f>
        <v>Other</v>
      </c>
    </row>
    <row r="2191" spans="1:7" x14ac:dyDescent="0.25">
      <c r="A2191" t="s">
        <v>4</v>
      </c>
      <c r="B2191" s="1">
        <v>43019</v>
      </c>
      <c r="C2191" t="s">
        <v>55</v>
      </c>
      <c r="D2191" s="4">
        <v>4330.49</v>
      </c>
      <c r="E2191" s="12" t="str">
        <f>VLOOKUP(C2191,inf!$A$2:$B$7,2,FALSE)</f>
        <v>Current</v>
      </c>
      <c r="F2191" s="12" t="str">
        <f t="shared" si="35"/>
        <v>10/11/2017</v>
      </c>
      <c r="G2191" t="str">
        <f>VLOOKUP(A2191,inf!$D$2:$E$76,2,FALSE)</f>
        <v>Other</v>
      </c>
    </row>
    <row r="2192" spans="1:7" x14ac:dyDescent="0.25">
      <c r="A2192" t="s">
        <v>26</v>
      </c>
      <c r="B2192" s="1">
        <v>43019</v>
      </c>
      <c r="C2192" t="s">
        <v>60</v>
      </c>
      <c r="D2192" s="4">
        <v>1380.77</v>
      </c>
      <c r="E2192" s="12" t="str">
        <f>VLOOKUP(C2192,inf!$A$2:$B$7,2,FALSE)</f>
        <v>Over 90</v>
      </c>
      <c r="F2192" s="12" t="str">
        <f t="shared" si="35"/>
        <v>10/11/2017</v>
      </c>
      <c r="G2192" t="str">
        <f>VLOOKUP(A2192,inf!$D$2:$E$76,2,FALSE)</f>
        <v>Other</v>
      </c>
    </row>
    <row r="2193" spans="1:7" x14ac:dyDescent="0.25">
      <c r="A2193" t="s">
        <v>2</v>
      </c>
      <c r="B2193" s="1">
        <v>43019</v>
      </c>
      <c r="C2193" t="s">
        <v>60</v>
      </c>
      <c r="D2193" s="4">
        <v>6040.4899999999971</v>
      </c>
      <c r="E2193" s="12" t="str">
        <f>VLOOKUP(C2193,inf!$A$2:$B$7,2,FALSE)</f>
        <v>Over 90</v>
      </c>
      <c r="F2193" s="12" t="str">
        <f t="shared" si="35"/>
        <v>10/11/2017</v>
      </c>
      <c r="G2193" t="str">
        <f>VLOOKUP(A2193,inf!$D$2:$E$76,2,FALSE)</f>
        <v>Other</v>
      </c>
    </row>
    <row r="2194" spans="1:7" x14ac:dyDescent="0.25">
      <c r="A2194" t="s">
        <v>32</v>
      </c>
      <c r="B2194" s="1">
        <v>43019</v>
      </c>
      <c r="C2194" t="s">
        <v>55</v>
      </c>
      <c r="D2194" s="4">
        <v>408.14</v>
      </c>
      <c r="E2194" s="12" t="str">
        <f>VLOOKUP(C2194,inf!$A$2:$B$7,2,FALSE)</f>
        <v>Current</v>
      </c>
      <c r="F2194" s="12" t="str">
        <f t="shared" si="35"/>
        <v>10/11/2017</v>
      </c>
      <c r="G2194" t="str">
        <f>VLOOKUP(A2194,inf!$D$2:$E$76,2,FALSE)</f>
        <v>Other</v>
      </c>
    </row>
    <row r="2195" spans="1:7" x14ac:dyDescent="0.25">
      <c r="A2195" t="s">
        <v>47</v>
      </c>
      <c r="B2195" s="1">
        <v>43019</v>
      </c>
      <c r="C2195" t="s">
        <v>55</v>
      </c>
      <c r="D2195" s="4">
        <v>380.16</v>
      </c>
      <c r="E2195" s="12" t="str">
        <f>VLOOKUP(C2195,inf!$A$2:$B$7,2,FALSE)</f>
        <v>Current</v>
      </c>
      <c r="F2195" s="12" t="str">
        <f t="shared" si="35"/>
        <v>10/11/2017</v>
      </c>
      <c r="G2195" t="str">
        <f>VLOOKUP(A2195,inf!$D$2:$E$76,2,FALSE)</f>
        <v>Other</v>
      </c>
    </row>
    <row r="2196" spans="1:7" x14ac:dyDescent="0.25">
      <c r="A2196" t="s">
        <v>25</v>
      </c>
      <c r="B2196" s="1">
        <v>43019</v>
      </c>
      <c r="C2196" t="s">
        <v>55</v>
      </c>
      <c r="D2196" s="4">
        <v>301.86</v>
      </c>
      <c r="E2196" s="12" t="str">
        <f>VLOOKUP(C2196,inf!$A$2:$B$7,2,FALSE)</f>
        <v>Current</v>
      </c>
      <c r="F2196" s="12" t="str">
        <f t="shared" si="35"/>
        <v>10/11/2017</v>
      </c>
      <c r="G2196" t="str">
        <f>VLOOKUP(A2196,inf!$D$2:$E$76,2,FALSE)</f>
        <v>Other</v>
      </c>
    </row>
    <row r="2197" spans="1:7" x14ac:dyDescent="0.25">
      <c r="A2197" t="s">
        <v>31</v>
      </c>
      <c r="B2197" s="1">
        <v>43019</v>
      </c>
      <c r="C2197" t="s">
        <v>55</v>
      </c>
      <c r="D2197" s="4">
        <v>571.08000000000004</v>
      </c>
      <c r="E2197" s="12" t="str">
        <f>VLOOKUP(C2197,inf!$A$2:$B$7,2,FALSE)</f>
        <v>Current</v>
      </c>
      <c r="F2197" s="12" t="str">
        <f t="shared" si="35"/>
        <v>10/11/2017</v>
      </c>
      <c r="G2197" t="str">
        <f>VLOOKUP(A2197,inf!$D$2:$E$76,2,FALSE)</f>
        <v>Other</v>
      </c>
    </row>
    <row r="2198" spans="1:7" x14ac:dyDescent="0.25">
      <c r="A2198" t="s">
        <v>31</v>
      </c>
      <c r="B2198" s="1">
        <v>43019</v>
      </c>
      <c r="C2198" t="s">
        <v>56</v>
      </c>
      <c r="D2198" s="4">
        <v>539.82999999999993</v>
      </c>
      <c r="E2198" s="12" t="str">
        <f>VLOOKUP(C2198,inf!$A$2:$B$7,2,FALSE)</f>
        <v>Current</v>
      </c>
      <c r="F2198" s="12" t="str">
        <f t="shared" si="35"/>
        <v>10/11/2017</v>
      </c>
      <c r="G2198" t="str">
        <f>VLOOKUP(A2198,inf!$D$2:$E$76,2,FALSE)</f>
        <v>Other</v>
      </c>
    </row>
    <row r="2199" spans="1:7" x14ac:dyDescent="0.25">
      <c r="A2199" t="s">
        <v>31</v>
      </c>
      <c r="B2199" s="1">
        <v>43019</v>
      </c>
      <c r="C2199" t="s">
        <v>57</v>
      </c>
      <c r="D2199" s="4">
        <v>296.71000000000004</v>
      </c>
      <c r="E2199" s="12" t="str">
        <f>VLOOKUP(C2199,inf!$A$2:$B$7,2,FALSE)</f>
        <v>31 to 60</v>
      </c>
      <c r="F2199" s="12" t="str">
        <f t="shared" si="35"/>
        <v>10/11/2017</v>
      </c>
      <c r="G2199" t="str">
        <f>VLOOKUP(A2199,inf!$D$2:$E$76,2,FALSE)</f>
        <v>Other</v>
      </c>
    </row>
    <row r="2200" spans="1:7" x14ac:dyDescent="0.25">
      <c r="A2200" t="s">
        <v>24</v>
      </c>
      <c r="B2200" s="1">
        <v>43019</v>
      </c>
      <c r="C2200" t="s">
        <v>55</v>
      </c>
      <c r="D2200" s="4">
        <v>1542.74</v>
      </c>
      <c r="E2200" s="12" t="str">
        <f>VLOOKUP(C2200,inf!$A$2:$B$7,2,FALSE)</f>
        <v>Current</v>
      </c>
      <c r="F2200" s="12" t="str">
        <f t="shared" si="35"/>
        <v>10/11/2017</v>
      </c>
      <c r="G2200" t="str">
        <f>VLOOKUP(A2200,inf!$D$2:$E$76,2,FALSE)</f>
        <v>Other</v>
      </c>
    </row>
    <row r="2201" spans="1:7" x14ac:dyDescent="0.25">
      <c r="A2201" t="s">
        <v>18</v>
      </c>
      <c r="B2201" s="1">
        <v>43019</v>
      </c>
      <c r="C2201" t="s">
        <v>55</v>
      </c>
      <c r="D2201" s="4">
        <v>229.7</v>
      </c>
      <c r="E2201" s="12" t="str">
        <f>VLOOKUP(C2201,inf!$A$2:$B$7,2,FALSE)</f>
        <v>Current</v>
      </c>
      <c r="F2201" s="12" t="str">
        <f t="shared" si="35"/>
        <v>10/11/2017</v>
      </c>
      <c r="G2201" t="str">
        <f>VLOOKUP(A2201,inf!$D$2:$E$76,2,FALSE)</f>
        <v>Other</v>
      </c>
    </row>
    <row r="2202" spans="1:7" x14ac:dyDescent="0.25">
      <c r="A2202" t="s">
        <v>27</v>
      </c>
      <c r="B2202" s="1">
        <v>43019</v>
      </c>
      <c r="C2202" t="s">
        <v>55</v>
      </c>
      <c r="D2202" s="4">
        <v>302.71000000000004</v>
      </c>
      <c r="E2202" s="12" t="str">
        <f>VLOOKUP(C2202,inf!$A$2:$B$7,2,FALSE)</f>
        <v>Current</v>
      </c>
      <c r="F2202" s="12" t="str">
        <f t="shared" si="35"/>
        <v>10/11/2017</v>
      </c>
      <c r="G2202" t="str">
        <f>VLOOKUP(A2202,inf!$D$2:$E$76,2,FALSE)</f>
        <v>Other</v>
      </c>
    </row>
    <row r="2203" spans="1:7" x14ac:dyDescent="0.25">
      <c r="A2203" t="s">
        <v>27</v>
      </c>
      <c r="B2203" s="1">
        <v>43019</v>
      </c>
      <c r="C2203" t="s">
        <v>56</v>
      </c>
      <c r="D2203" s="4">
        <v>124.55</v>
      </c>
      <c r="E2203" s="12" t="str">
        <f>VLOOKUP(C2203,inf!$A$2:$B$7,2,FALSE)</f>
        <v>Current</v>
      </c>
      <c r="F2203" s="12" t="str">
        <f t="shared" si="35"/>
        <v>10/11/2017</v>
      </c>
      <c r="G2203" t="str">
        <f>VLOOKUP(A2203,inf!$D$2:$E$76,2,FALSE)</f>
        <v>Other</v>
      </c>
    </row>
    <row r="2204" spans="1:7" x14ac:dyDescent="0.25">
      <c r="A2204" t="s">
        <v>62</v>
      </c>
      <c r="B2204" s="1">
        <v>43019</v>
      </c>
      <c r="C2204" t="s">
        <v>56</v>
      </c>
      <c r="D2204" s="4">
        <v>229.7</v>
      </c>
      <c r="E2204" s="12" t="str">
        <f>VLOOKUP(C2204,inf!$A$2:$B$7,2,FALSE)</f>
        <v>Current</v>
      </c>
      <c r="F2204" s="12" t="str">
        <f t="shared" si="35"/>
        <v>10/11/2017</v>
      </c>
      <c r="G2204" t="str">
        <f>VLOOKUP(A2204,inf!$D$2:$E$76,2,FALSE)</f>
        <v>Other</v>
      </c>
    </row>
    <row r="2205" spans="1:7" x14ac:dyDescent="0.25">
      <c r="A2205" t="s">
        <v>62</v>
      </c>
      <c r="B2205" s="1">
        <v>43019</v>
      </c>
      <c r="C2205" t="s">
        <v>57</v>
      </c>
      <c r="D2205" s="4">
        <v>241.51</v>
      </c>
      <c r="E2205" s="12" t="str">
        <f>VLOOKUP(C2205,inf!$A$2:$B$7,2,FALSE)</f>
        <v>31 to 60</v>
      </c>
      <c r="F2205" s="12" t="str">
        <f t="shared" si="35"/>
        <v>10/11/2017</v>
      </c>
      <c r="G2205" t="str">
        <f>VLOOKUP(A2205,inf!$D$2:$E$76,2,FALSE)</f>
        <v>Other</v>
      </c>
    </row>
    <row r="2206" spans="1:7" x14ac:dyDescent="0.25">
      <c r="A2206" t="s">
        <v>21</v>
      </c>
      <c r="B2206" s="1">
        <v>43019</v>
      </c>
      <c r="C2206" t="s">
        <v>55</v>
      </c>
      <c r="D2206" s="4">
        <v>172.28</v>
      </c>
      <c r="E2206" s="12" t="str">
        <f>VLOOKUP(C2206,inf!$A$2:$B$7,2,FALSE)</f>
        <v>Current</v>
      </c>
      <c r="F2206" s="12" t="str">
        <f t="shared" si="35"/>
        <v>10/11/2017</v>
      </c>
      <c r="G2206" t="str">
        <f>VLOOKUP(A2206,inf!$D$2:$E$76,2,FALSE)</f>
        <v>Other</v>
      </c>
    </row>
    <row r="2207" spans="1:7" x14ac:dyDescent="0.25">
      <c r="A2207" t="s">
        <v>3</v>
      </c>
      <c r="B2207" s="1">
        <v>43019</v>
      </c>
      <c r="C2207" t="s">
        <v>55</v>
      </c>
      <c r="D2207" s="4">
        <v>482.55999999999995</v>
      </c>
      <c r="E2207" s="12" t="str">
        <f>VLOOKUP(C2207,inf!$A$2:$B$7,2,FALSE)</f>
        <v>Current</v>
      </c>
      <c r="F2207" s="12" t="str">
        <f t="shared" si="35"/>
        <v>10/11/2017</v>
      </c>
      <c r="G2207" t="str">
        <f>VLOOKUP(A2207,inf!$D$2:$E$76,2,FALSE)</f>
        <v>Other</v>
      </c>
    </row>
    <row r="2208" spans="1:7" x14ac:dyDescent="0.25">
      <c r="A2208" t="s">
        <v>3</v>
      </c>
      <c r="B2208" s="1">
        <v>43019</v>
      </c>
      <c r="C2208" t="s">
        <v>56</v>
      </c>
      <c r="D2208" s="4">
        <v>197.82</v>
      </c>
      <c r="E2208" s="12" t="str">
        <f>VLOOKUP(C2208,inf!$A$2:$B$7,2,FALSE)</f>
        <v>Current</v>
      </c>
      <c r="F2208" s="12" t="str">
        <f t="shared" si="35"/>
        <v>10/11/2017</v>
      </c>
      <c r="G2208" t="str">
        <f>VLOOKUP(A2208,inf!$D$2:$E$76,2,FALSE)</f>
        <v>Other</v>
      </c>
    </row>
    <row r="2209" spans="1:7" x14ac:dyDescent="0.25">
      <c r="A2209" t="s">
        <v>30</v>
      </c>
      <c r="B2209" s="1">
        <v>43019</v>
      </c>
      <c r="C2209" t="s">
        <v>55</v>
      </c>
      <c r="D2209" s="4">
        <v>1761.7699999999998</v>
      </c>
      <c r="E2209" s="12" t="str">
        <f>VLOOKUP(C2209,inf!$A$2:$B$7,2,FALSE)</f>
        <v>Current</v>
      </c>
      <c r="F2209" s="12" t="str">
        <f t="shared" si="35"/>
        <v>10/11/2017</v>
      </c>
      <c r="G2209" t="str">
        <f>VLOOKUP(A2209,inf!$D$2:$E$76,2,FALSE)</f>
        <v>Other</v>
      </c>
    </row>
    <row r="2210" spans="1:7" x14ac:dyDescent="0.25">
      <c r="A2210" t="s">
        <v>30</v>
      </c>
      <c r="B2210" s="1">
        <v>43019</v>
      </c>
      <c r="C2210" t="s">
        <v>56</v>
      </c>
      <c r="D2210" s="4">
        <v>1763.91</v>
      </c>
      <c r="E2210" s="12" t="str">
        <f>VLOOKUP(C2210,inf!$A$2:$B$7,2,FALSE)</f>
        <v>Current</v>
      </c>
      <c r="F2210" s="12" t="str">
        <f t="shared" si="35"/>
        <v>10/11/2017</v>
      </c>
      <c r="G2210" t="str">
        <f>VLOOKUP(A2210,inf!$D$2:$E$76,2,FALSE)</f>
        <v>Other</v>
      </c>
    </row>
    <row r="2211" spans="1:7" x14ac:dyDescent="0.25">
      <c r="A2211" t="s">
        <v>63</v>
      </c>
      <c r="B2211" s="1">
        <v>43019</v>
      </c>
      <c r="C2211" t="s">
        <v>56</v>
      </c>
      <c r="D2211" s="4">
        <v>170.49</v>
      </c>
      <c r="E2211" s="12" t="str">
        <f>VLOOKUP(C2211,inf!$A$2:$B$7,2,FALSE)</f>
        <v>Current</v>
      </c>
      <c r="F2211" s="12" t="str">
        <f t="shared" si="35"/>
        <v>10/11/2017</v>
      </c>
      <c r="G2211" t="str">
        <f>VLOOKUP(A2211,inf!$D$2:$E$76,2,FALSE)</f>
        <v>Other</v>
      </c>
    </row>
    <row r="2212" spans="1:7" x14ac:dyDescent="0.25">
      <c r="A2212" t="s">
        <v>12</v>
      </c>
      <c r="B2212" s="1">
        <v>43019</v>
      </c>
      <c r="C2212" t="s">
        <v>55</v>
      </c>
      <c r="D2212" s="4">
        <v>430.84</v>
      </c>
      <c r="E2212" s="12" t="str">
        <f>VLOOKUP(C2212,inf!$A$2:$B$7,2,FALSE)</f>
        <v>Current</v>
      </c>
      <c r="F2212" s="12" t="str">
        <f t="shared" si="35"/>
        <v>10/11/2017</v>
      </c>
      <c r="G2212" t="str">
        <f>VLOOKUP(A2212,inf!$D$2:$E$76,2,FALSE)</f>
        <v>Other</v>
      </c>
    </row>
    <row r="2213" spans="1:7" x14ac:dyDescent="0.25">
      <c r="A2213" t="s">
        <v>12</v>
      </c>
      <c r="B2213" s="1">
        <v>43019</v>
      </c>
      <c r="C2213" t="s">
        <v>56</v>
      </c>
      <c r="D2213" s="4">
        <v>1055.08</v>
      </c>
      <c r="E2213" s="12" t="str">
        <f>VLOOKUP(C2213,inf!$A$2:$B$7,2,FALSE)</f>
        <v>Current</v>
      </c>
      <c r="F2213" s="12" t="str">
        <f t="shared" si="35"/>
        <v>10/11/2017</v>
      </c>
      <c r="G2213" t="str">
        <f>VLOOKUP(A2213,inf!$D$2:$E$76,2,FALSE)</f>
        <v>Other</v>
      </c>
    </row>
    <row r="2214" spans="1:7" x14ac:dyDescent="0.25">
      <c r="A2214" t="s">
        <v>12</v>
      </c>
      <c r="B2214" s="1">
        <v>43019</v>
      </c>
      <c r="C2214" t="s">
        <v>58</v>
      </c>
      <c r="D2214" s="4">
        <v>229.94</v>
      </c>
      <c r="E2214" s="12" t="str">
        <f>VLOOKUP(C2214,inf!$A$2:$B$7,2,FALSE)</f>
        <v>61 to 90</v>
      </c>
      <c r="F2214" s="12" t="str">
        <f t="shared" si="35"/>
        <v>10/11/2017</v>
      </c>
      <c r="G2214" t="str">
        <f>VLOOKUP(A2214,inf!$D$2:$E$76,2,FALSE)</f>
        <v>Other</v>
      </c>
    </row>
    <row r="2215" spans="1:7" x14ac:dyDescent="0.25">
      <c r="A2215" t="s">
        <v>12</v>
      </c>
      <c r="B2215" s="1">
        <v>43019</v>
      </c>
      <c r="C2215" t="s">
        <v>59</v>
      </c>
      <c r="D2215" s="4">
        <v>165</v>
      </c>
      <c r="E2215" s="12" t="str">
        <f>VLOOKUP(C2215,inf!$A$2:$B$7,2,FALSE)</f>
        <v>Over 90</v>
      </c>
      <c r="F2215" s="12" t="str">
        <f t="shared" si="35"/>
        <v>10/11/2017</v>
      </c>
      <c r="G2215" t="str">
        <f>VLOOKUP(A2215,inf!$D$2:$E$76,2,FALSE)</f>
        <v>Other</v>
      </c>
    </row>
    <row r="2216" spans="1:7" x14ac:dyDescent="0.25">
      <c r="A2216" t="s">
        <v>50</v>
      </c>
      <c r="B2216" s="1">
        <v>43019</v>
      </c>
      <c r="C2216" t="s">
        <v>55</v>
      </c>
      <c r="D2216" s="4">
        <v>495.71</v>
      </c>
      <c r="E2216" s="12" t="str">
        <f>VLOOKUP(C2216,inf!$A$2:$B$7,2,FALSE)</f>
        <v>Current</v>
      </c>
      <c r="F2216" s="12" t="str">
        <f t="shared" si="35"/>
        <v>10/11/2017</v>
      </c>
      <c r="G2216" t="str">
        <f>VLOOKUP(A2216,inf!$D$2:$E$76,2,FALSE)</f>
        <v>Other</v>
      </c>
    </row>
    <row r="2217" spans="1:7" x14ac:dyDescent="0.25">
      <c r="A2217" t="s">
        <v>23</v>
      </c>
      <c r="B2217" s="1">
        <v>43019</v>
      </c>
      <c r="C2217" t="s">
        <v>55</v>
      </c>
      <c r="D2217" s="4">
        <v>114.85</v>
      </c>
      <c r="E2217" s="12" t="str">
        <f>VLOOKUP(C2217,inf!$A$2:$B$7,2,FALSE)</f>
        <v>Current</v>
      </c>
      <c r="F2217" s="12" t="str">
        <f t="shared" si="35"/>
        <v>10/11/2017</v>
      </c>
      <c r="G2217" t="str">
        <f>VLOOKUP(A2217,inf!$D$2:$E$76,2,FALSE)</f>
        <v>Other</v>
      </c>
    </row>
    <row r="2218" spans="1:7" x14ac:dyDescent="0.25">
      <c r="A2218" t="s">
        <v>7</v>
      </c>
      <c r="B2218" s="1">
        <v>43019</v>
      </c>
      <c r="C2218" t="s">
        <v>55</v>
      </c>
      <c r="D2218" s="4">
        <v>85923.099999999904</v>
      </c>
      <c r="E2218" s="12" t="str">
        <f>VLOOKUP(C2218,inf!$A$2:$B$7,2,FALSE)</f>
        <v>Current</v>
      </c>
      <c r="F2218" s="12" t="str">
        <f t="shared" si="35"/>
        <v>10/11/2017</v>
      </c>
      <c r="G2218" t="str">
        <f>VLOOKUP(A2218,inf!$D$2:$E$76,2,FALSE)</f>
        <v>SAFEWAY</v>
      </c>
    </row>
    <row r="2219" spans="1:7" x14ac:dyDescent="0.25">
      <c r="A2219" t="s">
        <v>7</v>
      </c>
      <c r="B2219" s="1">
        <v>43019</v>
      </c>
      <c r="C2219" t="s">
        <v>56</v>
      </c>
      <c r="D2219" s="4">
        <v>20191.810000000001</v>
      </c>
      <c r="E2219" s="12" t="str">
        <f>VLOOKUP(C2219,inf!$A$2:$B$7,2,FALSE)</f>
        <v>Current</v>
      </c>
      <c r="F2219" s="12" t="str">
        <f t="shared" si="35"/>
        <v>10/11/2017</v>
      </c>
      <c r="G2219" t="str">
        <f>VLOOKUP(A2219,inf!$D$2:$E$76,2,FALSE)</f>
        <v>SAFEWAY</v>
      </c>
    </row>
    <row r="2220" spans="1:7" x14ac:dyDescent="0.25">
      <c r="A2220" t="s">
        <v>7</v>
      </c>
      <c r="B2220" s="1">
        <v>43019</v>
      </c>
      <c r="C2220" t="s">
        <v>57</v>
      </c>
      <c r="D2220" s="4">
        <v>854</v>
      </c>
      <c r="E2220" s="12" t="str">
        <f>VLOOKUP(C2220,inf!$A$2:$B$7,2,FALSE)</f>
        <v>31 to 60</v>
      </c>
      <c r="F2220" s="12" t="str">
        <f t="shared" si="35"/>
        <v>10/11/2017</v>
      </c>
      <c r="G2220" t="str">
        <f>VLOOKUP(A2220,inf!$D$2:$E$76,2,FALSE)</f>
        <v>SAFEWAY</v>
      </c>
    </row>
    <row r="2221" spans="1:7" x14ac:dyDescent="0.25">
      <c r="A2221" t="s">
        <v>7</v>
      </c>
      <c r="B2221" s="1">
        <v>43019</v>
      </c>
      <c r="C2221" t="s">
        <v>58</v>
      </c>
      <c r="D2221" s="4">
        <v>264.52999999999997</v>
      </c>
      <c r="E2221" s="12" t="str">
        <f>VLOOKUP(C2221,inf!$A$2:$B$7,2,FALSE)</f>
        <v>61 to 90</v>
      </c>
      <c r="F2221" s="12" t="str">
        <f t="shared" si="35"/>
        <v>10/11/2017</v>
      </c>
      <c r="G2221" t="str">
        <f>VLOOKUP(A2221,inf!$D$2:$E$76,2,FALSE)</f>
        <v>SAFEWAY</v>
      </c>
    </row>
    <row r="2222" spans="1:7" x14ac:dyDescent="0.25">
      <c r="A2222" t="s">
        <v>7</v>
      </c>
      <c r="B2222" s="1">
        <v>43019</v>
      </c>
      <c r="C2222" t="s">
        <v>59</v>
      </c>
      <c r="D2222" s="4">
        <v>1272.1400000000001</v>
      </c>
      <c r="E2222" s="12" t="str">
        <f>VLOOKUP(C2222,inf!$A$2:$B$7,2,FALSE)</f>
        <v>Over 90</v>
      </c>
      <c r="F2222" s="12" t="str">
        <f t="shared" si="35"/>
        <v>10/11/2017</v>
      </c>
      <c r="G2222" t="str">
        <f>VLOOKUP(A2222,inf!$D$2:$E$76,2,FALSE)</f>
        <v>SAFEWAY</v>
      </c>
    </row>
    <row r="2223" spans="1:7" x14ac:dyDescent="0.25">
      <c r="A2223" t="s">
        <v>7</v>
      </c>
      <c r="B2223" s="1">
        <v>43019</v>
      </c>
      <c r="C2223" t="s">
        <v>60</v>
      </c>
      <c r="D2223" s="4">
        <v>334.41</v>
      </c>
      <c r="E2223" s="12" t="str">
        <f>VLOOKUP(C2223,inf!$A$2:$B$7,2,FALSE)</f>
        <v>Over 90</v>
      </c>
      <c r="F2223" s="12" t="str">
        <f t="shared" si="35"/>
        <v>10/11/2017</v>
      </c>
      <c r="G2223" t="str">
        <f>VLOOKUP(A2223,inf!$D$2:$E$76,2,FALSE)</f>
        <v>SAFEWAY</v>
      </c>
    </row>
    <row r="2224" spans="1:7" x14ac:dyDescent="0.25">
      <c r="A2224" t="s">
        <v>74</v>
      </c>
      <c r="B2224" s="1">
        <v>43019</v>
      </c>
      <c r="C2224" t="s">
        <v>55</v>
      </c>
      <c r="D2224" s="4">
        <v>742.26</v>
      </c>
      <c r="E2224" s="12" t="str">
        <f>VLOOKUP(C2224,inf!$A$2:$B$7,2,FALSE)</f>
        <v>Current</v>
      </c>
      <c r="F2224" s="12" t="str">
        <f t="shared" si="35"/>
        <v>10/11/2017</v>
      </c>
      <c r="G2224" t="str">
        <f>VLOOKUP(A2224,inf!$D$2:$E$76,2,FALSE)</f>
        <v>Other</v>
      </c>
    </row>
    <row r="2225" spans="1:7" x14ac:dyDescent="0.25">
      <c r="A2225" t="s">
        <v>72</v>
      </c>
      <c r="B2225" s="1">
        <v>43019</v>
      </c>
      <c r="C2225" t="s">
        <v>55</v>
      </c>
      <c r="D2225" s="4">
        <v>292.45999999999998</v>
      </c>
      <c r="E2225" s="12" t="str">
        <f>VLOOKUP(C2225,inf!$A$2:$B$7,2,FALSE)</f>
        <v>Current</v>
      </c>
      <c r="F2225" s="12" t="str">
        <f t="shared" si="35"/>
        <v>10/11/2017</v>
      </c>
      <c r="G2225" t="str">
        <f>VLOOKUP(A2225,inf!$D$2:$E$76,2,FALSE)</f>
        <v>Other</v>
      </c>
    </row>
    <row r="2226" spans="1:7" x14ac:dyDescent="0.25">
      <c r="A2226" t="s">
        <v>5</v>
      </c>
      <c r="B2226" s="1">
        <v>43019</v>
      </c>
      <c r="C2226" t="s">
        <v>55</v>
      </c>
      <c r="D2226" s="4">
        <v>6539409.3099997947</v>
      </c>
      <c r="E2226" s="12" t="str">
        <f>VLOOKUP(C2226,inf!$A$2:$B$7,2,FALSE)</f>
        <v>Current</v>
      </c>
      <c r="F2226" s="12" t="str">
        <f t="shared" si="35"/>
        <v>10/11/2017</v>
      </c>
      <c r="G2226" t="str">
        <f>VLOOKUP(A2226,inf!$D$2:$E$76,2,FALSE)</f>
        <v>SBUX</v>
      </c>
    </row>
    <row r="2227" spans="1:7" x14ac:dyDescent="0.25">
      <c r="A2227" t="s">
        <v>5</v>
      </c>
      <c r="B2227" s="1">
        <v>43019</v>
      </c>
      <c r="C2227" t="s">
        <v>56</v>
      </c>
      <c r="D2227" s="4">
        <v>30377.960000000003</v>
      </c>
      <c r="E2227" s="12" t="str">
        <f>VLOOKUP(C2227,inf!$A$2:$B$7,2,FALSE)</f>
        <v>Current</v>
      </c>
      <c r="F2227" s="12" t="str">
        <f t="shared" si="35"/>
        <v>10/11/2017</v>
      </c>
      <c r="G2227" t="str">
        <f>VLOOKUP(A2227,inf!$D$2:$E$76,2,FALSE)</f>
        <v>SBUX</v>
      </c>
    </row>
    <row r="2228" spans="1:7" x14ac:dyDescent="0.25">
      <c r="A2228" t="s">
        <v>5</v>
      </c>
      <c r="B2228" s="1">
        <v>43019</v>
      </c>
      <c r="C2228" t="s">
        <v>57</v>
      </c>
      <c r="D2228" s="4">
        <v>38742.459999999992</v>
      </c>
      <c r="E2228" s="12" t="str">
        <f>VLOOKUP(C2228,inf!$A$2:$B$7,2,FALSE)</f>
        <v>31 to 60</v>
      </c>
      <c r="F2228" s="12" t="str">
        <f t="shared" si="35"/>
        <v>10/11/2017</v>
      </c>
      <c r="G2228" t="str">
        <f>VLOOKUP(A2228,inf!$D$2:$E$76,2,FALSE)</f>
        <v>SBUX</v>
      </c>
    </row>
    <row r="2229" spans="1:7" x14ac:dyDescent="0.25">
      <c r="A2229" t="s">
        <v>5</v>
      </c>
      <c r="B2229" s="1">
        <v>43019</v>
      </c>
      <c r="C2229" t="s">
        <v>58</v>
      </c>
      <c r="D2229" s="4">
        <v>38005.65</v>
      </c>
      <c r="E2229" s="12" t="str">
        <f>VLOOKUP(C2229,inf!$A$2:$B$7,2,FALSE)</f>
        <v>61 to 90</v>
      </c>
      <c r="F2229" s="12" t="str">
        <f t="shared" si="35"/>
        <v>10/11/2017</v>
      </c>
      <c r="G2229" t="str">
        <f>VLOOKUP(A2229,inf!$D$2:$E$76,2,FALSE)</f>
        <v>SBUX</v>
      </c>
    </row>
    <row r="2230" spans="1:7" x14ac:dyDescent="0.25">
      <c r="A2230" t="s">
        <v>5</v>
      </c>
      <c r="B2230" s="1">
        <v>43019</v>
      </c>
      <c r="C2230" t="s">
        <v>59</v>
      </c>
      <c r="D2230" s="4">
        <v>12092.939999999991</v>
      </c>
      <c r="E2230" s="12" t="str">
        <f>VLOOKUP(C2230,inf!$A$2:$B$7,2,FALSE)</f>
        <v>Over 90</v>
      </c>
      <c r="F2230" s="12" t="str">
        <f t="shared" si="35"/>
        <v>10/11/2017</v>
      </c>
      <c r="G2230" t="str">
        <f>VLOOKUP(A2230,inf!$D$2:$E$76,2,FALSE)</f>
        <v>SBUX</v>
      </c>
    </row>
    <row r="2231" spans="1:7" x14ac:dyDescent="0.25">
      <c r="A2231" t="s">
        <v>5</v>
      </c>
      <c r="B2231" s="1">
        <v>43019</v>
      </c>
      <c r="C2231" t="s">
        <v>60</v>
      </c>
      <c r="D2231" s="4">
        <v>159193.94000000012</v>
      </c>
      <c r="E2231" s="12" t="str">
        <f>VLOOKUP(C2231,inf!$A$2:$B$7,2,FALSE)</f>
        <v>Over 90</v>
      </c>
      <c r="F2231" s="12" t="str">
        <f t="shared" si="35"/>
        <v>10/11/2017</v>
      </c>
      <c r="G2231" t="str">
        <f>VLOOKUP(A2231,inf!$D$2:$E$76,2,FALSE)</f>
        <v>SBUX</v>
      </c>
    </row>
    <row r="2232" spans="1:7" x14ac:dyDescent="0.25">
      <c r="A2232" t="s">
        <v>6</v>
      </c>
      <c r="B2232" s="1">
        <v>43019</v>
      </c>
      <c r="C2232" t="s">
        <v>55</v>
      </c>
      <c r="D2232" s="4">
        <v>470850.82999999903</v>
      </c>
      <c r="E2232" s="12" t="str">
        <f>VLOOKUP(C2232,inf!$A$2:$B$7,2,FALSE)</f>
        <v>Current</v>
      </c>
      <c r="F2232" s="12" t="str">
        <f t="shared" si="35"/>
        <v>10/11/2017</v>
      </c>
      <c r="G2232" t="str">
        <f>VLOOKUP(A2232,inf!$D$2:$E$76,2,FALSE)</f>
        <v>SBUX</v>
      </c>
    </row>
    <row r="2233" spans="1:7" x14ac:dyDescent="0.25">
      <c r="A2233" t="s">
        <v>6</v>
      </c>
      <c r="B2233" s="1">
        <v>43019</v>
      </c>
      <c r="C2233" t="s">
        <v>56</v>
      </c>
      <c r="D2233" s="4">
        <v>3766.37</v>
      </c>
      <c r="E2233" s="12" t="str">
        <f>VLOOKUP(C2233,inf!$A$2:$B$7,2,FALSE)</f>
        <v>Current</v>
      </c>
      <c r="F2233" s="12" t="str">
        <f t="shared" si="35"/>
        <v>10/11/2017</v>
      </c>
      <c r="G2233" t="str">
        <f>VLOOKUP(A2233,inf!$D$2:$E$76,2,FALSE)</f>
        <v>SBUX</v>
      </c>
    </row>
    <row r="2234" spans="1:7" x14ac:dyDescent="0.25">
      <c r="A2234" t="s">
        <v>6</v>
      </c>
      <c r="B2234" s="1">
        <v>43019</v>
      </c>
      <c r="C2234" t="s">
        <v>57</v>
      </c>
      <c r="D2234" s="4">
        <v>29323.060000000005</v>
      </c>
      <c r="E2234" s="12" t="str">
        <f>VLOOKUP(C2234,inf!$A$2:$B$7,2,FALSE)</f>
        <v>31 to 60</v>
      </c>
      <c r="F2234" s="12" t="str">
        <f t="shared" si="35"/>
        <v>10/11/2017</v>
      </c>
      <c r="G2234" t="str">
        <f>VLOOKUP(A2234,inf!$D$2:$E$76,2,FALSE)</f>
        <v>SBUX</v>
      </c>
    </row>
    <row r="2235" spans="1:7" x14ac:dyDescent="0.25">
      <c r="A2235" t="s">
        <v>6</v>
      </c>
      <c r="B2235" s="1">
        <v>43019</v>
      </c>
      <c r="C2235" t="s">
        <v>58</v>
      </c>
      <c r="D2235" s="4">
        <v>1230.8399999999999</v>
      </c>
      <c r="E2235" s="12" t="str">
        <f>VLOOKUP(C2235,inf!$A$2:$B$7,2,FALSE)</f>
        <v>61 to 90</v>
      </c>
      <c r="F2235" s="12" t="str">
        <f t="shared" si="35"/>
        <v>10/11/2017</v>
      </c>
      <c r="G2235" t="str">
        <f>VLOOKUP(A2235,inf!$D$2:$E$76,2,FALSE)</f>
        <v>SBUX</v>
      </c>
    </row>
    <row r="2236" spans="1:7" x14ac:dyDescent="0.25">
      <c r="A2236" t="s">
        <v>6</v>
      </c>
      <c r="B2236" s="1">
        <v>43019</v>
      </c>
      <c r="C2236" t="s">
        <v>60</v>
      </c>
      <c r="D2236" s="4">
        <v>13439.500000000005</v>
      </c>
      <c r="E2236" s="12" t="str">
        <f>VLOOKUP(C2236,inf!$A$2:$B$7,2,FALSE)</f>
        <v>Over 90</v>
      </c>
      <c r="F2236" s="12" t="str">
        <f t="shared" si="35"/>
        <v>10/11/2017</v>
      </c>
      <c r="G2236" t="str">
        <f>VLOOKUP(A2236,inf!$D$2:$E$76,2,FALSE)</f>
        <v>SBUX</v>
      </c>
    </row>
    <row r="2237" spans="1:7" x14ac:dyDescent="0.25">
      <c r="A2237" t="s">
        <v>49</v>
      </c>
      <c r="B2237" s="1">
        <v>43019</v>
      </c>
      <c r="C2237" t="s">
        <v>58</v>
      </c>
      <c r="D2237" s="4">
        <v>150.36000000000001</v>
      </c>
      <c r="E2237" s="12" t="str">
        <f>VLOOKUP(C2237,inf!$A$2:$B$7,2,FALSE)</f>
        <v>61 to 90</v>
      </c>
      <c r="F2237" s="12" t="str">
        <f t="shared" si="35"/>
        <v>10/11/2017</v>
      </c>
      <c r="G2237" t="str">
        <f>VLOOKUP(A2237,inf!$D$2:$E$76,2,FALSE)</f>
        <v>Other</v>
      </c>
    </row>
    <row r="2238" spans="1:7" x14ac:dyDescent="0.25">
      <c r="A2238" t="s">
        <v>48</v>
      </c>
      <c r="B2238" s="1">
        <v>43019</v>
      </c>
      <c r="C2238" t="s">
        <v>55</v>
      </c>
      <c r="D2238" s="4">
        <v>363336.93999999959</v>
      </c>
      <c r="E2238" s="12" t="str">
        <f>VLOOKUP(C2238,inf!$A$2:$B$7,2,FALSE)</f>
        <v>Current</v>
      </c>
      <c r="F2238" s="12" t="str">
        <f t="shared" si="35"/>
        <v>10/11/2017</v>
      </c>
      <c r="G2238" t="str">
        <f>VLOOKUP(A2238,inf!$D$2:$E$76,2,FALSE)</f>
        <v>Target</v>
      </c>
    </row>
    <row r="2239" spans="1:7" x14ac:dyDescent="0.25">
      <c r="A2239" t="s">
        <v>48</v>
      </c>
      <c r="B2239" s="1">
        <v>43019</v>
      </c>
      <c r="C2239" t="s">
        <v>56</v>
      </c>
      <c r="D2239" s="4">
        <v>12362.34</v>
      </c>
      <c r="E2239" s="12" t="str">
        <f>VLOOKUP(C2239,inf!$A$2:$B$7,2,FALSE)</f>
        <v>Current</v>
      </c>
      <c r="F2239" s="12" t="str">
        <f t="shared" si="35"/>
        <v>10/11/2017</v>
      </c>
      <c r="G2239" t="str">
        <f>VLOOKUP(A2239,inf!$D$2:$E$76,2,FALSE)</f>
        <v>Target</v>
      </c>
    </row>
    <row r="2240" spans="1:7" x14ac:dyDescent="0.25">
      <c r="A2240" t="s">
        <v>48</v>
      </c>
      <c r="B2240" s="1">
        <v>43019</v>
      </c>
      <c r="C2240" t="s">
        <v>57</v>
      </c>
      <c r="D2240" s="4">
        <v>4765.9399999999996</v>
      </c>
      <c r="E2240" s="12" t="str">
        <f>VLOOKUP(C2240,inf!$A$2:$B$7,2,FALSE)</f>
        <v>31 to 60</v>
      </c>
      <c r="F2240" s="12" t="str">
        <f t="shared" si="35"/>
        <v>10/11/2017</v>
      </c>
      <c r="G2240" t="str">
        <f>VLOOKUP(A2240,inf!$D$2:$E$76,2,FALSE)</f>
        <v>Target</v>
      </c>
    </row>
    <row r="2241" spans="1:7" x14ac:dyDescent="0.25">
      <c r="A2241" t="s">
        <v>48</v>
      </c>
      <c r="B2241" s="1">
        <v>43019</v>
      </c>
      <c r="C2241" t="s">
        <v>58</v>
      </c>
      <c r="D2241" s="4">
        <v>1079.72</v>
      </c>
      <c r="E2241" s="12" t="str">
        <f>VLOOKUP(C2241,inf!$A$2:$B$7,2,FALSE)</f>
        <v>61 to 90</v>
      </c>
      <c r="F2241" s="12" t="str">
        <f t="shared" si="35"/>
        <v>10/11/2017</v>
      </c>
      <c r="G2241" t="str">
        <f>VLOOKUP(A2241,inf!$D$2:$E$76,2,FALSE)</f>
        <v>Target</v>
      </c>
    </row>
    <row r="2242" spans="1:7" x14ac:dyDescent="0.25">
      <c r="A2242" t="s">
        <v>8</v>
      </c>
      <c r="B2242" s="1">
        <v>43019</v>
      </c>
      <c r="C2242" t="s">
        <v>55</v>
      </c>
      <c r="D2242" s="4">
        <v>453797.14999999991</v>
      </c>
      <c r="E2242" s="12" t="str">
        <f>VLOOKUP(C2242,inf!$A$2:$B$7,2,FALSE)</f>
        <v>Current</v>
      </c>
      <c r="F2242" s="12" t="str">
        <f t="shared" si="35"/>
        <v>10/11/2017</v>
      </c>
      <c r="G2242" t="str">
        <f>VLOOKUP(A2242,inf!$D$2:$E$76,2,FALSE)</f>
        <v>Target</v>
      </c>
    </row>
    <row r="2243" spans="1:7" x14ac:dyDescent="0.25">
      <c r="A2243" t="s">
        <v>8</v>
      </c>
      <c r="B2243" s="1">
        <v>43019</v>
      </c>
      <c r="C2243" t="s">
        <v>56</v>
      </c>
      <c r="D2243" s="4">
        <v>11765.84</v>
      </c>
      <c r="E2243" s="12" t="str">
        <f>VLOOKUP(C2243,inf!$A$2:$B$7,2,FALSE)</f>
        <v>Current</v>
      </c>
      <c r="F2243" s="12" t="str">
        <f t="shared" ref="F2243:F2306" si="36">TEXT(B2243,"MM/DD/YYYY")</f>
        <v>10/11/2017</v>
      </c>
      <c r="G2243" t="str">
        <f>VLOOKUP(A2243,inf!$D$2:$E$76,2,FALSE)</f>
        <v>Target</v>
      </c>
    </row>
    <row r="2244" spans="1:7" x14ac:dyDescent="0.25">
      <c r="A2244" t="s">
        <v>8</v>
      </c>
      <c r="B2244" s="1">
        <v>43019</v>
      </c>
      <c r="C2244" t="s">
        <v>57</v>
      </c>
      <c r="D2244" s="4">
        <v>3079.2200000000003</v>
      </c>
      <c r="E2244" s="12" t="str">
        <f>VLOOKUP(C2244,inf!$A$2:$B$7,2,FALSE)</f>
        <v>31 to 60</v>
      </c>
      <c r="F2244" s="12" t="str">
        <f t="shared" si="36"/>
        <v>10/11/2017</v>
      </c>
      <c r="G2244" t="str">
        <f>VLOOKUP(A2244,inf!$D$2:$E$76,2,FALSE)</f>
        <v>Target</v>
      </c>
    </row>
    <row r="2245" spans="1:7" x14ac:dyDescent="0.25">
      <c r="A2245" t="s">
        <v>8</v>
      </c>
      <c r="B2245" s="1">
        <v>43019</v>
      </c>
      <c r="C2245" t="s">
        <v>58</v>
      </c>
      <c r="D2245" s="4">
        <v>11215.519999999999</v>
      </c>
      <c r="E2245" s="12" t="str">
        <f>VLOOKUP(C2245,inf!$A$2:$B$7,2,FALSE)</f>
        <v>61 to 90</v>
      </c>
      <c r="F2245" s="12" t="str">
        <f t="shared" si="36"/>
        <v>10/11/2017</v>
      </c>
      <c r="G2245" t="str">
        <f>VLOOKUP(A2245,inf!$D$2:$E$76,2,FALSE)</f>
        <v>Target</v>
      </c>
    </row>
    <row r="2246" spans="1:7" x14ac:dyDescent="0.25">
      <c r="A2246" t="s">
        <v>8</v>
      </c>
      <c r="B2246" s="1">
        <v>43019</v>
      </c>
      <c r="C2246" t="s">
        <v>59</v>
      </c>
      <c r="D2246" s="4">
        <v>2872.91</v>
      </c>
      <c r="E2246" s="12" t="str">
        <f>VLOOKUP(C2246,inf!$A$2:$B$7,2,FALSE)</f>
        <v>Over 90</v>
      </c>
      <c r="F2246" s="12" t="str">
        <f t="shared" si="36"/>
        <v>10/11/2017</v>
      </c>
      <c r="G2246" t="str">
        <f>VLOOKUP(A2246,inf!$D$2:$E$76,2,FALSE)</f>
        <v>Target</v>
      </c>
    </row>
    <row r="2247" spans="1:7" x14ac:dyDescent="0.25">
      <c r="A2247" t="s">
        <v>8</v>
      </c>
      <c r="B2247" s="1">
        <v>43019</v>
      </c>
      <c r="C2247" t="s">
        <v>60</v>
      </c>
      <c r="D2247" s="4">
        <v>34744.239999999998</v>
      </c>
      <c r="E2247" s="12" t="str">
        <f>VLOOKUP(C2247,inf!$A$2:$B$7,2,FALSE)</f>
        <v>Over 90</v>
      </c>
      <c r="F2247" s="12" t="str">
        <f t="shared" si="36"/>
        <v>10/11/2017</v>
      </c>
      <c r="G2247" t="str">
        <f>VLOOKUP(A2247,inf!$D$2:$E$76,2,FALSE)</f>
        <v>Target</v>
      </c>
    </row>
    <row r="2248" spans="1:7" x14ac:dyDescent="0.25">
      <c r="A2248" t="s">
        <v>54</v>
      </c>
      <c r="B2248" s="1">
        <v>43019</v>
      </c>
      <c r="C2248" t="s">
        <v>55</v>
      </c>
      <c r="D2248" s="4">
        <v>216.65</v>
      </c>
      <c r="E2248" s="12" t="str">
        <f>VLOOKUP(C2248,inf!$A$2:$B$7,2,FALSE)</f>
        <v>Current</v>
      </c>
      <c r="F2248" s="12" t="str">
        <f t="shared" si="36"/>
        <v>10/11/2017</v>
      </c>
      <c r="G2248" t="str">
        <f>VLOOKUP(A2248,inf!$D$2:$E$76,2,FALSE)</f>
        <v>Other</v>
      </c>
    </row>
    <row r="2249" spans="1:7" x14ac:dyDescent="0.25">
      <c r="A2249" t="s">
        <v>54</v>
      </c>
      <c r="B2249" s="1">
        <v>43019</v>
      </c>
      <c r="C2249" t="s">
        <v>56</v>
      </c>
      <c r="D2249" s="4">
        <v>821.42</v>
      </c>
      <c r="E2249" s="12" t="str">
        <f>VLOOKUP(C2249,inf!$A$2:$B$7,2,FALSE)</f>
        <v>Current</v>
      </c>
      <c r="F2249" s="12" t="str">
        <f t="shared" si="36"/>
        <v>10/11/2017</v>
      </c>
      <c r="G2249" t="str">
        <f>VLOOKUP(A2249,inf!$D$2:$E$76,2,FALSE)</f>
        <v>Other</v>
      </c>
    </row>
    <row r="2250" spans="1:7" x14ac:dyDescent="0.25">
      <c r="A2250" t="s">
        <v>54</v>
      </c>
      <c r="B2250" s="1">
        <v>43019</v>
      </c>
      <c r="C2250" t="s">
        <v>57</v>
      </c>
      <c r="D2250" s="4">
        <v>122.72</v>
      </c>
      <c r="E2250" s="12" t="str">
        <f>VLOOKUP(C2250,inf!$A$2:$B$7,2,FALSE)</f>
        <v>31 to 60</v>
      </c>
      <c r="F2250" s="12" t="str">
        <f t="shared" si="36"/>
        <v>10/11/2017</v>
      </c>
      <c r="G2250" t="str">
        <f>VLOOKUP(A2250,inf!$D$2:$E$76,2,FALSE)</f>
        <v>Other</v>
      </c>
    </row>
    <row r="2251" spans="1:7" x14ac:dyDescent="0.25">
      <c r="A2251" t="s">
        <v>28</v>
      </c>
      <c r="B2251" s="1">
        <v>43019</v>
      </c>
      <c r="C2251" t="s">
        <v>55</v>
      </c>
      <c r="D2251" s="4">
        <v>3595.83</v>
      </c>
      <c r="E2251" s="12" t="str">
        <f>VLOOKUP(C2251,inf!$A$2:$B$7,2,FALSE)</f>
        <v>Current</v>
      </c>
      <c r="F2251" s="12" t="str">
        <f t="shared" si="36"/>
        <v>10/11/2017</v>
      </c>
      <c r="G2251" t="str">
        <f>VLOOKUP(A2251,inf!$D$2:$E$76,2,FALSE)</f>
        <v>Other</v>
      </c>
    </row>
    <row r="2252" spans="1:7" x14ac:dyDescent="0.25">
      <c r="A2252" t="s">
        <v>28</v>
      </c>
      <c r="B2252" s="1">
        <v>43019</v>
      </c>
      <c r="C2252" t="s">
        <v>56</v>
      </c>
      <c r="D2252" s="4">
        <v>682.55</v>
      </c>
      <c r="E2252" s="12" t="str">
        <f>VLOOKUP(C2252,inf!$A$2:$B$7,2,FALSE)</f>
        <v>Current</v>
      </c>
      <c r="F2252" s="12" t="str">
        <f t="shared" si="36"/>
        <v>10/11/2017</v>
      </c>
      <c r="G2252" t="str">
        <f>VLOOKUP(A2252,inf!$D$2:$E$76,2,FALSE)</f>
        <v>Other</v>
      </c>
    </row>
    <row r="2253" spans="1:7" x14ac:dyDescent="0.25">
      <c r="A2253" t="s">
        <v>28</v>
      </c>
      <c r="B2253" s="1">
        <v>43019</v>
      </c>
      <c r="C2253" t="s">
        <v>60</v>
      </c>
      <c r="D2253" s="4">
        <v>187.75</v>
      </c>
      <c r="E2253" s="12" t="str">
        <f>VLOOKUP(C2253,inf!$A$2:$B$7,2,FALSE)</f>
        <v>Over 90</v>
      </c>
      <c r="F2253" s="12" t="str">
        <f t="shared" si="36"/>
        <v>10/11/2017</v>
      </c>
      <c r="G2253" t="str">
        <f>VLOOKUP(A2253,inf!$D$2:$E$76,2,FALSE)</f>
        <v>Other</v>
      </c>
    </row>
    <row r="2254" spans="1:7" x14ac:dyDescent="0.25">
      <c r="A2254" t="s">
        <v>15</v>
      </c>
      <c r="B2254" s="1">
        <v>43019</v>
      </c>
      <c r="C2254" t="s">
        <v>55</v>
      </c>
      <c r="D2254" s="4">
        <v>1150.5900000000001</v>
      </c>
      <c r="E2254" s="12" t="str">
        <f>VLOOKUP(C2254,inf!$A$2:$B$7,2,FALSE)</f>
        <v>Current</v>
      </c>
      <c r="F2254" s="12" t="str">
        <f t="shared" si="36"/>
        <v>10/11/2017</v>
      </c>
      <c r="G2254" t="str">
        <f>VLOOKUP(A2254,inf!$D$2:$E$76,2,FALSE)</f>
        <v>Other</v>
      </c>
    </row>
    <row r="2255" spans="1:7" x14ac:dyDescent="0.25">
      <c r="A2255" t="s">
        <v>15</v>
      </c>
      <c r="B2255" s="1">
        <v>43019</v>
      </c>
      <c r="C2255" t="s">
        <v>57</v>
      </c>
      <c r="D2255" s="4">
        <v>291.60000000000002</v>
      </c>
      <c r="E2255" s="12" t="str">
        <f>VLOOKUP(C2255,inf!$A$2:$B$7,2,FALSE)</f>
        <v>31 to 60</v>
      </c>
      <c r="F2255" s="12" t="str">
        <f t="shared" si="36"/>
        <v>10/11/2017</v>
      </c>
      <c r="G2255" t="str">
        <f>VLOOKUP(A2255,inf!$D$2:$E$76,2,FALSE)</f>
        <v>Other</v>
      </c>
    </row>
    <row r="2256" spans="1:7" x14ac:dyDescent="0.25">
      <c r="A2256" t="s">
        <v>15</v>
      </c>
      <c r="B2256" s="1">
        <v>43019</v>
      </c>
      <c r="C2256" t="s">
        <v>60</v>
      </c>
      <c r="D2256" s="4">
        <v>126.05</v>
      </c>
      <c r="E2256" s="12" t="str">
        <f>VLOOKUP(C2256,inf!$A$2:$B$7,2,FALSE)</f>
        <v>Over 90</v>
      </c>
      <c r="F2256" s="12" t="str">
        <f t="shared" si="36"/>
        <v>10/11/2017</v>
      </c>
      <c r="G2256" t="str">
        <f>VLOOKUP(A2256,inf!$D$2:$E$76,2,FALSE)</f>
        <v>Other</v>
      </c>
    </row>
    <row r="2257" spans="1:7" x14ac:dyDescent="0.25">
      <c r="A2257" t="s">
        <v>61</v>
      </c>
      <c r="B2257" s="1">
        <v>43026</v>
      </c>
      <c r="C2257" t="s">
        <v>58</v>
      </c>
      <c r="D2257" s="4">
        <v>295.32</v>
      </c>
      <c r="E2257" s="12" t="str">
        <f>VLOOKUP(C2257,inf!$A$2:$B$7,2,FALSE)</f>
        <v>61 to 90</v>
      </c>
      <c r="F2257" s="12" t="str">
        <f t="shared" si="36"/>
        <v>10/18/2017</v>
      </c>
      <c r="G2257" t="str">
        <f>VLOOKUP(A2257,inf!$D$2:$E$76,2,FALSE)</f>
        <v>Other</v>
      </c>
    </row>
    <row r="2258" spans="1:7" x14ac:dyDescent="0.25">
      <c r="A2258" t="s">
        <v>4</v>
      </c>
      <c r="B2258" s="1">
        <v>43026</v>
      </c>
      <c r="C2258" t="s">
        <v>55</v>
      </c>
      <c r="D2258" s="4">
        <v>4330.49</v>
      </c>
      <c r="E2258" s="12" t="str">
        <f>VLOOKUP(C2258,inf!$A$2:$B$7,2,FALSE)</f>
        <v>Current</v>
      </c>
      <c r="F2258" s="12" t="str">
        <f t="shared" si="36"/>
        <v>10/18/2017</v>
      </c>
      <c r="G2258" t="str">
        <f>VLOOKUP(A2258,inf!$D$2:$E$76,2,FALSE)</f>
        <v>Other</v>
      </c>
    </row>
    <row r="2259" spans="1:7" x14ac:dyDescent="0.25">
      <c r="A2259" t="s">
        <v>26</v>
      </c>
      <c r="B2259" s="1">
        <v>43026</v>
      </c>
      <c r="C2259" t="s">
        <v>60</v>
      </c>
      <c r="D2259" s="4">
        <v>1380.77</v>
      </c>
      <c r="E2259" s="12" t="str">
        <f>VLOOKUP(C2259,inf!$A$2:$B$7,2,FALSE)</f>
        <v>Over 90</v>
      </c>
      <c r="F2259" s="12" t="str">
        <f t="shared" si="36"/>
        <v>10/18/2017</v>
      </c>
      <c r="G2259" t="str">
        <f>VLOOKUP(A2259,inf!$D$2:$E$76,2,FALSE)</f>
        <v>Other</v>
      </c>
    </row>
    <row r="2260" spans="1:7" x14ac:dyDescent="0.25">
      <c r="A2260" t="s">
        <v>2</v>
      </c>
      <c r="B2260" s="1">
        <v>43026</v>
      </c>
      <c r="C2260" t="s">
        <v>60</v>
      </c>
      <c r="D2260" s="4">
        <v>6040.4899999999971</v>
      </c>
      <c r="E2260" s="12" t="str">
        <f>VLOOKUP(C2260,inf!$A$2:$B$7,2,FALSE)</f>
        <v>Over 90</v>
      </c>
      <c r="F2260" s="12" t="str">
        <f t="shared" si="36"/>
        <v>10/18/2017</v>
      </c>
      <c r="G2260" t="str">
        <f>VLOOKUP(A2260,inf!$D$2:$E$76,2,FALSE)</f>
        <v>Other</v>
      </c>
    </row>
    <row r="2261" spans="1:7" x14ac:dyDescent="0.25">
      <c r="A2261" t="s">
        <v>32</v>
      </c>
      <c r="B2261" s="1">
        <v>43026</v>
      </c>
      <c r="C2261" t="s">
        <v>55</v>
      </c>
      <c r="D2261" s="4">
        <v>408.14</v>
      </c>
      <c r="E2261" s="12" t="str">
        <f>VLOOKUP(C2261,inf!$A$2:$B$7,2,FALSE)</f>
        <v>Current</v>
      </c>
      <c r="F2261" s="12" t="str">
        <f t="shared" si="36"/>
        <v>10/18/2017</v>
      </c>
      <c r="G2261" t="str">
        <f>VLOOKUP(A2261,inf!$D$2:$E$76,2,FALSE)</f>
        <v>Other</v>
      </c>
    </row>
    <row r="2262" spans="1:7" x14ac:dyDescent="0.25">
      <c r="A2262" t="s">
        <v>47</v>
      </c>
      <c r="B2262" s="1">
        <v>43026</v>
      </c>
      <c r="C2262" t="s">
        <v>55</v>
      </c>
      <c r="D2262" s="4">
        <v>380.16</v>
      </c>
      <c r="E2262" s="12" t="str">
        <f>VLOOKUP(C2262,inf!$A$2:$B$7,2,FALSE)</f>
        <v>Current</v>
      </c>
      <c r="F2262" s="12" t="str">
        <f t="shared" si="36"/>
        <v>10/18/2017</v>
      </c>
      <c r="G2262" t="str">
        <f>VLOOKUP(A2262,inf!$D$2:$E$76,2,FALSE)</f>
        <v>Other</v>
      </c>
    </row>
    <row r="2263" spans="1:7" x14ac:dyDescent="0.25">
      <c r="A2263" t="s">
        <v>25</v>
      </c>
      <c r="B2263" s="1">
        <v>43026</v>
      </c>
      <c r="C2263" t="s">
        <v>55</v>
      </c>
      <c r="D2263" s="4">
        <v>301.86</v>
      </c>
      <c r="E2263" s="12" t="str">
        <f>VLOOKUP(C2263,inf!$A$2:$B$7,2,FALSE)</f>
        <v>Current</v>
      </c>
      <c r="F2263" s="12" t="str">
        <f t="shared" si="36"/>
        <v>10/18/2017</v>
      </c>
      <c r="G2263" t="str">
        <f>VLOOKUP(A2263,inf!$D$2:$E$76,2,FALSE)</f>
        <v>Other</v>
      </c>
    </row>
    <row r="2264" spans="1:7" x14ac:dyDescent="0.25">
      <c r="A2264" t="s">
        <v>31</v>
      </c>
      <c r="B2264" s="1">
        <v>43026</v>
      </c>
      <c r="C2264" t="s">
        <v>55</v>
      </c>
      <c r="D2264" s="4">
        <v>571.08000000000004</v>
      </c>
      <c r="E2264" s="12" t="str">
        <f>VLOOKUP(C2264,inf!$A$2:$B$7,2,FALSE)</f>
        <v>Current</v>
      </c>
      <c r="F2264" s="12" t="str">
        <f t="shared" si="36"/>
        <v>10/18/2017</v>
      </c>
      <c r="G2264" t="str">
        <f>VLOOKUP(A2264,inf!$D$2:$E$76,2,FALSE)</f>
        <v>Other</v>
      </c>
    </row>
    <row r="2265" spans="1:7" x14ac:dyDescent="0.25">
      <c r="A2265" t="s">
        <v>31</v>
      </c>
      <c r="B2265" s="1">
        <v>43026</v>
      </c>
      <c r="C2265" t="s">
        <v>56</v>
      </c>
      <c r="D2265" s="4">
        <v>539.82999999999993</v>
      </c>
      <c r="E2265" s="12" t="str">
        <f>VLOOKUP(C2265,inf!$A$2:$B$7,2,FALSE)</f>
        <v>Current</v>
      </c>
      <c r="F2265" s="12" t="str">
        <f t="shared" si="36"/>
        <v>10/18/2017</v>
      </c>
      <c r="G2265" t="str">
        <f>VLOOKUP(A2265,inf!$D$2:$E$76,2,FALSE)</f>
        <v>Other</v>
      </c>
    </row>
    <row r="2266" spans="1:7" x14ac:dyDescent="0.25">
      <c r="A2266" t="s">
        <v>31</v>
      </c>
      <c r="B2266" s="1">
        <v>43026</v>
      </c>
      <c r="C2266" t="s">
        <v>57</v>
      </c>
      <c r="D2266" s="4">
        <v>143.56</v>
      </c>
      <c r="E2266" s="12" t="str">
        <f>VLOOKUP(C2266,inf!$A$2:$B$7,2,FALSE)</f>
        <v>31 to 60</v>
      </c>
      <c r="F2266" s="12" t="str">
        <f t="shared" si="36"/>
        <v>10/18/2017</v>
      </c>
      <c r="G2266" t="str">
        <f>VLOOKUP(A2266,inf!$D$2:$E$76,2,FALSE)</f>
        <v>Other</v>
      </c>
    </row>
    <row r="2267" spans="1:7" x14ac:dyDescent="0.25">
      <c r="A2267" t="s">
        <v>31</v>
      </c>
      <c r="B2267" s="1">
        <v>43026</v>
      </c>
      <c r="C2267" t="s">
        <v>58</v>
      </c>
      <c r="D2267" s="4">
        <v>153.15</v>
      </c>
      <c r="E2267" s="12" t="str">
        <f>VLOOKUP(C2267,inf!$A$2:$B$7,2,FALSE)</f>
        <v>61 to 90</v>
      </c>
      <c r="F2267" s="12" t="str">
        <f t="shared" si="36"/>
        <v>10/18/2017</v>
      </c>
      <c r="G2267" t="str">
        <f>VLOOKUP(A2267,inf!$D$2:$E$76,2,FALSE)</f>
        <v>Other</v>
      </c>
    </row>
    <row r="2268" spans="1:7" x14ac:dyDescent="0.25">
      <c r="A2268" t="s">
        <v>24</v>
      </c>
      <c r="B2268" s="1">
        <v>43026</v>
      </c>
      <c r="C2268" t="s">
        <v>55</v>
      </c>
      <c r="D2268" s="4">
        <v>1370.46</v>
      </c>
      <c r="E2268" s="12" t="str">
        <f>VLOOKUP(C2268,inf!$A$2:$B$7,2,FALSE)</f>
        <v>Current</v>
      </c>
      <c r="F2268" s="12" t="str">
        <f t="shared" si="36"/>
        <v>10/18/2017</v>
      </c>
      <c r="G2268" t="str">
        <f>VLOOKUP(A2268,inf!$D$2:$E$76,2,FALSE)</f>
        <v>Other</v>
      </c>
    </row>
    <row r="2269" spans="1:7" x14ac:dyDescent="0.25">
      <c r="A2269" t="s">
        <v>24</v>
      </c>
      <c r="B2269" s="1">
        <v>43026</v>
      </c>
      <c r="C2269" t="s">
        <v>56</v>
      </c>
      <c r="D2269" s="4">
        <v>172.28</v>
      </c>
      <c r="E2269" s="12" t="str">
        <f>VLOOKUP(C2269,inf!$A$2:$B$7,2,FALSE)</f>
        <v>Current</v>
      </c>
      <c r="F2269" s="12" t="str">
        <f t="shared" si="36"/>
        <v>10/18/2017</v>
      </c>
      <c r="G2269" t="str">
        <f>VLOOKUP(A2269,inf!$D$2:$E$76,2,FALSE)</f>
        <v>Other</v>
      </c>
    </row>
    <row r="2270" spans="1:7" x14ac:dyDescent="0.25">
      <c r="A2270" t="s">
        <v>18</v>
      </c>
      <c r="B2270" s="1">
        <v>43026</v>
      </c>
      <c r="C2270" t="s">
        <v>55</v>
      </c>
      <c r="D2270" s="4">
        <v>229.7</v>
      </c>
      <c r="E2270" s="12" t="str">
        <f>VLOOKUP(C2270,inf!$A$2:$B$7,2,FALSE)</f>
        <v>Current</v>
      </c>
      <c r="F2270" s="12" t="str">
        <f t="shared" si="36"/>
        <v>10/18/2017</v>
      </c>
      <c r="G2270" t="str">
        <f>VLOOKUP(A2270,inf!$D$2:$E$76,2,FALSE)</f>
        <v>Other</v>
      </c>
    </row>
    <row r="2271" spans="1:7" x14ac:dyDescent="0.25">
      <c r="A2271" t="s">
        <v>62</v>
      </c>
      <c r="B2271" s="1">
        <v>43026</v>
      </c>
      <c r="C2271" t="s">
        <v>56</v>
      </c>
      <c r="D2271" s="4">
        <v>229.7</v>
      </c>
      <c r="E2271" s="12" t="str">
        <f>VLOOKUP(C2271,inf!$A$2:$B$7,2,FALSE)</f>
        <v>Current</v>
      </c>
      <c r="F2271" s="12" t="str">
        <f t="shared" si="36"/>
        <v>10/18/2017</v>
      </c>
      <c r="G2271" t="str">
        <f>VLOOKUP(A2271,inf!$D$2:$E$76,2,FALSE)</f>
        <v>Other</v>
      </c>
    </row>
    <row r="2272" spans="1:7" x14ac:dyDescent="0.25">
      <c r="A2272" t="s">
        <v>62</v>
      </c>
      <c r="B2272" s="1">
        <v>43026</v>
      </c>
      <c r="C2272" t="s">
        <v>57</v>
      </c>
      <c r="D2272" s="4">
        <v>241.51</v>
      </c>
      <c r="E2272" s="12" t="str">
        <f>VLOOKUP(C2272,inf!$A$2:$B$7,2,FALSE)</f>
        <v>31 to 60</v>
      </c>
      <c r="F2272" s="12" t="str">
        <f t="shared" si="36"/>
        <v>10/18/2017</v>
      </c>
      <c r="G2272" t="str">
        <f>VLOOKUP(A2272,inf!$D$2:$E$76,2,FALSE)</f>
        <v>Other</v>
      </c>
    </row>
    <row r="2273" spans="1:7" x14ac:dyDescent="0.25">
      <c r="A2273" t="s">
        <v>21</v>
      </c>
      <c r="B2273" s="1">
        <v>43026</v>
      </c>
      <c r="C2273" t="s">
        <v>55</v>
      </c>
      <c r="D2273" s="4">
        <v>172.28</v>
      </c>
      <c r="E2273" s="12" t="str">
        <f>VLOOKUP(C2273,inf!$A$2:$B$7,2,FALSE)</f>
        <v>Current</v>
      </c>
      <c r="F2273" s="12" t="str">
        <f t="shared" si="36"/>
        <v>10/18/2017</v>
      </c>
      <c r="G2273" t="str">
        <f>VLOOKUP(A2273,inf!$D$2:$E$76,2,FALSE)</f>
        <v>Other</v>
      </c>
    </row>
    <row r="2274" spans="1:7" x14ac:dyDescent="0.25">
      <c r="A2274" t="s">
        <v>3</v>
      </c>
      <c r="B2274" s="1">
        <v>43026</v>
      </c>
      <c r="C2274" t="s">
        <v>55</v>
      </c>
      <c r="D2274" s="4">
        <v>2586.52</v>
      </c>
      <c r="E2274" s="12" t="str">
        <f>VLOOKUP(C2274,inf!$A$2:$B$7,2,FALSE)</f>
        <v>Current</v>
      </c>
      <c r="F2274" s="12" t="str">
        <f t="shared" si="36"/>
        <v>10/18/2017</v>
      </c>
      <c r="G2274" t="str">
        <f>VLOOKUP(A2274,inf!$D$2:$E$76,2,FALSE)</f>
        <v>Other</v>
      </c>
    </row>
    <row r="2275" spans="1:7" x14ac:dyDescent="0.25">
      <c r="A2275" t="s">
        <v>3</v>
      </c>
      <c r="B2275" s="1">
        <v>43026</v>
      </c>
      <c r="C2275" t="s">
        <v>56</v>
      </c>
      <c r="D2275" s="4">
        <v>197.82</v>
      </c>
      <c r="E2275" s="12" t="str">
        <f>VLOOKUP(C2275,inf!$A$2:$B$7,2,FALSE)</f>
        <v>Current</v>
      </c>
      <c r="F2275" s="12" t="str">
        <f t="shared" si="36"/>
        <v>10/18/2017</v>
      </c>
      <c r="G2275" t="str">
        <f>VLOOKUP(A2275,inf!$D$2:$E$76,2,FALSE)</f>
        <v>Other</v>
      </c>
    </row>
    <row r="2276" spans="1:7" x14ac:dyDescent="0.25">
      <c r="A2276" t="s">
        <v>30</v>
      </c>
      <c r="B2276" s="1">
        <v>43026</v>
      </c>
      <c r="C2276" t="s">
        <v>55</v>
      </c>
      <c r="D2276" s="4">
        <v>1354.1399999999999</v>
      </c>
      <c r="E2276" s="12" t="str">
        <f>VLOOKUP(C2276,inf!$A$2:$B$7,2,FALSE)</f>
        <v>Current</v>
      </c>
      <c r="F2276" s="12" t="str">
        <f t="shared" si="36"/>
        <v>10/18/2017</v>
      </c>
      <c r="G2276" t="str">
        <f>VLOOKUP(A2276,inf!$D$2:$E$76,2,FALSE)</f>
        <v>Other</v>
      </c>
    </row>
    <row r="2277" spans="1:7" x14ac:dyDescent="0.25">
      <c r="A2277" t="s">
        <v>30</v>
      </c>
      <c r="B2277" s="1">
        <v>43026</v>
      </c>
      <c r="C2277" t="s">
        <v>56</v>
      </c>
      <c r="D2277" s="4">
        <v>687.36</v>
      </c>
      <c r="E2277" s="12" t="str">
        <f>VLOOKUP(C2277,inf!$A$2:$B$7,2,FALSE)</f>
        <v>Current</v>
      </c>
      <c r="F2277" s="12" t="str">
        <f t="shared" si="36"/>
        <v>10/18/2017</v>
      </c>
      <c r="G2277" t="str">
        <f>VLOOKUP(A2277,inf!$D$2:$E$76,2,FALSE)</f>
        <v>Other</v>
      </c>
    </row>
    <row r="2278" spans="1:7" x14ac:dyDescent="0.25">
      <c r="A2278" t="s">
        <v>30</v>
      </c>
      <c r="B2278" s="1">
        <v>43026</v>
      </c>
      <c r="C2278" t="s">
        <v>57</v>
      </c>
      <c r="D2278" s="4">
        <v>1608.51</v>
      </c>
      <c r="E2278" s="12" t="str">
        <f>VLOOKUP(C2278,inf!$A$2:$B$7,2,FALSE)</f>
        <v>31 to 60</v>
      </c>
      <c r="F2278" s="12" t="str">
        <f t="shared" si="36"/>
        <v>10/18/2017</v>
      </c>
      <c r="G2278" t="str">
        <f>VLOOKUP(A2278,inf!$D$2:$E$76,2,FALSE)</f>
        <v>Other</v>
      </c>
    </row>
    <row r="2279" spans="1:7" x14ac:dyDescent="0.25">
      <c r="A2279" t="s">
        <v>63</v>
      </c>
      <c r="B2279" s="1">
        <v>43026</v>
      </c>
      <c r="C2279" t="s">
        <v>56</v>
      </c>
      <c r="D2279" s="4">
        <v>170.49</v>
      </c>
      <c r="E2279" s="12" t="str">
        <f>VLOOKUP(C2279,inf!$A$2:$B$7,2,FALSE)</f>
        <v>Current</v>
      </c>
      <c r="F2279" s="12" t="str">
        <f t="shared" si="36"/>
        <v>10/18/2017</v>
      </c>
      <c r="G2279" t="str">
        <f>VLOOKUP(A2279,inf!$D$2:$E$76,2,FALSE)</f>
        <v>Other</v>
      </c>
    </row>
    <row r="2280" spans="1:7" x14ac:dyDescent="0.25">
      <c r="A2280" t="s">
        <v>12</v>
      </c>
      <c r="B2280" s="1">
        <v>43026</v>
      </c>
      <c r="C2280" t="s">
        <v>55</v>
      </c>
      <c r="D2280" s="4">
        <v>430.84</v>
      </c>
      <c r="E2280" s="12" t="str">
        <f>VLOOKUP(C2280,inf!$A$2:$B$7,2,FALSE)</f>
        <v>Current</v>
      </c>
      <c r="F2280" s="12" t="str">
        <f t="shared" si="36"/>
        <v>10/18/2017</v>
      </c>
      <c r="G2280" t="str">
        <f>VLOOKUP(A2280,inf!$D$2:$E$76,2,FALSE)</f>
        <v>Other</v>
      </c>
    </row>
    <row r="2281" spans="1:7" x14ac:dyDescent="0.25">
      <c r="A2281" t="s">
        <v>12</v>
      </c>
      <c r="B2281" s="1">
        <v>43026</v>
      </c>
      <c r="C2281" t="s">
        <v>56</v>
      </c>
      <c r="D2281" s="4">
        <v>1055.08</v>
      </c>
      <c r="E2281" s="12" t="str">
        <f>VLOOKUP(C2281,inf!$A$2:$B$7,2,FALSE)</f>
        <v>Current</v>
      </c>
      <c r="F2281" s="12" t="str">
        <f t="shared" si="36"/>
        <v>10/18/2017</v>
      </c>
      <c r="G2281" t="str">
        <f>VLOOKUP(A2281,inf!$D$2:$E$76,2,FALSE)</f>
        <v>Other</v>
      </c>
    </row>
    <row r="2282" spans="1:7" x14ac:dyDescent="0.25">
      <c r="A2282" t="s">
        <v>12</v>
      </c>
      <c r="B2282" s="1">
        <v>43026</v>
      </c>
      <c r="C2282" t="s">
        <v>58</v>
      </c>
      <c r="D2282" s="4">
        <v>229.94</v>
      </c>
      <c r="E2282" s="12" t="str">
        <f>VLOOKUP(C2282,inf!$A$2:$B$7,2,FALSE)</f>
        <v>61 to 90</v>
      </c>
      <c r="F2282" s="12" t="str">
        <f t="shared" si="36"/>
        <v>10/18/2017</v>
      </c>
      <c r="G2282" t="str">
        <f>VLOOKUP(A2282,inf!$D$2:$E$76,2,FALSE)</f>
        <v>Other</v>
      </c>
    </row>
    <row r="2283" spans="1:7" x14ac:dyDescent="0.25">
      <c r="A2283" t="s">
        <v>12</v>
      </c>
      <c r="B2283" s="1">
        <v>43026</v>
      </c>
      <c r="C2283" t="s">
        <v>59</v>
      </c>
      <c r="D2283" s="4">
        <v>165</v>
      </c>
      <c r="E2283" s="12" t="str">
        <f>VLOOKUP(C2283,inf!$A$2:$B$7,2,FALSE)</f>
        <v>Over 90</v>
      </c>
      <c r="F2283" s="12" t="str">
        <f t="shared" si="36"/>
        <v>10/18/2017</v>
      </c>
      <c r="G2283" t="str">
        <f>VLOOKUP(A2283,inf!$D$2:$E$76,2,FALSE)</f>
        <v>Other</v>
      </c>
    </row>
    <row r="2284" spans="1:7" x14ac:dyDescent="0.25">
      <c r="A2284" t="s">
        <v>50</v>
      </c>
      <c r="B2284" s="1">
        <v>43026</v>
      </c>
      <c r="C2284" t="s">
        <v>55</v>
      </c>
      <c r="D2284" s="4">
        <v>495.71</v>
      </c>
      <c r="E2284" s="12" t="str">
        <f>VLOOKUP(C2284,inf!$A$2:$B$7,2,FALSE)</f>
        <v>Current</v>
      </c>
      <c r="F2284" s="12" t="str">
        <f t="shared" si="36"/>
        <v>10/18/2017</v>
      </c>
      <c r="G2284" t="str">
        <f>VLOOKUP(A2284,inf!$D$2:$E$76,2,FALSE)</f>
        <v>Other</v>
      </c>
    </row>
    <row r="2285" spans="1:7" x14ac:dyDescent="0.25">
      <c r="A2285" t="s">
        <v>23</v>
      </c>
      <c r="B2285" s="1">
        <v>43026</v>
      </c>
      <c r="C2285" t="s">
        <v>55</v>
      </c>
      <c r="D2285" s="4">
        <v>365.46000000000004</v>
      </c>
      <c r="E2285" s="12" t="str">
        <f>VLOOKUP(C2285,inf!$A$2:$B$7,2,FALSE)</f>
        <v>Current</v>
      </c>
      <c r="F2285" s="12" t="str">
        <f t="shared" si="36"/>
        <v>10/18/2017</v>
      </c>
      <c r="G2285" t="str">
        <f>VLOOKUP(A2285,inf!$D$2:$E$76,2,FALSE)</f>
        <v>Other</v>
      </c>
    </row>
    <row r="2286" spans="1:7" x14ac:dyDescent="0.25">
      <c r="A2286" t="s">
        <v>7</v>
      </c>
      <c r="B2286" s="1">
        <v>43026</v>
      </c>
      <c r="C2286" t="s">
        <v>55</v>
      </c>
      <c r="D2286" s="4">
        <v>102697.00999999986</v>
      </c>
      <c r="E2286" s="12" t="str">
        <f>VLOOKUP(C2286,inf!$A$2:$B$7,2,FALSE)</f>
        <v>Current</v>
      </c>
      <c r="F2286" s="12" t="str">
        <f t="shared" si="36"/>
        <v>10/18/2017</v>
      </c>
      <c r="G2286" t="str">
        <f>VLOOKUP(A2286,inf!$D$2:$E$76,2,FALSE)</f>
        <v>SAFEWAY</v>
      </c>
    </row>
    <row r="2287" spans="1:7" x14ac:dyDescent="0.25">
      <c r="A2287" t="s">
        <v>7</v>
      </c>
      <c r="B2287" s="1">
        <v>43026</v>
      </c>
      <c r="C2287" t="s">
        <v>56</v>
      </c>
      <c r="D2287" s="4">
        <v>17427.210000000006</v>
      </c>
      <c r="E2287" s="12" t="str">
        <f>VLOOKUP(C2287,inf!$A$2:$B$7,2,FALSE)</f>
        <v>Current</v>
      </c>
      <c r="F2287" s="12" t="str">
        <f t="shared" si="36"/>
        <v>10/18/2017</v>
      </c>
      <c r="G2287" t="str">
        <f>VLOOKUP(A2287,inf!$D$2:$E$76,2,FALSE)</f>
        <v>SAFEWAY</v>
      </c>
    </row>
    <row r="2288" spans="1:7" x14ac:dyDescent="0.25">
      <c r="A2288" t="s">
        <v>7</v>
      </c>
      <c r="B2288" s="1">
        <v>43026</v>
      </c>
      <c r="C2288" t="s">
        <v>57</v>
      </c>
      <c r="D2288" s="4">
        <v>2707.96</v>
      </c>
      <c r="E2288" s="12" t="str">
        <f>VLOOKUP(C2288,inf!$A$2:$B$7,2,FALSE)</f>
        <v>31 to 60</v>
      </c>
      <c r="F2288" s="12" t="str">
        <f t="shared" si="36"/>
        <v>10/18/2017</v>
      </c>
      <c r="G2288" t="str">
        <f>VLOOKUP(A2288,inf!$D$2:$E$76,2,FALSE)</f>
        <v>SAFEWAY</v>
      </c>
    </row>
    <row r="2289" spans="1:7" x14ac:dyDescent="0.25">
      <c r="A2289" t="s">
        <v>7</v>
      </c>
      <c r="B2289" s="1">
        <v>43026</v>
      </c>
      <c r="C2289" t="s">
        <v>58</v>
      </c>
      <c r="D2289" s="4">
        <v>264.52999999999997</v>
      </c>
      <c r="E2289" s="12" t="str">
        <f>VLOOKUP(C2289,inf!$A$2:$B$7,2,FALSE)</f>
        <v>61 to 90</v>
      </c>
      <c r="F2289" s="12" t="str">
        <f t="shared" si="36"/>
        <v>10/18/2017</v>
      </c>
      <c r="G2289" t="str">
        <f>VLOOKUP(A2289,inf!$D$2:$E$76,2,FALSE)</f>
        <v>SAFEWAY</v>
      </c>
    </row>
    <row r="2290" spans="1:7" x14ac:dyDescent="0.25">
      <c r="A2290" t="s">
        <v>7</v>
      </c>
      <c r="B2290" s="1">
        <v>43026</v>
      </c>
      <c r="C2290" t="s">
        <v>59</v>
      </c>
      <c r="D2290" s="4">
        <v>1272.1400000000001</v>
      </c>
      <c r="E2290" s="12" t="str">
        <f>VLOOKUP(C2290,inf!$A$2:$B$7,2,FALSE)</f>
        <v>Over 90</v>
      </c>
      <c r="F2290" s="12" t="str">
        <f t="shared" si="36"/>
        <v>10/18/2017</v>
      </c>
      <c r="G2290" t="str">
        <f>VLOOKUP(A2290,inf!$D$2:$E$76,2,FALSE)</f>
        <v>SAFEWAY</v>
      </c>
    </row>
    <row r="2291" spans="1:7" x14ac:dyDescent="0.25">
      <c r="A2291" t="s">
        <v>7</v>
      </c>
      <c r="B2291" s="1">
        <v>43026</v>
      </c>
      <c r="C2291" t="s">
        <v>60</v>
      </c>
      <c r="D2291" s="4">
        <v>334.41</v>
      </c>
      <c r="E2291" s="12" t="str">
        <f>VLOOKUP(C2291,inf!$A$2:$B$7,2,FALSE)</f>
        <v>Over 90</v>
      </c>
      <c r="F2291" s="12" t="str">
        <f t="shared" si="36"/>
        <v>10/18/2017</v>
      </c>
      <c r="G2291" t="str">
        <f>VLOOKUP(A2291,inf!$D$2:$E$76,2,FALSE)</f>
        <v>SAFEWAY</v>
      </c>
    </row>
    <row r="2292" spans="1:7" x14ac:dyDescent="0.25">
      <c r="A2292" t="s">
        <v>74</v>
      </c>
      <c r="B2292" s="1">
        <v>43026</v>
      </c>
      <c r="C2292" t="s">
        <v>56</v>
      </c>
      <c r="D2292" s="4">
        <v>742.26</v>
      </c>
      <c r="E2292" s="12" t="str">
        <f>VLOOKUP(C2292,inf!$A$2:$B$7,2,FALSE)</f>
        <v>Current</v>
      </c>
      <c r="F2292" s="12" t="str">
        <f t="shared" si="36"/>
        <v>10/18/2017</v>
      </c>
      <c r="G2292" t="str">
        <f>VLOOKUP(A2292,inf!$D$2:$E$76,2,FALSE)</f>
        <v>Other</v>
      </c>
    </row>
    <row r="2293" spans="1:7" x14ac:dyDescent="0.25">
      <c r="A2293" t="s">
        <v>72</v>
      </c>
      <c r="B2293" s="1">
        <v>43026</v>
      </c>
      <c r="C2293" t="s">
        <v>55</v>
      </c>
      <c r="D2293" s="4">
        <v>292.45999999999998</v>
      </c>
      <c r="E2293" s="12" t="str">
        <f>VLOOKUP(C2293,inf!$A$2:$B$7,2,FALSE)</f>
        <v>Current</v>
      </c>
      <c r="F2293" s="12" t="str">
        <f t="shared" si="36"/>
        <v>10/18/2017</v>
      </c>
      <c r="G2293" t="str">
        <f>VLOOKUP(A2293,inf!$D$2:$E$76,2,FALSE)</f>
        <v>Other</v>
      </c>
    </row>
    <row r="2294" spans="1:7" x14ac:dyDescent="0.25">
      <c r="A2294" t="s">
        <v>5</v>
      </c>
      <c r="B2294" s="1">
        <v>43026</v>
      </c>
      <c r="C2294" t="s">
        <v>55</v>
      </c>
      <c r="D2294" s="4">
        <v>6215117.0699997284</v>
      </c>
      <c r="E2294" s="12" t="str">
        <f>VLOOKUP(C2294,inf!$A$2:$B$7,2,FALSE)</f>
        <v>Current</v>
      </c>
      <c r="F2294" s="12" t="str">
        <f t="shared" si="36"/>
        <v>10/18/2017</v>
      </c>
      <c r="G2294" t="str">
        <f>VLOOKUP(A2294,inf!$D$2:$E$76,2,FALSE)</f>
        <v>SBUX</v>
      </c>
    </row>
    <row r="2295" spans="1:7" x14ac:dyDescent="0.25">
      <c r="A2295" t="s">
        <v>5</v>
      </c>
      <c r="B2295" s="1">
        <v>43026</v>
      </c>
      <c r="C2295" t="s">
        <v>56</v>
      </c>
      <c r="D2295" s="4">
        <v>27038.03</v>
      </c>
      <c r="E2295" s="12" t="str">
        <f>VLOOKUP(C2295,inf!$A$2:$B$7,2,FALSE)</f>
        <v>Current</v>
      </c>
      <c r="F2295" s="12" t="str">
        <f t="shared" si="36"/>
        <v>10/18/2017</v>
      </c>
      <c r="G2295" t="str">
        <f>VLOOKUP(A2295,inf!$D$2:$E$76,2,FALSE)</f>
        <v>SBUX</v>
      </c>
    </row>
    <row r="2296" spans="1:7" x14ac:dyDescent="0.25">
      <c r="A2296" t="s">
        <v>5</v>
      </c>
      <c r="B2296" s="1">
        <v>43026</v>
      </c>
      <c r="C2296" t="s">
        <v>57</v>
      </c>
      <c r="D2296" s="4">
        <v>35994.079999999994</v>
      </c>
      <c r="E2296" s="12" t="str">
        <f>VLOOKUP(C2296,inf!$A$2:$B$7,2,FALSE)</f>
        <v>31 to 60</v>
      </c>
      <c r="F2296" s="12" t="str">
        <f t="shared" si="36"/>
        <v>10/18/2017</v>
      </c>
      <c r="G2296" t="str">
        <f>VLOOKUP(A2296,inf!$D$2:$E$76,2,FALSE)</f>
        <v>SBUX</v>
      </c>
    </row>
    <row r="2297" spans="1:7" x14ac:dyDescent="0.25">
      <c r="A2297" t="s">
        <v>5</v>
      </c>
      <c r="B2297" s="1">
        <v>43026</v>
      </c>
      <c r="C2297" t="s">
        <v>58</v>
      </c>
      <c r="D2297" s="4">
        <v>41714.69</v>
      </c>
      <c r="E2297" s="12" t="str">
        <f>VLOOKUP(C2297,inf!$A$2:$B$7,2,FALSE)</f>
        <v>61 to 90</v>
      </c>
      <c r="F2297" s="12" t="str">
        <f t="shared" si="36"/>
        <v>10/18/2017</v>
      </c>
      <c r="G2297" t="str">
        <f>VLOOKUP(A2297,inf!$D$2:$E$76,2,FALSE)</f>
        <v>SBUX</v>
      </c>
    </row>
    <row r="2298" spans="1:7" x14ac:dyDescent="0.25">
      <c r="A2298" t="s">
        <v>5</v>
      </c>
      <c r="B2298" s="1">
        <v>43026</v>
      </c>
      <c r="C2298" t="s">
        <v>59</v>
      </c>
      <c r="D2298" s="4">
        <v>9520.9999999999982</v>
      </c>
      <c r="E2298" s="12" t="str">
        <f>VLOOKUP(C2298,inf!$A$2:$B$7,2,FALSE)</f>
        <v>Over 90</v>
      </c>
      <c r="F2298" s="12" t="str">
        <f t="shared" si="36"/>
        <v>10/18/2017</v>
      </c>
      <c r="G2298" t="str">
        <f>VLOOKUP(A2298,inf!$D$2:$E$76,2,FALSE)</f>
        <v>SBUX</v>
      </c>
    </row>
    <row r="2299" spans="1:7" x14ac:dyDescent="0.25">
      <c r="A2299" t="s">
        <v>5</v>
      </c>
      <c r="B2299" s="1">
        <v>43026</v>
      </c>
      <c r="C2299" t="s">
        <v>60</v>
      </c>
      <c r="D2299" s="4">
        <v>156835.99000000011</v>
      </c>
      <c r="E2299" s="12" t="str">
        <f>VLOOKUP(C2299,inf!$A$2:$B$7,2,FALSE)</f>
        <v>Over 90</v>
      </c>
      <c r="F2299" s="12" t="str">
        <f t="shared" si="36"/>
        <v>10/18/2017</v>
      </c>
      <c r="G2299" t="str">
        <f>VLOOKUP(A2299,inf!$D$2:$E$76,2,FALSE)</f>
        <v>SBUX</v>
      </c>
    </row>
    <row r="2300" spans="1:7" x14ac:dyDescent="0.25">
      <c r="A2300" t="s">
        <v>6</v>
      </c>
      <c r="B2300" s="1">
        <v>43026</v>
      </c>
      <c r="C2300" t="s">
        <v>55</v>
      </c>
      <c r="D2300" s="4">
        <v>433100.43999999884</v>
      </c>
      <c r="E2300" s="12" t="str">
        <f>VLOOKUP(C2300,inf!$A$2:$B$7,2,FALSE)</f>
        <v>Current</v>
      </c>
      <c r="F2300" s="12" t="str">
        <f t="shared" si="36"/>
        <v>10/18/2017</v>
      </c>
      <c r="G2300" t="str">
        <f>VLOOKUP(A2300,inf!$D$2:$E$76,2,FALSE)</f>
        <v>SBUX</v>
      </c>
    </row>
    <row r="2301" spans="1:7" x14ac:dyDescent="0.25">
      <c r="A2301" t="s">
        <v>6</v>
      </c>
      <c r="B2301" s="1">
        <v>43026</v>
      </c>
      <c r="C2301" t="s">
        <v>56</v>
      </c>
      <c r="D2301" s="4">
        <v>2128.34</v>
      </c>
      <c r="E2301" s="12" t="str">
        <f>VLOOKUP(C2301,inf!$A$2:$B$7,2,FALSE)</f>
        <v>Current</v>
      </c>
      <c r="F2301" s="12" t="str">
        <f t="shared" si="36"/>
        <v>10/18/2017</v>
      </c>
      <c r="G2301" t="str">
        <f>VLOOKUP(A2301,inf!$D$2:$E$76,2,FALSE)</f>
        <v>SBUX</v>
      </c>
    </row>
    <row r="2302" spans="1:7" x14ac:dyDescent="0.25">
      <c r="A2302" t="s">
        <v>6</v>
      </c>
      <c r="B2302" s="1">
        <v>43026</v>
      </c>
      <c r="C2302" t="s">
        <v>57</v>
      </c>
      <c r="D2302" s="4">
        <v>30401.960000000017</v>
      </c>
      <c r="E2302" s="12" t="str">
        <f>VLOOKUP(C2302,inf!$A$2:$B$7,2,FALSE)</f>
        <v>31 to 60</v>
      </c>
      <c r="F2302" s="12" t="str">
        <f t="shared" si="36"/>
        <v>10/18/2017</v>
      </c>
      <c r="G2302" t="str">
        <f>VLOOKUP(A2302,inf!$D$2:$E$76,2,FALSE)</f>
        <v>SBUX</v>
      </c>
    </row>
    <row r="2303" spans="1:7" x14ac:dyDescent="0.25">
      <c r="A2303" t="s">
        <v>6</v>
      </c>
      <c r="B2303" s="1">
        <v>43026</v>
      </c>
      <c r="C2303" t="s">
        <v>58</v>
      </c>
      <c r="D2303" s="4">
        <v>1920.1499999999999</v>
      </c>
      <c r="E2303" s="12" t="str">
        <f>VLOOKUP(C2303,inf!$A$2:$B$7,2,FALSE)</f>
        <v>61 to 90</v>
      </c>
      <c r="F2303" s="12" t="str">
        <f t="shared" si="36"/>
        <v>10/18/2017</v>
      </c>
      <c r="G2303" t="str">
        <f>VLOOKUP(A2303,inf!$D$2:$E$76,2,FALSE)</f>
        <v>SBUX</v>
      </c>
    </row>
    <row r="2304" spans="1:7" x14ac:dyDescent="0.25">
      <c r="A2304" t="s">
        <v>6</v>
      </c>
      <c r="B2304" s="1">
        <v>43026</v>
      </c>
      <c r="C2304" t="s">
        <v>60</v>
      </c>
      <c r="D2304" s="4">
        <v>10907.910000000005</v>
      </c>
      <c r="E2304" s="12" t="str">
        <f>VLOOKUP(C2304,inf!$A$2:$B$7,2,FALSE)</f>
        <v>Over 90</v>
      </c>
      <c r="F2304" s="12" t="str">
        <f t="shared" si="36"/>
        <v>10/18/2017</v>
      </c>
      <c r="G2304" t="str">
        <f>VLOOKUP(A2304,inf!$D$2:$E$76,2,FALSE)</f>
        <v>SBUX</v>
      </c>
    </row>
    <row r="2305" spans="1:7" x14ac:dyDescent="0.25">
      <c r="A2305" t="s">
        <v>49</v>
      </c>
      <c r="B2305" s="1">
        <v>43026</v>
      </c>
      <c r="C2305" t="s">
        <v>58</v>
      </c>
      <c r="D2305" s="4">
        <v>150.36000000000001</v>
      </c>
      <c r="E2305" s="12" t="str">
        <f>VLOOKUP(C2305,inf!$A$2:$B$7,2,FALSE)</f>
        <v>61 to 90</v>
      </c>
      <c r="F2305" s="12" t="str">
        <f t="shared" si="36"/>
        <v>10/18/2017</v>
      </c>
      <c r="G2305" t="str">
        <f>VLOOKUP(A2305,inf!$D$2:$E$76,2,FALSE)</f>
        <v>Other</v>
      </c>
    </row>
    <row r="2306" spans="1:7" x14ac:dyDescent="0.25">
      <c r="A2306" t="s">
        <v>48</v>
      </c>
      <c r="B2306" s="1">
        <v>43026</v>
      </c>
      <c r="C2306" t="s">
        <v>55</v>
      </c>
      <c r="D2306" s="4">
        <v>369778.43000000017</v>
      </c>
      <c r="E2306" s="12" t="str">
        <f>VLOOKUP(C2306,inf!$A$2:$B$7,2,FALSE)</f>
        <v>Current</v>
      </c>
      <c r="F2306" s="12" t="str">
        <f t="shared" si="36"/>
        <v>10/18/2017</v>
      </c>
      <c r="G2306" t="str">
        <f>VLOOKUP(A2306,inf!$D$2:$E$76,2,FALSE)</f>
        <v>Target</v>
      </c>
    </row>
    <row r="2307" spans="1:7" x14ac:dyDescent="0.25">
      <c r="A2307" t="s">
        <v>48</v>
      </c>
      <c r="B2307" s="1">
        <v>43026</v>
      </c>
      <c r="C2307" t="s">
        <v>56</v>
      </c>
      <c r="D2307" s="4">
        <v>7155.75</v>
      </c>
      <c r="E2307" s="12" t="str">
        <f>VLOOKUP(C2307,inf!$A$2:$B$7,2,FALSE)</f>
        <v>Current</v>
      </c>
      <c r="F2307" s="12" t="str">
        <f t="shared" ref="F2307:F2370" si="37">TEXT(B2307,"MM/DD/YYYY")</f>
        <v>10/18/2017</v>
      </c>
      <c r="G2307" t="str">
        <f>VLOOKUP(A2307,inf!$D$2:$E$76,2,FALSE)</f>
        <v>Target</v>
      </c>
    </row>
    <row r="2308" spans="1:7" x14ac:dyDescent="0.25">
      <c r="A2308" t="s">
        <v>48</v>
      </c>
      <c r="B2308" s="1">
        <v>43026</v>
      </c>
      <c r="C2308" t="s">
        <v>57</v>
      </c>
      <c r="D2308" s="4">
        <v>4033.4900000000002</v>
      </c>
      <c r="E2308" s="12" t="str">
        <f>VLOOKUP(C2308,inf!$A$2:$B$7,2,FALSE)</f>
        <v>31 to 60</v>
      </c>
      <c r="F2308" s="12" t="str">
        <f t="shared" si="37"/>
        <v>10/18/2017</v>
      </c>
      <c r="G2308" t="str">
        <f>VLOOKUP(A2308,inf!$D$2:$E$76,2,FALSE)</f>
        <v>Target</v>
      </c>
    </row>
    <row r="2309" spans="1:7" x14ac:dyDescent="0.25">
      <c r="A2309" t="s">
        <v>48</v>
      </c>
      <c r="B2309" s="1">
        <v>43026</v>
      </c>
      <c r="C2309" t="s">
        <v>58</v>
      </c>
      <c r="D2309" s="4">
        <v>1079.72</v>
      </c>
      <c r="E2309" s="12" t="str">
        <f>VLOOKUP(C2309,inf!$A$2:$B$7,2,FALSE)</f>
        <v>61 to 90</v>
      </c>
      <c r="F2309" s="12" t="str">
        <f t="shared" si="37"/>
        <v>10/18/2017</v>
      </c>
      <c r="G2309" t="str">
        <f>VLOOKUP(A2309,inf!$D$2:$E$76,2,FALSE)</f>
        <v>Target</v>
      </c>
    </row>
    <row r="2310" spans="1:7" x14ac:dyDescent="0.25">
      <c r="A2310" t="s">
        <v>8</v>
      </c>
      <c r="B2310" s="1">
        <v>43026</v>
      </c>
      <c r="C2310" t="s">
        <v>55</v>
      </c>
      <c r="D2310" s="4">
        <v>432192.71000000008</v>
      </c>
      <c r="E2310" s="12" t="str">
        <f>VLOOKUP(C2310,inf!$A$2:$B$7,2,FALSE)</f>
        <v>Current</v>
      </c>
      <c r="F2310" s="12" t="str">
        <f t="shared" si="37"/>
        <v>10/18/2017</v>
      </c>
      <c r="G2310" t="str">
        <f>VLOOKUP(A2310,inf!$D$2:$E$76,2,FALSE)</f>
        <v>Target</v>
      </c>
    </row>
    <row r="2311" spans="1:7" x14ac:dyDescent="0.25">
      <c r="A2311" t="s">
        <v>8</v>
      </c>
      <c r="B2311" s="1">
        <v>43026</v>
      </c>
      <c r="C2311" t="s">
        <v>56</v>
      </c>
      <c r="D2311" s="4">
        <v>13404.76</v>
      </c>
      <c r="E2311" s="12" t="str">
        <f>VLOOKUP(C2311,inf!$A$2:$B$7,2,FALSE)</f>
        <v>Current</v>
      </c>
      <c r="F2311" s="12" t="str">
        <f t="shared" si="37"/>
        <v>10/18/2017</v>
      </c>
      <c r="G2311" t="str">
        <f>VLOOKUP(A2311,inf!$D$2:$E$76,2,FALSE)</f>
        <v>Target</v>
      </c>
    </row>
    <row r="2312" spans="1:7" x14ac:dyDescent="0.25">
      <c r="A2312" t="s">
        <v>8</v>
      </c>
      <c r="B2312" s="1">
        <v>43026</v>
      </c>
      <c r="C2312" t="s">
        <v>57</v>
      </c>
      <c r="D2312" s="4">
        <v>3177.13</v>
      </c>
      <c r="E2312" s="12" t="str">
        <f>VLOOKUP(C2312,inf!$A$2:$B$7,2,FALSE)</f>
        <v>31 to 60</v>
      </c>
      <c r="F2312" s="12" t="str">
        <f t="shared" si="37"/>
        <v>10/18/2017</v>
      </c>
      <c r="G2312" t="str">
        <f>VLOOKUP(A2312,inf!$D$2:$E$76,2,FALSE)</f>
        <v>Target</v>
      </c>
    </row>
    <row r="2313" spans="1:7" x14ac:dyDescent="0.25">
      <c r="A2313" t="s">
        <v>8</v>
      </c>
      <c r="B2313" s="1">
        <v>43026</v>
      </c>
      <c r="C2313" t="s">
        <v>58</v>
      </c>
      <c r="D2313" s="4">
        <v>5151.83</v>
      </c>
      <c r="E2313" s="12" t="str">
        <f>VLOOKUP(C2313,inf!$A$2:$B$7,2,FALSE)</f>
        <v>61 to 90</v>
      </c>
      <c r="F2313" s="12" t="str">
        <f t="shared" si="37"/>
        <v>10/18/2017</v>
      </c>
      <c r="G2313" t="str">
        <f>VLOOKUP(A2313,inf!$D$2:$E$76,2,FALSE)</f>
        <v>Target</v>
      </c>
    </row>
    <row r="2314" spans="1:7" x14ac:dyDescent="0.25">
      <c r="A2314" t="s">
        <v>8</v>
      </c>
      <c r="B2314" s="1">
        <v>43026</v>
      </c>
      <c r="C2314" t="s">
        <v>59</v>
      </c>
      <c r="D2314" s="4">
        <v>8106.7099999999991</v>
      </c>
      <c r="E2314" s="12" t="str">
        <f>VLOOKUP(C2314,inf!$A$2:$B$7,2,FALSE)</f>
        <v>Over 90</v>
      </c>
      <c r="F2314" s="12" t="str">
        <f t="shared" si="37"/>
        <v>10/18/2017</v>
      </c>
      <c r="G2314" t="str">
        <f>VLOOKUP(A2314,inf!$D$2:$E$76,2,FALSE)</f>
        <v>Target</v>
      </c>
    </row>
    <row r="2315" spans="1:7" x14ac:dyDescent="0.25">
      <c r="A2315" t="s">
        <v>8</v>
      </c>
      <c r="B2315" s="1">
        <v>43026</v>
      </c>
      <c r="C2315" t="s">
        <v>60</v>
      </c>
      <c r="D2315" s="4">
        <v>35542.929999999993</v>
      </c>
      <c r="E2315" s="12" t="str">
        <f>VLOOKUP(C2315,inf!$A$2:$B$7,2,FALSE)</f>
        <v>Over 90</v>
      </c>
      <c r="F2315" s="12" t="str">
        <f t="shared" si="37"/>
        <v>10/18/2017</v>
      </c>
      <c r="G2315" t="str">
        <f>VLOOKUP(A2315,inf!$D$2:$E$76,2,FALSE)</f>
        <v>Target</v>
      </c>
    </row>
    <row r="2316" spans="1:7" x14ac:dyDescent="0.25">
      <c r="A2316" t="s">
        <v>54</v>
      </c>
      <c r="B2316" s="1">
        <v>43026</v>
      </c>
      <c r="C2316" t="s">
        <v>55</v>
      </c>
      <c r="D2316" s="4">
        <v>216.65</v>
      </c>
      <c r="E2316" s="12" t="str">
        <f>VLOOKUP(C2316,inf!$A$2:$B$7,2,FALSE)</f>
        <v>Current</v>
      </c>
      <c r="F2316" s="12" t="str">
        <f t="shared" si="37"/>
        <v>10/18/2017</v>
      </c>
      <c r="G2316" t="str">
        <f>VLOOKUP(A2316,inf!$D$2:$E$76,2,FALSE)</f>
        <v>Other</v>
      </c>
    </row>
    <row r="2317" spans="1:7" x14ac:dyDescent="0.25">
      <c r="A2317" t="s">
        <v>54</v>
      </c>
      <c r="B2317" s="1">
        <v>43026</v>
      </c>
      <c r="C2317" t="s">
        <v>56</v>
      </c>
      <c r="D2317" s="4">
        <v>821.42</v>
      </c>
      <c r="E2317" s="12" t="str">
        <f>VLOOKUP(C2317,inf!$A$2:$B$7,2,FALSE)</f>
        <v>Current</v>
      </c>
      <c r="F2317" s="12" t="str">
        <f t="shared" si="37"/>
        <v>10/18/2017</v>
      </c>
      <c r="G2317" t="str">
        <f>VLOOKUP(A2317,inf!$D$2:$E$76,2,FALSE)</f>
        <v>Other</v>
      </c>
    </row>
    <row r="2318" spans="1:7" x14ac:dyDescent="0.25">
      <c r="A2318" t="s">
        <v>54</v>
      </c>
      <c r="B2318" s="1">
        <v>43026</v>
      </c>
      <c r="C2318" t="s">
        <v>57</v>
      </c>
      <c r="D2318" s="4">
        <v>122.72</v>
      </c>
      <c r="E2318" s="12" t="str">
        <f>VLOOKUP(C2318,inf!$A$2:$B$7,2,FALSE)</f>
        <v>31 to 60</v>
      </c>
      <c r="F2318" s="12" t="str">
        <f t="shared" si="37"/>
        <v>10/18/2017</v>
      </c>
      <c r="G2318" t="str">
        <f>VLOOKUP(A2318,inf!$D$2:$E$76,2,FALSE)</f>
        <v>Other</v>
      </c>
    </row>
    <row r="2319" spans="1:7" x14ac:dyDescent="0.25">
      <c r="A2319" t="s">
        <v>28</v>
      </c>
      <c r="B2319" s="1">
        <v>43026</v>
      </c>
      <c r="C2319" t="s">
        <v>55</v>
      </c>
      <c r="D2319" s="4">
        <v>3595.83</v>
      </c>
      <c r="E2319" s="12" t="str">
        <f>VLOOKUP(C2319,inf!$A$2:$B$7,2,FALSE)</f>
        <v>Current</v>
      </c>
      <c r="F2319" s="12" t="str">
        <f t="shared" si="37"/>
        <v>10/18/2017</v>
      </c>
      <c r="G2319" t="str">
        <f>VLOOKUP(A2319,inf!$D$2:$E$76,2,FALSE)</f>
        <v>Other</v>
      </c>
    </row>
    <row r="2320" spans="1:7" x14ac:dyDescent="0.25">
      <c r="A2320" t="s">
        <v>28</v>
      </c>
      <c r="B2320" s="1">
        <v>43026</v>
      </c>
      <c r="C2320" t="s">
        <v>56</v>
      </c>
      <c r="D2320" s="4">
        <v>682.55</v>
      </c>
      <c r="E2320" s="12" t="str">
        <f>VLOOKUP(C2320,inf!$A$2:$B$7,2,FALSE)</f>
        <v>Current</v>
      </c>
      <c r="F2320" s="12" t="str">
        <f t="shared" si="37"/>
        <v>10/18/2017</v>
      </c>
      <c r="G2320" t="str">
        <f>VLOOKUP(A2320,inf!$D$2:$E$76,2,FALSE)</f>
        <v>Other</v>
      </c>
    </row>
    <row r="2321" spans="1:7" x14ac:dyDescent="0.25">
      <c r="A2321" t="s">
        <v>28</v>
      </c>
      <c r="B2321" s="1">
        <v>43026</v>
      </c>
      <c r="C2321" t="s">
        <v>60</v>
      </c>
      <c r="D2321" s="4">
        <v>187.75</v>
      </c>
      <c r="E2321" s="12" t="str">
        <f>VLOOKUP(C2321,inf!$A$2:$B$7,2,FALSE)</f>
        <v>Over 90</v>
      </c>
      <c r="F2321" s="12" t="str">
        <f t="shared" si="37"/>
        <v>10/18/2017</v>
      </c>
      <c r="G2321" t="str">
        <f>VLOOKUP(A2321,inf!$D$2:$E$76,2,FALSE)</f>
        <v>Other</v>
      </c>
    </row>
    <row r="2322" spans="1:7" x14ac:dyDescent="0.25">
      <c r="A2322" t="s">
        <v>15</v>
      </c>
      <c r="B2322" s="1">
        <v>43026</v>
      </c>
      <c r="C2322" t="s">
        <v>55</v>
      </c>
      <c r="D2322" s="4">
        <v>1150.5900000000001</v>
      </c>
      <c r="E2322" s="12" t="str">
        <f>VLOOKUP(C2322,inf!$A$2:$B$7,2,FALSE)</f>
        <v>Current</v>
      </c>
      <c r="F2322" s="12" t="str">
        <f t="shared" si="37"/>
        <v>10/18/2017</v>
      </c>
      <c r="G2322" t="str">
        <f>VLOOKUP(A2322,inf!$D$2:$E$76,2,FALSE)</f>
        <v>Other</v>
      </c>
    </row>
    <row r="2323" spans="1:7" x14ac:dyDescent="0.25">
      <c r="A2323" t="s">
        <v>15</v>
      </c>
      <c r="B2323" s="1">
        <v>43026</v>
      </c>
      <c r="C2323" t="s">
        <v>58</v>
      </c>
      <c r="D2323" s="4">
        <v>291.60000000000002</v>
      </c>
      <c r="E2323" s="12" t="str">
        <f>VLOOKUP(C2323,inf!$A$2:$B$7,2,FALSE)</f>
        <v>61 to 90</v>
      </c>
      <c r="F2323" s="12" t="str">
        <f t="shared" si="37"/>
        <v>10/18/2017</v>
      </c>
      <c r="G2323" t="str">
        <f>VLOOKUP(A2323,inf!$D$2:$E$76,2,FALSE)</f>
        <v>Other</v>
      </c>
    </row>
    <row r="2324" spans="1:7" x14ac:dyDescent="0.25">
      <c r="A2324" t="s">
        <v>61</v>
      </c>
      <c r="B2324" s="1">
        <v>43033</v>
      </c>
      <c r="C2324" t="s">
        <v>58</v>
      </c>
      <c r="D2324" s="4">
        <v>295.32</v>
      </c>
      <c r="E2324" s="12" t="str">
        <f>VLOOKUP(C2324,inf!$A$2:$B$7,2,FALSE)</f>
        <v>61 to 90</v>
      </c>
      <c r="F2324" s="12" t="str">
        <f t="shared" si="37"/>
        <v>10/25/2017</v>
      </c>
      <c r="G2324" t="str">
        <f>VLOOKUP(A2324,inf!$D$2:$E$76,2,FALSE)</f>
        <v>Other</v>
      </c>
    </row>
    <row r="2325" spans="1:7" x14ac:dyDescent="0.25">
      <c r="A2325" t="s">
        <v>4</v>
      </c>
      <c r="B2325" s="1">
        <v>43033</v>
      </c>
      <c r="C2325" t="s">
        <v>55</v>
      </c>
      <c r="D2325" s="4">
        <v>4789.4699999999993</v>
      </c>
      <c r="E2325" s="12" t="str">
        <f>VLOOKUP(C2325,inf!$A$2:$B$7,2,FALSE)</f>
        <v>Current</v>
      </c>
      <c r="F2325" s="12" t="str">
        <f t="shared" si="37"/>
        <v>10/25/2017</v>
      </c>
      <c r="G2325" t="str">
        <f>VLOOKUP(A2325,inf!$D$2:$E$76,2,FALSE)</f>
        <v>Other</v>
      </c>
    </row>
    <row r="2326" spans="1:7" x14ac:dyDescent="0.25">
      <c r="A2326" t="s">
        <v>26</v>
      </c>
      <c r="B2326" s="1">
        <v>43033</v>
      </c>
      <c r="C2326" t="s">
        <v>60</v>
      </c>
      <c r="D2326" s="4">
        <v>1380.77</v>
      </c>
      <c r="E2326" s="12" t="str">
        <f>VLOOKUP(C2326,inf!$A$2:$B$7,2,FALSE)</f>
        <v>Over 90</v>
      </c>
      <c r="F2326" s="12" t="str">
        <f t="shared" si="37"/>
        <v>10/25/2017</v>
      </c>
      <c r="G2326" t="str">
        <f>VLOOKUP(A2326,inf!$D$2:$E$76,2,FALSE)</f>
        <v>Other</v>
      </c>
    </row>
    <row r="2327" spans="1:7" x14ac:dyDescent="0.25">
      <c r="A2327" t="s">
        <v>2</v>
      </c>
      <c r="B2327" s="1">
        <v>43033</v>
      </c>
      <c r="C2327" t="s">
        <v>60</v>
      </c>
      <c r="D2327" s="4">
        <v>6040.4899999999989</v>
      </c>
      <c r="E2327" s="12" t="str">
        <f>VLOOKUP(C2327,inf!$A$2:$B$7,2,FALSE)</f>
        <v>Over 90</v>
      </c>
      <c r="F2327" s="12" t="str">
        <f t="shared" si="37"/>
        <v>10/25/2017</v>
      </c>
      <c r="G2327" t="str">
        <f>VLOOKUP(A2327,inf!$D$2:$E$76,2,FALSE)</f>
        <v>Other</v>
      </c>
    </row>
    <row r="2328" spans="1:7" x14ac:dyDescent="0.25">
      <c r="A2328" t="s">
        <v>32</v>
      </c>
      <c r="B2328" s="1">
        <v>43033</v>
      </c>
      <c r="C2328" t="s">
        <v>55</v>
      </c>
      <c r="D2328" s="4">
        <v>408.14</v>
      </c>
      <c r="E2328" s="12" t="str">
        <f>VLOOKUP(C2328,inf!$A$2:$B$7,2,FALSE)</f>
        <v>Current</v>
      </c>
      <c r="F2328" s="12" t="str">
        <f t="shared" si="37"/>
        <v>10/25/2017</v>
      </c>
      <c r="G2328" t="str">
        <f>VLOOKUP(A2328,inf!$D$2:$E$76,2,FALSE)</f>
        <v>Other</v>
      </c>
    </row>
    <row r="2329" spans="1:7" x14ac:dyDescent="0.25">
      <c r="A2329" t="s">
        <v>25</v>
      </c>
      <c r="B2329" s="1">
        <v>43033</v>
      </c>
      <c r="C2329" t="s">
        <v>55</v>
      </c>
      <c r="D2329" s="4">
        <v>615.65000000000009</v>
      </c>
      <c r="E2329" s="12" t="str">
        <f>VLOOKUP(C2329,inf!$A$2:$B$7,2,FALSE)</f>
        <v>Current</v>
      </c>
      <c r="F2329" s="12" t="str">
        <f t="shared" si="37"/>
        <v>10/25/2017</v>
      </c>
      <c r="G2329" t="str">
        <f>VLOOKUP(A2329,inf!$D$2:$E$76,2,FALSE)</f>
        <v>Other</v>
      </c>
    </row>
    <row r="2330" spans="1:7" x14ac:dyDescent="0.25">
      <c r="A2330" t="s">
        <v>31</v>
      </c>
      <c r="B2330" s="1">
        <v>43033</v>
      </c>
      <c r="C2330" t="s">
        <v>55</v>
      </c>
      <c r="D2330" s="4">
        <v>571.08000000000004</v>
      </c>
      <c r="E2330" s="12" t="str">
        <f>VLOOKUP(C2330,inf!$A$2:$B$7,2,FALSE)</f>
        <v>Current</v>
      </c>
      <c r="F2330" s="12" t="str">
        <f t="shared" si="37"/>
        <v>10/25/2017</v>
      </c>
      <c r="G2330" t="str">
        <f>VLOOKUP(A2330,inf!$D$2:$E$76,2,FALSE)</f>
        <v>Other</v>
      </c>
    </row>
    <row r="2331" spans="1:7" x14ac:dyDescent="0.25">
      <c r="A2331" t="s">
        <v>31</v>
      </c>
      <c r="B2331" s="1">
        <v>43033</v>
      </c>
      <c r="C2331" t="s">
        <v>56</v>
      </c>
      <c r="D2331" s="4">
        <v>539.82999999999993</v>
      </c>
      <c r="E2331" s="12" t="str">
        <f>VLOOKUP(C2331,inf!$A$2:$B$7,2,FALSE)</f>
        <v>Current</v>
      </c>
      <c r="F2331" s="12" t="str">
        <f t="shared" si="37"/>
        <v>10/25/2017</v>
      </c>
      <c r="G2331" t="str">
        <f>VLOOKUP(A2331,inf!$D$2:$E$76,2,FALSE)</f>
        <v>Other</v>
      </c>
    </row>
    <row r="2332" spans="1:7" x14ac:dyDescent="0.25">
      <c r="A2332" t="s">
        <v>31</v>
      </c>
      <c r="B2332" s="1">
        <v>43033</v>
      </c>
      <c r="C2332" t="s">
        <v>57</v>
      </c>
      <c r="D2332" s="4">
        <v>153.15</v>
      </c>
      <c r="E2332" s="12" t="str">
        <f>VLOOKUP(C2332,inf!$A$2:$B$7,2,FALSE)</f>
        <v>31 to 60</v>
      </c>
      <c r="F2332" s="12" t="str">
        <f t="shared" si="37"/>
        <v>10/25/2017</v>
      </c>
      <c r="G2332" t="str">
        <f>VLOOKUP(A2332,inf!$D$2:$E$76,2,FALSE)</f>
        <v>Other</v>
      </c>
    </row>
    <row r="2333" spans="1:7" x14ac:dyDescent="0.25">
      <c r="A2333" t="s">
        <v>31</v>
      </c>
      <c r="B2333" s="1">
        <v>43033</v>
      </c>
      <c r="C2333" t="s">
        <v>58</v>
      </c>
      <c r="D2333" s="4">
        <v>143.56</v>
      </c>
      <c r="E2333" s="12" t="str">
        <f>VLOOKUP(C2333,inf!$A$2:$B$7,2,FALSE)</f>
        <v>61 to 90</v>
      </c>
      <c r="F2333" s="12" t="str">
        <f t="shared" si="37"/>
        <v>10/25/2017</v>
      </c>
      <c r="G2333" t="str">
        <f>VLOOKUP(A2333,inf!$D$2:$E$76,2,FALSE)</f>
        <v>Other</v>
      </c>
    </row>
    <row r="2334" spans="1:7" x14ac:dyDescent="0.25">
      <c r="A2334" t="s">
        <v>24</v>
      </c>
      <c r="B2334" s="1">
        <v>43033</v>
      </c>
      <c r="C2334" t="s">
        <v>55</v>
      </c>
      <c r="D2334" s="4">
        <v>242.53</v>
      </c>
      <c r="E2334" s="12" t="str">
        <f>VLOOKUP(C2334,inf!$A$2:$B$7,2,FALSE)</f>
        <v>Current</v>
      </c>
      <c r="F2334" s="12" t="str">
        <f t="shared" si="37"/>
        <v>10/25/2017</v>
      </c>
      <c r="G2334" t="str">
        <f>VLOOKUP(A2334,inf!$D$2:$E$76,2,FALSE)</f>
        <v>Other</v>
      </c>
    </row>
    <row r="2335" spans="1:7" x14ac:dyDescent="0.25">
      <c r="A2335" t="s">
        <v>24</v>
      </c>
      <c r="B2335" s="1">
        <v>43033</v>
      </c>
      <c r="C2335" t="s">
        <v>56</v>
      </c>
      <c r="D2335" s="4">
        <v>172.28</v>
      </c>
      <c r="E2335" s="12" t="str">
        <f>VLOOKUP(C2335,inf!$A$2:$B$7,2,FALSE)</f>
        <v>Current</v>
      </c>
      <c r="F2335" s="12" t="str">
        <f t="shared" si="37"/>
        <v>10/25/2017</v>
      </c>
      <c r="G2335" t="str">
        <f>VLOOKUP(A2335,inf!$D$2:$E$76,2,FALSE)</f>
        <v>Other</v>
      </c>
    </row>
    <row r="2336" spans="1:7" x14ac:dyDescent="0.25">
      <c r="A2336" t="s">
        <v>62</v>
      </c>
      <c r="B2336" s="1">
        <v>43033</v>
      </c>
      <c r="C2336" t="s">
        <v>56</v>
      </c>
      <c r="D2336" s="4">
        <v>229.7</v>
      </c>
      <c r="E2336" s="12" t="str">
        <f>VLOOKUP(C2336,inf!$A$2:$B$7,2,FALSE)</f>
        <v>Current</v>
      </c>
      <c r="F2336" s="12" t="str">
        <f t="shared" si="37"/>
        <v>10/25/2017</v>
      </c>
      <c r="G2336" t="str">
        <f>VLOOKUP(A2336,inf!$D$2:$E$76,2,FALSE)</f>
        <v>Other</v>
      </c>
    </row>
    <row r="2337" spans="1:7" x14ac:dyDescent="0.25">
      <c r="A2337" t="s">
        <v>62</v>
      </c>
      <c r="B2337" s="1">
        <v>43033</v>
      </c>
      <c r="C2337" t="s">
        <v>57</v>
      </c>
      <c r="D2337" s="4">
        <v>241.51</v>
      </c>
      <c r="E2337" s="12" t="str">
        <f>VLOOKUP(C2337,inf!$A$2:$B$7,2,FALSE)</f>
        <v>31 to 60</v>
      </c>
      <c r="F2337" s="12" t="str">
        <f t="shared" si="37"/>
        <v>10/25/2017</v>
      </c>
      <c r="G2337" t="str">
        <f>VLOOKUP(A2337,inf!$D$2:$E$76,2,FALSE)</f>
        <v>Other</v>
      </c>
    </row>
    <row r="2338" spans="1:7" x14ac:dyDescent="0.25">
      <c r="A2338" t="s">
        <v>21</v>
      </c>
      <c r="B2338" s="1">
        <v>43033</v>
      </c>
      <c r="C2338" t="s">
        <v>55</v>
      </c>
      <c r="D2338" s="4">
        <v>172.28</v>
      </c>
      <c r="E2338" s="12" t="str">
        <f>VLOOKUP(C2338,inf!$A$2:$B$7,2,FALSE)</f>
        <v>Current</v>
      </c>
      <c r="F2338" s="12" t="str">
        <f t="shared" si="37"/>
        <v>10/25/2017</v>
      </c>
      <c r="G2338" t="str">
        <f>VLOOKUP(A2338,inf!$D$2:$E$76,2,FALSE)</f>
        <v>Other</v>
      </c>
    </row>
    <row r="2339" spans="1:7" x14ac:dyDescent="0.25">
      <c r="A2339" t="s">
        <v>3</v>
      </c>
      <c r="B2339" s="1">
        <v>43033</v>
      </c>
      <c r="C2339" t="s">
        <v>55</v>
      </c>
      <c r="D2339" s="4">
        <v>2420.7799999999997</v>
      </c>
      <c r="E2339" s="12" t="str">
        <f>VLOOKUP(C2339,inf!$A$2:$B$7,2,FALSE)</f>
        <v>Current</v>
      </c>
      <c r="F2339" s="12" t="str">
        <f t="shared" si="37"/>
        <v>10/25/2017</v>
      </c>
      <c r="G2339" t="str">
        <f>VLOOKUP(A2339,inf!$D$2:$E$76,2,FALSE)</f>
        <v>Other</v>
      </c>
    </row>
    <row r="2340" spans="1:7" x14ac:dyDescent="0.25">
      <c r="A2340" t="s">
        <v>3</v>
      </c>
      <c r="B2340" s="1">
        <v>43033</v>
      </c>
      <c r="C2340" t="s">
        <v>56</v>
      </c>
      <c r="D2340" s="4">
        <v>130.16</v>
      </c>
      <c r="E2340" s="12" t="str">
        <f>VLOOKUP(C2340,inf!$A$2:$B$7,2,FALSE)</f>
        <v>Current</v>
      </c>
      <c r="F2340" s="12" t="str">
        <f t="shared" si="37"/>
        <v>10/25/2017</v>
      </c>
      <c r="G2340" t="str">
        <f>VLOOKUP(A2340,inf!$D$2:$E$76,2,FALSE)</f>
        <v>Other</v>
      </c>
    </row>
    <row r="2341" spans="1:7" x14ac:dyDescent="0.25">
      <c r="A2341" t="s">
        <v>3</v>
      </c>
      <c r="B2341" s="1">
        <v>43033</v>
      </c>
      <c r="C2341" t="s">
        <v>57</v>
      </c>
      <c r="D2341" s="4">
        <v>67.66</v>
      </c>
      <c r="E2341" s="12" t="str">
        <f>VLOOKUP(C2341,inf!$A$2:$B$7,2,FALSE)</f>
        <v>31 to 60</v>
      </c>
      <c r="F2341" s="12" t="str">
        <f t="shared" si="37"/>
        <v>10/25/2017</v>
      </c>
      <c r="G2341" t="str">
        <f>VLOOKUP(A2341,inf!$D$2:$E$76,2,FALSE)</f>
        <v>Other</v>
      </c>
    </row>
    <row r="2342" spans="1:7" x14ac:dyDescent="0.25">
      <c r="A2342" t="s">
        <v>30</v>
      </c>
      <c r="B2342" s="1">
        <v>43033</v>
      </c>
      <c r="C2342" t="s">
        <v>55</v>
      </c>
      <c r="D2342" s="4">
        <v>1789.9499999999998</v>
      </c>
      <c r="E2342" s="12" t="str">
        <f>VLOOKUP(C2342,inf!$A$2:$B$7,2,FALSE)</f>
        <v>Current</v>
      </c>
      <c r="F2342" s="12" t="str">
        <f t="shared" si="37"/>
        <v>10/25/2017</v>
      </c>
      <c r="G2342" t="str">
        <f>VLOOKUP(A2342,inf!$D$2:$E$76,2,FALSE)</f>
        <v>Other</v>
      </c>
    </row>
    <row r="2343" spans="1:7" x14ac:dyDescent="0.25">
      <c r="A2343" t="s">
        <v>30</v>
      </c>
      <c r="B2343" s="1">
        <v>43033</v>
      </c>
      <c r="C2343" t="s">
        <v>56</v>
      </c>
      <c r="D2343" s="4">
        <v>687.36</v>
      </c>
      <c r="E2343" s="12" t="str">
        <f>VLOOKUP(C2343,inf!$A$2:$B$7,2,FALSE)</f>
        <v>Current</v>
      </c>
      <c r="F2343" s="12" t="str">
        <f t="shared" si="37"/>
        <v>10/25/2017</v>
      </c>
      <c r="G2343" t="str">
        <f>VLOOKUP(A2343,inf!$D$2:$E$76,2,FALSE)</f>
        <v>Other</v>
      </c>
    </row>
    <row r="2344" spans="1:7" x14ac:dyDescent="0.25">
      <c r="A2344" t="s">
        <v>30</v>
      </c>
      <c r="B2344" s="1">
        <v>43033</v>
      </c>
      <c r="C2344" t="s">
        <v>57</v>
      </c>
      <c r="D2344" s="4">
        <v>1608.51</v>
      </c>
      <c r="E2344" s="12" t="str">
        <f>VLOOKUP(C2344,inf!$A$2:$B$7,2,FALSE)</f>
        <v>31 to 60</v>
      </c>
      <c r="F2344" s="12" t="str">
        <f t="shared" si="37"/>
        <v>10/25/2017</v>
      </c>
      <c r="G2344" t="str">
        <f>VLOOKUP(A2344,inf!$D$2:$E$76,2,FALSE)</f>
        <v>Other</v>
      </c>
    </row>
    <row r="2345" spans="1:7" x14ac:dyDescent="0.25">
      <c r="A2345" t="s">
        <v>63</v>
      </c>
      <c r="B2345" s="1">
        <v>43033</v>
      </c>
      <c r="C2345" t="s">
        <v>57</v>
      </c>
      <c r="D2345" s="4">
        <v>170.49</v>
      </c>
      <c r="E2345" s="12" t="str">
        <f>VLOOKUP(C2345,inf!$A$2:$B$7,2,FALSE)</f>
        <v>31 to 60</v>
      </c>
      <c r="F2345" s="12" t="str">
        <f t="shared" si="37"/>
        <v>10/25/2017</v>
      </c>
      <c r="G2345" t="str">
        <f>VLOOKUP(A2345,inf!$D$2:$E$76,2,FALSE)</f>
        <v>Other</v>
      </c>
    </row>
    <row r="2346" spans="1:7" x14ac:dyDescent="0.25">
      <c r="A2346" t="s">
        <v>12</v>
      </c>
      <c r="B2346" s="1">
        <v>43033</v>
      </c>
      <c r="C2346" t="s">
        <v>55</v>
      </c>
      <c r="D2346" s="4">
        <v>755.04</v>
      </c>
      <c r="E2346" s="12" t="str">
        <f>VLOOKUP(C2346,inf!$A$2:$B$7,2,FALSE)</f>
        <v>Current</v>
      </c>
      <c r="F2346" s="12" t="str">
        <f t="shared" si="37"/>
        <v>10/25/2017</v>
      </c>
      <c r="G2346" t="str">
        <f>VLOOKUP(A2346,inf!$D$2:$E$76,2,FALSE)</f>
        <v>Other</v>
      </c>
    </row>
    <row r="2347" spans="1:7" x14ac:dyDescent="0.25">
      <c r="A2347" t="s">
        <v>12</v>
      </c>
      <c r="B2347" s="1">
        <v>43033</v>
      </c>
      <c r="C2347" t="s">
        <v>56</v>
      </c>
      <c r="D2347" s="4">
        <v>482.01</v>
      </c>
      <c r="E2347" s="12" t="str">
        <f>VLOOKUP(C2347,inf!$A$2:$B$7,2,FALSE)</f>
        <v>Current</v>
      </c>
      <c r="F2347" s="12" t="str">
        <f t="shared" si="37"/>
        <v>10/25/2017</v>
      </c>
      <c r="G2347" t="str">
        <f>VLOOKUP(A2347,inf!$D$2:$E$76,2,FALSE)</f>
        <v>Other</v>
      </c>
    </row>
    <row r="2348" spans="1:7" x14ac:dyDescent="0.25">
      <c r="A2348" t="s">
        <v>12</v>
      </c>
      <c r="B2348" s="1">
        <v>43033</v>
      </c>
      <c r="C2348" t="s">
        <v>60</v>
      </c>
      <c r="D2348" s="4">
        <v>394.94</v>
      </c>
      <c r="E2348" s="12" t="str">
        <f>VLOOKUP(C2348,inf!$A$2:$B$7,2,FALSE)</f>
        <v>Over 90</v>
      </c>
      <c r="F2348" s="12" t="str">
        <f t="shared" si="37"/>
        <v>10/25/2017</v>
      </c>
      <c r="G2348" t="str">
        <f>VLOOKUP(A2348,inf!$D$2:$E$76,2,FALSE)</f>
        <v>Other</v>
      </c>
    </row>
    <row r="2349" spans="1:7" x14ac:dyDescent="0.25">
      <c r="A2349" t="s">
        <v>50</v>
      </c>
      <c r="B2349" s="1">
        <v>43033</v>
      </c>
      <c r="C2349" t="s">
        <v>55</v>
      </c>
      <c r="D2349" s="4">
        <v>202.62</v>
      </c>
      <c r="E2349" s="12" t="str">
        <f>VLOOKUP(C2349,inf!$A$2:$B$7,2,FALSE)</f>
        <v>Current</v>
      </c>
      <c r="F2349" s="12" t="str">
        <f t="shared" si="37"/>
        <v>10/25/2017</v>
      </c>
      <c r="G2349" t="str">
        <f>VLOOKUP(A2349,inf!$D$2:$E$76,2,FALSE)</f>
        <v>Other</v>
      </c>
    </row>
    <row r="2350" spans="1:7" x14ac:dyDescent="0.25">
      <c r="A2350" t="s">
        <v>50</v>
      </c>
      <c r="B2350" s="1">
        <v>43033</v>
      </c>
      <c r="C2350" t="s">
        <v>56</v>
      </c>
      <c r="D2350" s="4">
        <v>495.71</v>
      </c>
      <c r="E2350" s="12" t="str">
        <f>VLOOKUP(C2350,inf!$A$2:$B$7,2,FALSE)</f>
        <v>Current</v>
      </c>
      <c r="F2350" s="12" t="str">
        <f t="shared" si="37"/>
        <v>10/25/2017</v>
      </c>
      <c r="G2350" t="str">
        <f>VLOOKUP(A2350,inf!$D$2:$E$76,2,FALSE)</f>
        <v>Other</v>
      </c>
    </row>
    <row r="2351" spans="1:7" x14ac:dyDescent="0.25">
      <c r="A2351" t="s">
        <v>23</v>
      </c>
      <c r="B2351" s="1">
        <v>43033</v>
      </c>
      <c r="C2351" t="s">
        <v>55</v>
      </c>
      <c r="D2351" s="4">
        <v>365.46000000000004</v>
      </c>
      <c r="E2351" s="12" t="str">
        <f>VLOOKUP(C2351,inf!$A$2:$B$7,2,FALSE)</f>
        <v>Current</v>
      </c>
      <c r="F2351" s="12" t="str">
        <f t="shared" si="37"/>
        <v>10/25/2017</v>
      </c>
      <c r="G2351" t="str">
        <f>VLOOKUP(A2351,inf!$D$2:$E$76,2,FALSE)</f>
        <v>Other</v>
      </c>
    </row>
    <row r="2352" spans="1:7" x14ac:dyDescent="0.25">
      <c r="A2352" t="s">
        <v>7</v>
      </c>
      <c r="B2352" s="1">
        <v>43033</v>
      </c>
      <c r="C2352" t="s">
        <v>55</v>
      </c>
      <c r="D2352" s="4">
        <v>85250.079999999973</v>
      </c>
      <c r="E2352" s="12" t="str">
        <f>VLOOKUP(C2352,inf!$A$2:$B$7,2,FALSE)</f>
        <v>Current</v>
      </c>
      <c r="F2352" s="12" t="str">
        <f t="shared" si="37"/>
        <v>10/25/2017</v>
      </c>
      <c r="G2352" t="str">
        <f>VLOOKUP(A2352,inf!$D$2:$E$76,2,FALSE)</f>
        <v>SAFEWAY</v>
      </c>
    </row>
    <row r="2353" spans="1:7" x14ac:dyDescent="0.25">
      <c r="A2353" t="s">
        <v>7</v>
      </c>
      <c r="B2353" s="1">
        <v>43033</v>
      </c>
      <c r="C2353" t="s">
        <v>56</v>
      </c>
      <c r="D2353" s="4">
        <v>34799.919999999991</v>
      </c>
      <c r="E2353" s="12" t="str">
        <f>VLOOKUP(C2353,inf!$A$2:$B$7,2,FALSE)</f>
        <v>Current</v>
      </c>
      <c r="F2353" s="12" t="str">
        <f t="shared" si="37"/>
        <v>10/25/2017</v>
      </c>
      <c r="G2353" t="str">
        <f>VLOOKUP(A2353,inf!$D$2:$E$76,2,FALSE)</f>
        <v>SAFEWAY</v>
      </c>
    </row>
    <row r="2354" spans="1:7" x14ac:dyDescent="0.25">
      <c r="A2354" t="s">
        <v>7</v>
      </c>
      <c r="B2354" s="1">
        <v>43033</v>
      </c>
      <c r="C2354" t="s">
        <v>57</v>
      </c>
      <c r="D2354" s="4">
        <v>3267.9999999999995</v>
      </c>
      <c r="E2354" s="12" t="str">
        <f>VLOOKUP(C2354,inf!$A$2:$B$7,2,FALSE)</f>
        <v>31 to 60</v>
      </c>
      <c r="F2354" s="12" t="str">
        <f t="shared" si="37"/>
        <v>10/25/2017</v>
      </c>
      <c r="G2354" t="str">
        <f>VLOOKUP(A2354,inf!$D$2:$E$76,2,FALSE)</f>
        <v>SAFEWAY</v>
      </c>
    </row>
    <row r="2355" spans="1:7" x14ac:dyDescent="0.25">
      <c r="A2355" t="s">
        <v>7</v>
      </c>
      <c r="B2355" s="1">
        <v>43033</v>
      </c>
      <c r="C2355" t="s">
        <v>58</v>
      </c>
      <c r="D2355" s="4">
        <v>1118.53</v>
      </c>
      <c r="E2355" s="12" t="str">
        <f>VLOOKUP(C2355,inf!$A$2:$B$7,2,FALSE)</f>
        <v>61 to 90</v>
      </c>
      <c r="F2355" s="12" t="str">
        <f t="shared" si="37"/>
        <v>10/25/2017</v>
      </c>
      <c r="G2355" t="str">
        <f>VLOOKUP(A2355,inf!$D$2:$E$76,2,FALSE)</f>
        <v>SAFEWAY</v>
      </c>
    </row>
    <row r="2356" spans="1:7" x14ac:dyDescent="0.25">
      <c r="A2356" t="s">
        <v>7</v>
      </c>
      <c r="B2356" s="1">
        <v>43033</v>
      </c>
      <c r="C2356" t="s">
        <v>60</v>
      </c>
      <c r="D2356" s="4">
        <v>564.11</v>
      </c>
      <c r="E2356" s="12" t="str">
        <f>VLOOKUP(C2356,inf!$A$2:$B$7,2,FALSE)</f>
        <v>Over 90</v>
      </c>
      <c r="F2356" s="12" t="str">
        <f t="shared" si="37"/>
        <v>10/25/2017</v>
      </c>
      <c r="G2356" t="str">
        <f>VLOOKUP(A2356,inf!$D$2:$E$76,2,FALSE)</f>
        <v>SAFEWAY</v>
      </c>
    </row>
    <row r="2357" spans="1:7" x14ac:dyDescent="0.25">
      <c r="A2357" t="s">
        <v>74</v>
      </c>
      <c r="B2357" s="1">
        <v>43033</v>
      </c>
      <c r="C2357" t="s">
        <v>56</v>
      </c>
      <c r="D2357" s="4">
        <v>742.26</v>
      </c>
      <c r="E2357" s="12" t="str">
        <f>VLOOKUP(C2357,inf!$A$2:$B$7,2,FALSE)</f>
        <v>Current</v>
      </c>
      <c r="F2357" s="12" t="str">
        <f t="shared" si="37"/>
        <v>10/25/2017</v>
      </c>
      <c r="G2357" t="str">
        <f>VLOOKUP(A2357,inf!$D$2:$E$76,2,FALSE)</f>
        <v>Other</v>
      </c>
    </row>
    <row r="2358" spans="1:7" x14ac:dyDescent="0.25">
      <c r="A2358" t="s">
        <v>72</v>
      </c>
      <c r="B2358" s="1">
        <v>43033</v>
      </c>
      <c r="C2358" t="s">
        <v>55</v>
      </c>
      <c r="D2358" s="4">
        <v>292.45999999999998</v>
      </c>
      <c r="E2358" s="12" t="str">
        <f>VLOOKUP(C2358,inf!$A$2:$B$7,2,FALSE)</f>
        <v>Current</v>
      </c>
      <c r="F2358" s="12" t="str">
        <f t="shared" si="37"/>
        <v>10/25/2017</v>
      </c>
      <c r="G2358" t="str">
        <f>VLOOKUP(A2358,inf!$D$2:$E$76,2,FALSE)</f>
        <v>Other</v>
      </c>
    </row>
    <row r="2359" spans="1:7" x14ac:dyDescent="0.25">
      <c r="A2359" t="s">
        <v>5</v>
      </c>
      <c r="B2359" s="1">
        <v>43033</v>
      </c>
      <c r="C2359" t="s">
        <v>55</v>
      </c>
      <c r="D2359" s="4">
        <v>5726500.5299998019</v>
      </c>
      <c r="E2359" s="12" t="str">
        <f>VLOOKUP(C2359,inf!$A$2:$B$7,2,FALSE)</f>
        <v>Current</v>
      </c>
      <c r="F2359" s="12" t="str">
        <f t="shared" si="37"/>
        <v>10/25/2017</v>
      </c>
      <c r="G2359" t="str">
        <f>VLOOKUP(A2359,inf!$D$2:$E$76,2,FALSE)</f>
        <v>SBUX</v>
      </c>
    </row>
    <row r="2360" spans="1:7" x14ac:dyDescent="0.25">
      <c r="A2360" t="s">
        <v>5</v>
      </c>
      <c r="B2360" s="1">
        <v>43033</v>
      </c>
      <c r="C2360" t="s">
        <v>56</v>
      </c>
      <c r="D2360" s="4">
        <v>32557.349999999995</v>
      </c>
      <c r="E2360" s="12" t="str">
        <f>VLOOKUP(C2360,inf!$A$2:$B$7,2,FALSE)</f>
        <v>Current</v>
      </c>
      <c r="F2360" s="12" t="str">
        <f t="shared" si="37"/>
        <v>10/25/2017</v>
      </c>
      <c r="G2360" t="str">
        <f>VLOOKUP(A2360,inf!$D$2:$E$76,2,FALSE)</f>
        <v>SBUX</v>
      </c>
    </row>
    <row r="2361" spans="1:7" x14ac:dyDescent="0.25">
      <c r="A2361" t="s">
        <v>5</v>
      </c>
      <c r="B2361" s="1">
        <v>43033</v>
      </c>
      <c r="C2361" t="s">
        <v>57</v>
      </c>
      <c r="D2361" s="4">
        <v>35775.250000000015</v>
      </c>
      <c r="E2361" s="12" t="str">
        <f>VLOOKUP(C2361,inf!$A$2:$B$7,2,FALSE)</f>
        <v>31 to 60</v>
      </c>
      <c r="F2361" s="12" t="str">
        <f t="shared" si="37"/>
        <v>10/25/2017</v>
      </c>
      <c r="G2361" t="str">
        <f>VLOOKUP(A2361,inf!$D$2:$E$76,2,FALSE)</f>
        <v>SBUX</v>
      </c>
    </row>
    <row r="2362" spans="1:7" x14ac:dyDescent="0.25">
      <c r="A2362" t="s">
        <v>5</v>
      </c>
      <c r="B2362" s="1">
        <v>43033</v>
      </c>
      <c r="C2362" t="s">
        <v>58</v>
      </c>
      <c r="D2362" s="4">
        <v>11019.83</v>
      </c>
      <c r="E2362" s="12" t="str">
        <f>VLOOKUP(C2362,inf!$A$2:$B$7,2,FALSE)</f>
        <v>61 to 90</v>
      </c>
      <c r="F2362" s="12" t="str">
        <f t="shared" si="37"/>
        <v>10/25/2017</v>
      </c>
      <c r="G2362" t="str">
        <f>VLOOKUP(A2362,inf!$D$2:$E$76,2,FALSE)</f>
        <v>SBUX</v>
      </c>
    </row>
    <row r="2363" spans="1:7" x14ac:dyDescent="0.25">
      <c r="A2363" t="s">
        <v>5</v>
      </c>
      <c r="B2363" s="1">
        <v>43033</v>
      </c>
      <c r="C2363" t="s">
        <v>59</v>
      </c>
      <c r="D2363" s="4">
        <v>24722.039999999994</v>
      </c>
      <c r="E2363" s="12" t="str">
        <f>VLOOKUP(C2363,inf!$A$2:$B$7,2,FALSE)</f>
        <v>Over 90</v>
      </c>
      <c r="F2363" s="12" t="str">
        <f t="shared" si="37"/>
        <v>10/25/2017</v>
      </c>
      <c r="G2363" t="str">
        <f>VLOOKUP(A2363,inf!$D$2:$E$76,2,FALSE)</f>
        <v>SBUX</v>
      </c>
    </row>
    <row r="2364" spans="1:7" x14ac:dyDescent="0.25">
      <c r="A2364" t="s">
        <v>5</v>
      </c>
      <c r="B2364" s="1">
        <v>43033</v>
      </c>
      <c r="C2364" t="s">
        <v>60</v>
      </c>
      <c r="D2364" s="4">
        <v>183804.58999999988</v>
      </c>
      <c r="E2364" s="12" t="str">
        <f>VLOOKUP(C2364,inf!$A$2:$B$7,2,FALSE)</f>
        <v>Over 90</v>
      </c>
      <c r="F2364" s="12" t="str">
        <f t="shared" si="37"/>
        <v>10/25/2017</v>
      </c>
      <c r="G2364" t="str">
        <f>VLOOKUP(A2364,inf!$D$2:$E$76,2,FALSE)</f>
        <v>SBUX</v>
      </c>
    </row>
    <row r="2365" spans="1:7" x14ac:dyDescent="0.25">
      <c r="A2365" t="s">
        <v>6</v>
      </c>
      <c r="B2365" s="1">
        <v>43033</v>
      </c>
      <c r="C2365" t="s">
        <v>55</v>
      </c>
      <c r="D2365" s="4">
        <v>433340.55999999936</v>
      </c>
      <c r="E2365" s="12" t="str">
        <f>VLOOKUP(C2365,inf!$A$2:$B$7,2,FALSE)</f>
        <v>Current</v>
      </c>
      <c r="F2365" s="12" t="str">
        <f t="shared" si="37"/>
        <v>10/25/2017</v>
      </c>
      <c r="G2365" t="str">
        <f>VLOOKUP(A2365,inf!$D$2:$E$76,2,FALSE)</f>
        <v>SBUX</v>
      </c>
    </row>
    <row r="2366" spans="1:7" x14ac:dyDescent="0.25">
      <c r="A2366" t="s">
        <v>6</v>
      </c>
      <c r="B2366" s="1">
        <v>43033</v>
      </c>
      <c r="C2366" t="s">
        <v>56</v>
      </c>
      <c r="D2366" s="4">
        <v>4860.2499999999991</v>
      </c>
      <c r="E2366" s="12" t="str">
        <f>VLOOKUP(C2366,inf!$A$2:$B$7,2,FALSE)</f>
        <v>Current</v>
      </c>
      <c r="F2366" s="12" t="str">
        <f t="shared" si="37"/>
        <v>10/25/2017</v>
      </c>
      <c r="G2366" t="str">
        <f>VLOOKUP(A2366,inf!$D$2:$E$76,2,FALSE)</f>
        <v>SBUX</v>
      </c>
    </row>
    <row r="2367" spans="1:7" x14ac:dyDescent="0.25">
      <c r="A2367" t="s">
        <v>6</v>
      </c>
      <c r="B2367" s="1">
        <v>43033</v>
      </c>
      <c r="C2367" t="s">
        <v>57</v>
      </c>
      <c r="D2367" s="4">
        <v>21592.110000000022</v>
      </c>
      <c r="E2367" s="12" t="str">
        <f>VLOOKUP(C2367,inf!$A$2:$B$7,2,FALSE)</f>
        <v>31 to 60</v>
      </c>
      <c r="F2367" s="12" t="str">
        <f t="shared" si="37"/>
        <v>10/25/2017</v>
      </c>
      <c r="G2367" t="str">
        <f>VLOOKUP(A2367,inf!$D$2:$E$76,2,FALSE)</f>
        <v>SBUX</v>
      </c>
    </row>
    <row r="2368" spans="1:7" x14ac:dyDescent="0.25">
      <c r="A2368" t="s">
        <v>6</v>
      </c>
      <c r="B2368" s="1">
        <v>43033</v>
      </c>
      <c r="C2368" t="s">
        <v>58</v>
      </c>
      <c r="D2368" s="4">
        <v>10996.31</v>
      </c>
      <c r="E2368" s="12" t="str">
        <f>VLOOKUP(C2368,inf!$A$2:$B$7,2,FALSE)</f>
        <v>61 to 90</v>
      </c>
      <c r="F2368" s="12" t="str">
        <f t="shared" si="37"/>
        <v>10/25/2017</v>
      </c>
      <c r="G2368" t="str">
        <f>VLOOKUP(A2368,inf!$D$2:$E$76,2,FALSE)</f>
        <v>SBUX</v>
      </c>
    </row>
    <row r="2369" spans="1:7" x14ac:dyDescent="0.25">
      <c r="A2369" t="s">
        <v>6</v>
      </c>
      <c r="B2369" s="1">
        <v>43033</v>
      </c>
      <c r="C2369" t="s">
        <v>59</v>
      </c>
      <c r="D2369" s="4">
        <v>203.74</v>
      </c>
      <c r="E2369" s="12" t="str">
        <f>VLOOKUP(C2369,inf!$A$2:$B$7,2,FALSE)</f>
        <v>Over 90</v>
      </c>
      <c r="F2369" s="12" t="str">
        <f t="shared" si="37"/>
        <v>10/25/2017</v>
      </c>
      <c r="G2369" t="str">
        <f>VLOOKUP(A2369,inf!$D$2:$E$76,2,FALSE)</f>
        <v>SBUX</v>
      </c>
    </row>
    <row r="2370" spans="1:7" x14ac:dyDescent="0.25">
      <c r="A2370" t="s">
        <v>6</v>
      </c>
      <c r="B2370" s="1">
        <v>43033</v>
      </c>
      <c r="C2370" t="s">
        <v>60</v>
      </c>
      <c r="D2370" s="4">
        <v>10832.310000000005</v>
      </c>
      <c r="E2370" s="12" t="str">
        <f>VLOOKUP(C2370,inf!$A$2:$B$7,2,FALSE)</f>
        <v>Over 90</v>
      </c>
      <c r="F2370" s="12" t="str">
        <f t="shared" si="37"/>
        <v>10/25/2017</v>
      </c>
      <c r="G2370" t="str">
        <f>VLOOKUP(A2370,inf!$D$2:$E$76,2,FALSE)</f>
        <v>SBUX</v>
      </c>
    </row>
    <row r="2371" spans="1:7" x14ac:dyDescent="0.25">
      <c r="A2371" t="s">
        <v>49</v>
      </c>
      <c r="B2371" s="1">
        <v>43033</v>
      </c>
      <c r="C2371" t="s">
        <v>59</v>
      </c>
      <c r="D2371" s="4">
        <v>150.36000000000001</v>
      </c>
      <c r="E2371" s="12" t="str">
        <f>VLOOKUP(C2371,inf!$A$2:$B$7,2,FALSE)</f>
        <v>Over 90</v>
      </c>
      <c r="F2371" s="12" t="str">
        <f t="shared" ref="F2371:F2434" si="38">TEXT(B2371,"MM/DD/YYYY")</f>
        <v>10/25/2017</v>
      </c>
      <c r="G2371" t="str">
        <f>VLOOKUP(A2371,inf!$D$2:$E$76,2,FALSE)</f>
        <v>Other</v>
      </c>
    </row>
    <row r="2372" spans="1:7" x14ac:dyDescent="0.25">
      <c r="A2372" t="s">
        <v>48</v>
      </c>
      <c r="B2372" s="1">
        <v>43033</v>
      </c>
      <c r="C2372" t="s">
        <v>55</v>
      </c>
      <c r="D2372" s="4">
        <v>271439.21000000008</v>
      </c>
      <c r="E2372" s="12" t="str">
        <f>VLOOKUP(C2372,inf!$A$2:$B$7,2,FALSE)</f>
        <v>Current</v>
      </c>
      <c r="F2372" s="12" t="str">
        <f t="shared" si="38"/>
        <v>10/25/2017</v>
      </c>
      <c r="G2372" t="str">
        <f>VLOOKUP(A2372,inf!$D$2:$E$76,2,FALSE)</f>
        <v>Target</v>
      </c>
    </row>
    <row r="2373" spans="1:7" x14ac:dyDescent="0.25">
      <c r="A2373" t="s">
        <v>48</v>
      </c>
      <c r="B2373" s="1">
        <v>43033</v>
      </c>
      <c r="C2373" t="s">
        <v>56</v>
      </c>
      <c r="D2373" s="4">
        <v>115532.99000000002</v>
      </c>
      <c r="E2373" s="12" t="str">
        <f>VLOOKUP(C2373,inf!$A$2:$B$7,2,FALSE)</f>
        <v>Current</v>
      </c>
      <c r="F2373" s="12" t="str">
        <f t="shared" si="38"/>
        <v>10/25/2017</v>
      </c>
      <c r="G2373" t="str">
        <f>VLOOKUP(A2373,inf!$D$2:$E$76,2,FALSE)</f>
        <v>Target</v>
      </c>
    </row>
    <row r="2374" spans="1:7" x14ac:dyDescent="0.25">
      <c r="A2374" t="s">
        <v>48</v>
      </c>
      <c r="B2374" s="1">
        <v>43033</v>
      </c>
      <c r="C2374" t="s">
        <v>57</v>
      </c>
      <c r="D2374" s="4">
        <v>20337.41</v>
      </c>
      <c r="E2374" s="12" t="str">
        <f>VLOOKUP(C2374,inf!$A$2:$B$7,2,FALSE)</f>
        <v>31 to 60</v>
      </c>
      <c r="F2374" s="12" t="str">
        <f t="shared" si="38"/>
        <v>10/25/2017</v>
      </c>
      <c r="G2374" t="str">
        <f>VLOOKUP(A2374,inf!$D$2:$E$76,2,FALSE)</f>
        <v>Target</v>
      </c>
    </row>
    <row r="2375" spans="1:7" x14ac:dyDescent="0.25">
      <c r="A2375" t="s">
        <v>48</v>
      </c>
      <c r="B2375" s="1">
        <v>43033</v>
      </c>
      <c r="C2375" t="s">
        <v>58</v>
      </c>
      <c r="D2375" s="4">
        <v>6027.49</v>
      </c>
      <c r="E2375" s="12" t="str">
        <f>VLOOKUP(C2375,inf!$A$2:$B$7,2,FALSE)</f>
        <v>61 to 90</v>
      </c>
      <c r="F2375" s="12" t="str">
        <f t="shared" si="38"/>
        <v>10/25/2017</v>
      </c>
      <c r="G2375" t="str">
        <f>VLOOKUP(A2375,inf!$D$2:$E$76,2,FALSE)</f>
        <v>Target</v>
      </c>
    </row>
    <row r="2376" spans="1:7" x14ac:dyDescent="0.25">
      <c r="A2376" t="s">
        <v>48</v>
      </c>
      <c r="B2376" s="1">
        <v>43033</v>
      </c>
      <c r="C2376" t="s">
        <v>59</v>
      </c>
      <c r="D2376" s="4">
        <v>1190.97</v>
      </c>
      <c r="E2376" s="12" t="str">
        <f>VLOOKUP(C2376,inf!$A$2:$B$7,2,FALSE)</f>
        <v>Over 90</v>
      </c>
      <c r="F2376" s="12" t="str">
        <f t="shared" si="38"/>
        <v>10/25/2017</v>
      </c>
      <c r="G2376" t="str">
        <f>VLOOKUP(A2376,inf!$D$2:$E$76,2,FALSE)</f>
        <v>Target</v>
      </c>
    </row>
    <row r="2377" spans="1:7" x14ac:dyDescent="0.25">
      <c r="A2377" t="s">
        <v>8</v>
      </c>
      <c r="B2377" s="1">
        <v>43033</v>
      </c>
      <c r="C2377" t="s">
        <v>55</v>
      </c>
      <c r="D2377" s="4">
        <v>394506.14999999967</v>
      </c>
      <c r="E2377" s="12" t="str">
        <f>VLOOKUP(C2377,inf!$A$2:$B$7,2,FALSE)</f>
        <v>Current</v>
      </c>
      <c r="F2377" s="12" t="str">
        <f t="shared" si="38"/>
        <v>10/25/2017</v>
      </c>
      <c r="G2377" t="str">
        <f>VLOOKUP(A2377,inf!$D$2:$E$76,2,FALSE)</f>
        <v>Target</v>
      </c>
    </row>
    <row r="2378" spans="1:7" x14ac:dyDescent="0.25">
      <c r="A2378" t="s">
        <v>8</v>
      </c>
      <c r="B2378" s="1">
        <v>43033</v>
      </c>
      <c r="C2378" t="s">
        <v>56</v>
      </c>
      <c r="D2378" s="4">
        <v>70676.500000000029</v>
      </c>
      <c r="E2378" s="12" t="str">
        <f>VLOOKUP(C2378,inf!$A$2:$B$7,2,FALSE)</f>
        <v>Current</v>
      </c>
      <c r="F2378" s="12" t="str">
        <f t="shared" si="38"/>
        <v>10/25/2017</v>
      </c>
      <c r="G2378" t="str">
        <f>VLOOKUP(A2378,inf!$D$2:$E$76,2,FALSE)</f>
        <v>Target</v>
      </c>
    </row>
    <row r="2379" spans="1:7" x14ac:dyDescent="0.25">
      <c r="A2379" t="s">
        <v>8</v>
      </c>
      <c r="B2379" s="1">
        <v>43033</v>
      </c>
      <c r="C2379" t="s">
        <v>57</v>
      </c>
      <c r="D2379" s="4">
        <v>9593.5300000000007</v>
      </c>
      <c r="E2379" s="12" t="str">
        <f>VLOOKUP(C2379,inf!$A$2:$B$7,2,FALSE)</f>
        <v>31 to 60</v>
      </c>
      <c r="F2379" s="12" t="str">
        <f t="shared" si="38"/>
        <v>10/25/2017</v>
      </c>
      <c r="G2379" t="str">
        <f>VLOOKUP(A2379,inf!$D$2:$E$76,2,FALSE)</f>
        <v>Target</v>
      </c>
    </row>
    <row r="2380" spans="1:7" x14ac:dyDescent="0.25">
      <c r="A2380" t="s">
        <v>8</v>
      </c>
      <c r="B2380" s="1">
        <v>43033</v>
      </c>
      <c r="C2380" t="s">
        <v>58</v>
      </c>
      <c r="D2380" s="4">
        <v>7898.3700000000008</v>
      </c>
      <c r="E2380" s="12" t="str">
        <f>VLOOKUP(C2380,inf!$A$2:$B$7,2,FALSE)</f>
        <v>61 to 90</v>
      </c>
      <c r="F2380" s="12" t="str">
        <f t="shared" si="38"/>
        <v>10/25/2017</v>
      </c>
      <c r="G2380" t="str">
        <f>VLOOKUP(A2380,inf!$D$2:$E$76,2,FALSE)</f>
        <v>Target</v>
      </c>
    </row>
    <row r="2381" spans="1:7" x14ac:dyDescent="0.25">
      <c r="A2381" t="s">
        <v>8</v>
      </c>
      <c r="B2381" s="1">
        <v>43033</v>
      </c>
      <c r="C2381" t="s">
        <v>59</v>
      </c>
      <c r="D2381" s="4">
        <v>8307.64</v>
      </c>
      <c r="E2381" s="12" t="str">
        <f>VLOOKUP(C2381,inf!$A$2:$B$7,2,FALSE)</f>
        <v>Over 90</v>
      </c>
      <c r="F2381" s="12" t="str">
        <f t="shared" si="38"/>
        <v>10/25/2017</v>
      </c>
      <c r="G2381" t="str">
        <f>VLOOKUP(A2381,inf!$D$2:$E$76,2,FALSE)</f>
        <v>Target</v>
      </c>
    </row>
    <row r="2382" spans="1:7" x14ac:dyDescent="0.25">
      <c r="A2382" t="s">
        <v>8</v>
      </c>
      <c r="B2382" s="1">
        <v>43033</v>
      </c>
      <c r="C2382" t="s">
        <v>60</v>
      </c>
      <c r="D2382" s="4">
        <v>39603.679999999978</v>
      </c>
      <c r="E2382" s="12" t="str">
        <f>VLOOKUP(C2382,inf!$A$2:$B$7,2,FALSE)</f>
        <v>Over 90</v>
      </c>
      <c r="F2382" s="12" t="str">
        <f t="shared" si="38"/>
        <v>10/25/2017</v>
      </c>
      <c r="G2382" t="str">
        <f>VLOOKUP(A2382,inf!$D$2:$E$76,2,FALSE)</f>
        <v>Target</v>
      </c>
    </row>
    <row r="2383" spans="1:7" x14ac:dyDescent="0.25">
      <c r="A2383" t="s">
        <v>54</v>
      </c>
      <c r="B2383" s="1">
        <v>43033</v>
      </c>
      <c r="C2383" t="s">
        <v>56</v>
      </c>
      <c r="D2383" s="4">
        <v>122.72</v>
      </c>
      <c r="E2383" s="12" t="str">
        <f>VLOOKUP(C2383,inf!$A$2:$B$7,2,FALSE)</f>
        <v>Current</v>
      </c>
      <c r="F2383" s="12" t="str">
        <f t="shared" si="38"/>
        <v>10/25/2017</v>
      </c>
      <c r="G2383" t="str">
        <f>VLOOKUP(A2383,inf!$D$2:$E$76,2,FALSE)</f>
        <v>Other</v>
      </c>
    </row>
    <row r="2384" spans="1:7" x14ac:dyDescent="0.25">
      <c r="A2384" t="s">
        <v>54</v>
      </c>
      <c r="B2384" s="1">
        <v>43033</v>
      </c>
      <c r="C2384" t="s">
        <v>57</v>
      </c>
      <c r="D2384" s="4">
        <v>122.72</v>
      </c>
      <c r="E2384" s="12" t="str">
        <f>VLOOKUP(C2384,inf!$A$2:$B$7,2,FALSE)</f>
        <v>31 to 60</v>
      </c>
      <c r="F2384" s="12" t="str">
        <f t="shared" si="38"/>
        <v>10/25/2017</v>
      </c>
      <c r="G2384" t="str">
        <f>VLOOKUP(A2384,inf!$D$2:$E$76,2,FALSE)</f>
        <v>Other</v>
      </c>
    </row>
    <row r="2385" spans="1:7" x14ac:dyDescent="0.25">
      <c r="A2385" t="s">
        <v>28</v>
      </c>
      <c r="B2385" s="1">
        <v>43033</v>
      </c>
      <c r="C2385" t="s">
        <v>55</v>
      </c>
      <c r="D2385" s="4">
        <v>4033.7299999999996</v>
      </c>
      <c r="E2385" s="12" t="str">
        <f>VLOOKUP(C2385,inf!$A$2:$B$7,2,FALSE)</f>
        <v>Current</v>
      </c>
      <c r="F2385" s="12" t="str">
        <f t="shared" si="38"/>
        <v>10/25/2017</v>
      </c>
      <c r="G2385" t="str">
        <f>VLOOKUP(A2385,inf!$D$2:$E$76,2,FALSE)</f>
        <v>Other</v>
      </c>
    </row>
    <row r="2386" spans="1:7" x14ac:dyDescent="0.25">
      <c r="A2386" t="s">
        <v>28</v>
      </c>
      <c r="B2386" s="1">
        <v>43033</v>
      </c>
      <c r="C2386" t="s">
        <v>56</v>
      </c>
      <c r="D2386" s="4">
        <v>4278.3799999999992</v>
      </c>
      <c r="E2386" s="12" t="str">
        <f>VLOOKUP(C2386,inf!$A$2:$B$7,2,FALSE)</f>
        <v>Current</v>
      </c>
      <c r="F2386" s="12" t="str">
        <f t="shared" si="38"/>
        <v>10/25/2017</v>
      </c>
      <c r="G2386" t="str">
        <f>VLOOKUP(A2386,inf!$D$2:$E$76,2,FALSE)</f>
        <v>Other</v>
      </c>
    </row>
    <row r="2387" spans="1:7" x14ac:dyDescent="0.25">
      <c r="A2387" t="s">
        <v>28</v>
      </c>
      <c r="B2387" s="1">
        <v>43033</v>
      </c>
      <c r="C2387" t="s">
        <v>60</v>
      </c>
      <c r="D2387" s="4">
        <v>187.75</v>
      </c>
      <c r="E2387" s="12" t="str">
        <f>VLOOKUP(C2387,inf!$A$2:$B$7,2,FALSE)</f>
        <v>Over 90</v>
      </c>
      <c r="F2387" s="12" t="str">
        <f t="shared" si="38"/>
        <v>10/25/2017</v>
      </c>
      <c r="G2387" t="str">
        <f>VLOOKUP(A2387,inf!$D$2:$E$76,2,FALSE)</f>
        <v>Other</v>
      </c>
    </row>
    <row r="2388" spans="1:7" x14ac:dyDescent="0.25">
      <c r="A2388" t="s">
        <v>15</v>
      </c>
      <c r="B2388" s="1">
        <v>43033</v>
      </c>
      <c r="C2388" t="s">
        <v>55</v>
      </c>
      <c r="D2388" s="4">
        <v>1105.6200000000001</v>
      </c>
      <c r="E2388" s="12" t="str">
        <f>VLOOKUP(C2388,inf!$A$2:$B$7,2,FALSE)</f>
        <v>Current</v>
      </c>
      <c r="F2388" s="12" t="str">
        <f t="shared" si="38"/>
        <v>10/25/2017</v>
      </c>
      <c r="G2388" t="str">
        <f>VLOOKUP(A2388,inf!$D$2:$E$76,2,FALSE)</f>
        <v>Other</v>
      </c>
    </row>
    <row r="2389" spans="1:7" x14ac:dyDescent="0.25">
      <c r="A2389" t="s">
        <v>15</v>
      </c>
      <c r="B2389" s="1">
        <v>43033</v>
      </c>
      <c r="C2389" t="s">
        <v>56</v>
      </c>
      <c r="D2389" s="4">
        <v>362.26</v>
      </c>
      <c r="E2389" s="12" t="str">
        <f>VLOOKUP(C2389,inf!$A$2:$B$7,2,FALSE)</f>
        <v>Current</v>
      </c>
      <c r="F2389" s="12" t="str">
        <f t="shared" si="38"/>
        <v>10/25/2017</v>
      </c>
      <c r="G2389" t="str">
        <f>VLOOKUP(A2389,inf!$D$2:$E$76,2,FALSE)</f>
        <v>Other</v>
      </c>
    </row>
    <row r="2390" spans="1:7" x14ac:dyDescent="0.25">
      <c r="A2390" t="s">
        <v>15</v>
      </c>
      <c r="B2390" s="1">
        <v>43033</v>
      </c>
      <c r="C2390" t="s">
        <v>58</v>
      </c>
      <c r="D2390" s="4">
        <v>291.60000000000002</v>
      </c>
      <c r="E2390" s="12" t="str">
        <f>VLOOKUP(C2390,inf!$A$2:$B$7,2,FALSE)</f>
        <v>61 to 90</v>
      </c>
      <c r="F2390" s="12" t="str">
        <f t="shared" si="38"/>
        <v>10/25/2017</v>
      </c>
      <c r="G2390" t="str">
        <f>VLOOKUP(A2390,inf!$D$2:$E$76,2,FALSE)</f>
        <v>Other</v>
      </c>
    </row>
    <row r="2391" spans="1:7" x14ac:dyDescent="0.25">
      <c r="A2391" t="s">
        <v>61</v>
      </c>
      <c r="B2391" s="1">
        <v>43040</v>
      </c>
      <c r="C2391" t="s">
        <v>58</v>
      </c>
      <c r="D2391" s="4">
        <v>295.32</v>
      </c>
      <c r="E2391" s="12" t="str">
        <f>VLOOKUP(C2391,inf!$A$2:$B$7,2,FALSE)</f>
        <v>61 to 90</v>
      </c>
      <c r="F2391" s="12" t="str">
        <f t="shared" si="38"/>
        <v>11/01/2017</v>
      </c>
      <c r="G2391" t="str">
        <f>VLOOKUP(A2391,inf!$D$2:$E$76,2,FALSE)</f>
        <v>Other</v>
      </c>
    </row>
    <row r="2392" spans="1:7" x14ac:dyDescent="0.25">
      <c r="A2392" t="s">
        <v>4</v>
      </c>
      <c r="B2392" s="1">
        <v>43040</v>
      </c>
      <c r="C2392" t="s">
        <v>55</v>
      </c>
      <c r="D2392" s="4">
        <v>5343.3799999999992</v>
      </c>
      <c r="E2392" s="12" t="str">
        <f>VLOOKUP(C2392,inf!$A$2:$B$7,2,FALSE)</f>
        <v>Current</v>
      </c>
      <c r="F2392" s="12" t="str">
        <f t="shared" si="38"/>
        <v>11/01/2017</v>
      </c>
      <c r="G2392" t="str">
        <f>VLOOKUP(A2392,inf!$D$2:$E$76,2,FALSE)</f>
        <v>Other</v>
      </c>
    </row>
    <row r="2393" spans="1:7" x14ac:dyDescent="0.25">
      <c r="A2393" t="s">
        <v>26</v>
      </c>
      <c r="B2393" s="1">
        <v>43040</v>
      </c>
      <c r="C2393" t="s">
        <v>60</v>
      </c>
      <c r="D2393" s="4">
        <v>1380.77</v>
      </c>
      <c r="E2393" s="12" t="str">
        <f>VLOOKUP(C2393,inf!$A$2:$B$7,2,FALSE)</f>
        <v>Over 90</v>
      </c>
      <c r="F2393" s="12" t="str">
        <f t="shared" si="38"/>
        <v>11/01/2017</v>
      </c>
      <c r="G2393" t="str">
        <f>VLOOKUP(A2393,inf!$D$2:$E$76,2,FALSE)</f>
        <v>Other</v>
      </c>
    </row>
    <row r="2394" spans="1:7" x14ac:dyDescent="0.25">
      <c r="A2394" t="s">
        <v>2</v>
      </c>
      <c r="B2394" s="1">
        <v>43040</v>
      </c>
      <c r="C2394" t="s">
        <v>60</v>
      </c>
      <c r="D2394" s="4">
        <v>6040.4899999999971</v>
      </c>
      <c r="E2394" s="12" t="str">
        <f>VLOOKUP(C2394,inf!$A$2:$B$7,2,FALSE)</f>
        <v>Over 90</v>
      </c>
      <c r="F2394" s="12" t="str">
        <f t="shared" si="38"/>
        <v>11/01/2017</v>
      </c>
      <c r="G2394" t="str">
        <f>VLOOKUP(A2394,inf!$D$2:$E$76,2,FALSE)</f>
        <v>Other</v>
      </c>
    </row>
    <row r="2395" spans="1:7" x14ac:dyDescent="0.25">
      <c r="A2395" t="s">
        <v>32</v>
      </c>
      <c r="B2395" s="1">
        <v>43040</v>
      </c>
      <c r="C2395" t="s">
        <v>55</v>
      </c>
      <c r="D2395" s="4">
        <v>408.14</v>
      </c>
      <c r="E2395" s="12" t="str">
        <f>VLOOKUP(C2395,inf!$A$2:$B$7,2,FALSE)</f>
        <v>Current</v>
      </c>
      <c r="F2395" s="12" t="str">
        <f t="shared" si="38"/>
        <v>11/01/2017</v>
      </c>
      <c r="G2395" t="str">
        <f>VLOOKUP(A2395,inf!$D$2:$E$76,2,FALSE)</f>
        <v>Other</v>
      </c>
    </row>
    <row r="2396" spans="1:7" x14ac:dyDescent="0.25">
      <c r="A2396" t="s">
        <v>25</v>
      </c>
      <c r="B2396" s="1">
        <v>43040</v>
      </c>
      <c r="C2396" t="s">
        <v>55</v>
      </c>
      <c r="D2396" s="4">
        <v>983.55000000000007</v>
      </c>
      <c r="E2396" s="12" t="str">
        <f>VLOOKUP(C2396,inf!$A$2:$B$7,2,FALSE)</f>
        <v>Current</v>
      </c>
      <c r="F2396" s="12" t="str">
        <f t="shared" si="38"/>
        <v>11/01/2017</v>
      </c>
      <c r="G2396" t="str">
        <f>VLOOKUP(A2396,inf!$D$2:$E$76,2,FALSE)</f>
        <v>Other</v>
      </c>
    </row>
    <row r="2397" spans="1:7" x14ac:dyDescent="0.25">
      <c r="A2397" t="s">
        <v>31</v>
      </c>
      <c r="B2397" s="1">
        <v>43040</v>
      </c>
      <c r="C2397" t="s">
        <v>55</v>
      </c>
      <c r="D2397" s="4">
        <v>258.41000000000003</v>
      </c>
      <c r="E2397" s="12" t="str">
        <f>VLOOKUP(C2397,inf!$A$2:$B$7,2,FALSE)</f>
        <v>Current</v>
      </c>
      <c r="F2397" s="12" t="str">
        <f t="shared" si="38"/>
        <v>11/01/2017</v>
      </c>
      <c r="G2397" t="str">
        <f>VLOOKUP(A2397,inf!$D$2:$E$76,2,FALSE)</f>
        <v>Other</v>
      </c>
    </row>
    <row r="2398" spans="1:7" x14ac:dyDescent="0.25">
      <c r="A2398" t="s">
        <v>31</v>
      </c>
      <c r="B2398" s="1">
        <v>43040</v>
      </c>
      <c r="C2398" t="s">
        <v>56</v>
      </c>
      <c r="D2398" s="4">
        <v>852.5</v>
      </c>
      <c r="E2398" s="12" t="str">
        <f>VLOOKUP(C2398,inf!$A$2:$B$7,2,FALSE)</f>
        <v>Current</v>
      </c>
      <c r="F2398" s="12" t="str">
        <f t="shared" si="38"/>
        <v>11/01/2017</v>
      </c>
      <c r="G2398" t="str">
        <f>VLOOKUP(A2398,inf!$D$2:$E$76,2,FALSE)</f>
        <v>Other</v>
      </c>
    </row>
    <row r="2399" spans="1:7" x14ac:dyDescent="0.25">
      <c r="A2399" t="s">
        <v>31</v>
      </c>
      <c r="B2399" s="1">
        <v>43040</v>
      </c>
      <c r="C2399" t="s">
        <v>58</v>
      </c>
      <c r="D2399" s="4">
        <v>296.71000000000004</v>
      </c>
      <c r="E2399" s="12" t="str">
        <f>VLOOKUP(C2399,inf!$A$2:$B$7,2,FALSE)</f>
        <v>61 to 90</v>
      </c>
      <c r="F2399" s="12" t="str">
        <f t="shared" si="38"/>
        <v>11/01/2017</v>
      </c>
      <c r="G2399" t="str">
        <f>VLOOKUP(A2399,inf!$D$2:$E$76,2,FALSE)</f>
        <v>Other</v>
      </c>
    </row>
    <row r="2400" spans="1:7" x14ac:dyDescent="0.25">
      <c r="A2400" t="s">
        <v>24</v>
      </c>
      <c r="B2400" s="1">
        <v>43040</v>
      </c>
      <c r="C2400" t="s">
        <v>55</v>
      </c>
      <c r="D2400" s="4">
        <v>242.53</v>
      </c>
      <c r="E2400" s="12" t="str">
        <f>VLOOKUP(C2400,inf!$A$2:$B$7,2,FALSE)</f>
        <v>Current</v>
      </c>
      <c r="F2400" s="12" t="str">
        <f t="shared" si="38"/>
        <v>11/01/2017</v>
      </c>
      <c r="G2400" t="str">
        <f>VLOOKUP(A2400,inf!$D$2:$E$76,2,FALSE)</f>
        <v>Other</v>
      </c>
    </row>
    <row r="2401" spans="1:7" x14ac:dyDescent="0.25">
      <c r="A2401" t="s">
        <v>24</v>
      </c>
      <c r="B2401" s="1">
        <v>43040</v>
      </c>
      <c r="C2401" t="s">
        <v>56</v>
      </c>
      <c r="D2401" s="4">
        <v>172.28</v>
      </c>
      <c r="E2401" s="12" t="str">
        <f>VLOOKUP(C2401,inf!$A$2:$B$7,2,FALSE)</f>
        <v>Current</v>
      </c>
      <c r="F2401" s="12" t="str">
        <f t="shared" si="38"/>
        <v>11/01/2017</v>
      </c>
      <c r="G2401" t="str">
        <f>VLOOKUP(A2401,inf!$D$2:$E$76,2,FALSE)</f>
        <v>Other</v>
      </c>
    </row>
    <row r="2402" spans="1:7" x14ac:dyDescent="0.25">
      <c r="A2402" t="s">
        <v>18</v>
      </c>
      <c r="B2402" s="1">
        <v>43040</v>
      </c>
      <c r="C2402" t="s">
        <v>55</v>
      </c>
      <c r="D2402" s="4">
        <v>316.03999999999996</v>
      </c>
      <c r="E2402" s="12" t="str">
        <f>VLOOKUP(C2402,inf!$A$2:$B$7,2,FALSE)</f>
        <v>Current</v>
      </c>
      <c r="F2402" s="12" t="str">
        <f t="shared" si="38"/>
        <v>11/01/2017</v>
      </c>
      <c r="G2402" t="str">
        <f>VLOOKUP(A2402,inf!$D$2:$E$76,2,FALSE)</f>
        <v>Other</v>
      </c>
    </row>
    <row r="2403" spans="1:7" x14ac:dyDescent="0.25">
      <c r="A2403" t="s">
        <v>62</v>
      </c>
      <c r="B2403" s="1">
        <v>43040</v>
      </c>
      <c r="C2403" t="s">
        <v>56</v>
      </c>
      <c r="D2403" s="4">
        <v>229.7</v>
      </c>
      <c r="E2403" s="12" t="str">
        <f>VLOOKUP(C2403,inf!$A$2:$B$7,2,FALSE)</f>
        <v>Current</v>
      </c>
      <c r="F2403" s="12" t="str">
        <f t="shared" si="38"/>
        <v>11/01/2017</v>
      </c>
      <c r="G2403" t="str">
        <f>VLOOKUP(A2403,inf!$D$2:$E$76,2,FALSE)</f>
        <v>Other</v>
      </c>
    </row>
    <row r="2404" spans="1:7" x14ac:dyDescent="0.25">
      <c r="A2404" t="s">
        <v>62</v>
      </c>
      <c r="B2404" s="1">
        <v>43040</v>
      </c>
      <c r="C2404" t="s">
        <v>57</v>
      </c>
      <c r="D2404" s="4">
        <v>241.51</v>
      </c>
      <c r="E2404" s="12" t="str">
        <f>VLOOKUP(C2404,inf!$A$2:$B$7,2,FALSE)</f>
        <v>31 to 60</v>
      </c>
      <c r="F2404" s="12" t="str">
        <f t="shared" si="38"/>
        <v>11/01/2017</v>
      </c>
      <c r="G2404" t="str">
        <f>VLOOKUP(A2404,inf!$D$2:$E$76,2,FALSE)</f>
        <v>Other</v>
      </c>
    </row>
    <row r="2405" spans="1:7" x14ac:dyDescent="0.25">
      <c r="A2405" t="s">
        <v>21</v>
      </c>
      <c r="B2405" s="1">
        <v>43040</v>
      </c>
      <c r="C2405" t="s">
        <v>55</v>
      </c>
      <c r="D2405" s="4">
        <v>172.28</v>
      </c>
      <c r="E2405" s="12" t="str">
        <f>VLOOKUP(C2405,inf!$A$2:$B$7,2,FALSE)</f>
        <v>Current</v>
      </c>
      <c r="F2405" s="12" t="str">
        <f t="shared" si="38"/>
        <v>11/01/2017</v>
      </c>
      <c r="G2405" t="str">
        <f>VLOOKUP(A2405,inf!$D$2:$E$76,2,FALSE)</f>
        <v>Other</v>
      </c>
    </row>
    <row r="2406" spans="1:7" x14ac:dyDescent="0.25">
      <c r="A2406" t="s">
        <v>3</v>
      </c>
      <c r="B2406" s="1">
        <v>43040</v>
      </c>
      <c r="C2406" t="s">
        <v>55</v>
      </c>
      <c r="D2406" s="4">
        <v>3571.52</v>
      </c>
      <c r="E2406" s="12" t="str">
        <f>VLOOKUP(C2406,inf!$A$2:$B$7,2,FALSE)</f>
        <v>Current</v>
      </c>
      <c r="F2406" s="12" t="str">
        <f t="shared" si="38"/>
        <v>11/01/2017</v>
      </c>
      <c r="G2406" t="str">
        <f>VLOOKUP(A2406,inf!$D$2:$E$76,2,FALSE)</f>
        <v>Other</v>
      </c>
    </row>
    <row r="2407" spans="1:7" x14ac:dyDescent="0.25">
      <c r="A2407" t="s">
        <v>3</v>
      </c>
      <c r="B2407" s="1">
        <v>43040</v>
      </c>
      <c r="C2407" t="s">
        <v>56</v>
      </c>
      <c r="D2407" s="4">
        <v>130.16</v>
      </c>
      <c r="E2407" s="12" t="str">
        <f>VLOOKUP(C2407,inf!$A$2:$B$7,2,FALSE)</f>
        <v>Current</v>
      </c>
      <c r="F2407" s="12" t="str">
        <f t="shared" si="38"/>
        <v>11/01/2017</v>
      </c>
      <c r="G2407" t="str">
        <f>VLOOKUP(A2407,inf!$D$2:$E$76,2,FALSE)</f>
        <v>Other</v>
      </c>
    </row>
    <row r="2408" spans="1:7" x14ac:dyDescent="0.25">
      <c r="A2408" t="s">
        <v>3</v>
      </c>
      <c r="B2408" s="1">
        <v>43040</v>
      </c>
      <c r="C2408" t="s">
        <v>57</v>
      </c>
      <c r="D2408" s="4">
        <v>67.66</v>
      </c>
      <c r="E2408" s="12" t="str">
        <f>VLOOKUP(C2408,inf!$A$2:$B$7,2,FALSE)</f>
        <v>31 to 60</v>
      </c>
      <c r="F2408" s="12" t="str">
        <f t="shared" si="38"/>
        <v>11/01/2017</v>
      </c>
      <c r="G2408" t="str">
        <f>VLOOKUP(A2408,inf!$D$2:$E$76,2,FALSE)</f>
        <v>Other</v>
      </c>
    </row>
    <row r="2409" spans="1:7" x14ac:dyDescent="0.25">
      <c r="A2409" t="s">
        <v>30</v>
      </c>
      <c r="B2409" s="1">
        <v>43040</v>
      </c>
      <c r="C2409" t="s">
        <v>55</v>
      </c>
      <c r="D2409" s="4">
        <v>792.53000000000009</v>
      </c>
      <c r="E2409" s="12" t="str">
        <f>VLOOKUP(C2409,inf!$A$2:$B$7,2,FALSE)</f>
        <v>Current</v>
      </c>
      <c r="F2409" s="12" t="str">
        <f t="shared" si="38"/>
        <v>11/01/2017</v>
      </c>
      <c r="G2409" t="str">
        <f>VLOOKUP(A2409,inf!$D$2:$E$76,2,FALSE)</f>
        <v>Other</v>
      </c>
    </row>
    <row r="2410" spans="1:7" x14ac:dyDescent="0.25">
      <c r="A2410" t="s">
        <v>30</v>
      </c>
      <c r="B2410" s="1">
        <v>43040</v>
      </c>
      <c r="C2410" t="s">
        <v>57</v>
      </c>
      <c r="D2410" s="4">
        <v>155.4</v>
      </c>
      <c r="E2410" s="12" t="str">
        <f>VLOOKUP(C2410,inf!$A$2:$B$7,2,FALSE)</f>
        <v>31 to 60</v>
      </c>
      <c r="F2410" s="12" t="str">
        <f t="shared" si="38"/>
        <v>11/01/2017</v>
      </c>
      <c r="G2410" t="str">
        <f>VLOOKUP(A2410,inf!$D$2:$E$76,2,FALSE)</f>
        <v>Other</v>
      </c>
    </row>
    <row r="2411" spans="1:7" x14ac:dyDescent="0.25">
      <c r="A2411" t="s">
        <v>30</v>
      </c>
      <c r="B2411" s="1">
        <v>43040</v>
      </c>
      <c r="C2411" t="s">
        <v>58</v>
      </c>
      <c r="D2411" s="4">
        <v>1608.51</v>
      </c>
      <c r="E2411" s="12" t="str">
        <f>VLOOKUP(C2411,inf!$A$2:$B$7,2,FALSE)</f>
        <v>61 to 90</v>
      </c>
      <c r="F2411" s="12" t="str">
        <f t="shared" si="38"/>
        <v>11/01/2017</v>
      </c>
      <c r="G2411" t="str">
        <f>VLOOKUP(A2411,inf!$D$2:$E$76,2,FALSE)</f>
        <v>Other</v>
      </c>
    </row>
    <row r="2412" spans="1:7" x14ac:dyDescent="0.25">
      <c r="A2412" t="s">
        <v>63</v>
      </c>
      <c r="B2412" s="1">
        <v>43040</v>
      </c>
      <c r="C2412" t="s">
        <v>57</v>
      </c>
      <c r="D2412" s="4">
        <v>170.49</v>
      </c>
      <c r="E2412" s="12" t="str">
        <f>VLOOKUP(C2412,inf!$A$2:$B$7,2,FALSE)</f>
        <v>31 to 60</v>
      </c>
      <c r="F2412" s="12" t="str">
        <f t="shared" si="38"/>
        <v>11/01/2017</v>
      </c>
      <c r="G2412" t="str">
        <f>VLOOKUP(A2412,inf!$D$2:$E$76,2,FALSE)</f>
        <v>Other</v>
      </c>
    </row>
    <row r="2413" spans="1:7" x14ac:dyDescent="0.25">
      <c r="A2413" t="s">
        <v>12</v>
      </c>
      <c r="B2413" s="1">
        <v>43040</v>
      </c>
      <c r="C2413" t="s">
        <v>55</v>
      </c>
      <c r="D2413" s="4">
        <v>755.04</v>
      </c>
      <c r="E2413" s="12" t="str">
        <f>VLOOKUP(C2413,inf!$A$2:$B$7,2,FALSE)</f>
        <v>Current</v>
      </c>
      <c r="F2413" s="12" t="str">
        <f t="shared" si="38"/>
        <v>11/01/2017</v>
      </c>
      <c r="G2413" t="str">
        <f>VLOOKUP(A2413,inf!$D$2:$E$76,2,FALSE)</f>
        <v>Other</v>
      </c>
    </row>
    <row r="2414" spans="1:7" x14ac:dyDescent="0.25">
      <c r="A2414" t="s">
        <v>12</v>
      </c>
      <c r="B2414" s="1">
        <v>43040</v>
      </c>
      <c r="C2414" t="s">
        <v>56</v>
      </c>
      <c r="D2414" s="4">
        <v>92.01</v>
      </c>
      <c r="E2414" s="12" t="str">
        <f>VLOOKUP(C2414,inf!$A$2:$B$7,2,FALSE)</f>
        <v>Current</v>
      </c>
      <c r="F2414" s="12" t="str">
        <f t="shared" si="38"/>
        <v>11/01/2017</v>
      </c>
      <c r="G2414" t="str">
        <f>VLOOKUP(A2414,inf!$D$2:$E$76,2,FALSE)</f>
        <v>Other</v>
      </c>
    </row>
    <row r="2415" spans="1:7" x14ac:dyDescent="0.25">
      <c r="A2415" t="s">
        <v>12</v>
      </c>
      <c r="B2415" s="1">
        <v>43040</v>
      </c>
      <c r="C2415" t="s">
        <v>60</v>
      </c>
      <c r="D2415" s="4">
        <v>394.94</v>
      </c>
      <c r="E2415" s="12" t="str">
        <f>VLOOKUP(C2415,inf!$A$2:$B$7,2,FALSE)</f>
        <v>Over 90</v>
      </c>
      <c r="F2415" s="12" t="str">
        <f t="shared" si="38"/>
        <v>11/01/2017</v>
      </c>
      <c r="G2415" t="str">
        <f>VLOOKUP(A2415,inf!$D$2:$E$76,2,FALSE)</f>
        <v>Other</v>
      </c>
    </row>
    <row r="2416" spans="1:7" x14ac:dyDescent="0.25">
      <c r="A2416" t="s">
        <v>50</v>
      </c>
      <c r="B2416" s="1">
        <v>43040</v>
      </c>
      <c r="C2416" t="s">
        <v>55</v>
      </c>
      <c r="D2416" s="4">
        <v>202.62</v>
      </c>
      <c r="E2416" s="12" t="str">
        <f>VLOOKUP(C2416,inf!$A$2:$B$7,2,FALSE)</f>
        <v>Current</v>
      </c>
      <c r="F2416" s="12" t="str">
        <f t="shared" si="38"/>
        <v>11/01/2017</v>
      </c>
      <c r="G2416" t="str">
        <f>VLOOKUP(A2416,inf!$D$2:$E$76,2,FALSE)</f>
        <v>Other</v>
      </c>
    </row>
    <row r="2417" spans="1:7" x14ac:dyDescent="0.25">
      <c r="A2417" t="s">
        <v>23</v>
      </c>
      <c r="B2417" s="1">
        <v>43040</v>
      </c>
      <c r="C2417" t="s">
        <v>55</v>
      </c>
      <c r="D2417" s="4">
        <v>250.61</v>
      </c>
      <c r="E2417" s="12" t="str">
        <f>VLOOKUP(C2417,inf!$A$2:$B$7,2,FALSE)</f>
        <v>Current</v>
      </c>
      <c r="F2417" s="12" t="str">
        <f t="shared" si="38"/>
        <v>11/01/2017</v>
      </c>
      <c r="G2417" t="str">
        <f>VLOOKUP(A2417,inf!$D$2:$E$76,2,FALSE)</f>
        <v>Other</v>
      </c>
    </row>
    <row r="2418" spans="1:7" x14ac:dyDescent="0.25">
      <c r="A2418" t="s">
        <v>7</v>
      </c>
      <c r="B2418" s="1">
        <v>43040</v>
      </c>
      <c r="C2418" t="s">
        <v>55</v>
      </c>
      <c r="D2418" s="4">
        <v>106089.58999999998</v>
      </c>
      <c r="E2418" s="12" t="str">
        <f>VLOOKUP(C2418,inf!$A$2:$B$7,2,FALSE)</f>
        <v>Current</v>
      </c>
      <c r="F2418" s="12" t="str">
        <f t="shared" si="38"/>
        <v>11/01/2017</v>
      </c>
      <c r="G2418" t="str">
        <f>VLOOKUP(A2418,inf!$D$2:$E$76,2,FALSE)</f>
        <v>SAFEWAY</v>
      </c>
    </row>
    <row r="2419" spans="1:7" x14ac:dyDescent="0.25">
      <c r="A2419" t="s">
        <v>7</v>
      </c>
      <c r="B2419" s="1">
        <v>43040</v>
      </c>
      <c r="C2419" t="s">
        <v>56</v>
      </c>
      <c r="D2419" s="4">
        <v>15677.999999999996</v>
      </c>
      <c r="E2419" s="12" t="str">
        <f>VLOOKUP(C2419,inf!$A$2:$B$7,2,FALSE)</f>
        <v>Current</v>
      </c>
      <c r="F2419" s="12" t="str">
        <f t="shared" si="38"/>
        <v>11/01/2017</v>
      </c>
      <c r="G2419" t="str">
        <f>VLOOKUP(A2419,inf!$D$2:$E$76,2,FALSE)</f>
        <v>SAFEWAY</v>
      </c>
    </row>
    <row r="2420" spans="1:7" x14ac:dyDescent="0.25">
      <c r="A2420" t="s">
        <v>7</v>
      </c>
      <c r="B2420" s="1">
        <v>43040</v>
      </c>
      <c r="C2420" t="s">
        <v>57</v>
      </c>
      <c r="D2420" s="4">
        <v>1864.37</v>
      </c>
      <c r="E2420" s="12" t="str">
        <f>VLOOKUP(C2420,inf!$A$2:$B$7,2,FALSE)</f>
        <v>31 to 60</v>
      </c>
      <c r="F2420" s="12" t="str">
        <f t="shared" si="38"/>
        <v>11/01/2017</v>
      </c>
      <c r="G2420" t="str">
        <f>VLOOKUP(A2420,inf!$D$2:$E$76,2,FALSE)</f>
        <v>SAFEWAY</v>
      </c>
    </row>
    <row r="2421" spans="1:7" x14ac:dyDescent="0.25">
      <c r="A2421" t="s">
        <v>7</v>
      </c>
      <c r="B2421" s="1">
        <v>43040</v>
      </c>
      <c r="C2421" t="s">
        <v>60</v>
      </c>
      <c r="D2421" s="4">
        <v>334.41</v>
      </c>
      <c r="E2421" s="12" t="str">
        <f>VLOOKUP(C2421,inf!$A$2:$B$7,2,FALSE)</f>
        <v>Over 90</v>
      </c>
      <c r="F2421" s="12" t="str">
        <f t="shared" si="38"/>
        <v>11/01/2017</v>
      </c>
      <c r="G2421" t="str">
        <f>VLOOKUP(A2421,inf!$D$2:$E$76,2,FALSE)</f>
        <v>SAFEWAY</v>
      </c>
    </row>
    <row r="2422" spans="1:7" x14ac:dyDescent="0.25">
      <c r="A2422" t="s">
        <v>74</v>
      </c>
      <c r="B2422" s="1">
        <v>43040</v>
      </c>
      <c r="C2422" t="s">
        <v>57</v>
      </c>
      <c r="D2422" s="4">
        <v>742.26</v>
      </c>
      <c r="E2422" s="12" t="str">
        <f>VLOOKUP(C2422,inf!$A$2:$B$7,2,FALSE)</f>
        <v>31 to 60</v>
      </c>
      <c r="F2422" s="12" t="str">
        <f t="shared" si="38"/>
        <v>11/01/2017</v>
      </c>
      <c r="G2422" t="str">
        <f>VLOOKUP(A2422,inf!$D$2:$E$76,2,FALSE)</f>
        <v>Other</v>
      </c>
    </row>
    <row r="2423" spans="1:7" x14ac:dyDescent="0.25">
      <c r="A2423" t="s">
        <v>72</v>
      </c>
      <c r="B2423" s="1">
        <v>43040</v>
      </c>
      <c r="C2423" t="s">
        <v>55</v>
      </c>
      <c r="D2423" s="4">
        <v>605.06999999999994</v>
      </c>
      <c r="E2423" s="12" t="str">
        <f>VLOOKUP(C2423,inf!$A$2:$B$7,2,FALSE)</f>
        <v>Current</v>
      </c>
      <c r="F2423" s="12" t="str">
        <f t="shared" si="38"/>
        <v>11/01/2017</v>
      </c>
      <c r="G2423" t="str">
        <f>VLOOKUP(A2423,inf!$D$2:$E$76,2,FALSE)</f>
        <v>Other</v>
      </c>
    </row>
    <row r="2424" spans="1:7" x14ac:dyDescent="0.25">
      <c r="A2424" t="s">
        <v>5</v>
      </c>
      <c r="B2424" s="1">
        <v>43040</v>
      </c>
      <c r="C2424" t="s">
        <v>55</v>
      </c>
      <c r="D2424" s="4">
        <v>5239553.3499999074</v>
      </c>
      <c r="E2424" s="12" t="str">
        <f>VLOOKUP(C2424,inf!$A$2:$B$7,2,FALSE)</f>
        <v>Current</v>
      </c>
      <c r="F2424" s="12" t="str">
        <f t="shared" si="38"/>
        <v>11/01/2017</v>
      </c>
      <c r="G2424" t="str">
        <f>VLOOKUP(A2424,inf!$D$2:$E$76,2,FALSE)</f>
        <v>SBUX</v>
      </c>
    </row>
    <row r="2425" spans="1:7" x14ac:dyDescent="0.25">
      <c r="A2425" t="s">
        <v>5</v>
      </c>
      <c r="B2425" s="1">
        <v>43040</v>
      </c>
      <c r="C2425" t="s">
        <v>56</v>
      </c>
      <c r="D2425" s="4">
        <v>26329.339999999993</v>
      </c>
      <c r="E2425" s="12" t="str">
        <f>VLOOKUP(C2425,inf!$A$2:$B$7,2,FALSE)</f>
        <v>Current</v>
      </c>
      <c r="F2425" s="12" t="str">
        <f t="shared" si="38"/>
        <v>11/01/2017</v>
      </c>
      <c r="G2425" t="str">
        <f>VLOOKUP(A2425,inf!$D$2:$E$76,2,FALSE)</f>
        <v>SBUX</v>
      </c>
    </row>
    <row r="2426" spans="1:7" x14ac:dyDescent="0.25">
      <c r="A2426" t="s">
        <v>5</v>
      </c>
      <c r="B2426" s="1">
        <v>43040</v>
      </c>
      <c r="C2426" t="s">
        <v>57</v>
      </c>
      <c r="D2426" s="4">
        <v>22491.040000000001</v>
      </c>
      <c r="E2426" s="12" t="str">
        <f>VLOOKUP(C2426,inf!$A$2:$B$7,2,FALSE)</f>
        <v>31 to 60</v>
      </c>
      <c r="F2426" s="12" t="str">
        <f t="shared" si="38"/>
        <v>11/01/2017</v>
      </c>
      <c r="G2426" t="str">
        <f>VLOOKUP(A2426,inf!$D$2:$E$76,2,FALSE)</f>
        <v>SBUX</v>
      </c>
    </row>
    <row r="2427" spans="1:7" x14ac:dyDescent="0.25">
      <c r="A2427" t="s">
        <v>5</v>
      </c>
      <c r="B2427" s="1">
        <v>43040</v>
      </c>
      <c r="C2427" t="s">
        <v>58</v>
      </c>
      <c r="D2427" s="4">
        <v>29514.559999999994</v>
      </c>
      <c r="E2427" s="12" t="str">
        <f>VLOOKUP(C2427,inf!$A$2:$B$7,2,FALSE)</f>
        <v>61 to 90</v>
      </c>
      <c r="F2427" s="12" t="str">
        <f t="shared" si="38"/>
        <v>11/01/2017</v>
      </c>
      <c r="G2427" t="str">
        <f>VLOOKUP(A2427,inf!$D$2:$E$76,2,FALSE)</f>
        <v>SBUX</v>
      </c>
    </row>
    <row r="2428" spans="1:7" x14ac:dyDescent="0.25">
      <c r="A2428" t="s">
        <v>5</v>
      </c>
      <c r="B2428" s="1">
        <v>43040</v>
      </c>
      <c r="C2428" t="s">
        <v>59</v>
      </c>
      <c r="D2428" s="4">
        <v>36629.99</v>
      </c>
      <c r="E2428" s="12" t="str">
        <f>VLOOKUP(C2428,inf!$A$2:$B$7,2,FALSE)</f>
        <v>Over 90</v>
      </c>
      <c r="F2428" s="12" t="str">
        <f t="shared" si="38"/>
        <v>11/01/2017</v>
      </c>
      <c r="G2428" t="str">
        <f>VLOOKUP(A2428,inf!$D$2:$E$76,2,FALSE)</f>
        <v>SBUX</v>
      </c>
    </row>
    <row r="2429" spans="1:7" x14ac:dyDescent="0.25">
      <c r="A2429" t="s">
        <v>5</v>
      </c>
      <c r="B2429" s="1">
        <v>43040</v>
      </c>
      <c r="C2429" t="s">
        <v>60</v>
      </c>
      <c r="D2429" s="4">
        <v>137247.34999999998</v>
      </c>
      <c r="E2429" s="12" t="str">
        <f>VLOOKUP(C2429,inf!$A$2:$B$7,2,FALSE)</f>
        <v>Over 90</v>
      </c>
      <c r="F2429" s="12" t="str">
        <f t="shared" si="38"/>
        <v>11/01/2017</v>
      </c>
      <c r="G2429" t="str">
        <f>VLOOKUP(A2429,inf!$D$2:$E$76,2,FALSE)</f>
        <v>SBUX</v>
      </c>
    </row>
    <row r="2430" spans="1:7" x14ac:dyDescent="0.25">
      <c r="A2430" t="s">
        <v>6</v>
      </c>
      <c r="B2430" s="1">
        <v>43040</v>
      </c>
      <c r="C2430" t="s">
        <v>55</v>
      </c>
      <c r="D2430" s="4">
        <v>376786.96999999823</v>
      </c>
      <c r="E2430" s="12" t="str">
        <f>VLOOKUP(C2430,inf!$A$2:$B$7,2,FALSE)</f>
        <v>Current</v>
      </c>
      <c r="F2430" s="12" t="str">
        <f t="shared" si="38"/>
        <v>11/01/2017</v>
      </c>
      <c r="G2430" t="str">
        <f>VLOOKUP(A2430,inf!$D$2:$E$76,2,FALSE)</f>
        <v>SBUX</v>
      </c>
    </row>
    <row r="2431" spans="1:7" x14ac:dyDescent="0.25">
      <c r="A2431" t="s">
        <v>6</v>
      </c>
      <c r="B2431" s="1">
        <v>43040</v>
      </c>
      <c r="C2431" t="s">
        <v>56</v>
      </c>
      <c r="D2431" s="4">
        <v>4046.68</v>
      </c>
      <c r="E2431" s="12" t="str">
        <f>VLOOKUP(C2431,inf!$A$2:$B$7,2,FALSE)</f>
        <v>Current</v>
      </c>
      <c r="F2431" s="12" t="str">
        <f t="shared" si="38"/>
        <v>11/01/2017</v>
      </c>
      <c r="G2431" t="str">
        <f>VLOOKUP(A2431,inf!$D$2:$E$76,2,FALSE)</f>
        <v>SBUX</v>
      </c>
    </row>
    <row r="2432" spans="1:7" x14ac:dyDescent="0.25">
      <c r="A2432" t="s">
        <v>6</v>
      </c>
      <c r="B2432" s="1">
        <v>43040</v>
      </c>
      <c r="C2432" t="s">
        <v>57</v>
      </c>
      <c r="D2432" s="4">
        <v>16327.250000000009</v>
      </c>
      <c r="E2432" s="12" t="str">
        <f>VLOOKUP(C2432,inf!$A$2:$B$7,2,FALSE)</f>
        <v>31 to 60</v>
      </c>
      <c r="F2432" s="12" t="str">
        <f t="shared" si="38"/>
        <v>11/01/2017</v>
      </c>
      <c r="G2432" t="str">
        <f>VLOOKUP(A2432,inf!$D$2:$E$76,2,FALSE)</f>
        <v>SBUX</v>
      </c>
    </row>
    <row r="2433" spans="1:7" x14ac:dyDescent="0.25">
      <c r="A2433" t="s">
        <v>6</v>
      </c>
      <c r="B2433" s="1">
        <v>43040</v>
      </c>
      <c r="C2433" t="s">
        <v>58</v>
      </c>
      <c r="D2433" s="4">
        <v>16075.619999999992</v>
      </c>
      <c r="E2433" s="12" t="str">
        <f>VLOOKUP(C2433,inf!$A$2:$B$7,2,FALSE)</f>
        <v>61 to 90</v>
      </c>
      <c r="F2433" s="12" t="str">
        <f t="shared" si="38"/>
        <v>11/01/2017</v>
      </c>
      <c r="G2433" t="str">
        <f>VLOOKUP(A2433,inf!$D$2:$E$76,2,FALSE)</f>
        <v>SBUX</v>
      </c>
    </row>
    <row r="2434" spans="1:7" x14ac:dyDescent="0.25">
      <c r="A2434" t="s">
        <v>6</v>
      </c>
      <c r="B2434" s="1">
        <v>43040</v>
      </c>
      <c r="C2434" t="s">
        <v>59</v>
      </c>
      <c r="D2434" s="4">
        <v>561.54</v>
      </c>
      <c r="E2434" s="12" t="str">
        <f>VLOOKUP(C2434,inf!$A$2:$B$7,2,FALSE)</f>
        <v>Over 90</v>
      </c>
      <c r="F2434" s="12" t="str">
        <f t="shared" si="38"/>
        <v>11/01/2017</v>
      </c>
      <c r="G2434" t="str">
        <f>VLOOKUP(A2434,inf!$D$2:$E$76,2,FALSE)</f>
        <v>SBUX</v>
      </c>
    </row>
    <row r="2435" spans="1:7" x14ac:dyDescent="0.25">
      <c r="A2435" t="s">
        <v>6</v>
      </c>
      <c r="B2435" s="1">
        <v>43040</v>
      </c>
      <c r="C2435" t="s">
        <v>60</v>
      </c>
      <c r="D2435" s="4">
        <v>10832.310000000005</v>
      </c>
      <c r="E2435" s="12" t="str">
        <f>VLOOKUP(C2435,inf!$A$2:$B$7,2,FALSE)</f>
        <v>Over 90</v>
      </c>
      <c r="F2435" s="12" t="str">
        <f t="shared" ref="F2435:F2498" si="39">TEXT(B2435,"MM/DD/YYYY")</f>
        <v>11/01/2017</v>
      </c>
      <c r="G2435" t="str">
        <f>VLOOKUP(A2435,inf!$D$2:$E$76,2,FALSE)</f>
        <v>SBUX</v>
      </c>
    </row>
    <row r="2436" spans="1:7" x14ac:dyDescent="0.25">
      <c r="A2436" t="s">
        <v>48</v>
      </c>
      <c r="B2436" s="1">
        <v>43040</v>
      </c>
      <c r="C2436" t="s">
        <v>55</v>
      </c>
      <c r="D2436" s="4">
        <v>373918.04000000015</v>
      </c>
      <c r="E2436" s="12" t="str">
        <f>VLOOKUP(C2436,inf!$A$2:$B$7,2,FALSE)</f>
        <v>Current</v>
      </c>
      <c r="F2436" s="12" t="str">
        <f t="shared" si="39"/>
        <v>11/01/2017</v>
      </c>
      <c r="G2436" t="str">
        <f>VLOOKUP(A2436,inf!$D$2:$E$76,2,FALSE)</f>
        <v>Target</v>
      </c>
    </row>
    <row r="2437" spans="1:7" x14ac:dyDescent="0.25">
      <c r="A2437" t="s">
        <v>48</v>
      </c>
      <c r="B2437" s="1">
        <v>43040</v>
      </c>
      <c r="C2437" t="s">
        <v>56</v>
      </c>
      <c r="D2437" s="4">
        <v>7239.7</v>
      </c>
      <c r="E2437" s="12" t="str">
        <f>VLOOKUP(C2437,inf!$A$2:$B$7,2,FALSE)</f>
        <v>Current</v>
      </c>
      <c r="F2437" s="12" t="str">
        <f t="shared" si="39"/>
        <v>11/01/2017</v>
      </c>
      <c r="G2437" t="str">
        <f>VLOOKUP(A2437,inf!$D$2:$E$76,2,FALSE)</f>
        <v>Target</v>
      </c>
    </row>
    <row r="2438" spans="1:7" x14ac:dyDescent="0.25">
      <c r="A2438" t="s">
        <v>48</v>
      </c>
      <c r="B2438" s="1">
        <v>43040</v>
      </c>
      <c r="C2438" t="s">
        <v>57</v>
      </c>
      <c r="D2438" s="4">
        <v>3256.35</v>
      </c>
      <c r="E2438" s="12" t="str">
        <f>VLOOKUP(C2438,inf!$A$2:$B$7,2,FALSE)</f>
        <v>31 to 60</v>
      </c>
      <c r="F2438" s="12" t="str">
        <f t="shared" si="39"/>
        <v>11/01/2017</v>
      </c>
      <c r="G2438" t="str">
        <f>VLOOKUP(A2438,inf!$D$2:$E$76,2,FALSE)</f>
        <v>Target</v>
      </c>
    </row>
    <row r="2439" spans="1:7" x14ac:dyDescent="0.25">
      <c r="A2439" t="s">
        <v>48</v>
      </c>
      <c r="B2439" s="1">
        <v>43040</v>
      </c>
      <c r="C2439" t="s">
        <v>58</v>
      </c>
      <c r="D2439" s="4">
        <v>1216.5700000000002</v>
      </c>
      <c r="E2439" s="12" t="str">
        <f>VLOOKUP(C2439,inf!$A$2:$B$7,2,FALSE)</f>
        <v>61 to 90</v>
      </c>
      <c r="F2439" s="12" t="str">
        <f t="shared" si="39"/>
        <v>11/01/2017</v>
      </c>
      <c r="G2439" t="str">
        <f>VLOOKUP(A2439,inf!$D$2:$E$76,2,FALSE)</f>
        <v>Target</v>
      </c>
    </row>
    <row r="2440" spans="1:7" x14ac:dyDescent="0.25">
      <c r="A2440" t="s">
        <v>48</v>
      </c>
      <c r="B2440" s="1">
        <v>43040</v>
      </c>
      <c r="C2440" t="s">
        <v>59</v>
      </c>
      <c r="D2440" s="4">
        <v>893.5</v>
      </c>
      <c r="E2440" s="12" t="str">
        <f>VLOOKUP(C2440,inf!$A$2:$B$7,2,FALSE)</f>
        <v>Over 90</v>
      </c>
      <c r="F2440" s="12" t="str">
        <f t="shared" si="39"/>
        <v>11/01/2017</v>
      </c>
      <c r="G2440" t="str">
        <f>VLOOKUP(A2440,inf!$D$2:$E$76,2,FALSE)</f>
        <v>Target</v>
      </c>
    </row>
    <row r="2441" spans="1:7" x14ac:dyDescent="0.25">
      <c r="A2441" t="s">
        <v>8</v>
      </c>
      <c r="B2441" s="1">
        <v>43040</v>
      </c>
      <c r="C2441" t="s">
        <v>55</v>
      </c>
      <c r="D2441" s="4">
        <v>474547.78999999946</v>
      </c>
      <c r="E2441" s="12" t="str">
        <f>VLOOKUP(C2441,inf!$A$2:$B$7,2,FALSE)</f>
        <v>Current</v>
      </c>
      <c r="F2441" s="12" t="str">
        <f t="shared" si="39"/>
        <v>11/01/2017</v>
      </c>
      <c r="G2441" t="str">
        <f>VLOOKUP(A2441,inf!$D$2:$E$76,2,FALSE)</f>
        <v>Target</v>
      </c>
    </row>
    <row r="2442" spans="1:7" x14ac:dyDescent="0.25">
      <c r="A2442" t="s">
        <v>8</v>
      </c>
      <c r="B2442" s="1">
        <v>43040</v>
      </c>
      <c r="C2442" t="s">
        <v>56</v>
      </c>
      <c r="D2442" s="4">
        <v>17124.399999999998</v>
      </c>
      <c r="E2442" s="12" t="str">
        <f>VLOOKUP(C2442,inf!$A$2:$B$7,2,FALSE)</f>
        <v>Current</v>
      </c>
      <c r="F2442" s="12" t="str">
        <f t="shared" si="39"/>
        <v>11/01/2017</v>
      </c>
      <c r="G2442" t="str">
        <f>VLOOKUP(A2442,inf!$D$2:$E$76,2,FALSE)</f>
        <v>Target</v>
      </c>
    </row>
    <row r="2443" spans="1:7" x14ac:dyDescent="0.25">
      <c r="A2443" t="s">
        <v>8</v>
      </c>
      <c r="B2443" s="1">
        <v>43040</v>
      </c>
      <c r="C2443" t="s">
        <v>57</v>
      </c>
      <c r="D2443" s="4">
        <v>4663.2</v>
      </c>
      <c r="E2443" s="12" t="str">
        <f>VLOOKUP(C2443,inf!$A$2:$B$7,2,FALSE)</f>
        <v>31 to 60</v>
      </c>
      <c r="F2443" s="12" t="str">
        <f t="shared" si="39"/>
        <v>11/01/2017</v>
      </c>
      <c r="G2443" t="str">
        <f>VLOOKUP(A2443,inf!$D$2:$E$76,2,FALSE)</f>
        <v>Target</v>
      </c>
    </row>
    <row r="2444" spans="1:7" x14ac:dyDescent="0.25">
      <c r="A2444" t="s">
        <v>8</v>
      </c>
      <c r="B2444" s="1">
        <v>43040</v>
      </c>
      <c r="C2444" t="s">
        <v>58</v>
      </c>
      <c r="D2444" s="4">
        <v>3563.59</v>
      </c>
      <c r="E2444" s="12" t="str">
        <f>VLOOKUP(C2444,inf!$A$2:$B$7,2,FALSE)</f>
        <v>61 to 90</v>
      </c>
      <c r="F2444" s="12" t="str">
        <f t="shared" si="39"/>
        <v>11/01/2017</v>
      </c>
      <c r="G2444" t="str">
        <f>VLOOKUP(A2444,inf!$D$2:$E$76,2,FALSE)</f>
        <v>Target</v>
      </c>
    </row>
    <row r="2445" spans="1:7" x14ac:dyDescent="0.25">
      <c r="A2445" t="s">
        <v>8</v>
      </c>
      <c r="B2445" s="1">
        <v>43040</v>
      </c>
      <c r="C2445" t="s">
        <v>59</v>
      </c>
      <c r="D2445" s="4">
        <v>9891.5299999999988</v>
      </c>
      <c r="E2445" s="12" t="str">
        <f>VLOOKUP(C2445,inf!$A$2:$B$7,2,FALSE)</f>
        <v>Over 90</v>
      </c>
      <c r="F2445" s="12" t="str">
        <f t="shared" si="39"/>
        <v>11/01/2017</v>
      </c>
      <c r="G2445" t="str">
        <f>VLOOKUP(A2445,inf!$D$2:$E$76,2,FALSE)</f>
        <v>Target</v>
      </c>
    </row>
    <row r="2446" spans="1:7" x14ac:dyDescent="0.25">
      <c r="A2446" t="s">
        <v>8</v>
      </c>
      <c r="B2446" s="1">
        <v>43040</v>
      </c>
      <c r="C2446" t="s">
        <v>60</v>
      </c>
      <c r="D2446" s="4">
        <v>37113.239999999991</v>
      </c>
      <c r="E2446" s="12" t="str">
        <f>VLOOKUP(C2446,inf!$A$2:$B$7,2,FALSE)</f>
        <v>Over 90</v>
      </c>
      <c r="F2446" s="12" t="str">
        <f t="shared" si="39"/>
        <v>11/01/2017</v>
      </c>
      <c r="G2446" t="str">
        <f>VLOOKUP(A2446,inf!$D$2:$E$76,2,FALSE)</f>
        <v>Target</v>
      </c>
    </row>
    <row r="2447" spans="1:7" x14ac:dyDescent="0.25">
      <c r="A2447" t="s">
        <v>54</v>
      </c>
      <c r="B2447" s="1">
        <v>43040</v>
      </c>
      <c r="C2447" t="s">
        <v>57</v>
      </c>
      <c r="D2447" s="4">
        <v>245.44</v>
      </c>
      <c r="E2447" s="12" t="str">
        <f>VLOOKUP(C2447,inf!$A$2:$B$7,2,FALSE)</f>
        <v>31 to 60</v>
      </c>
      <c r="F2447" s="12" t="str">
        <f t="shared" si="39"/>
        <v>11/01/2017</v>
      </c>
      <c r="G2447" t="str">
        <f>VLOOKUP(A2447,inf!$D$2:$E$76,2,FALSE)</f>
        <v>Other</v>
      </c>
    </row>
    <row r="2448" spans="1:7" x14ac:dyDescent="0.25">
      <c r="A2448" t="s">
        <v>28</v>
      </c>
      <c r="B2448" s="1">
        <v>43040</v>
      </c>
      <c r="C2448" t="s">
        <v>55</v>
      </c>
      <c r="D2448" s="4">
        <v>4033.7299999999996</v>
      </c>
      <c r="E2448" s="12" t="str">
        <f>VLOOKUP(C2448,inf!$A$2:$B$7,2,FALSE)</f>
        <v>Current</v>
      </c>
      <c r="F2448" s="12" t="str">
        <f t="shared" si="39"/>
        <v>11/01/2017</v>
      </c>
      <c r="G2448" t="str">
        <f>VLOOKUP(A2448,inf!$D$2:$E$76,2,FALSE)</f>
        <v>Other</v>
      </c>
    </row>
    <row r="2449" spans="1:7" x14ac:dyDescent="0.25">
      <c r="A2449" t="s">
        <v>28</v>
      </c>
      <c r="B2449" s="1">
        <v>43040</v>
      </c>
      <c r="C2449" t="s">
        <v>56</v>
      </c>
      <c r="D2449" s="4">
        <v>4278.3799999999992</v>
      </c>
      <c r="E2449" s="12" t="str">
        <f>VLOOKUP(C2449,inf!$A$2:$B$7,2,FALSE)</f>
        <v>Current</v>
      </c>
      <c r="F2449" s="12" t="str">
        <f t="shared" si="39"/>
        <v>11/01/2017</v>
      </c>
      <c r="G2449" t="str">
        <f>VLOOKUP(A2449,inf!$D$2:$E$76,2,FALSE)</f>
        <v>Other</v>
      </c>
    </row>
    <row r="2450" spans="1:7" x14ac:dyDescent="0.25">
      <c r="A2450" t="s">
        <v>15</v>
      </c>
      <c r="B2450" s="1">
        <v>43040</v>
      </c>
      <c r="C2450" t="s">
        <v>55</v>
      </c>
      <c r="D2450" s="4">
        <v>1105.6200000000001</v>
      </c>
      <c r="E2450" s="12" t="str">
        <f>VLOOKUP(C2450,inf!$A$2:$B$7,2,FALSE)</f>
        <v>Current</v>
      </c>
      <c r="F2450" s="12" t="str">
        <f t="shared" si="39"/>
        <v>11/01/2017</v>
      </c>
      <c r="G2450" t="str">
        <f>VLOOKUP(A2450,inf!$D$2:$E$76,2,FALSE)</f>
        <v>Other</v>
      </c>
    </row>
    <row r="2451" spans="1:7" x14ac:dyDescent="0.25">
      <c r="A2451" t="s">
        <v>15</v>
      </c>
      <c r="B2451" s="1">
        <v>43040</v>
      </c>
      <c r="C2451" t="s">
        <v>56</v>
      </c>
      <c r="D2451" s="4">
        <v>362.26</v>
      </c>
      <c r="E2451" s="12" t="str">
        <f>VLOOKUP(C2451,inf!$A$2:$B$7,2,FALSE)</f>
        <v>Current</v>
      </c>
      <c r="F2451" s="12" t="str">
        <f t="shared" si="39"/>
        <v>11/01/2017</v>
      </c>
      <c r="G2451" t="str">
        <f>VLOOKUP(A2451,inf!$D$2:$E$76,2,FALSE)</f>
        <v>Other</v>
      </c>
    </row>
    <row r="2452" spans="1:7" x14ac:dyDescent="0.25">
      <c r="A2452" t="s">
        <v>15</v>
      </c>
      <c r="B2452" s="1">
        <v>43040</v>
      </c>
      <c r="C2452" t="s">
        <v>58</v>
      </c>
      <c r="D2452" s="4">
        <v>291.60000000000002</v>
      </c>
      <c r="E2452" s="12" t="str">
        <f>VLOOKUP(C2452,inf!$A$2:$B$7,2,FALSE)</f>
        <v>61 to 90</v>
      </c>
      <c r="F2452" s="12" t="str">
        <f t="shared" si="39"/>
        <v>11/01/2017</v>
      </c>
      <c r="G2452" t="str">
        <f>VLOOKUP(A2452,inf!$D$2:$E$76,2,FALSE)</f>
        <v>Other</v>
      </c>
    </row>
    <row r="2453" spans="1:7" x14ac:dyDescent="0.25">
      <c r="A2453" t="s">
        <v>61</v>
      </c>
      <c r="B2453" s="1">
        <v>43047</v>
      </c>
      <c r="C2453" t="s">
        <v>58</v>
      </c>
      <c r="D2453" s="4">
        <v>295.32</v>
      </c>
      <c r="E2453" s="12" t="str">
        <f>VLOOKUP(C2453,inf!$A$2:$B$7,2,FALSE)</f>
        <v>61 to 90</v>
      </c>
      <c r="F2453" s="12" t="str">
        <f t="shared" si="39"/>
        <v>11/08/2017</v>
      </c>
      <c r="G2453" t="str">
        <f>VLOOKUP(A2453,inf!$D$2:$E$76,2,FALSE)</f>
        <v>Other</v>
      </c>
    </row>
    <row r="2454" spans="1:7" x14ac:dyDescent="0.25">
      <c r="A2454" t="s">
        <v>4</v>
      </c>
      <c r="B2454" s="1">
        <v>43047</v>
      </c>
      <c r="C2454" t="s">
        <v>55</v>
      </c>
      <c r="D2454" s="4">
        <v>2761.35</v>
      </c>
      <c r="E2454" s="12" t="str">
        <f>VLOOKUP(C2454,inf!$A$2:$B$7,2,FALSE)</f>
        <v>Current</v>
      </c>
      <c r="F2454" s="12" t="str">
        <f t="shared" si="39"/>
        <v>11/08/2017</v>
      </c>
      <c r="G2454" t="str">
        <f>VLOOKUP(A2454,inf!$D$2:$E$76,2,FALSE)</f>
        <v>Other</v>
      </c>
    </row>
    <row r="2455" spans="1:7" x14ac:dyDescent="0.25">
      <c r="A2455" t="s">
        <v>4</v>
      </c>
      <c r="B2455" s="1">
        <v>43047</v>
      </c>
      <c r="C2455" t="s">
        <v>56</v>
      </c>
      <c r="D2455" s="4">
        <v>4330.49</v>
      </c>
      <c r="E2455" s="12" t="str">
        <f>VLOOKUP(C2455,inf!$A$2:$B$7,2,FALSE)</f>
        <v>Current</v>
      </c>
      <c r="F2455" s="12" t="str">
        <f t="shared" si="39"/>
        <v>11/08/2017</v>
      </c>
      <c r="G2455" t="str">
        <f>VLOOKUP(A2455,inf!$D$2:$E$76,2,FALSE)</f>
        <v>Other</v>
      </c>
    </row>
    <row r="2456" spans="1:7" x14ac:dyDescent="0.25">
      <c r="A2456" t="s">
        <v>26</v>
      </c>
      <c r="B2456" s="1">
        <v>43047</v>
      </c>
      <c r="C2456" t="s">
        <v>60</v>
      </c>
      <c r="D2456" s="4">
        <v>1380.77</v>
      </c>
      <c r="E2456" s="12" t="str">
        <f>VLOOKUP(C2456,inf!$A$2:$B$7,2,FALSE)</f>
        <v>Over 90</v>
      </c>
      <c r="F2456" s="12" t="str">
        <f t="shared" si="39"/>
        <v>11/08/2017</v>
      </c>
      <c r="G2456" t="str">
        <f>VLOOKUP(A2456,inf!$D$2:$E$76,2,FALSE)</f>
        <v>Other</v>
      </c>
    </row>
    <row r="2457" spans="1:7" x14ac:dyDescent="0.25">
      <c r="A2457" t="s">
        <v>2</v>
      </c>
      <c r="B2457" s="1">
        <v>43047</v>
      </c>
      <c r="C2457" t="s">
        <v>60</v>
      </c>
      <c r="D2457" s="4">
        <v>6040.4899999999971</v>
      </c>
      <c r="E2457" s="12" t="str">
        <f>VLOOKUP(C2457,inf!$A$2:$B$7,2,FALSE)</f>
        <v>Over 90</v>
      </c>
      <c r="F2457" s="12" t="str">
        <f t="shared" si="39"/>
        <v>11/08/2017</v>
      </c>
      <c r="G2457" t="str">
        <f>VLOOKUP(A2457,inf!$D$2:$E$76,2,FALSE)</f>
        <v>Other</v>
      </c>
    </row>
    <row r="2458" spans="1:7" x14ac:dyDescent="0.25">
      <c r="A2458" t="s">
        <v>32</v>
      </c>
      <c r="B2458" s="1">
        <v>43047</v>
      </c>
      <c r="C2458" t="s">
        <v>56</v>
      </c>
      <c r="D2458" s="4">
        <v>408.14</v>
      </c>
      <c r="E2458" s="12" t="str">
        <f>VLOOKUP(C2458,inf!$A$2:$B$7,2,FALSE)</f>
        <v>Current</v>
      </c>
      <c r="F2458" s="12" t="str">
        <f t="shared" si="39"/>
        <v>11/08/2017</v>
      </c>
      <c r="G2458" t="str">
        <f>VLOOKUP(A2458,inf!$D$2:$E$76,2,FALSE)</f>
        <v>Other</v>
      </c>
    </row>
    <row r="2459" spans="1:7" x14ac:dyDescent="0.25">
      <c r="A2459" t="s">
        <v>25</v>
      </c>
      <c r="B2459" s="1">
        <v>43047</v>
      </c>
      <c r="C2459" t="s">
        <v>55</v>
      </c>
      <c r="D2459" s="4">
        <v>983.55000000000007</v>
      </c>
      <c r="E2459" s="12" t="str">
        <f>VLOOKUP(C2459,inf!$A$2:$B$7,2,FALSE)</f>
        <v>Current</v>
      </c>
      <c r="F2459" s="12" t="str">
        <f t="shared" si="39"/>
        <v>11/08/2017</v>
      </c>
      <c r="G2459" t="str">
        <f>VLOOKUP(A2459,inf!$D$2:$E$76,2,FALSE)</f>
        <v>Other</v>
      </c>
    </row>
    <row r="2460" spans="1:7" x14ac:dyDescent="0.25">
      <c r="A2460" t="s">
        <v>31</v>
      </c>
      <c r="B2460" s="1">
        <v>43047</v>
      </c>
      <c r="C2460" t="s">
        <v>57</v>
      </c>
      <c r="D2460" s="4">
        <v>539.82999999999993</v>
      </c>
      <c r="E2460" s="12" t="str">
        <f>VLOOKUP(C2460,inf!$A$2:$B$7,2,FALSE)</f>
        <v>31 to 60</v>
      </c>
      <c r="F2460" s="12" t="str">
        <f t="shared" si="39"/>
        <v>11/08/2017</v>
      </c>
      <c r="G2460" t="str">
        <f>VLOOKUP(A2460,inf!$D$2:$E$76,2,FALSE)</f>
        <v>Other</v>
      </c>
    </row>
    <row r="2461" spans="1:7" x14ac:dyDescent="0.25">
      <c r="A2461" t="s">
        <v>31</v>
      </c>
      <c r="B2461" s="1">
        <v>43047</v>
      </c>
      <c r="C2461" t="s">
        <v>58</v>
      </c>
      <c r="D2461" s="4">
        <v>296.71000000000004</v>
      </c>
      <c r="E2461" s="12" t="str">
        <f>VLOOKUP(C2461,inf!$A$2:$B$7,2,FALSE)</f>
        <v>61 to 90</v>
      </c>
      <c r="F2461" s="12" t="str">
        <f t="shared" si="39"/>
        <v>11/08/2017</v>
      </c>
      <c r="G2461" t="str">
        <f>VLOOKUP(A2461,inf!$D$2:$E$76,2,FALSE)</f>
        <v>Other</v>
      </c>
    </row>
    <row r="2462" spans="1:7" x14ac:dyDescent="0.25">
      <c r="A2462" t="s">
        <v>24</v>
      </c>
      <c r="B2462" s="1">
        <v>43047</v>
      </c>
      <c r="C2462" t="s">
        <v>55</v>
      </c>
      <c r="D2462" s="4">
        <v>143.57</v>
      </c>
      <c r="E2462" s="12" t="str">
        <f>VLOOKUP(C2462,inf!$A$2:$B$7,2,FALSE)</f>
        <v>Current</v>
      </c>
      <c r="F2462" s="12" t="str">
        <f t="shared" si="39"/>
        <v>11/08/2017</v>
      </c>
      <c r="G2462" t="str">
        <f>VLOOKUP(A2462,inf!$D$2:$E$76,2,FALSE)</f>
        <v>Other</v>
      </c>
    </row>
    <row r="2463" spans="1:7" x14ac:dyDescent="0.25">
      <c r="A2463" t="s">
        <v>18</v>
      </c>
      <c r="B2463" s="1">
        <v>43047</v>
      </c>
      <c r="C2463" t="s">
        <v>55</v>
      </c>
      <c r="D2463" s="4">
        <v>316.03999999999996</v>
      </c>
      <c r="E2463" s="12" t="str">
        <f>VLOOKUP(C2463,inf!$A$2:$B$7,2,FALSE)</f>
        <v>Current</v>
      </c>
      <c r="F2463" s="12" t="str">
        <f t="shared" si="39"/>
        <v>11/08/2017</v>
      </c>
      <c r="G2463" t="str">
        <f>VLOOKUP(A2463,inf!$D$2:$E$76,2,FALSE)</f>
        <v>Other</v>
      </c>
    </row>
    <row r="2464" spans="1:7" x14ac:dyDescent="0.25">
      <c r="A2464" t="s">
        <v>62</v>
      </c>
      <c r="B2464" s="1">
        <v>43047</v>
      </c>
      <c r="C2464" t="s">
        <v>57</v>
      </c>
      <c r="D2464" s="4">
        <v>471.21000000000004</v>
      </c>
      <c r="E2464" s="12" t="str">
        <f>VLOOKUP(C2464,inf!$A$2:$B$7,2,FALSE)</f>
        <v>31 to 60</v>
      </c>
      <c r="F2464" s="12" t="str">
        <f t="shared" si="39"/>
        <v>11/08/2017</v>
      </c>
      <c r="G2464" t="str">
        <f>VLOOKUP(A2464,inf!$D$2:$E$76,2,FALSE)</f>
        <v>Other</v>
      </c>
    </row>
    <row r="2465" spans="1:7" x14ac:dyDescent="0.25">
      <c r="A2465" t="s">
        <v>21</v>
      </c>
      <c r="B2465" s="1">
        <v>43047</v>
      </c>
      <c r="C2465" t="s">
        <v>56</v>
      </c>
      <c r="D2465" s="4">
        <v>172.28</v>
      </c>
      <c r="E2465" s="12" t="str">
        <f>VLOOKUP(C2465,inf!$A$2:$B$7,2,FALSE)</f>
        <v>Current</v>
      </c>
      <c r="F2465" s="12" t="str">
        <f t="shared" si="39"/>
        <v>11/08/2017</v>
      </c>
      <c r="G2465" t="str">
        <f>VLOOKUP(A2465,inf!$D$2:$E$76,2,FALSE)</f>
        <v>Other</v>
      </c>
    </row>
    <row r="2466" spans="1:7" x14ac:dyDescent="0.25">
      <c r="A2466" t="s">
        <v>3</v>
      </c>
      <c r="B2466" s="1">
        <v>43047</v>
      </c>
      <c r="C2466" t="s">
        <v>55</v>
      </c>
      <c r="D2466" s="4">
        <v>3006.7200000000007</v>
      </c>
      <c r="E2466" s="12" t="str">
        <f>VLOOKUP(C2466,inf!$A$2:$B$7,2,FALSE)</f>
        <v>Current</v>
      </c>
      <c r="F2466" s="12" t="str">
        <f t="shared" si="39"/>
        <v>11/08/2017</v>
      </c>
      <c r="G2466" t="str">
        <f>VLOOKUP(A2466,inf!$D$2:$E$76,2,FALSE)</f>
        <v>Other</v>
      </c>
    </row>
    <row r="2467" spans="1:7" x14ac:dyDescent="0.25">
      <c r="A2467" t="s">
        <v>3</v>
      </c>
      <c r="B2467" s="1">
        <v>43047</v>
      </c>
      <c r="C2467" t="s">
        <v>56</v>
      </c>
      <c r="D2467" s="4">
        <v>67.66</v>
      </c>
      <c r="E2467" s="12" t="str">
        <f>VLOOKUP(C2467,inf!$A$2:$B$7,2,FALSE)</f>
        <v>Current</v>
      </c>
      <c r="F2467" s="12" t="str">
        <f t="shared" si="39"/>
        <v>11/08/2017</v>
      </c>
      <c r="G2467" t="str">
        <f>VLOOKUP(A2467,inf!$D$2:$E$76,2,FALSE)</f>
        <v>Other</v>
      </c>
    </row>
    <row r="2468" spans="1:7" x14ac:dyDescent="0.25">
      <c r="A2468" t="s">
        <v>3</v>
      </c>
      <c r="B2468" s="1">
        <v>43047</v>
      </c>
      <c r="C2468" t="s">
        <v>57</v>
      </c>
      <c r="D2468" s="4">
        <v>197.82</v>
      </c>
      <c r="E2468" s="12" t="str">
        <f>VLOOKUP(C2468,inf!$A$2:$B$7,2,FALSE)</f>
        <v>31 to 60</v>
      </c>
      <c r="F2468" s="12" t="str">
        <f t="shared" si="39"/>
        <v>11/08/2017</v>
      </c>
      <c r="G2468" t="str">
        <f>VLOOKUP(A2468,inf!$D$2:$E$76,2,FALSE)</f>
        <v>Other</v>
      </c>
    </row>
    <row r="2469" spans="1:7" x14ac:dyDescent="0.25">
      <c r="A2469" t="s">
        <v>30</v>
      </c>
      <c r="B2469" s="1">
        <v>43047</v>
      </c>
      <c r="C2469" t="s">
        <v>55</v>
      </c>
      <c r="D2469" s="4">
        <v>560.14</v>
      </c>
      <c r="E2469" s="12" t="str">
        <f>VLOOKUP(C2469,inf!$A$2:$B$7,2,FALSE)</f>
        <v>Current</v>
      </c>
      <c r="F2469" s="12" t="str">
        <f t="shared" si="39"/>
        <v>11/08/2017</v>
      </c>
      <c r="G2469" t="str">
        <f>VLOOKUP(A2469,inf!$D$2:$E$76,2,FALSE)</f>
        <v>Other</v>
      </c>
    </row>
    <row r="2470" spans="1:7" x14ac:dyDescent="0.25">
      <c r="A2470" t="s">
        <v>30</v>
      </c>
      <c r="B2470" s="1">
        <v>43047</v>
      </c>
      <c r="C2470" t="s">
        <v>56</v>
      </c>
      <c r="D2470" s="4">
        <v>232.39</v>
      </c>
      <c r="E2470" s="12" t="str">
        <f>VLOOKUP(C2470,inf!$A$2:$B$7,2,FALSE)</f>
        <v>Current</v>
      </c>
      <c r="F2470" s="12" t="str">
        <f t="shared" si="39"/>
        <v>11/08/2017</v>
      </c>
      <c r="G2470" t="str">
        <f>VLOOKUP(A2470,inf!$D$2:$E$76,2,FALSE)</f>
        <v>Other</v>
      </c>
    </row>
    <row r="2471" spans="1:7" x14ac:dyDescent="0.25">
      <c r="A2471" t="s">
        <v>30</v>
      </c>
      <c r="B2471" s="1">
        <v>43047</v>
      </c>
      <c r="C2471" t="s">
        <v>57</v>
      </c>
      <c r="D2471" s="4">
        <v>155.4</v>
      </c>
      <c r="E2471" s="12" t="str">
        <f>VLOOKUP(C2471,inf!$A$2:$B$7,2,FALSE)</f>
        <v>31 to 60</v>
      </c>
      <c r="F2471" s="12" t="str">
        <f t="shared" si="39"/>
        <v>11/08/2017</v>
      </c>
      <c r="G2471" t="str">
        <f>VLOOKUP(A2471,inf!$D$2:$E$76,2,FALSE)</f>
        <v>Other</v>
      </c>
    </row>
    <row r="2472" spans="1:7" x14ac:dyDescent="0.25">
      <c r="A2472" t="s">
        <v>30</v>
      </c>
      <c r="B2472" s="1">
        <v>43047</v>
      </c>
      <c r="C2472" t="s">
        <v>58</v>
      </c>
      <c r="D2472" s="4">
        <v>1608.51</v>
      </c>
      <c r="E2472" s="12" t="str">
        <f>VLOOKUP(C2472,inf!$A$2:$B$7,2,FALSE)</f>
        <v>61 to 90</v>
      </c>
      <c r="F2472" s="12" t="str">
        <f t="shared" si="39"/>
        <v>11/08/2017</v>
      </c>
      <c r="G2472" t="str">
        <f>VLOOKUP(A2472,inf!$D$2:$E$76,2,FALSE)</f>
        <v>Other</v>
      </c>
    </row>
    <row r="2473" spans="1:7" x14ac:dyDescent="0.25">
      <c r="A2473" t="s">
        <v>63</v>
      </c>
      <c r="B2473" s="1">
        <v>43047</v>
      </c>
      <c r="C2473" t="s">
        <v>57</v>
      </c>
      <c r="D2473" s="4">
        <v>170.49</v>
      </c>
      <c r="E2473" s="12" t="str">
        <f>VLOOKUP(C2473,inf!$A$2:$B$7,2,FALSE)</f>
        <v>31 to 60</v>
      </c>
      <c r="F2473" s="12" t="str">
        <f t="shared" si="39"/>
        <v>11/08/2017</v>
      </c>
      <c r="G2473" t="str">
        <f>VLOOKUP(A2473,inf!$D$2:$E$76,2,FALSE)</f>
        <v>Other</v>
      </c>
    </row>
    <row r="2474" spans="1:7" x14ac:dyDescent="0.25">
      <c r="A2474" t="s">
        <v>12</v>
      </c>
      <c r="B2474" s="1">
        <v>43047</v>
      </c>
      <c r="C2474" t="s">
        <v>55</v>
      </c>
      <c r="D2474" s="4">
        <v>416.21</v>
      </c>
      <c r="E2474" s="12" t="str">
        <f>VLOOKUP(C2474,inf!$A$2:$B$7,2,FALSE)</f>
        <v>Current</v>
      </c>
      <c r="F2474" s="12" t="str">
        <f t="shared" si="39"/>
        <v>11/08/2017</v>
      </c>
      <c r="G2474" t="str">
        <f>VLOOKUP(A2474,inf!$D$2:$E$76,2,FALSE)</f>
        <v>Other</v>
      </c>
    </row>
    <row r="2475" spans="1:7" x14ac:dyDescent="0.25">
      <c r="A2475" t="s">
        <v>12</v>
      </c>
      <c r="B2475" s="1">
        <v>43047</v>
      </c>
      <c r="C2475" t="s">
        <v>56</v>
      </c>
      <c r="D2475" s="4">
        <v>338.83</v>
      </c>
      <c r="E2475" s="12" t="str">
        <f>VLOOKUP(C2475,inf!$A$2:$B$7,2,FALSE)</f>
        <v>Current</v>
      </c>
      <c r="F2475" s="12" t="str">
        <f t="shared" si="39"/>
        <v>11/08/2017</v>
      </c>
      <c r="G2475" t="str">
        <f>VLOOKUP(A2475,inf!$D$2:$E$76,2,FALSE)</f>
        <v>Other</v>
      </c>
    </row>
    <row r="2476" spans="1:7" x14ac:dyDescent="0.25">
      <c r="A2476" t="s">
        <v>12</v>
      </c>
      <c r="B2476" s="1">
        <v>43047</v>
      </c>
      <c r="C2476" t="s">
        <v>60</v>
      </c>
      <c r="D2476" s="4">
        <v>394.94</v>
      </c>
      <c r="E2476" s="12" t="str">
        <f>VLOOKUP(C2476,inf!$A$2:$B$7,2,FALSE)</f>
        <v>Over 90</v>
      </c>
      <c r="F2476" s="12" t="str">
        <f t="shared" si="39"/>
        <v>11/08/2017</v>
      </c>
      <c r="G2476" t="str">
        <f>VLOOKUP(A2476,inf!$D$2:$E$76,2,FALSE)</f>
        <v>Other</v>
      </c>
    </row>
    <row r="2477" spans="1:7" x14ac:dyDescent="0.25">
      <c r="A2477" t="s">
        <v>50</v>
      </c>
      <c r="B2477" s="1">
        <v>43047</v>
      </c>
      <c r="C2477" t="s">
        <v>55</v>
      </c>
      <c r="D2477" s="4">
        <v>202.62</v>
      </c>
      <c r="E2477" s="12" t="str">
        <f>VLOOKUP(C2477,inf!$A$2:$B$7,2,FALSE)</f>
        <v>Current</v>
      </c>
      <c r="F2477" s="12" t="str">
        <f t="shared" si="39"/>
        <v>11/08/2017</v>
      </c>
      <c r="G2477" t="str">
        <f>VLOOKUP(A2477,inf!$D$2:$E$76,2,FALSE)</f>
        <v>Other</v>
      </c>
    </row>
    <row r="2478" spans="1:7" x14ac:dyDescent="0.25">
      <c r="A2478" t="s">
        <v>23</v>
      </c>
      <c r="B2478" s="1">
        <v>43047</v>
      </c>
      <c r="C2478" t="s">
        <v>55</v>
      </c>
      <c r="D2478" s="4">
        <v>250.61</v>
      </c>
      <c r="E2478" s="12" t="str">
        <f>VLOOKUP(C2478,inf!$A$2:$B$7,2,FALSE)</f>
        <v>Current</v>
      </c>
      <c r="F2478" s="12" t="str">
        <f t="shared" si="39"/>
        <v>11/08/2017</v>
      </c>
      <c r="G2478" t="str">
        <f>VLOOKUP(A2478,inf!$D$2:$E$76,2,FALSE)</f>
        <v>Other</v>
      </c>
    </row>
    <row r="2479" spans="1:7" x14ac:dyDescent="0.25">
      <c r="A2479" t="s">
        <v>7</v>
      </c>
      <c r="B2479" s="1">
        <v>43047</v>
      </c>
      <c r="C2479" t="s">
        <v>55</v>
      </c>
      <c r="D2479" s="4">
        <v>119339.98999999995</v>
      </c>
      <c r="E2479" s="12" t="str">
        <f>VLOOKUP(C2479,inf!$A$2:$B$7,2,FALSE)</f>
        <v>Current</v>
      </c>
      <c r="F2479" s="12" t="str">
        <f t="shared" si="39"/>
        <v>11/08/2017</v>
      </c>
      <c r="G2479" t="str">
        <f>VLOOKUP(A2479,inf!$D$2:$E$76,2,FALSE)</f>
        <v>SAFEWAY</v>
      </c>
    </row>
    <row r="2480" spans="1:7" x14ac:dyDescent="0.25">
      <c r="A2480" t="s">
        <v>7</v>
      </c>
      <c r="B2480" s="1">
        <v>43047</v>
      </c>
      <c r="C2480" t="s">
        <v>56</v>
      </c>
      <c r="D2480" s="4">
        <v>19288.079999999998</v>
      </c>
      <c r="E2480" s="12" t="str">
        <f>VLOOKUP(C2480,inf!$A$2:$B$7,2,FALSE)</f>
        <v>Current</v>
      </c>
      <c r="F2480" s="12" t="str">
        <f t="shared" si="39"/>
        <v>11/08/2017</v>
      </c>
      <c r="G2480" t="str">
        <f>VLOOKUP(A2480,inf!$D$2:$E$76,2,FALSE)</f>
        <v>SAFEWAY</v>
      </c>
    </row>
    <row r="2481" spans="1:7" x14ac:dyDescent="0.25">
      <c r="A2481" t="s">
        <v>7</v>
      </c>
      <c r="B2481" s="1">
        <v>43047</v>
      </c>
      <c r="C2481" t="s">
        <v>57</v>
      </c>
      <c r="D2481" s="4">
        <v>1864.37</v>
      </c>
      <c r="E2481" s="12" t="str">
        <f>VLOOKUP(C2481,inf!$A$2:$B$7,2,FALSE)</f>
        <v>31 to 60</v>
      </c>
      <c r="F2481" s="12" t="str">
        <f t="shared" si="39"/>
        <v>11/08/2017</v>
      </c>
      <c r="G2481" t="str">
        <f>VLOOKUP(A2481,inf!$D$2:$E$76,2,FALSE)</f>
        <v>SAFEWAY</v>
      </c>
    </row>
    <row r="2482" spans="1:7" x14ac:dyDescent="0.25">
      <c r="A2482" t="s">
        <v>7</v>
      </c>
      <c r="B2482" s="1">
        <v>43047</v>
      </c>
      <c r="C2482" t="s">
        <v>60</v>
      </c>
      <c r="D2482" s="4">
        <v>334.41</v>
      </c>
      <c r="E2482" s="12" t="str">
        <f>VLOOKUP(C2482,inf!$A$2:$B$7,2,FALSE)</f>
        <v>Over 90</v>
      </c>
      <c r="F2482" s="12" t="str">
        <f t="shared" si="39"/>
        <v>11/08/2017</v>
      </c>
      <c r="G2482" t="str">
        <f>VLOOKUP(A2482,inf!$D$2:$E$76,2,FALSE)</f>
        <v>SAFEWAY</v>
      </c>
    </row>
    <row r="2483" spans="1:7" x14ac:dyDescent="0.25">
      <c r="A2483" t="s">
        <v>74</v>
      </c>
      <c r="B2483" s="1">
        <v>43047</v>
      </c>
      <c r="C2483" t="s">
        <v>57</v>
      </c>
      <c r="D2483" s="4">
        <v>742.26</v>
      </c>
      <c r="E2483" s="12" t="str">
        <f>VLOOKUP(C2483,inf!$A$2:$B$7,2,FALSE)</f>
        <v>31 to 60</v>
      </c>
      <c r="F2483" s="12" t="str">
        <f t="shared" si="39"/>
        <v>11/08/2017</v>
      </c>
      <c r="G2483" t="str">
        <f>VLOOKUP(A2483,inf!$D$2:$E$76,2,FALSE)</f>
        <v>Other</v>
      </c>
    </row>
    <row r="2484" spans="1:7" x14ac:dyDescent="0.25">
      <c r="A2484" t="s">
        <v>72</v>
      </c>
      <c r="B2484" s="1">
        <v>43047</v>
      </c>
      <c r="C2484" t="s">
        <v>55</v>
      </c>
      <c r="D2484" s="4">
        <v>605.06999999999994</v>
      </c>
      <c r="E2484" s="12" t="str">
        <f>VLOOKUP(C2484,inf!$A$2:$B$7,2,FALSE)</f>
        <v>Current</v>
      </c>
      <c r="F2484" s="12" t="str">
        <f t="shared" si="39"/>
        <v>11/08/2017</v>
      </c>
      <c r="G2484" t="str">
        <f>VLOOKUP(A2484,inf!$D$2:$E$76,2,FALSE)</f>
        <v>Other</v>
      </c>
    </row>
    <row r="2485" spans="1:7" x14ac:dyDescent="0.25">
      <c r="A2485" t="s">
        <v>5</v>
      </c>
      <c r="B2485" s="1">
        <v>43047</v>
      </c>
      <c r="C2485" t="s">
        <v>55</v>
      </c>
      <c r="D2485" s="4">
        <v>6201410.6999998605</v>
      </c>
      <c r="E2485" s="12" t="str">
        <f>VLOOKUP(C2485,inf!$A$2:$B$7,2,FALSE)</f>
        <v>Current</v>
      </c>
      <c r="F2485" s="12" t="str">
        <f t="shared" si="39"/>
        <v>11/08/2017</v>
      </c>
      <c r="G2485" t="str">
        <f>VLOOKUP(A2485,inf!$D$2:$E$76,2,FALSE)</f>
        <v>SBUX</v>
      </c>
    </row>
    <row r="2486" spans="1:7" x14ac:dyDescent="0.25">
      <c r="A2486" t="s">
        <v>5</v>
      </c>
      <c r="B2486" s="1">
        <v>43047</v>
      </c>
      <c r="C2486" t="s">
        <v>56</v>
      </c>
      <c r="D2486" s="4">
        <v>23504.179999999993</v>
      </c>
      <c r="E2486" s="12" t="str">
        <f>VLOOKUP(C2486,inf!$A$2:$B$7,2,FALSE)</f>
        <v>Current</v>
      </c>
      <c r="F2486" s="12" t="str">
        <f t="shared" si="39"/>
        <v>11/08/2017</v>
      </c>
      <c r="G2486" t="str">
        <f>VLOOKUP(A2486,inf!$D$2:$E$76,2,FALSE)</f>
        <v>SBUX</v>
      </c>
    </row>
    <row r="2487" spans="1:7" x14ac:dyDescent="0.25">
      <c r="A2487" t="s">
        <v>5</v>
      </c>
      <c r="B2487" s="1">
        <v>43047</v>
      </c>
      <c r="C2487" t="s">
        <v>57</v>
      </c>
      <c r="D2487" s="4">
        <v>27146.400000000005</v>
      </c>
      <c r="E2487" s="12" t="str">
        <f>VLOOKUP(C2487,inf!$A$2:$B$7,2,FALSE)</f>
        <v>31 to 60</v>
      </c>
      <c r="F2487" s="12" t="str">
        <f t="shared" si="39"/>
        <v>11/08/2017</v>
      </c>
      <c r="G2487" t="str">
        <f>VLOOKUP(A2487,inf!$D$2:$E$76,2,FALSE)</f>
        <v>SBUX</v>
      </c>
    </row>
    <row r="2488" spans="1:7" x14ac:dyDescent="0.25">
      <c r="A2488" t="s">
        <v>5</v>
      </c>
      <c r="B2488" s="1">
        <v>43047</v>
      </c>
      <c r="C2488" t="s">
        <v>58</v>
      </c>
      <c r="D2488" s="4">
        <v>31746.959999999992</v>
      </c>
      <c r="E2488" s="12" t="str">
        <f>VLOOKUP(C2488,inf!$A$2:$B$7,2,FALSE)</f>
        <v>61 to 90</v>
      </c>
      <c r="F2488" s="12" t="str">
        <f t="shared" si="39"/>
        <v>11/08/2017</v>
      </c>
      <c r="G2488" t="str">
        <f>VLOOKUP(A2488,inf!$D$2:$E$76,2,FALSE)</f>
        <v>SBUX</v>
      </c>
    </row>
    <row r="2489" spans="1:7" x14ac:dyDescent="0.25">
      <c r="A2489" t="s">
        <v>5</v>
      </c>
      <c r="B2489" s="1">
        <v>43047</v>
      </c>
      <c r="C2489" t="s">
        <v>59</v>
      </c>
      <c r="D2489" s="4">
        <v>19230.689999999995</v>
      </c>
      <c r="E2489" s="12" t="str">
        <f>VLOOKUP(C2489,inf!$A$2:$B$7,2,FALSE)</f>
        <v>Over 90</v>
      </c>
      <c r="F2489" s="12" t="str">
        <f t="shared" si="39"/>
        <v>11/08/2017</v>
      </c>
      <c r="G2489" t="str">
        <f>VLOOKUP(A2489,inf!$D$2:$E$76,2,FALSE)</f>
        <v>SBUX</v>
      </c>
    </row>
    <row r="2490" spans="1:7" x14ac:dyDescent="0.25">
      <c r="A2490" t="s">
        <v>5</v>
      </c>
      <c r="B2490" s="1">
        <v>43047</v>
      </c>
      <c r="C2490" t="s">
        <v>60</v>
      </c>
      <c r="D2490" s="4">
        <v>129852.3700000002</v>
      </c>
      <c r="E2490" s="12" t="str">
        <f>VLOOKUP(C2490,inf!$A$2:$B$7,2,FALSE)</f>
        <v>Over 90</v>
      </c>
      <c r="F2490" s="12" t="str">
        <f t="shared" si="39"/>
        <v>11/08/2017</v>
      </c>
      <c r="G2490" t="str">
        <f>VLOOKUP(A2490,inf!$D$2:$E$76,2,FALSE)</f>
        <v>SBUX</v>
      </c>
    </row>
    <row r="2491" spans="1:7" x14ac:dyDescent="0.25">
      <c r="A2491" t="s">
        <v>6</v>
      </c>
      <c r="B2491" s="1">
        <v>43047</v>
      </c>
      <c r="C2491" t="s">
        <v>55</v>
      </c>
      <c r="D2491" s="4">
        <v>441599.07999999472</v>
      </c>
      <c r="E2491" s="12" t="str">
        <f>VLOOKUP(C2491,inf!$A$2:$B$7,2,FALSE)</f>
        <v>Current</v>
      </c>
      <c r="F2491" s="12" t="str">
        <f t="shared" si="39"/>
        <v>11/08/2017</v>
      </c>
      <c r="G2491" t="str">
        <f>VLOOKUP(A2491,inf!$D$2:$E$76,2,FALSE)</f>
        <v>SBUX</v>
      </c>
    </row>
    <row r="2492" spans="1:7" x14ac:dyDescent="0.25">
      <c r="A2492" t="s">
        <v>6</v>
      </c>
      <c r="B2492" s="1">
        <v>43047</v>
      </c>
      <c r="C2492" t="s">
        <v>56</v>
      </c>
      <c r="D2492" s="4">
        <v>4103.42</v>
      </c>
      <c r="E2492" s="12" t="str">
        <f>VLOOKUP(C2492,inf!$A$2:$B$7,2,FALSE)</f>
        <v>Current</v>
      </c>
      <c r="F2492" s="12" t="str">
        <f t="shared" si="39"/>
        <v>11/08/2017</v>
      </c>
      <c r="G2492" t="str">
        <f>VLOOKUP(A2492,inf!$D$2:$E$76,2,FALSE)</f>
        <v>SBUX</v>
      </c>
    </row>
    <row r="2493" spans="1:7" x14ac:dyDescent="0.25">
      <c r="A2493" t="s">
        <v>6</v>
      </c>
      <c r="B2493" s="1">
        <v>43047</v>
      </c>
      <c r="C2493" t="s">
        <v>57</v>
      </c>
      <c r="D2493" s="4">
        <v>2862.35</v>
      </c>
      <c r="E2493" s="12" t="str">
        <f>VLOOKUP(C2493,inf!$A$2:$B$7,2,FALSE)</f>
        <v>31 to 60</v>
      </c>
      <c r="F2493" s="12" t="str">
        <f t="shared" si="39"/>
        <v>11/08/2017</v>
      </c>
      <c r="G2493" t="str">
        <f>VLOOKUP(A2493,inf!$D$2:$E$76,2,FALSE)</f>
        <v>SBUX</v>
      </c>
    </row>
    <row r="2494" spans="1:7" x14ac:dyDescent="0.25">
      <c r="A2494" t="s">
        <v>6</v>
      </c>
      <c r="B2494" s="1">
        <v>43047</v>
      </c>
      <c r="C2494" t="s">
        <v>58</v>
      </c>
      <c r="D2494" s="4">
        <v>3648.52</v>
      </c>
      <c r="E2494" s="12" t="str">
        <f>VLOOKUP(C2494,inf!$A$2:$B$7,2,FALSE)</f>
        <v>61 to 90</v>
      </c>
      <c r="F2494" s="12" t="str">
        <f t="shared" si="39"/>
        <v>11/08/2017</v>
      </c>
      <c r="G2494" t="str">
        <f>VLOOKUP(A2494,inf!$D$2:$E$76,2,FALSE)</f>
        <v>SBUX</v>
      </c>
    </row>
    <row r="2495" spans="1:7" x14ac:dyDescent="0.25">
      <c r="A2495" t="s">
        <v>6</v>
      </c>
      <c r="B2495" s="1">
        <v>43047</v>
      </c>
      <c r="C2495" t="s">
        <v>59</v>
      </c>
      <c r="D2495" s="4">
        <v>790.26</v>
      </c>
      <c r="E2495" s="12" t="str">
        <f>VLOOKUP(C2495,inf!$A$2:$B$7,2,FALSE)</f>
        <v>Over 90</v>
      </c>
      <c r="F2495" s="12" t="str">
        <f t="shared" si="39"/>
        <v>11/08/2017</v>
      </c>
      <c r="G2495" t="str">
        <f>VLOOKUP(A2495,inf!$D$2:$E$76,2,FALSE)</f>
        <v>SBUX</v>
      </c>
    </row>
    <row r="2496" spans="1:7" x14ac:dyDescent="0.25">
      <c r="A2496" t="s">
        <v>6</v>
      </c>
      <c r="B2496" s="1">
        <v>43047</v>
      </c>
      <c r="C2496" t="s">
        <v>60</v>
      </c>
      <c r="D2496" s="4">
        <v>8721.3000000000011</v>
      </c>
      <c r="E2496" s="12" t="str">
        <f>VLOOKUP(C2496,inf!$A$2:$B$7,2,FALSE)</f>
        <v>Over 90</v>
      </c>
      <c r="F2496" s="12" t="str">
        <f t="shared" si="39"/>
        <v>11/08/2017</v>
      </c>
      <c r="G2496" t="str">
        <f>VLOOKUP(A2496,inf!$D$2:$E$76,2,FALSE)</f>
        <v>SBUX</v>
      </c>
    </row>
    <row r="2497" spans="1:7" x14ac:dyDescent="0.25">
      <c r="A2497" t="s">
        <v>48</v>
      </c>
      <c r="B2497" s="1">
        <v>43047</v>
      </c>
      <c r="C2497" t="s">
        <v>55</v>
      </c>
      <c r="D2497" s="4">
        <v>370176.4599999999</v>
      </c>
      <c r="E2497" s="12" t="str">
        <f>VLOOKUP(C2497,inf!$A$2:$B$7,2,FALSE)</f>
        <v>Current</v>
      </c>
      <c r="F2497" s="12" t="str">
        <f t="shared" si="39"/>
        <v>11/08/2017</v>
      </c>
      <c r="G2497" t="str">
        <f>VLOOKUP(A2497,inf!$D$2:$E$76,2,FALSE)</f>
        <v>Target</v>
      </c>
    </row>
    <row r="2498" spans="1:7" x14ac:dyDescent="0.25">
      <c r="A2498" t="s">
        <v>48</v>
      </c>
      <c r="B2498" s="1">
        <v>43047</v>
      </c>
      <c r="C2498" t="s">
        <v>56</v>
      </c>
      <c r="D2498" s="4">
        <v>9976.92</v>
      </c>
      <c r="E2498" s="12" t="str">
        <f>VLOOKUP(C2498,inf!$A$2:$B$7,2,FALSE)</f>
        <v>Current</v>
      </c>
      <c r="F2498" s="12" t="str">
        <f t="shared" si="39"/>
        <v>11/08/2017</v>
      </c>
      <c r="G2498" t="str">
        <f>VLOOKUP(A2498,inf!$D$2:$E$76,2,FALSE)</f>
        <v>Target</v>
      </c>
    </row>
    <row r="2499" spans="1:7" x14ac:dyDescent="0.25">
      <c r="A2499" t="s">
        <v>48</v>
      </c>
      <c r="B2499" s="1">
        <v>43047</v>
      </c>
      <c r="C2499" t="s">
        <v>57</v>
      </c>
      <c r="D2499" s="4">
        <v>4608.9799999999996</v>
      </c>
      <c r="E2499" s="12" t="str">
        <f>VLOOKUP(C2499,inf!$A$2:$B$7,2,FALSE)</f>
        <v>31 to 60</v>
      </c>
      <c r="F2499" s="12" t="str">
        <f t="shared" ref="F2499:F2562" si="40">TEXT(B2499,"MM/DD/YYYY")</f>
        <v>11/08/2017</v>
      </c>
      <c r="G2499" t="str">
        <f>VLOOKUP(A2499,inf!$D$2:$E$76,2,FALSE)</f>
        <v>Target</v>
      </c>
    </row>
    <row r="2500" spans="1:7" x14ac:dyDescent="0.25">
      <c r="A2500" t="s">
        <v>48</v>
      </c>
      <c r="B2500" s="1">
        <v>43047</v>
      </c>
      <c r="C2500" t="s">
        <v>58</v>
      </c>
      <c r="D2500" s="4">
        <v>1030.3499999999999</v>
      </c>
      <c r="E2500" s="12" t="str">
        <f>VLOOKUP(C2500,inf!$A$2:$B$7,2,FALSE)</f>
        <v>61 to 90</v>
      </c>
      <c r="F2500" s="12" t="str">
        <f t="shared" si="40"/>
        <v>11/08/2017</v>
      </c>
      <c r="G2500" t="str">
        <f>VLOOKUP(A2500,inf!$D$2:$E$76,2,FALSE)</f>
        <v>Target</v>
      </c>
    </row>
    <row r="2501" spans="1:7" x14ac:dyDescent="0.25">
      <c r="A2501" t="s">
        <v>48</v>
      </c>
      <c r="B2501" s="1">
        <v>43047</v>
      </c>
      <c r="C2501" t="s">
        <v>59</v>
      </c>
      <c r="D2501" s="4">
        <v>1079.72</v>
      </c>
      <c r="E2501" s="12" t="str">
        <f>VLOOKUP(C2501,inf!$A$2:$B$7,2,FALSE)</f>
        <v>Over 90</v>
      </c>
      <c r="F2501" s="12" t="str">
        <f t="shared" si="40"/>
        <v>11/08/2017</v>
      </c>
      <c r="G2501" t="str">
        <f>VLOOKUP(A2501,inf!$D$2:$E$76,2,FALSE)</f>
        <v>Target</v>
      </c>
    </row>
    <row r="2502" spans="1:7" x14ac:dyDescent="0.25">
      <c r="A2502" t="s">
        <v>8</v>
      </c>
      <c r="B2502" s="1">
        <v>43047</v>
      </c>
      <c r="C2502" t="s">
        <v>55</v>
      </c>
      <c r="D2502" s="4">
        <v>506894.71999999887</v>
      </c>
      <c r="E2502" s="12" t="str">
        <f>VLOOKUP(C2502,inf!$A$2:$B$7,2,FALSE)</f>
        <v>Current</v>
      </c>
      <c r="F2502" s="12" t="str">
        <f t="shared" si="40"/>
        <v>11/08/2017</v>
      </c>
      <c r="G2502" t="str">
        <f>VLOOKUP(A2502,inf!$D$2:$E$76,2,FALSE)</f>
        <v>Target</v>
      </c>
    </row>
    <row r="2503" spans="1:7" x14ac:dyDescent="0.25">
      <c r="A2503" t="s">
        <v>8</v>
      </c>
      <c r="B2503" s="1">
        <v>43047</v>
      </c>
      <c r="C2503" t="s">
        <v>56</v>
      </c>
      <c r="D2503" s="4">
        <v>20664.22</v>
      </c>
      <c r="E2503" s="12" t="str">
        <f>VLOOKUP(C2503,inf!$A$2:$B$7,2,FALSE)</f>
        <v>Current</v>
      </c>
      <c r="F2503" s="12" t="str">
        <f t="shared" si="40"/>
        <v>11/08/2017</v>
      </c>
      <c r="G2503" t="str">
        <f>VLOOKUP(A2503,inf!$D$2:$E$76,2,FALSE)</f>
        <v>Target</v>
      </c>
    </row>
    <row r="2504" spans="1:7" x14ac:dyDescent="0.25">
      <c r="A2504" t="s">
        <v>8</v>
      </c>
      <c r="B2504" s="1">
        <v>43047</v>
      </c>
      <c r="C2504" t="s">
        <v>57</v>
      </c>
      <c r="D2504" s="4">
        <v>6858.46</v>
      </c>
      <c r="E2504" s="12" t="str">
        <f>VLOOKUP(C2504,inf!$A$2:$B$7,2,FALSE)</f>
        <v>31 to 60</v>
      </c>
      <c r="F2504" s="12" t="str">
        <f t="shared" si="40"/>
        <v>11/08/2017</v>
      </c>
      <c r="G2504" t="str">
        <f>VLOOKUP(A2504,inf!$D$2:$E$76,2,FALSE)</f>
        <v>Target</v>
      </c>
    </row>
    <row r="2505" spans="1:7" x14ac:dyDescent="0.25">
      <c r="A2505" t="s">
        <v>8</v>
      </c>
      <c r="B2505" s="1">
        <v>43047</v>
      </c>
      <c r="C2505" t="s">
        <v>58</v>
      </c>
      <c r="D2505" s="4">
        <v>3409.2700000000004</v>
      </c>
      <c r="E2505" s="12" t="str">
        <f>VLOOKUP(C2505,inf!$A$2:$B$7,2,FALSE)</f>
        <v>61 to 90</v>
      </c>
      <c r="F2505" s="12" t="str">
        <f t="shared" si="40"/>
        <v>11/08/2017</v>
      </c>
      <c r="G2505" t="str">
        <f>VLOOKUP(A2505,inf!$D$2:$E$76,2,FALSE)</f>
        <v>Target</v>
      </c>
    </row>
    <row r="2506" spans="1:7" x14ac:dyDescent="0.25">
      <c r="A2506" t="s">
        <v>8</v>
      </c>
      <c r="B2506" s="1">
        <v>43047</v>
      </c>
      <c r="C2506" t="s">
        <v>59</v>
      </c>
      <c r="D2506" s="4">
        <v>10340.849999999999</v>
      </c>
      <c r="E2506" s="12" t="str">
        <f>VLOOKUP(C2506,inf!$A$2:$B$7,2,FALSE)</f>
        <v>Over 90</v>
      </c>
      <c r="F2506" s="12" t="str">
        <f t="shared" si="40"/>
        <v>11/08/2017</v>
      </c>
      <c r="G2506" t="str">
        <f>VLOOKUP(A2506,inf!$D$2:$E$76,2,FALSE)</f>
        <v>Target</v>
      </c>
    </row>
    <row r="2507" spans="1:7" x14ac:dyDescent="0.25">
      <c r="A2507" t="s">
        <v>8</v>
      </c>
      <c r="B2507" s="1">
        <v>43047</v>
      </c>
      <c r="C2507" t="s">
        <v>60</v>
      </c>
      <c r="D2507" s="4">
        <v>37563.239999999991</v>
      </c>
      <c r="E2507" s="12" t="str">
        <f>VLOOKUP(C2507,inf!$A$2:$B$7,2,FALSE)</f>
        <v>Over 90</v>
      </c>
      <c r="F2507" s="12" t="str">
        <f t="shared" si="40"/>
        <v>11/08/2017</v>
      </c>
      <c r="G2507" t="str">
        <f>VLOOKUP(A2507,inf!$D$2:$E$76,2,FALSE)</f>
        <v>Target</v>
      </c>
    </row>
    <row r="2508" spans="1:7" x14ac:dyDescent="0.25">
      <c r="A2508" t="s">
        <v>54</v>
      </c>
      <c r="B2508" s="1">
        <v>43047</v>
      </c>
      <c r="C2508" t="s">
        <v>57</v>
      </c>
      <c r="D2508" s="4">
        <v>245.44</v>
      </c>
      <c r="E2508" s="12" t="str">
        <f>VLOOKUP(C2508,inf!$A$2:$B$7,2,FALSE)</f>
        <v>31 to 60</v>
      </c>
      <c r="F2508" s="12" t="str">
        <f t="shared" si="40"/>
        <v>11/08/2017</v>
      </c>
      <c r="G2508" t="str">
        <f>VLOOKUP(A2508,inf!$D$2:$E$76,2,FALSE)</f>
        <v>Other</v>
      </c>
    </row>
    <row r="2509" spans="1:7" x14ac:dyDescent="0.25">
      <c r="A2509" t="s">
        <v>28</v>
      </c>
      <c r="B2509" s="1">
        <v>43047</v>
      </c>
      <c r="C2509" t="s">
        <v>55</v>
      </c>
      <c r="D2509" s="4">
        <v>4033.7299999999996</v>
      </c>
      <c r="E2509" s="12" t="str">
        <f>VLOOKUP(C2509,inf!$A$2:$B$7,2,FALSE)</f>
        <v>Current</v>
      </c>
      <c r="F2509" s="12" t="str">
        <f t="shared" si="40"/>
        <v>11/08/2017</v>
      </c>
      <c r="G2509" t="str">
        <f>VLOOKUP(A2509,inf!$D$2:$E$76,2,FALSE)</f>
        <v>Other</v>
      </c>
    </row>
    <row r="2510" spans="1:7" x14ac:dyDescent="0.25">
      <c r="A2510" t="s">
        <v>28</v>
      </c>
      <c r="B2510" s="1">
        <v>43047</v>
      </c>
      <c r="C2510" t="s">
        <v>56</v>
      </c>
      <c r="D2510" s="4">
        <v>3595.83</v>
      </c>
      <c r="E2510" s="12" t="str">
        <f>VLOOKUP(C2510,inf!$A$2:$B$7,2,FALSE)</f>
        <v>Current</v>
      </c>
      <c r="F2510" s="12" t="str">
        <f t="shared" si="40"/>
        <v>11/08/2017</v>
      </c>
      <c r="G2510" t="str">
        <f>VLOOKUP(A2510,inf!$D$2:$E$76,2,FALSE)</f>
        <v>Other</v>
      </c>
    </row>
    <row r="2511" spans="1:7" x14ac:dyDescent="0.25">
      <c r="A2511" t="s">
        <v>28</v>
      </c>
      <c r="B2511" s="1">
        <v>43047</v>
      </c>
      <c r="C2511" t="s">
        <v>57</v>
      </c>
      <c r="D2511" s="4">
        <v>682.55</v>
      </c>
      <c r="E2511" s="12" t="str">
        <f>VLOOKUP(C2511,inf!$A$2:$B$7,2,FALSE)</f>
        <v>31 to 60</v>
      </c>
      <c r="F2511" s="12" t="str">
        <f t="shared" si="40"/>
        <v>11/08/2017</v>
      </c>
      <c r="G2511" t="str">
        <f>VLOOKUP(A2511,inf!$D$2:$E$76,2,FALSE)</f>
        <v>Other</v>
      </c>
    </row>
    <row r="2512" spans="1:7" x14ac:dyDescent="0.25">
      <c r="A2512" t="s">
        <v>15</v>
      </c>
      <c r="B2512" s="1">
        <v>43047</v>
      </c>
      <c r="C2512" t="s">
        <v>55</v>
      </c>
      <c r="D2512" s="4">
        <v>1105.6200000000001</v>
      </c>
      <c r="E2512" s="12" t="str">
        <f>VLOOKUP(C2512,inf!$A$2:$B$7,2,FALSE)</f>
        <v>Current</v>
      </c>
      <c r="F2512" s="12" t="str">
        <f t="shared" si="40"/>
        <v>11/08/2017</v>
      </c>
      <c r="G2512" t="str">
        <f>VLOOKUP(A2512,inf!$D$2:$E$76,2,FALSE)</f>
        <v>Other</v>
      </c>
    </row>
    <row r="2513" spans="1:7" x14ac:dyDescent="0.25">
      <c r="A2513" t="s">
        <v>15</v>
      </c>
      <c r="B2513" s="1">
        <v>43047</v>
      </c>
      <c r="C2513" t="s">
        <v>56</v>
      </c>
      <c r="D2513" s="4">
        <v>362.26</v>
      </c>
      <c r="E2513" s="12" t="str">
        <f>VLOOKUP(C2513,inf!$A$2:$B$7,2,FALSE)</f>
        <v>Current</v>
      </c>
      <c r="F2513" s="12" t="str">
        <f t="shared" si="40"/>
        <v>11/08/2017</v>
      </c>
      <c r="G2513" t="str">
        <f>VLOOKUP(A2513,inf!$D$2:$E$76,2,FALSE)</f>
        <v>Other</v>
      </c>
    </row>
    <row r="2514" spans="1:7" x14ac:dyDescent="0.25">
      <c r="A2514" t="s">
        <v>15</v>
      </c>
      <c r="B2514" s="1">
        <v>43047</v>
      </c>
      <c r="C2514" t="s">
        <v>58</v>
      </c>
      <c r="D2514" s="4">
        <v>291.60000000000002</v>
      </c>
      <c r="E2514" s="12" t="str">
        <f>VLOOKUP(C2514,inf!$A$2:$B$7,2,FALSE)</f>
        <v>61 to 90</v>
      </c>
      <c r="F2514" s="12" t="str">
        <f t="shared" si="40"/>
        <v>11/08/2017</v>
      </c>
      <c r="G2514" t="str">
        <f>VLOOKUP(A2514,inf!$D$2:$E$76,2,FALSE)</f>
        <v>Other</v>
      </c>
    </row>
    <row r="2515" spans="1:7" x14ac:dyDescent="0.25">
      <c r="A2515" t="s">
        <v>4</v>
      </c>
      <c r="B2515" s="1">
        <v>43054</v>
      </c>
      <c r="C2515" t="s">
        <v>55</v>
      </c>
      <c r="D2515" s="4">
        <v>4239.53</v>
      </c>
      <c r="E2515" s="12" t="str">
        <f>VLOOKUP(C2515,inf!$A$2:$B$7,2,FALSE)</f>
        <v>Current</v>
      </c>
      <c r="F2515" s="12" t="str">
        <f t="shared" si="40"/>
        <v>11/15/2017</v>
      </c>
      <c r="G2515" t="str">
        <f>VLOOKUP(A2515,inf!$D$2:$E$76,2,FALSE)</f>
        <v>Other</v>
      </c>
    </row>
    <row r="2516" spans="1:7" x14ac:dyDescent="0.25">
      <c r="A2516" t="s">
        <v>4</v>
      </c>
      <c r="B2516" s="1">
        <v>43054</v>
      </c>
      <c r="C2516" t="s">
        <v>56</v>
      </c>
      <c r="D2516" s="4">
        <v>526.84</v>
      </c>
      <c r="E2516" s="12" t="str">
        <f>VLOOKUP(C2516,inf!$A$2:$B$7,2,FALSE)</f>
        <v>Current</v>
      </c>
      <c r="F2516" s="12" t="str">
        <f t="shared" si="40"/>
        <v>11/15/2017</v>
      </c>
      <c r="G2516" t="str">
        <f>VLOOKUP(A2516,inf!$D$2:$E$76,2,FALSE)</f>
        <v>Other</v>
      </c>
    </row>
    <row r="2517" spans="1:7" x14ac:dyDescent="0.25">
      <c r="A2517" t="s">
        <v>25</v>
      </c>
      <c r="B2517" s="1">
        <v>43054</v>
      </c>
      <c r="C2517" t="s">
        <v>55</v>
      </c>
      <c r="D2517" s="4">
        <v>983.55000000000007</v>
      </c>
      <c r="E2517" s="12" t="str">
        <f>VLOOKUP(C2517,inf!$A$2:$B$7,2,FALSE)</f>
        <v>Current</v>
      </c>
      <c r="F2517" s="12" t="str">
        <f t="shared" si="40"/>
        <v>11/15/2017</v>
      </c>
      <c r="G2517" t="str">
        <f>VLOOKUP(A2517,inf!$D$2:$E$76,2,FALSE)</f>
        <v>Other</v>
      </c>
    </row>
    <row r="2518" spans="1:7" x14ac:dyDescent="0.25">
      <c r="A2518" t="s">
        <v>31</v>
      </c>
      <c r="B2518" s="1">
        <v>43054</v>
      </c>
      <c r="C2518" t="s">
        <v>57</v>
      </c>
      <c r="D2518" s="4">
        <v>539.82999999999993</v>
      </c>
      <c r="E2518" s="12" t="str">
        <f>VLOOKUP(C2518,inf!$A$2:$B$7,2,FALSE)</f>
        <v>31 to 60</v>
      </c>
      <c r="F2518" s="12" t="str">
        <f t="shared" si="40"/>
        <v>11/15/2017</v>
      </c>
      <c r="G2518" t="str">
        <f>VLOOKUP(A2518,inf!$D$2:$E$76,2,FALSE)</f>
        <v>Other</v>
      </c>
    </row>
    <row r="2519" spans="1:7" x14ac:dyDescent="0.25">
      <c r="A2519" t="s">
        <v>31</v>
      </c>
      <c r="B2519" s="1">
        <v>43054</v>
      </c>
      <c r="C2519" t="s">
        <v>58</v>
      </c>
      <c r="D2519" s="4">
        <v>296.71000000000004</v>
      </c>
      <c r="E2519" s="12" t="str">
        <f>VLOOKUP(C2519,inf!$A$2:$B$7,2,FALSE)</f>
        <v>61 to 90</v>
      </c>
      <c r="F2519" s="12" t="str">
        <f t="shared" si="40"/>
        <v>11/15/2017</v>
      </c>
      <c r="G2519" t="str">
        <f>VLOOKUP(A2519,inf!$D$2:$E$76,2,FALSE)</f>
        <v>Other</v>
      </c>
    </row>
    <row r="2520" spans="1:7" x14ac:dyDescent="0.25">
      <c r="A2520" t="s">
        <v>24</v>
      </c>
      <c r="B2520" s="1">
        <v>43054</v>
      </c>
      <c r="C2520" t="s">
        <v>55</v>
      </c>
      <c r="D2520" s="4">
        <v>143.57</v>
      </c>
      <c r="E2520" s="12" t="str">
        <f>VLOOKUP(C2520,inf!$A$2:$B$7,2,FALSE)</f>
        <v>Current</v>
      </c>
      <c r="F2520" s="12" t="str">
        <f t="shared" si="40"/>
        <v>11/15/2017</v>
      </c>
      <c r="G2520" t="str">
        <f>VLOOKUP(A2520,inf!$D$2:$E$76,2,FALSE)</f>
        <v>Other</v>
      </c>
    </row>
    <row r="2521" spans="1:7" x14ac:dyDescent="0.25">
      <c r="A2521" t="s">
        <v>18</v>
      </c>
      <c r="B2521" s="1">
        <v>43054</v>
      </c>
      <c r="C2521" t="s">
        <v>55</v>
      </c>
      <c r="D2521" s="4">
        <v>559.53</v>
      </c>
      <c r="E2521" s="12" t="str">
        <f>VLOOKUP(C2521,inf!$A$2:$B$7,2,FALSE)</f>
        <v>Current</v>
      </c>
      <c r="F2521" s="12" t="str">
        <f t="shared" si="40"/>
        <v>11/15/2017</v>
      </c>
      <c r="G2521" t="str">
        <f>VLOOKUP(A2521,inf!$D$2:$E$76,2,FALSE)</f>
        <v>Other</v>
      </c>
    </row>
    <row r="2522" spans="1:7" x14ac:dyDescent="0.25">
      <c r="A2522" t="s">
        <v>62</v>
      </c>
      <c r="B2522" s="1">
        <v>43054</v>
      </c>
      <c r="C2522" t="s">
        <v>57</v>
      </c>
      <c r="D2522" s="4">
        <v>229.7</v>
      </c>
      <c r="E2522" s="12" t="str">
        <f>VLOOKUP(C2522,inf!$A$2:$B$7,2,FALSE)</f>
        <v>31 to 60</v>
      </c>
      <c r="F2522" s="12" t="str">
        <f t="shared" si="40"/>
        <v>11/15/2017</v>
      </c>
      <c r="G2522" t="str">
        <f>VLOOKUP(A2522,inf!$D$2:$E$76,2,FALSE)</f>
        <v>Other</v>
      </c>
    </row>
    <row r="2523" spans="1:7" x14ac:dyDescent="0.25">
      <c r="A2523" t="s">
        <v>62</v>
      </c>
      <c r="B2523" s="1">
        <v>43054</v>
      </c>
      <c r="C2523" t="s">
        <v>58</v>
      </c>
      <c r="D2523" s="4">
        <v>241.51</v>
      </c>
      <c r="E2523" s="12" t="str">
        <f>VLOOKUP(C2523,inf!$A$2:$B$7,2,FALSE)</f>
        <v>61 to 90</v>
      </c>
      <c r="F2523" s="12" t="str">
        <f t="shared" si="40"/>
        <v>11/15/2017</v>
      </c>
      <c r="G2523" t="str">
        <f>VLOOKUP(A2523,inf!$D$2:$E$76,2,FALSE)</f>
        <v>Other</v>
      </c>
    </row>
    <row r="2524" spans="1:7" x14ac:dyDescent="0.25">
      <c r="A2524" t="s">
        <v>21</v>
      </c>
      <c r="B2524" s="1">
        <v>43054</v>
      </c>
      <c r="C2524" t="s">
        <v>56</v>
      </c>
      <c r="D2524" s="4">
        <v>172.28</v>
      </c>
      <c r="E2524" s="12" t="str">
        <f>VLOOKUP(C2524,inf!$A$2:$B$7,2,FALSE)</f>
        <v>Current</v>
      </c>
      <c r="F2524" s="12" t="str">
        <f t="shared" si="40"/>
        <v>11/15/2017</v>
      </c>
      <c r="G2524" t="str">
        <f>VLOOKUP(A2524,inf!$D$2:$E$76,2,FALSE)</f>
        <v>Other</v>
      </c>
    </row>
    <row r="2525" spans="1:7" x14ac:dyDescent="0.25">
      <c r="A2525" t="s">
        <v>3</v>
      </c>
      <c r="B2525" s="1">
        <v>43054</v>
      </c>
      <c r="C2525" t="s">
        <v>55</v>
      </c>
      <c r="D2525" s="4">
        <v>2754.42</v>
      </c>
      <c r="E2525" s="12" t="str">
        <f>VLOOKUP(C2525,inf!$A$2:$B$7,2,FALSE)</f>
        <v>Current</v>
      </c>
      <c r="F2525" s="12" t="str">
        <f t="shared" si="40"/>
        <v>11/15/2017</v>
      </c>
      <c r="G2525" t="str">
        <f>VLOOKUP(A2525,inf!$D$2:$E$76,2,FALSE)</f>
        <v>Other</v>
      </c>
    </row>
    <row r="2526" spans="1:7" x14ac:dyDescent="0.25">
      <c r="A2526" t="s">
        <v>3</v>
      </c>
      <c r="B2526" s="1">
        <v>43054</v>
      </c>
      <c r="C2526" t="s">
        <v>56</v>
      </c>
      <c r="D2526" s="4">
        <v>450.12</v>
      </c>
      <c r="E2526" s="12" t="str">
        <f>VLOOKUP(C2526,inf!$A$2:$B$7,2,FALSE)</f>
        <v>Current</v>
      </c>
      <c r="F2526" s="12" t="str">
        <f t="shared" si="40"/>
        <v>11/15/2017</v>
      </c>
      <c r="G2526" t="str">
        <f>VLOOKUP(A2526,inf!$D$2:$E$76,2,FALSE)</f>
        <v>Other</v>
      </c>
    </row>
    <row r="2527" spans="1:7" x14ac:dyDescent="0.25">
      <c r="A2527" t="s">
        <v>3</v>
      </c>
      <c r="B2527" s="1">
        <v>43054</v>
      </c>
      <c r="C2527" t="s">
        <v>57</v>
      </c>
      <c r="D2527" s="4">
        <v>197.82</v>
      </c>
      <c r="E2527" s="12" t="str">
        <f>VLOOKUP(C2527,inf!$A$2:$B$7,2,FALSE)</f>
        <v>31 to 60</v>
      </c>
      <c r="F2527" s="12" t="str">
        <f t="shared" si="40"/>
        <v>11/15/2017</v>
      </c>
      <c r="G2527" t="str">
        <f>VLOOKUP(A2527,inf!$D$2:$E$76,2,FALSE)</f>
        <v>Other</v>
      </c>
    </row>
    <row r="2528" spans="1:7" x14ac:dyDescent="0.25">
      <c r="A2528" t="s">
        <v>30</v>
      </c>
      <c r="B2528" s="1">
        <v>43054</v>
      </c>
      <c r="C2528" t="s">
        <v>55</v>
      </c>
      <c r="D2528" s="4">
        <v>793.27</v>
      </c>
      <c r="E2528" s="12" t="str">
        <f>VLOOKUP(C2528,inf!$A$2:$B$7,2,FALSE)</f>
        <v>Current</v>
      </c>
      <c r="F2528" s="12" t="str">
        <f t="shared" si="40"/>
        <v>11/15/2017</v>
      </c>
      <c r="G2528" t="str">
        <f>VLOOKUP(A2528,inf!$D$2:$E$76,2,FALSE)</f>
        <v>Other</v>
      </c>
    </row>
    <row r="2529" spans="1:7" x14ac:dyDescent="0.25">
      <c r="A2529" t="s">
        <v>30</v>
      </c>
      <c r="B2529" s="1">
        <v>43054</v>
      </c>
      <c r="C2529" t="s">
        <v>56</v>
      </c>
      <c r="D2529" s="4">
        <v>232.39</v>
      </c>
      <c r="E2529" s="12" t="str">
        <f>VLOOKUP(C2529,inf!$A$2:$B$7,2,FALSE)</f>
        <v>Current</v>
      </c>
      <c r="F2529" s="12" t="str">
        <f t="shared" si="40"/>
        <v>11/15/2017</v>
      </c>
      <c r="G2529" t="str">
        <f>VLOOKUP(A2529,inf!$D$2:$E$76,2,FALSE)</f>
        <v>Other</v>
      </c>
    </row>
    <row r="2530" spans="1:7" x14ac:dyDescent="0.25">
      <c r="A2530" t="s">
        <v>30</v>
      </c>
      <c r="B2530" s="1">
        <v>43054</v>
      </c>
      <c r="C2530" t="s">
        <v>57</v>
      </c>
      <c r="D2530" s="4">
        <v>155.4</v>
      </c>
      <c r="E2530" s="12" t="str">
        <f>VLOOKUP(C2530,inf!$A$2:$B$7,2,FALSE)</f>
        <v>31 to 60</v>
      </c>
      <c r="F2530" s="12" t="str">
        <f t="shared" si="40"/>
        <v>11/15/2017</v>
      </c>
      <c r="G2530" t="str">
        <f>VLOOKUP(A2530,inf!$D$2:$E$76,2,FALSE)</f>
        <v>Other</v>
      </c>
    </row>
    <row r="2531" spans="1:7" x14ac:dyDescent="0.25">
      <c r="A2531" t="s">
        <v>63</v>
      </c>
      <c r="B2531" s="1">
        <v>43054</v>
      </c>
      <c r="C2531" t="s">
        <v>58</v>
      </c>
      <c r="D2531" s="4">
        <v>170.49</v>
      </c>
      <c r="E2531" s="12" t="str">
        <f>VLOOKUP(C2531,inf!$A$2:$B$7,2,FALSE)</f>
        <v>61 to 90</v>
      </c>
      <c r="F2531" s="12" t="str">
        <f t="shared" si="40"/>
        <v>11/15/2017</v>
      </c>
      <c r="G2531" t="str">
        <f>VLOOKUP(A2531,inf!$D$2:$E$76,2,FALSE)</f>
        <v>Other</v>
      </c>
    </row>
    <row r="2532" spans="1:7" x14ac:dyDescent="0.25">
      <c r="A2532" t="s">
        <v>12</v>
      </c>
      <c r="B2532" s="1">
        <v>43054</v>
      </c>
      <c r="C2532" t="s">
        <v>55</v>
      </c>
      <c r="D2532" s="4">
        <v>714.22</v>
      </c>
      <c r="E2532" s="12" t="str">
        <f>VLOOKUP(C2532,inf!$A$2:$B$7,2,FALSE)</f>
        <v>Current</v>
      </c>
      <c r="F2532" s="12" t="str">
        <f t="shared" si="40"/>
        <v>11/15/2017</v>
      </c>
      <c r="G2532" t="str">
        <f>VLOOKUP(A2532,inf!$D$2:$E$76,2,FALSE)</f>
        <v>Other</v>
      </c>
    </row>
    <row r="2533" spans="1:7" x14ac:dyDescent="0.25">
      <c r="A2533" t="s">
        <v>12</v>
      </c>
      <c r="B2533" s="1">
        <v>43054</v>
      </c>
      <c r="C2533" t="s">
        <v>60</v>
      </c>
      <c r="D2533" s="4">
        <v>394.94</v>
      </c>
      <c r="E2533" s="12" t="str">
        <f>VLOOKUP(C2533,inf!$A$2:$B$7,2,FALSE)</f>
        <v>Over 90</v>
      </c>
      <c r="F2533" s="12" t="str">
        <f t="shared" si="40"/>
        <v>11/15/2017</v>
      </c>
      <c r="G2533" t="str">
        <f>VLOOKUP(A2533,inf!$D$2:$E$76,2,FALSE)</f>
        <v>Other</v>
      </c>
    </row>
    <row r="2534" spans="1:7" x14ac:dyDescent="0.25">
      <c r="A2534" t="s">
        <v>50</v>
      </c>
      <c r="B2534" s="1">
        <v>43054</v>
      </c>
      <c r="C2534" t="s">
        <v>55</v>
      </c>
      <c r="D2534" s="4">
        <v>202.62</v>
      </c>
      <c r="E2534" s="12" t="str">
        <f>VLOOKUP(C2534,inf!$A$2:$B$7,2,FALSE)</f>
        <v>Current</v>
      </c>
      <c r="F2534" s="12" t="str">
        <f t="shared" si="40"/>
        <v>11/15/2017</v>
      </c>
      <c r="G2534" t="str">
        <f>VLOOKUP(A2534,inf!$D$2:$E$76,2,FALSE)</f>
        <v>Other</v>
      </c>
    </row>
    <row r="2535" spans="1:7" x14ac:dyDescent="0.25">
      <c r="A2535" t="s">
        <v>23</v>
      </c>
      <c r="B2535" s="1">
        <v>43054</v>
      </c>
      <c r="C2535" t="s">
        <v>55</v>
      </c>
      <c r="D2535" s="4">
        <v>250.61</v>
      </c>
      <c r="E2535" s="12" t="str">
        <f>VLOOKUP(C2535,inf!$A$2:$B$7,2,FALSE)</f>
        <v>Current</v>
      </c>
      <c r="F2535" s="12" t="str">
        <f t="shared" si="40"/>
        <v>11/15/2017</v>
      </c>
      <c r="G2535" t="str">
        <f>VLOOKUP(A2535,inf!$D$2:$E$76,2,FALSE)</f>
        <v>Other</v>
      </c>
    </row>
    <row r="2536" spans="1:7" x14ac:dyDescent="0.25">
      <c r="A2536" t="s">
        <v>7</v>
      </c>
      <c r="B2536" s="1">
        <v>43054</v>
      </c>
      <c r="C2536" t="s">
        <v>55</v>
      </c>
      <c r="D2536" s="4">
        <v>105322.58999999995</v>
      </c>
      <c r="E2536" s="12" t="str">
        <f>VLOOKUP(C2536,inf!$A$2:$B$7,2,FALSE)</f>
        <v>Current</v>
      </c>
      <c r="F2536" s="12" t="str">
        <f t="shared" si="40"/>
        <v>11/15/2017</v>
      </c>
      <c r="G2536" t="str">
        <f>VLOOKUP(A2536,inf!$D$2:$E$76,2,FALSE)</f>
        <v>SAFEWAY</v>
      </c>
    </row>
    <row r="2537" spans="1:7" x14ac:dyDescent="0.25">
      <c r="A2537" t="s">
        <v>7</v>
      </c>
      <c r="B2537" s="1">
        <v>43054</v>
      </c>
      <c r="C2537" t="s">
        <v>56</v>
      </c>
      <c r="D2537" s="4">
        <v>21540.49</v>
      </c>
      <c r="E2537" s="12" t="str">
        <f>VLOOKUP(C2537,inf!$A$2:$B$7,2,FALSE)</f>
        <v>Current</v>
      </c>
      <c r="F2537" s="12" t="str">
        <f t="shared" si="40"/>
        <v>11/15/2017</v>
      </c>
      <c r="G2537" t="str">
        <f>VLOOKUP(A2537,inf!$D$2:$E$76,2,FALSE)</f>
        <v>SAFEWAY</v>
      </c>
    </row>
    <row r="2538" spans="1:7" x14ac:dyDescent="0.25">
      <c r="A2538" t="s">
        <v>7</v>
      </c>
      <c r="B2538" s="1">
        <v>43054</v>
      </c>
      <c r="C2538" t="s">
        <v>57</v>
      </c>
      <c r="D2538" s="4">
        <v>1590.09</v>
      </c>
      <c r="E2538" s="12" t="str">
        <f>VLOOKUP(C2538,inf!$A$2:$B$7,2,FALSE)</f>
        <v>31 to 60</v>
      </c>
      <c r="F2538" s="12" t="str">
        <f t="shared" si="40"/>
        <v>11/15/2017</v>
      </c>
      <c r="G2538" t="str">
        <f>VLOOKUP(A2538,inf!$D$2:$E$76,2,FALSE)</f>
        <v>SAFEWAY</v>
      </c>
    </row>
    <row r="2539" spans="1:7" x14ac:dyDescent="0.25">
      <c r="A2539" t="s">
        <v>7</v>
      </c>
      <c r="B2539" s="1">
        <v>43054</v>
      </c>
      <c r="C2539" t="s">
        <v>58</v>
      </c>
      <c r="D2539" s="4">
        <v>274.27999999999997</v>
      </c>
      <c r="E2539" s="12" t="str">
        <f>VLOOKUP(C2539,inf!$A$2:$B$7,2,FALSE)</f>
        <v>61 to 90</v>
      </c>
      <c r="F2539" s="12" t="str">
        <f t="shared" si="40"/>
        <v>11/15/2017</v>
      </c>
      <c r="G2539" t="str">
        <f>VLOOKUP(A2539,inf!$D$2:$E$76,2,FALSE)</f>
        <v>SAFEWAY</v>
      </c>
    </row>
    <row r="2540" spans="1:7" x14ac:dyDescent="0.25">
      <c r="A2540" t="s">
        <v>7</v>
      </c>
      <c r="B2540" s="1">
        <v>43054</v>
      </c>
      <c r="C2540" t="s">
        <v>60</v>
      </c>
      <c r="D2540" s="4">
        <v>334.41</v>
      </c>
      <c r="E2540" s="12" t="str">
        <f>VLOOKUP(C2540,inf!$A$2:$B$7,2,FALSE)</f>
        <v>Over 90</v>
      </c>
      <c r="F2540" s="12" t="str">
        <f t="shared" si="40"/>
        <v>11/15/2017</v>
      </c>
      <c r="G2540" t="str">
        <f>VLOOKUP(A2540,inf!$D$2:$E$76,2,FALSE)</f>
        <v>SAFEWAY</v>
      </c>
    </row>
    <row r="2541" spans="1:7" x14ac:dyDescent="0.25">
      <c r="A2541" t="s">
        <v>74</v>
      </c>
      <c r="B2541" s="1">
        <v>43054</v>
      </c>
      <c r="C2541" t="s">
        <v>57</v>
      </c>
      <c r="D2541" s="4">
        <v>742.26</v>
      </c>
      <c r="E2541" s="12" t="str">
        <f>VLOOKUP(C2541,inf!$A$2:$B$7,2,FALSE)</f>
        <v>31 to 60</v>
      </c>
      <c r="F2541" s="12" t="str">
        <f t="shared" si="40"/>
        <v>11/15/2017</v>
      </c>
      <c r="G2541" t="str">
        <f>VLOOKUP(A2541,inf!$D$2:$E$76,2,FALSE)</f>
        <v>Other</v>
      </c>
    </row>
    <row r="2542" spans="1:7" x14ac:dyDescent="0.25">
      <c r="A2542" t="s">
        <v>72</v>
      </c>
      <c r="B2542" s="1">
        <v>43054</v>
      </c>
      <c r="C2542" t="s">
        <v>55</v>
      </c>
      <c r="D2542" s="4">
        <v>886.40999999999985</v>
      </c>
      <c r="E2542" s="12" t="str">
        <f>VLOOKUP(C2542,inf!$A$2:$B$7,2,FALSE)</f>
        <v>Current</v>
      </c>
      <c r="F2542" s="12" t="str">
        <f t="shared" si="40"/>
        <v>11/15/2017</v>
      </c>
      <c r="G2542" t="str">
        <f>VLOOKUP(A2542,inf!$D$2:$E$76,2,FALSE)</f>
        <v>Other</v>
      </c>
    </row>
    <row r="2543" spans="1:7" x14ac:dyDescent="0.25">
      <c r="A2543" t="s">
        <v>5</v>
      </c>
      <c r="B2543" s="1">
        <v>43054</v>
      </c>
      <c r="C2543" t="s">
        <v>55</v>
      </c>
      <c r="D2543" s="4">
        <v>6212895.7799998578</v>
      </c>
      <c r="E2543" s="12" t="str">
        <f>VLOOKUP(C2543,inf!$A$2:$B$7,2,FALSE)</f>
        <v>Current</v>
      </c>
      <c r="F2543" s="12" t="str">
        <f t="shared" si="40"/>
        <v>11/15/2017</v>
      </c>
      <c r="G2543" t="str">
        <f>VLOOKUP(A2543,inf!$D$2:$E$76,2,FALSE)</f>
        <v>SBUX</v>
      </c>
    </row>
    <row r="2544" spans="1:7" x14ac:dyDescent="0.25">
      <c r="A2544" t="s">
        <v>5</v>
      </c>
      <c r="B2544" s="1">
        <v>43054</v>
      </c>
      <c r="C2544" t="s">
        <v>56</v>
      </c>
      <c r="D2544" s="4">
        <v>55480.199999999983</v>
      </c>
      <c r="E2544" s="12" t="str">
        <f>VLOOKUP(C2544,inf!$A$2:$B$7,2,FALSE)</f>
        <v>Current</v>
      </c>
      <c r="F2544" s="12" t="str">
        <f t="shared" si="40"/>
        <v>11/15/2017</v>
      </c>
      <c r="G2544" t="str">
        <f>VLOOKUP(A2544,inf!$D$2:$E$76,2,FALSE)</f>
        <v>SBUX</v>
      </c>
    </row>
    <row r="2545" spans="1:7" x14ac:dyDescent="0.25">
      <c r="A2545" t="s">
        <v>5</v>
      </c>
      <c r="B2545" s="1">
        <v>43054</v>
      </c>
      <c r="C2545" t="s">
        <v>57</v>
      </c>
      <c r="D2545" s="4">
        <v>27054.55</v>
      </c>
      <c r="E2545" s="12" t="str">
        <f>VLOOKUP(C2545,inf!$A$2:$B$7,2,FALSE)</f>
        <v>31 to 60</v>
      </c>
      <c r="F2545" s="12" t="str">
        <f t="shared" si="40"/>
        <v>11/15/2017</v>
      </c>
      <c r="G2545" t="str">
        <f>VLOOKUP(A2545,inf!$D$2:$E$76,2,FALSE)</f>
        <v>SBUX</v>
      </c>
    </row>
    <row r="2546" spans="1:7" x14ac:dyDescent="0.25">
      <c r="A2546" t="s">
        <v>5</v>
      </c>
      <c r="B2546" s="1">
        <v>43054</v>
      </c>
      <c r="C2546" t="s">
        <v>58</v>
      </c>
      <c r="D2546" s="4">
        <v>30008.599999999995</v>
      </c>
      <c r="E2546" s="12" t="str">
        <f>VLOOKUP(C2546,inf!$A$2:$B$7,2,FALSE)</f>
        <v>61 to 90</v>
      </c>
      <c r="F2546" s="12" t="str">
        <f t="shared" si="40"/>
        <v>11/15/2017</v>
      </c>
      <c r="G2546" t="str">
        <f>VLOOKUP(A2546,inf!$D$2:$E$76,2,FALSE)</f>
        <v>SBUX</v>
      </c>
    </row>
    <row r="2547" spans="1:7" x14ac:dyDescent="0.25">
      <c r="A2547" t="s">
        <v>5</v>
      </c>
      <c r="B2547" s="1">
        <v>43054</v>
      </c>
      <c r="C2547" t="s">
        <v>59</v>
      </c>
      <c r="D2547" s="4">
        <v>21057.749999999996</v>
      </c>
      <c r="E2547" s="12" t="str">
        <f>VLOOKUP(C2547,inf!$A$2:$B$7,2,FALSE)</f>
        <v>Over 90</v>
      </c>
      <c r="F2547" s="12" t="str">
        <f t="shared" si="40"/>
        <v>11/15/2017</v>
      </c>
      <c r="G2547" t="str">
        <f>VLOOKUP(A2547,inf!$D$2:$E$76,2,FALSE)</f>
        <v>SBUX</v>
      </c>
    </row>
    <row r="2548" spans="1:7" x14ac:dyDescent="0.25">
      <c r="A2548" t="s">
        <v>5</v>
      </c>
      <c r="B2548" s="1">
        <v>43054</v>
      </c>
      <c r="C2548" t="s">
        <v>60</v>
      </c>
      <c r="D2548" s="4">
        <v>116202.7200000001</v>
      </c>
      <c r="E2548" s="12" t="str">
        <f>VLOOKUP(C2548,inf!$A$2:$B$7,2,FALSE)</f>
        <v>Over 90</v>
      </c>
      <c r="F2548" s="12" t="str">
        <f t="shared" si="40"/>
        <v>11/15/2017</v>
      </c>
      <c r="G2548" t="str">
        <f>VLOOKUP(A2548,inf!$D$2:$E$76,2,FALSE)</f>
        <v>SBUX</v>
      </c>
    </row>
    <row r="2549" spans="1:7" x14ac:dyDescent="0.25">
      <c r="A2549" t="s">
        <v>6</v>
      </c>
      <c r="B2549" s="1">
        <v>43054</v>
      </c>
      <c r="C2549" t="s">
        <v>55</v>
      </c>
      <c r="D2549" s="4">
        <v>524460.57999999553</v>
      </c>
      <c r="E2549" s="12" t="str">
        <f>VLOOKUP(C2549,inf!$A$2:$B$7,2,FALSE)</f>
        <v>Current</v>
      </c>
      <c r="F2549" s="12" t="str">
        <f t="shared" si="40"/>
        <v>11/15/2017</v>
      </c>
      <c r="G2549" t="str">
        <f>VLOOKUP(A2549,inf!$D$2:$E$76,2,FALSE)</f>
        <v>SBUX</v>
      </c>
    </row>
    <row r="2550" spans="1:7" x14ac:dyDescent="0.25">
      <c r="A2550" t="s">
        <v>6</v>
      </c>
      <c r="B2550" s="1">
        <v>43054</v>
      </c>
      <c r="C2550" t="s">
        <v>56</v>
      </c>
      <c r="D2550" s="4">
        <v>8061.41</v>
      </c>
      <c r="E2550" s="12" t="str">
        <f>VLOOKUP(C2550,inf!$A$2:$B$7,2,FALSE)</f>
        <v>Current</v>
      </c>
      <c r="F2550" s="12" t="str">
        <f t="shared" si="40"/>
        <v>11/15/2017</v>
      </c>
      <c r="G2550" t="str">
        <f>VLOOKUP(A2550,inf!$D$2:$E$76,2,FALSE)</f>
        <v>SBUX</v>
      </c>
    </row>
    <row r="2551" spans="1:7" x14ac:dyDescent="0.25">
      <c r="A2551" t="s">
        <v>6</v>
      </c>
      <c r="B2551" s="1">
        <v>43054</v>
      </c>
      <c r="C2551" t="s">
        <v>57</v>
      </c>
      <c r="D2551" s="4">
        <v>2862.35</v>
      </c>
      <c r="E2551" s="12" t="str">
        <f>VLOOKUP(C2551,inf!$A$2:$B$7,2,FALSE)</f>
        <v>31 to 60</v>
      </c>
      <c r="F2551" s="12" t="str">
        <f t="shared" si="40"/>
        <v>11/15/2017</v>
      </c>
      <c r="G2551" t="str">
        <f>VLOOKUP(A2551,inf!$D$2:$E$76,2,FALSE)</f>
        <v>SBUX</v>
      </c>
    </row>
    <row r="2552" spans="1:7" x14ac:dyDescent="0.25">
      <c r="A2552" t="s">
        <v>6</v>
      </c>
      <c r="B2552" s="1">
        <v>43054</v>
      </c>
      <c r="C2552" t="s">
        <v>58</v>
      </c>
      <c r="D2552" s="4">
        <v>3202.86</v>
      </c>
      <c r="E2552" s="12" t="str">
        <f>VLOOKUP(C2552,inf!$A$2:$B$7,2,FALSE)</f>
        <v>61 to 90</v>
      </c>
      <c r="F2552" s="12" t="str">
        <f t="shared" si="40"/>
        <v>11/15/2017</v>
      </c>
      <c r="G2552" t="str">
        <f>VLOOKUP(A2552,inf!$D$2:$E$76,2,FALSE)</f>
        <v>SBUX</v>
      </c>
    </row>
    <row r="2553" spans="1:7" x14ac:dyDescent="0.25">
      <c r="A2553" t="s">
        <v>6</v>
      </c>
      <c r="B2553" s="1">
        <v>43054</v>
      </c>
      <c r="C2553" t="s">
        <v>59</v>
      </c>
      <c r="D2553" s="4">
        <v>1235.92</v>
      </c>
      <c r="E2553" s="12" t="str">
        <f>VLOOKUP(C2553,inf!$A$2:$B$7,2,FALSE)</f>
        <v>Over 90</v>
      </c>
      <c r="F2553" s="12" t="str">
        <f t="shared" si="40"/>
        <v>11/15/2017</v>
      </c>
      <c r="G2553" t="str">
        <f>VLOOKUP(A2553,inf!$D$2:$E$76,2,FALSE)</f>
        <v>SBUX</v>
      </c>
    </row>
    <row r="2554" spans="1:7" x14ac:dyDescent="0.25">
      <c r="A2554" t="s">
        <v>6</v>
      </c>
      <c r="B2554" s="1">
        <v>43054</v>
      </c>
      <c r="C2554" t="s">
        <v>60</v>
      </c>
      <c r="D2554" s="4">
        <v>8132.8899999999994</v>
      </c>
      <c r="E2554" s="12" t="str">
        <f>VLOOKUP(C2554,inf!$A$2:$B$7,2,FALSE)</f>
        <v>Over 90</v>
      </c>
      <c r="F2554" s="12" t="str">
        <f t="shared" si="40"/>
        <v>11/15/2017</v>
      </c>
      <c r="G2554" t="str">
        <f>VLOOKUP(A2554,inf!$D$2:$E$76,2,FALSE)</f>
        <v>SBUX</v>
      </c>
    </row>
    <row r="2555" spans="1:7" x14ac:dyDescent="0.25">
      <c r="A2555" t="s">
        <v>48</v>
      </c>
      <c r="B2555" s="1">
        <v>43054</v>
      </c>
      <c r="C2555" t="s">
        <v>55</v>
      </c>
      <c r="D2555" s="4">
        <v>420045.63999999996</v>
      </c>
      <c r="E2555" s="12" t="str">
        <f>VLOOKUP(C2555,inf!$A$2:$B$7,2,FALSE)</f>
        <v>Current</v>
      </c>
      <c r="F2555" s="12" t="str">
        <f t="shared" si="40"/>
        <v>11/15/2017</v>
      </c>
      <c r="G2555" t="str">
        <f>VLOOKUP(A2555,inf!$D$2:$E$76,2,FALSE)</f>
        <v>Target</v>
      </c>
    </row>
    <row r="2556" spans="1:7" x14ac:dyDescent="0.25">
      <c r="A2556" t="s">
        <v>48</v>
      </c>
      <c r="B2556" s="1">
        <v>43054</v>
      </c>
      <c r="C2556" t="s">
        <v>56</v>
      </c>
      <c r="D2556" s="4">
        <v>11585.320000000002</v>
      </c>
      <c r="E2556" s="12" t="str">
        <f>VLOOKUP(C2556,inf!$A$2:$B$7,2,FALSE)</f>
        <v>Current</v>
      </c>
      <c r="F2556" s="12" t="str">
        <f t="shared" si="40"/>
        <v>11/15/2017</v>
      </c>
      <c r="G2556" t="str">
        <f>VLOOKUP(A2556,inf!$D$2:$E$76,2,FALSE)</f>
        <v>Target</v>
      </c>
    </row>
    <row r="2557" spans="1:7" x14ac:dyDescent="0.25">
      <c r="A2557" t="s">
        <v>48</v>
      </c>
      <c r="B2557" s="1">
        <v>43054</v>
      </c>
      <c r="C2557" t="s">
        <v>57</v>
      </c>
      <c r="D2557" s="4">
        <v>3951.9</v>
      </c>
      <c r="E2557" s="12" t="str">
        <f>VLOOKUP(C2557,inf!$A$2:$B$7,2,FALSE)</f>
        <v>31 to 60</v>
      </c>
      <c r="F2557" s="12" t="str">
        <f t="shared" si="40"/>
        <v>11/15/2017</v>
      </c>
      <c r="G2557" t="str">
        <f>VLOOKUP(A2557,inf!$D$2:$E$76,2,FALSE)</f>
        <v>Target</v>
      </c>
    </row>
    <row r="2558" spans="1:7" x14ac:dyDescent="0.25">
      <c r="A2558" t="s">
        <v>48</v>
      </c>
      <c r="B2558" s="1">
        <v>43054</v>
      </c>
      <c r="C2558" t="s">
        <v>58</v>
      </c>
      <c r="D2558" s="4">
        <v>2836.09</v>
      </c>
      <c r="E2558" s="12" t="str">
        <f>VLOOKUP(C2558,inf!$A$2:$B$7,2,FALSE)</f>
        <v>61 to 90</v>
      </c>
      <c r="F2558" s="12" t="str">
        <f t="shared" si="40"/>
        <v>11/15/2017</v>
      </c>
      <c r="G2558" t="str">
        <f>VLOOKUP(A2558,inf!$D$2:$E$76,2,FALSE)</f>
        <v>Target</v>
      </c>
    </row>
    <row r="2559" spans="1:7" x14ac:dyDescent="0.25">
      <c r="A2559" t="s">
        <v>48</v>
      </c>
      <c r="B2559" s="1">
        <v>43054</v>
      </c>
      <c r="C2559" t="s">
        <v>59</v>
      </c>
      <c r="D2559" s="4">
        <v>1079.72</v>
      </c>
      <c r="E2559" s="12" t="str">
        <f>VLOOKUP(C2559,inf!$A$2:$B$7,2,FALSE)</f>
        <v>Over 90</v>
      </c>
      <c r="F2559" s="12" t="str">
        <f t="shared" si="40"/>
        <v>11/15/2017</v>
      </c>
      <c r="G2559" t="str">
        <f>VLOOKUP(A2559,inf!$D$2:$E$76,2,FALSE)</f>
        <v>Target</v>
      </c>
    </row>
    <row r="2560" spans="1:7" x14ac:dyDescent="0.25">
      <c r="A2560" t="s">
        <v>8</v>
      </c>
      <c r="B2560" s="1">
        <v>43054</v>
      </c>
      <c r="C2560" t="s">
        <v>55</v>
      </c>
      <c r="D2560" s="4">
        <v>550081.1899999982</v>
      </c>
      <c r="E2560" s="12" t="str">
        <f>VLOOKUP(C2560,inf!$A$2:$B$7,2,FALSE)</f>
        <v>Current</v>
      </c>
      <c r="F2560" s="12" t="str">
        <f t="shared" si="40"/>
        <v>11/15/2017</v>
      </c>
      <c r="G2560" t="str">
        <f>VLOOKUP(A2560,inf!$D$2:$E$76,2,FALSE)</f>
        <v>Target</v>
      </c>
    </row>
    <row r="2561" spans="1:7" x14ac:dyDescent="0.25">
      <c r="A2561" t="s">
        <v>8</v>
      </c>
      <c r="B2561" s="1">
        <v>43054</v>
      </c>
      <c r="C2561" t="s">
        <v>56</v>
      </c>
      <c r="D2561" s="4">
        <v>20860.830000000002</v>
      </c>
      <c r="E2561" s="12" t="str">
        <f>VLOOKUP(C2561,inf!$A$2:$B$7,2,FALSE)</f>
        <v>Current</v>
      </c>
      <c r="F2561" s="12" t="str">
        <f t="shared" si="40"/>
        <v>11/15/2017</v>
      </c>
      <c r="G2561" t="str">
        <f>VLOOKUP(A2561,inf!$D$2:$E$76,2,FALSE)</f>
        <v>Target</v>
      </c>
    </row>
    <row r="2562" spans="1:7" x14ac:dyDescent="0.25">
      <c r="A2562" t="s">
        <v>8</v>
      </c>
      <c r="B2562" s="1">
        <v>43054</v>
      </c>
      <c r="C2562" t="s">
        <v>57</v>
      </c>
      <c r="D2562" s="4">
        <v>11004.47</v>
      </c>
      <c r="E2562" s="12" t="str">
        <f>VLOOKUP(C2562,inf!$A$2:$B$7,2,FALSE)</f>
        <v>31 to 60</v>
      </c>
      <c r="F2562" s="12" t="str">
        <f t="shared" si="40"/>
        <v>11/15/2017</v>
      </c>
      <c r="G2562" t="str">
        <f>VLOOKUP(A2562,inf!$D$2:$E$76,2,FALSE)</f>
        <v>Target</v>
      </c>
    </row>
    <row r="2563" spans="1:7" x14ac:dyDescent="0.25">
      <c r="A2563" t="s">
        <v>8</v>
      </c>
      <c r="B2563" s="1">
        <v>43054</v>
      </c>
      <c r="C2563" t="s">
        <v>58</v>
      </c>
      <c r="D2563" s="4">
        <v>3177.13</v>
      </c>
      <c r="E2563" s="12" t="str">
        <f>VLOOKUP(C2563,inf!$A$2:$B$7,2,FALSE)</f>
        <v>61 to 90</v>
      </c>
      <c r="F2563" s="12" t="str">
        <f t="shared" ref="F2563:F2626" si="41">TEXT(B2563,"MM/DD/YYYY")</f>
        <v>11/15/2017</v>
      </c>
      <c r="G2563" t="str">
        <f>VLOOKUP(A2563,inf!$D$2:$E$76,2,FALSE)</f>
        <v>Target</v>
      </c>
    </row>
    <row r="2564" spans="1:7" x14ac:dyDescent="0.25">
      <c r="A2564" t="s">
        <v>8</v>
      </c>
      <c r="B2564" s="1">
        <v>43054</v>
      </c>
      <c r="C2564" t="s">
        <v>59</v>
      </c>
      <c r="D2564" s="4">
        <v>5151.83</v>
      </c>
      <c r="E2564" s="12" t="str">
        <f>VLOOKUP(C2564,inf!$A$2:$B$7,2,FALSE)</f>
        <v>Over 90</v>
      </c>
      <c r="F2564" s="12" t="str">
        <f t="shared" si="41"/>
        <v>11/15/2017</v>
      </c>
      <c r="G2564" t="str">
        <f>VLOOKUP(A2564,inf!$D$2:$E$76,2,FALSE)</f>
        <v>Target</v>
      </c>
    </row>
    <row r="2565" spans="1:7" x14ac:dyDescent="0.25">
      <c r="A2565" t="s">
        <v>8</v>
      </c>
      <c r="B2565" s="1">
        <v>43054</v>
      </c>
      <c r="C2565" t="s">
        <v>60</v>
      </c>
      <c r="D2565" s="4">
        <v>43611.399999999994</v>
      </c>
      <c r="E2565" s="12" t="str">
        <f>VLOOKUP(C2565,inf!$A$2:$B$7,2,FALSE)</f>
        <v>Over 90</v>
      </c>
      <c r="F2565" s="12" t="str">
        <f t="shared" si="41"/>
        <v>11/15/2017</v>
      </c>
      <c r="G2565" t="str">
        <f>VLOOKUP(A2565,inf!$D$2:$E$76,2,FALSE)</f>
        <v>Target</v>
      </c>
    </row>
    <row r="2566" spans="1:7" x14ac:dyDescent="0.25">
      <c r="A2566" t="s">
        <v>54</v>
      </c>
      <c r="B2566" s="1">
        <v>43054</v>
      </c>
      <c r="C2566" t="s">
        <v>57</v>
      </c>
      <c r="D2566" s="4">
        <v>122.72</v>
      </c>
      <c r="E2566" s="12" t="str">
        <f>VLOOKUP(C2566,inf!$A$2:$B$7,2,FALSE)</f>
        <v>31 to 60</v>
      </c>
      <c r="F2566" s="12" t="str">
        <f t="shared" si="41"/>
        <v>11/15/2017</v>
      </c>
      <c r="G2566" t="str">
        <f>VLOOKUP(A2566,inf!$D$2:$E$76,2,FALSE)</f>
        <v>Other</v>
      </c>
    </row>
    <row r="2567" spans="1:7" x14ac:dyDescent="0.25">
      <c r="A2567" t="s">
        <v>54</v>
      </c>
      <c r="B2567" s="1">
        <v>43054</v>
      </c>
      <c r="C2567" t="s">
        <v>58</v>
      </c>
      <c r="D2567" s="4">
        <v>122.72</v>
      </c>
      <c r="E2567" s="12" t="str">
        <f>VLOOKUP(C2567,inf!$A$2:$B$7,2,FALSE)</f>
        <v>61 to 90</v>
      </c>
      <c r="F2567" s="12" t="str">
        <f t="shared" si="41"/>
        <v>11/15/2017</v>
      </c>
      <c r="G2567" t="str">
        <f>VLOOKUP(A2567,inf!$D$2:$E$76,2,FALSE)</f>
        <v>Other</v>
      </c>
    </row>
    <row r="2568" spans="1:7" x14ac:dyDescent="0.25">
      <c r="A2568" t="s">
        <v>28</v>
      </c>
      <c r="B2568" s="1">
        <v>43054</v>
      </c>
      <c r="C2568" t="s">
        <v>55</v>
      </c>
      <c r="D2568" s="4">
        <v>8679.9700000000012</v>
      </c>
      <c r="E2568" s="12" t="str">
        <f>VLOOKUP(C2568,inf!$A$2:$B$7,2,FALSE)</f>
        <v>Current</v>
      </c>
      <c r="F2568" s="12" t="str">
        <f t="shared" si="41"/>
        <v>11/15/2017</v>
      </c>
      <c r="G2568" t="str">
        <f>VLOOKUP(A2568,inf!$D$2:$E$76,2,FALSE)</f>
        <v>Other</v>
      </c>
    </row>
    <row r="2569" spans="1:7" x14ac:dyDescent="0.25">
      <c r="A2569" t="s">
        <v>28</v>
      </c>
      <c r="B2569" s="1">
        <v>43054</v>
      </c>
      <c r="C2569" t="s">
        <v>56</v>
      </c>
      <c r="D2569" s="4">
        <v>3595.83</v>
      </c>
      <c r="E2569" s="12" t="str">
        <f>VLOOKUP(C2569,inf!$A$2:$B$7,2,FALSE)</f>
        <v>Current</v>
      </c>
      <c r="F2569" s="12" t="str">
        <f t="shared" si="41"/>
        <v>11/15/2017</v>
      </c>
      <c r="G2569" t="str">
        <f>VLOOKUP(A2569,inf!$D$2:$E$76,2,FALSE)</f>
        <v>Other</v>
      </c>
    </row>
    <row r="2570" spans="1:7" x14ac:dyDescent="0.25">
      <c r="A2570" t="s">
        <v>28</v>
      </c>
      <c r="B2570" s="1">
        <v>43054</v>
      </c>
      <c r="C2570" t="s">
        <v>57</v>
      </c>
      <c r="D2570" s="4">
        <v>682.55</v>
      </c>
      <c r="E2570" s="12" t="str">
        <f>VLOOKUP(C2570,inf!$A$2:$B$7,2,FALSE)</f>
        <v>31 to 60</v>
      </c>
      <c r="F2570" s="12" t="str">
        <f t="shared" si="41"/>
        <v>11/15/2017</v>
      </c>
      <c r="G2570" t="str">
        <f>VLOOKUP(A2570,inf!$D$2:$E$76,2,FALSE)</f>
        <v>Other</v>
      </c>
    </row>
    <row r="2571" spans="1:7" x14ac:dyDescent="0.25">
      <c r="A2571" t="s">
        <v>15</v>
      </c>
      <c r="B2571" s="1">
        <v>43054</v>
      </c>
      <c r="C2571" t="s">
        <v>55</v>
      </c>
      <c r="D2571" s="4">
        <v>1105.6200000000001</v>
      </c>
      <c r="E2571" s="12" t="str">
        <f>VLOOKUP(C2571,inf!$A$2:$B$7,2,FALSE)</f>
        <v>Current</v>
      </c>
      <c r="F2571" s="12" t="str">
        <f t="shared" si="41"/>
        <v>11/15/2017</v>
      </c>
      <c r="G2571" t="str">
        <f>VLOOKUP(A2571,inf!$D$2:$E$76,2,FALSE)</f>
        <v>Other</v>
      </c>
    </row>
    <row r="2572" spans="1:7" x14ac:dyDescent="0.25">
      <c r="A2572" t="s">
        <v>15</v>
      </c>
      <c r="B2572" s="1">
        <v>43054</v>
      </c>
      <c r="C2572" t="s">
        <v>56</v>
      </c>
      <c r="D2572" s="4">
        <v>362.26</v>
      </c>
      <c r="E2572" s="12" t="str">
        <f>VLOOKUP(C2572,inf!$A$2:$B$7,2,FALSE)</f>
        <v>Current</v>
      </c>
      <c r="F2572" s="12" t="str">
        <f t="shared" si="41"/>
        <v>11/15/2017</v>
      </c>
      <c r="G2572" t="str">
        <f>VLOOKUP(A2572,inf!$D$2:$E$76,2,FALSE)</f>
        <v>Other</v>
      </c>
    </row>
    <row r="2573" spans="1:7" x14ac:dyDescent="0.25">
      <c r="A2573" t="s">
        <v>15</v>
      </c>
      <c r="B2573" s="1">
        <v>43054</v>
      </c>
      <c r="C2573" t="s">
        <v>59</v>
      </c>
      <c r="D2573" s="4">
        <v>291.60000000000002</v>
      </c>
      <c r="E2573" s="12" t="str">
        <f>VLOOKUP(C2573,inf!$A$2:$B$7,2,FALSE)</f>
        <v>Over 90</v>
      </c>
      <c r="F2573" s="12" t="str">
        <f t="shared" si="41"/>
        <v>11/15/2017</v>
      </c>
      <c r="G2573" t="str">
        <f>VLOOKUP(A2573,inf!$D$2:$E$76,2,FALSE)</f>
        <v>Other</v>
      </c>
    </row>
    <row r="2574" spans="1:7" x14ac:dyDescent="0.25">
      <c r="A2574" t="s">
        <v>4</v>
      </c>
      <c r="B2574" s="1">
        <v>43061</v>
      </c>
      <c r="C2574" t="s">
        <v>55</v>
      </c>
      <c r="D2574" s="4">
        <v>4239.53</v>
      </c>
      <c r="E2574" s="12" t="str">
        <f>VLOOKUP(C2574,inf!$A$2:$B$7,2,FALSE)</f>
        <v>Current</v>
      </c>
      <c r="F2574" s="12" t="str">
        <f t="shared" si="41"/>
        <v>11/22/2017</v>
      </c>
      <c r="G2574" t="str">
        <f>VLOOKUP(A2574,inf!$D$2:$E$76,2,FALSE)</f>
        <v>Other</v>
      </c>
    </row>
    <row r="2575" spans="1:7" x14ac:dyDescent="0.25">
      <c r="A2575" t="s">
        <v>4</v>
      </c>
      <c r="B2575" s="1">
        <v>43061</v>
      </c>
      <c r="C2575" t="s">
        <v>56</v>
      </c>
      <c r="D2575" s="4">
        <v>526.84</v>
      </c>
      <c r="E2575" s="12" t="str">
        <f>VLOOKUP(C2575,inf!$A$2:$B$7,2,FALSE)</f>
        <v>Current</v>
      </c>
      <c r="F2575" s="12" t="str">
        <f t="shared" si="41"/>
        <v>11/22/2017</v>
      </c>
      <c r="G2575" t="str">
        <f>VLOOKUP(A2575,inf!$D$2:$E$76,2,FALSE)</f>
        <v>Other</v>
      </c>
    </row>
    <row r="2576" spans="1:7" x14ac:dyDescent="0.25">
      <c r="A2576" t="s">
        <v>25</v>
      </c>
      <c r="B2576" s="1">
        <v>43061</v>
      </c>
      <c r="C2576" t="s">
        <v>55</v>
      </c>
      <c r="D2576" s="4">
        <v>983.55000000000007</v>
      </c>
      <c r="E2576" s="12" t="str">
        <f>VLOOKUP(C2576,inf!$A$2:$B$7,2,FALSE)</f>
        <v>Current</v>
      </c>
      <c r="F2576" s="12" t="str">
        <f t="shared" si="41"/>
        <v>11/22/2017</v>
      </c>
      <c r="G2576" t="str">
        <f>VLOOKUP(A2576,inf!$D$2:$E$76,2,FALSE)</f>
        <v>Other</v>
      </c>
    </row>
    <row r="2577" spans="1:7" x14ac:dyDescent="0.25">
      <c r="A2577" t="s">
        <v>31</v>
      </c>
      <c r="B2577" s="1">
        <v>43061</v>
      </c>
      <c r="C2577" t="s">
        <v>57</v>
      </c>
      <c r="D2577" s="4">
        <v>539.82999999999993</v>
      </c>
      <c r="E2577" s="12" t="str">
        <f>VLOOKUP(C2577,inf!$A$2:$B$7,2,FALSE)</f>
        <v>31 to 60</v>
      </c>
      <c r="F2577" s="12" t="str">
        <f t="shared" si="41"/>
        <v>11/22/2017</v>
      </c>
      <c r="G2577" t="str">
        <f>VLOOKUP(A2577,inf!$D$2:$E$76,2,FALSE)</f>
        <v>Other</v>
      </c>
    </row>
    <row r="2578" spans="1:7" x14ac:dyDescent="0.25">
      <c r="A2578" t="s">
        <v>31</v>
      </c>
      <c r="B2578" s="1">
        <v>43061</v>
      </c>
      <c r="C2578" t="s">
        <v>58</v>
      </c>
      <c r="D2578" s="4">
        <v>296.71000000000004</v>
      </c>
      <c r="E2578" s="12" t="str">
        <f>VLOOKUP(C2578,inf!$A$2:$B$7,2,FALSE)</f>
        <v>61 to 90</v>
      </c>
      <c r="F2578" s="12" t="str">
        <f t="shared" si="41"/>
        <v>11/22/2017</v>
      </c>
      <c r="G2578" t="str">
        <f>VLOOKUP(A2578,inf!$D$2:$E$76,2,FALSE)</f>
        <v>Other</v>
      </c>
    </row>
    <row r="2579" spans="1:7" x14ac:dyDescent="0.25">
      <c r="A2579" t="s">
        <v>24</v>
      </c>
      <c r="B2579" s="1">
        <v>43061</v>
      </c>
      <c r="C2579" t="s">
        <v>55</v>
      </c>
      <c r="D2579" s="4">
        <v>143.57</v>
      </c>
      <c r="E2579" s="12" t="str">
        <f>VLOOKUP(C2579,inf!$A$2:$B$7,2,FALSE)</f>
        <v>Current</v>
      </c>
      <c r="F2579" s="12" t="str">
        <f t="shared" si="41"/>
        <v>11/22/2017</v>
      </c>
      <c r="G2579" t="str">
        <f>VLOOKUP(A2579,inf!$D$2:$E$76,2,FALSE)</f>
        <v>Other</v>
      </c>
    </row>
    <row r="2580" spans="1:7" x14ac:dyDescent="0.25">
      <c r="A2580" t="s">
        <v>18</v>
      </c>
      <c r="B2580" s="1">
        <v>43061</v>
      </c>
      <c r="C2580" t="s">
        <v>55</v>
      </c>
      <c r="D2580" s="4">
        <v>559.53</v>
      </c>
      <c r="E2580" s="12" t="str">
        <f>VLOOKUP(C2580,inf!$A$2:$B$7,2,FALSE)</f>
        <v>Current</v>
      </c>
      <c r="F2580" s="12" t="str">
        <f t="shared" si="41"/>
        <v>11/22/2017</v>
      </c>
      <c r="G2580" t="str">
        <f>VLOOKUP(A2580,inf!$D$2:$E$76,2,FALSE)</f>
        <v>Other</v>
      </c>
    </row>
    <row r="2581" spans="1:7" x14ac:dyDescent="0.25">
      <c r="A2581" t="s">
        <v>62</v>
      </c>
      <c r="B2581" s="1">
        <v>43061</v>
      </c>
      <c r="C2581" t="s">
        <v>57</v>
      </c>
      <c r="D2581" s="4">
        <v>229.7</v>
      </c>
      <c r="E2581" s="12" t="str">
        <f>VLOOKUP(C2581,inf!$A$2:$B$7,2,FALSE)</f>
        <v>31 to 60</v>
      </c>
      <c r="F2581" s="12" t="str">
        <f t="shared" si="41"/>
        <v>11/22/2017</v>
      </c>
      <c r="G2581" t="str">
        <f>VLOOKUP(A2581,inf!$D$2:$E$76,2,FALSE)</f>
        <v>Other</v>
      </c>
    </row>
    <row r="2582" spans="1:7" x14ac:dyDescent="0.25">
      <c r="A2582" t="s">
        <v>62</v>
      </c>
      <c r="B2582" s="1">
        <v>43061</v>
      </c>
      <c r="C2582" t="s">
        <v>58</v>
      </c>
      <c r="D2582" s="4">
        <v>241.51</v>
      </c>
      <c r="E2582" s="12" t="str">
        <f>VLOOKUP(C2582,inf!$A$2:$B$7,2,FALSE)</f>
        <v>61 to 90</v>
      </c>
      <c r="F2582" s="12" t="str">
        <f t="shared" si="41"/>
        <v>11/22/2017</v>
      </c>
      <c r="G2582" t="str">
        <f>VLOOKUP(A2582,inf!$D$2:$E$76,2,FALSE)</f>
        <v>Other</v>
      </c>
    </row>
    <row r="2583" spans="1:7" x14ac:dyDescent="0.25">
      <c r="A2583" t="s">
        <v>21</v>
      </c>
      <c r="B2583" s="1">
        <v>43061</v>
      </c>
      <c r="C2583" t="s">
        <v>56</v>
      </c>
      <c r="D2583" s="4">
        <v>172.28</v>
      </c>
      <c r="E2583" s="12" t="str">
        <f>VLOOKUP(C2583,inf!$A$2:$B$7,2,FALSE)</f>
        <v>Current</v>
      </c>
      <c r="F2583" s="12" t="str">
        <f t="shared" si="41"/>
        <v>11/22/2017</v>
      </c>
      <c r="G2583" t="str">
        <f>VLOOKUP(A2583,inf!$D$2:$E$76,2,FALSE)</f>
        <v>Other</v>
      </c>
    </row>
    <row r="2584" spans="1:7" x14ac:dyDescent="0.25">
      <c r="A2584" t="s">
        <v>3</v>
      </c>
      <c r="B2584" s="1">
        <v>43061</v>
      </c>
      <c r="C2584" t="s">
        <v>55</v>
      </c>
      <c r="D2584" s="4">
        <v>2754.42</v>
      </c>
      <c r="E2584" s="12" t="str">
        <f>VLOOKUP(C2584,inf!$A$2:$B$7,2,FALSE)</f>
        <v>Current</v>
      </c>
      <c r="F2584" s="12" t="str">
        <f t="shared" si="41"/>
        <v>11/22/2017</v>
      </c>
      <c r="G2584" t="str">
        <f>VLOOKUP(A2584,inf!$D$2:$E$76,2,FALSE)</f>
        <v>Other</v>
      </c>
    </row>
    <row r="2585" spans="1:7" x14ac:dyDescent="0.25">
      <c r="A2585" t="s">
        <v>3</v>
      </c>
      <c r="B2585" s="1">
        <v>43061</v>
      </c>
      <c r="C2585" t="s">
        <v>56</v>
      </c>
      <c r="D2585" s="4">
        <v>450.12</v>
      </c>
      <c r="E2585" s="12" t="str">
        <f>VLOOKUP(C2585,inf!$A$2:$B$7,2,FALSE)</f>
        <v>Current</v>
      </c>
      <c r="F2585" s="12" t="str">
        <f t="shared" si="41"/>
        <v>11/22/2017</v>
      </c>
      <c r="G2585" t="str">
        <f>VLOOKUP(A2585,inf!$D$2:$E$76,2,FALSE)</f>
        <v>Other</v>
      </c>
    </row>
    <row r="2586" spans="1:7" x14ac:dyDescent="0.25">
      <c r="A2586" t="s">
        <v>3</v>
      </c>
      <c r="B2586" s="1">
        <v>43061</v>
      </c>
      <c r="C2586" t="s">
        <v>57</v>
      </c>
      <c r="D2586" s="4">
        <v>197.82</v>
      </c>
      <c r="E2586" s="12" t="str">
        <f>VLOOKUP(C2586,inf!$A$2:$B$7,2,FALSE)</f>
        <v>31 to 60</v>
      </c>
      <c r="F2586" s="12" t="str">
        <f t="shared" si="41"/>
        <v>11/22/2017</v>
      </c>
      <c r="G2586" t="str">
        <f>VLOOKUP(A2586,inf!$D$2:$E$76,2,FALSE)</f>
        <v>Other</v>
      </c>
    </row>
    <row r="2587" spans="1:7" x14ac:dyDescent="0.25">
      <c r="A2587" t="s">
        <v>30</v>
      </c>
      <c r="B2587" s="1">
        <v>43061</v>
      </c>
      <c r="C2587" t="s">
        <v>55</v>
      </c>
      <c r="D2587" s="4">
        <v>793.27</v>
      </c>
      <c r="E2587" s="12" t="str">
        <f>VLOOKUP(C2587,inf!$A$2:$B$7,2,FALSE)</f>
        <v>Current</v>
      </c>
      <c r="F2587" s="12" t="str">
        <f t="shared" si="41"/>
        <v>11/22/2017</v>
      </c>
      <c r="G2587" t="str">
        <f>VLOOKUP(A2587,inf!$D$2:$E$76,2,FALSE)</f>
        <v>Other</v>
      </c>
    </row>
    <row r="2588" spans="1:7" x14ac:dyDescent="0.25">
      <c r="A2588" t="s">
        <v>30</v>
      </c>
      <c r="B2588" s="1">
        <v>43061</v>
      </c>
      <c r="C2588" t="s">
        <v>56</v>
      </c>
      <c r="D2588" s="4">
        <v>232.39</v>
      </c>
      <c r="E2588" s="12" t="str">
        <f>VLOOKUP(C2588,inf!$A$2:$B$7,2,FALSE)</f>
        <v>Current</v>
      </c>
      <c r="F2588" s="12" t="str">
        <f t="shared" si="41"/>
        <v>11/22/2017</v>
      </c>
      <c r="G2588" t="str">
        <f>VLOOKUP(A2588,inf!$D$2:$E$76,2,FALSE)</f>
        <v>Other</v>
      </c>
    </row>
    <row r="2589" spans="1:7" x14ac:dyDescent="0.25">
      <c r="A2589" t="s">
        <v>30</v>
      </c>
      <c r="B2589" s="1">
        <v>43061</v>
      </c>
      <c r="C2589" t="s">
        <v>57</v>
      </c>
      <c r="D2589" s="4">
        <v>155.4</v>
      </c>
      <c r="E2589" s="12" t="str">
        <f>VLOOKUP(C2589,inf!$A$2:$B$7,2,FALSE)</f>
        <v>31 to 60</v>
      </c>
      <c r="F2589" s="12" t="str">
        <f t="shared" si="41"/>
        <v>11/22/2017</v>
      </c>
      <c r="G2589" t="str">
        <f>VLOOKUP(A2589,inf!$D$2:$E$76,2,FALSE)</f>
        <v>Other</v>
      </c>
    </row>
    <row r="2590" spans="1:7" x14ac:dyDescent="0.25">
      <c r="A2590" t="s">
        <v>63</v>
      </c>
      <c r="B2590" s="1">
        <v>43061</v>
      </c>
      <c r="C2590" t="s">
        <v>58</v>
      </c>
      <c r="D2590" s="4">
        <v>170.49</v>
      </c>
      <c r="E2590" s="12" t="str">
        <f>VLOOKUP(C2590,inf!$A$2:$B$7,2,FALSE)</f>
        <v>61 to 90</v>
      </c>
      <c r="F2590" s="12" t="str">
        <f t="shared" si="41"/>
        <v>11/22/2017</v>
      </c>
      <c r="G2590" t="str">
        <f>VLOOKUP(A2590,inf!$D$2:$E$76,2,FALSE)</f>
        <v>Other</v>
      </c>
    </row>
    <row r="2591" spans="1:7" x14ac:dyDescent="0.25">
      <c r="A2591" t="s">
        <v>12</v>
      </c>
      <c r="B2591" s="1">
        <v>43061</v>
      </c>
      <c r="C2591" t="s">
        <v>55</v>
      </c>
      <c r="D2591" s="4">
        <v>714.22</v>
      </c>
      <c r="E2591" s="12" t="str">
        <f>VLOOKUP(C2591,inf!$A$2:$B$7,2,FALSE)</f>
        <v>Current</v>
      </c>
      <c r="F2591" s="12" t="str">
        <f t="shared" si="41"/>
        <v>11/22/2017</v>
      </c>
      <c r="G2591" t="str">
        <f>VLOOKUP(A2591,inf!$D$2:$E$76,2,FALSE)</f>
        <v>Other</v>
      </c>
    </row>
    <row r="2592" spans="1:7" x14ac:dyDescent="0.25">
      <c r="A2592" t="s">
        <v>12</v>
      </c>
      <c r="B2592" s="1">
        <v>43061</v>
      </c>
      <c r="C2592" t="s">
        <v>60</v>
      </c>
      <c r="D2592" s="4">
        <v>394.94</v>
      </c>
      <c r="E2592" s="12" t="str">
        <f>VLOOKUP(C2592,inf!$A$2:$B$7,2,FALSE)</f>
        <v>Over 90</v>
      </c>
      <c r="F2592" s="12" t="str">
        <f t="shared" si="41"/>
        <v>11/22/2017</v>
      </c>
      <c r="G2592" t="str">
        <f>VLOOKUP(A2592,inf!$D$2:$E$76,2,FALSE)</f>
        <v>Other</v>
      </c>
    </row>
    <row r="2593" spans="1:7" x14ac:dyDescent="0.25">
      <c r="A2593" t="s">
        <v>50</v>
      </c>
      <c r="B2593" s="1">
        <v>43061</v>
      </c>
      <c r="C2593" t="s">
        <v>55</v>
      </c>
      <c r="D2593" s="4">
        <v>202.62</v>
      </c>
      <c r="E2593" s="12" t="str">
        <f>VLOOKUP(C2593,inf!$A$2:$B$7,2,FALSE)</f>
        <v>Current</v>
      </c>
      <c r="F2593" s="12" t="str">
        <f t="shared" si="41"/>
        <v>11/22/2017</v>
      </c>
      <c r="G2593" t="str">
        <f>VLOOKUP(A2593,inf!$D$2:$E$76,2,FALSE)</f>
        <v>Other</v>
      </c>
    </row>
    <row r="2594" spans="1:7" x14ac:dyDescent="0.25">
      <c r="A2594" t="s">
        <v>23</v>
      </c>
      <c r="B2594" s="1">
        <v>43061</v>
      </c>
      <c r="C2594" t="s">
        <v>55</v>
      </c>
      <c r="D2594" s="4">
        <v>250.61</v>
      </c>
      <c r="E2594" s="12" t="str">
        <f>VLOOKUP(C2594,inf!$A$2:$B$7,2,FALSE)</f>
        <v>Current</v>
      </c>
      <c r="F2594" s="12" t="str">
        <f t="shared" si="41"/>
        <v>11/22/2017</v>
      </c>
      <c r="G2594" t="str">
        <f>VLOOKUP(A2594,inf!$D$2:$E$76,2,FALSE)</f>
        <v>Other</v>
      </c>
    </row>
    <row r="2595" spans="1:7" x14ac:dyDescent="0.25">
      <c r="A2595" t="s">
        <v>7</v>
      </c>
      <c r="B2595" s="1">
        <v>43061</v>
      </c>
      <c r="C2595" t="s">
        <v>55</v>
      </c>
      <c r="D2595" s="4">
        <v>105322.58999999995</v>
      </c>
      <c r="E2595" s="12" t="str">
        <f>VLOOKUP(C2595,inf!$A$2:$B$7,2,FALSE)</f>
        <v>Current</v>
      </c>
      <c r="F2595" s="12" t="str">
        <f t="shared" si="41"/>
        <v>11/22/2017</v>
      </c>
      <c r="G2595" t="str">
        <f>VLOOKUP(A2595,inf!$D$2:$E$76,2,FALSE)</f>
        <v>SAFEWAY</v>
      </c>
    </row>
    <row r="2596" spans="1:7" x14ac:dyDescent="0.25">
      <c r="A2596" t="s">
        <v>7</v>
      </c>
      <c r="B2596" s="1">
        <v>43061</v>
      </c>
      <c r="C2596" t="s">
        <v>56</v>
      </c>
      <c r="D2596" s="4">
        <v>21540.49</v>
      </c>
      <c r="E2596" s="12" t="str">
        <f>VLOOKUP(C2596,inf!$A$2:$B$7,2,FALSE)</f>
        <v>Current</v>
      </c>
      <c r="F2596" s="12" t="str">
        <f t="shared" si="41"/>
        <v>11/22/2017</v>
      </c>
      <c r="G2596" t="str">
        <f>VLOOKUP(A2596,inf!$D$2:$E$76,2,FALSE)</f>
        <v>SAFEWAY</v>
      </c>
    </row>
    <row r="2597" spans="1:7" x14ac:dyDescent="0.25">
      <c r="A2597" t="s">
        <v>7</v>
      </c>
      <c r="B2597" s="1">
        <v>43061</v>
      </c>
      <c r="C2597" t="s">
        <v>57</v>
      </c>
      <c r="D2597" s="4">
        <v>1590.09</v>
      </c>
      <c r="E2597" s="12" t="str">
        <f>VLOOKUP(C2597,inf!$A$2:$B$7,2,FALSE)</f>
        <v>31 to 60</v>
      </c>
      <c r="F2597" s="12" t="str">
        <f t="shared" si="41"/>
        <v>11/22/2017</v>
      </c>
      <c r="G2597" t="str">
        <f>VLOOKUP(A2597,inf!$D$2:$E$76,2,FALSE)</f>
        <v>SAFEWAY</v>
      </c>
    </row>
    <row r="2598" spans="1:7" x14ac:dyDescent="0.25">
      <c r="A2598" t="s">
        <v>7</v>
      </c>
      <c r="B2598" s="1">
        <v>43061</v>
      </c>
      <c r="C2598" t="s">
        <v>58</v>
      </c>
      <c r="D2598" s="4">
        <v>274.27999999999997</v>
      </c>
      <c r="E2598" s="12" t="str">
        <f>VLOOKUP(C2598,inf!$A$2:$B$7,2,FALSE)</f>
        <v>61 to 90</v>
      </c>
      <c r="F2598" s="12" t="str">
        <f t="shared" si="41"/>
        <v>11/22/2017</v>
      </c>
      <c r="G2598" t="str">
        <f>VLOOKUP(A2598,inf!$D$2:$E$76,2,FALSE)</f>
        <v>SAFEWAY</v>
      </c>
    </row>
    <row r="2599" spans="1:7" x14ac:dyDescent="0.25">
      <c r="A2599" t="s">
        <v>7</v>
      </c>
      <c r="B2599" s="1">
        <v>43061</v>
      </c>
      <c r="C2599" t="s">
        <v>60</v>
      </c>
      <c r="D2599" s="4">
        <v>334.41</v>
      </c>
      <c r="E2599" s="12" t="str">
        <f>VLOOKUP(C2599,inf!$A$2:$B$7,2,FALSE)</f>
        <v>Over 90</v>
      </c>
      <c r="F2599" s="12" t="str">
        <f t="shared" si="41"/>
        <v>11/22/2017</v>
      </c>
      <c r="G2599" t="str">
        <f>VLOOKUP(A2599,inf!$D$2:$E$76,2,FALSE)</f>
        <v>SAFEWAY</v>
      </c>
    </row>
    <row r="2600" spans="1:7" x14ac:dyDescent="0.25">
      <c r="A2600" t="s">
        <v>74</v>
      </c>
      <c r="B2600" s="1">
        <v>43061</v>
      </c>
      <c r="C2600" t="s">
        <v>57</v>
      </c>
      <c r="D2600" s="4">
        <v>742.26</v>
      </c>
      <c r="E2600" s="12" t="str">
        <f>VLOOKUP(C2600,inf!$A$2:$B$7,2,FALSE)</f>
        <v>31 to 60</v>
      </c>
      <c r="F2600" s="12" t="str">
        <f t="shared" si="41"/>
        <v>11/22/2017</v>
      </c>
      <c r="G2600" t="str">
        <f>VLOOKUP(A2600,inf!$D$2:$E$76,2,FALSE)</f>
        <v>Other</v>
      </c>
    </row>
    <row r="2601" spans="1:7" x14ac:dyDescent="0.25">
      <c r="A2601" t="s">
        <v>72</v>
      </c>
      <c r="B2601" s="1">
        <v>43061</v>
      </c>
      <c r="C2601" t="s">
        <v>55</v>
      </c>
      <c r="D2601" s="4">
        <v>886.40999999999985</v>
      </c>
      <c r="E2601" s="12" t="str">
        <f>VLOOKUP(C2601,inf!$A$2:$B$7,2,FALSE)</f>
        <v>Current</v>
      </c>
      <c r="F2601" s="12" t="str">
        <f t="shared" si="41"/>
        <v>11/22/2017</v>
      </c>
      <c r="G2601" t="str">
        <f>VLOOKUP(A2601,inf!$D$2:$E$76,2,FALSE)</f>
        <v>Other</v>
      </c>
    </row>
    <row r="2602" spans="1:7" x14ac:dyDescent="0.25">
      <c r="A2602" t="s">
        <v>5</v>
      </c>
      <c r="B2602" s="1">
        <v>43061</v>
      </c>
      <c r="C2602" t="s">
        <v>55</v>
      </c>
      <c r="D2602" s="4">
        <v>6212895.7799998578</v>
      </c>
      <c r="E2602" s="12" t="str">
        <f>VLOOKUP(C2602,inf!$A$2:$B$7,2,FALSE)</f>
        <v>Current</v>
      </c>
      <c r="F2602" s="12" t="str">
        <f t="shared" si="41"/>
        <v>11/22/2017</v>
      </c>
      <c r="G2602" t="str">
        <f>VLOOKUP(A2602,inf!$D$2:$E$76,2,FALSE)</f>
        <v>SBUX</v>
      </c>
    </row>
    <row r="2603" spans="1:7" x14ac:dyDescent="0.25">
      <c r="A2603" t="s">
        <v>5</v>
      </c>
      <c r="B2603" s="1">
        <v>43061</v>
      </c>
      <c r="C2603" t="s">
        <v>56</v>
      </c>
      <c r="D2603" s="4">
        <v>55480.199999999983</v>
      </c>
      <c r="E2603" s="12" t="str">
        <f>VLOOKUP(C2603,inf!$A$2:$B$7,2,FALSE)</f>
        <v>Current</v>
      </c>
      <c r="F2603" s="12" t="str">
        <f t="shared" si="41"/>
        <v>11/22/2017</v>
      </c>
      <c r="G2603" t="str">
        <f>VLOOKUP(A2603,inf!$D$2:$E$76,2,FALSE)</f>
        <v>SBUX</v>
      </c>
    </row>
    <row r="2604" spans="1:7" x14ac:dyDescent="0.25">
      <c r="A2604" t="s">
        <v>5</v>
      </c>
      <c r="B2604" s="1">
        <v>43061</v>
      </c>
      <c r="C2604" t="s">
        <v>57</v>
      </c>
      <c r="D2604" s="4">
        <v>27054.55</v>
      </c>
      <c r="E2604" s="12" t="str">
        <f>VLOOKUP(C2604,inf!$A$2:$B$7,2,FALSE)</f>
        <v>31 to 60</v>
      </c>
      <c r="F2604" s="12" t="str">
        <f t="shared" si="41"/>
        <v>11/22/2017</v>
      </c>
      <c r="G2604" t="str">
        <f>VLOOKUP(A2604,inf!$D$2:$E$76,2,FALSE)</f>
        <v>SBUX</v>
      </c>
    </row>
    <row r="2605" spans="1:7" x14ac:dyDescent="0.25">
      <c r="A2605" t="s">
        <v>5</v>
      </c>
      <c r="B2605" s="1">
        <v>43061</v>
      </c>
      <c r="C2605" t="s">
        <v>58</v>
      </c>
      <c r="D2605" s="4">
        <v>30008.599999999995</v>
      </c>
      <c r="E2605" s="12" t="str">
        <f>VLOOKUP(C2605,inf!$A$2:$B$7,2,FALSE)</f>
        <v>61 to 90</v>
      </c>
      <c r="F2605" s="12" t="str">
        <f t="shared" si="41"/>
        <v>11/22/2017</v>
      </c>
      <c r="G2605" t="str">
        <f>VLOOKUP(A2605,inf!$D$2:$E$76,2,FALSE)</f>
        <v>SBUX</v>
      </c>
    </row>
    <row r="2606" spans="1:7" x14ac:dyDescent="0.25">
      <c r="A2606" t="s">
        <v>5</v>
      </c>
      <c r="B2606" s="1">
        <v>43061</v>
      </c>
      <c r="C2606" t="s">
        <v>59</v>
      </c>
      <c r="D2606" s="4">
        <v>21057.749999999996</v>
      </c>
      <c r="E2606" s="12" t="str">
        <f>VLOOKUP(C2606,inf!$A$2:$B$7,2,FALSE)</f>
        <v>Over 90</v>
      </c>
      <c r="F2606" s="12" t="str">
        <f t="shared" si="41"/>
        <v>11/22/2017</v>
      </c>
      <c r="G2606" t="str">
        <f>VLOOKUP(A2606,inf!$D$2:$E$76,2,FALSE)</f>
        <v>SBUX</v>
      </c>
    </row>
    <row r="2607" spans="1:7" x14ac:dyDescent="0.25">
      <c r="A2607" t="s">
        <v>5</v>
      </c>
      <c r="B2607" s="1">
        <v>43061</v>
      </c>
      <c r="C2607" t="s">
        <v>60</v>
      </c>
      <c r="D2607" s="4">
        <v>116202.7200000001</v>
      </c>
      <c r="E2607" s="12" t="str">
        <f>VLOOKUP(C2607,inf!$A$2:$B$7,2,FALSE)</f>
        <v>Over 90</v>
      </c>
      <c r="F2607" s="12" t="str">
        <f t="shared" si="41"/>
        <v>11/22/2017</v>
      </c>
      <c r="G2607" t="str">
        <f>VLOOKUP(A2607,inf!$D$2:$E$76,2,FALSE)</f>
        <v>SBUX</v>
      </c>
    </row>
    <row r="2608" spans="1:7" x14ac:dyDescent="0.25">
      <c r="A2608" t="s">
        <v>6</v>
      </c>
      <c r="B2608" s="1">
        <v>43061</v>
      </c>
      <c r="C2608" t="s">
        <v>55</v>
      </c>
      <c r="D2608" s="4">
        <v>524460.57999999553</v>
      </c>
      <c r="E2608" s="12" t="str">
        <f>VLOOKUP(C2608,inf!$A$2:$B$7,2,FALSE)</f>
        <v>Current</v>
      </c>
      <c r="F2608" s="12" t="str">
        <f t="shared" si="41"/>
        <v>11/22/2017</v>
      </c>
      <c r="G2608" t="str">
        <f>VLOOKUP(A2608,inf!$D$2:$E$76,2,FALSE)</f>
        <v>SBUX</v>
      </c>
    </row>
    <row r="2609" spans="1:7" x14ac:dyDescent="0.25">
      <c r="A2609" t="s">
        <v>6</v>
      </c>
      <c r="B2609" s="1">
        <v>43061</v>
      </c>
      <c r="C2609" t="s">
        <v>56</v>
      </c>
      <c r="D2609" s="4">
        <v>8061.41</v>
      </c>
      <c r="E2609" s="12" t="str">
        <f>VLOOKUP(C2609,inf!$A$2:$B$7,2,FALSE)</f>
        <v>Current</v>
      </c>
      <c r="F2609" s="12" t="str">
        <f t="shared" si="41"/>
        <v>11/22/2017</v>
      </c>
      <c r="G2609" t="str">
        <f>VLOOKUP(A2609,inf!$D$2:$E$76,2,FALSE)</f>
        <v>SBUX</v>
      </c>
    </row>
    <row r="2610" spans="1:7" x14ac:dyDescent="0.25">
      <c r="A2610" t="s">
        <v>6</v>
      </c>
      <c r="B2610" s="1">
        <v>43061</v>
      </c>
      <c r="C2610" t="s">
        <v>57</v>
      </c>
      <c r="D2610" s="4">
        <v>2862.35</v>
      </c>
      <c r="E2610" s="12" t="str">
        <f>VLOOKUP(C2610,inf!$A$2:$B$7,2,FALSE)</f>
        <v>31 to 60</v>
      </c>
      <c r="F2610" s="12" t="str">
        <f t="shared" si="41"/>
        <v>11/22/2017</v>
      </c>
      <c r="G2610" t="str">
        <f>VLOOKUP(A2610,inf!$D$2:$E$76,2,FALSE)</f>
        <v>SBUX</v>
      </c>
    </row>
    <row r="2611" spans="1:7" x14ac:dyDescent="0.25">
      <c r="A2611" t="s">
        <v>6</v>
      </c>
      <c r="B2611" s="1">
        <v>43061</v>
      </c>
      <c r="C2611" t="s">
        <v>58</v>
      </c>
      <c r="D2611" s="4">
        <v>3202.86</v>
      </c>
      <c r="E2611" s="12" t="str">
        <f>VLOOKUP(C2611,inf!$A$2:$B$7,2,FALSE)</f>
        <v>61 to 90</v>
      </c>
      <c r="F2611" s="12" t="str">
        <f t="shared" si="41"/>
        <v>11/22/2017</v>
      </c>
      <c r="G2611" t="str">
        <f>VLOOKUP(A2611,inf!$D$2:$E$76,2,FALSE)</f>
        <v>SBUX</v>
      </c>
    </row>
    <row r="2612" spans="1:7" x14ac:dyDescent="0.25">
      <c r="A2612" t="s">
        <v>6</v>
      </c>
      <c r="B2612" s="1">
        <v>43061</v>
      </c>
      <c r="C2612" t="s">
        <v>59</v>
      </c>
      <c r="D2612" s="4">
        <v>1235.92</v>
      </c>
      <c r="E2612" s="12" t="str">
        <f>VLOOKUP(C2612,inf!$A$2:$B$7,2,FALSE)</f>
        <v>Over 90</v>
      </c>
      <c r="F2612" s="12" t="str">
        <f t="shared" si="41"/>
        <v>11/22/2017</v>
      </c>
      <c r="G2612" t="str">
        <f>VLOOKUP(A2612,inf!$D$2:$E$76,2,FALSE)</f>
        <v>SBUX</v>
      </c>
    </row>
    <row r="2613" spans="1:7" x14ac:dyDescent="0.25">
      <c r="A2613" t="s">
        <v>6</v>
      </c>
      <c r="B2613" s="1">
        <v>43061</v>
      </c>
      <c r="C2613" t="s">
        <v>60</v>
      </c>
      <c r="D2613" s="4">
        <v>8132.8899999999994</v>
      </c>
      <c r="E2613" s="12" t="str">
        <f>VLOOKUP(C2613,inf!$A$2:$B$7,2,FALSE)</f>
        <v>Over 90</v>
      </c>
      <c r="F2613" s="12" t="str">
        <f t="shared" si="41"/>
        <v>11/22/2017</v>
      </c>
      <c r="G2613" t="str">
        <f>VLOOKUP(A2613,inf!$D$2:$E$76,2,FALSE)</f>
        <v>SBUX</v>
      </c>
    </row>
    <row r="2614" spans="1:7" x14ac:dyDescent="0.25">
      <c r="A2614" t="s">
        <v>48</v>
      </c>
      <c r="B2614" s="1">
        <v>43061</v>
      </c>
      <c r="C2614" t="s">
        <v>55</v>
      </c>
      <c r="D2614" s="4">
        <v>420045.63999999996</v>
      </c>
      <c r="E2614" s="12" t="str">
        <f>VLOOKUP(C2614,inf!$A$2:$B$7,2,FALSE)</f>
        <v>Current</v>
      </c>
      <c r="F2614" s="12" t="str">
        <f t="shared" si="41"/>
        <v>11/22/2017</v>
      </c>
      <c r="G2614" t="str">
        <f>VLOOKUP(A2614,inf!$D$2:$E$76,2,FALSE)</f>
        <v>Target</v>
      </c>
    </row>
    <row r="2615" spans="1:7" x14ac:dyDescent="0.25">
      <c r="A2615" t="s">
        <v>48</v>
      </c>
      <c r="B2615" s="1">
        <v>43061</v>
      </c>
      <c r="C2615" t="s">
        <v>56</v>
      </c>
      <c r="D2615" s="4">
        <v>11585.320000000002</v>
      </c>
      <c r="E2615" s="12" t="str">
        <f>VLOOKUP(C2615,inf!$A$2:$B$7,2,FALSE)</f>
        <v>Current</v>
      </c>
      <c r="F2615" s="12" t="str">
        <f t="shared" si="41"/>
        <v>11/22/2017</v>
      </c>
      <c r="G2615" t="str">
        <f>VLOOKUP(A2615,inf!$D$2:$E$76,2,FALSE)</f>
        <v>Target</v>
      </c>
    </row>
    <row r="2616" spans="1:7" x14ac:dyDescent="0.25">
      <c r="A2616" t="s">
        <v>48</v>
      </c>
      <c r="B2616" s="1">
        <v>43061</v>
      </c>
      <c r="C2616" t="s">
        <v>57</v>
      </c>
      <c r="D2616" s="4">
        <v>3951.9</v>
      </c>
      <c r="E2616" s="12" t="str">
        <f>VLOOKUP(C2616,inf!$A$2:$B$7,2,FALSE)</f>
        <v>31 to 60</v>
      </c>
      <c r="F2616" s="12" t="str">
        <f t="shared" si="41"/>
        <v>11/22/2017</v>
      </c>
      <c r="G2616" t="str">
        <f>VLOOKUP(A2616,inf!$D$2:$E$76,2,FALSE)</f>
        <v>Target</v>
      </c>
    </row>
    <row r="2617" spans="1:7" x14ac:dyDescent="0.25">
      <c r="A2617" t="s">
        <v>48</v>
      </c>
      <c r="B2617" s="1">
        <v>43061</v>
      </c>
      <c r="C2617" t="s">
        <v>58</v>
      </c>
      <c r="D2617" s="4">
        <v>2836.09</v>
      </c>
      <c r="E2617" s="12" t="str">
        <f>VLOOKUP(C2617,inf!$A$2:$B$7,2,FALSE)</f>
        <v>61 to 90</v>
      </c>
      <c r="F2617" s="12" t="str">
        <f t="shared" si="41"/>
        <v>11/22/2017</v>
      </c>
      <c r="G2617" t="str">
        <f>VLOOKUP(A2617,inf!$D$2:$E$76,2,FALSE)</f>
        <v>Target</v>
      </c>
    </row>
    <row r="2618" spans="1:7" x14ac:dyDescent="0.25">
      <c r="A2618" t="s">
        <v>48</v>
      </c>
      <c r="B2618" s="1">
        <v>43061</v>
      </c>
      <c r="C2618" t="s">
        <v>59</v>
      </c>
      <c r="D2618" s="4">
        <v>1079.72</v>
      </c>
      <c r="E2618" s="12" t="str">
        <f>VLOOKUP(C2618,inf!$A$2:$B$7,2,FALSE)</f>
        <v>Over 90</v>
      </c>
      <c r="F2618" s="12" t="str">
        <f t="shared" si="41"/>
        <v>11/22/2017</v>
      </c>
      <c r="G2618" t="str">
        <f>VLOOKUP(A2618,inf!$D$2:$E$76,2,FALSE)</f>
        <v>Target</v>
      </c>
    </row>
    <row r="2619" spans="1:7" x14ac:dyDescent="0.25">
      <c r="A2619" t="s">
        <v>8</v>
      </c>
      <c r="B2619" s="1">
        <v>43061</v>
      </c>
      <c r="C2619" t="s">
        <v>55</v>
      </c>
      <c r="D2619" s="4">
        <v>550081.1899999982</v>
      </c>
      <c r="E2619" s="12" t="str">
        <f>VLOOKUP(C2619,inf!$A$2:$B$7,2,FALSE)</f>
        <v>Current</v>
      </c>
      <c r="F2619" s="12" t="str">
        <f t="shared" si="41"/>
        <v>11/22/2017</v>
      </c>
      <c r="G2619" t="str">
        <f>VLOOKUP(A2619,inf!$D$2:$E$76,2,FALSE)</f>
        <v>Target</v>
      </c>
    </row>
    <row r="2620" spans="1:7" x14ac:dyDescent="0.25">
      <c r="A2620" t="s">
        <v>8</v>
      </c>
      <c r="B2620" s="1">
        <v>43061</v>
      </c>
      <c r="C2620" t="s">
        <v>56</v>
      </c>
      <c r="D2620" s="4">
        <v>20860.830000000002</v>
      </c>
      <c r="E2620" s="12" t="str">
        <f>VLOOKUP(C2620,inf!$A$2:$B$7,2,FALSE)</f>
        <v>Current</v>
      </c>
      <c r="F2620" s="12" t="str">
        <f t="shared" si="41"/>
        <v>11/22/2017</v>
      </c>
      <c r="G2620" t="str">
        <f>VLOOKUP(A2620,inf!$D$2:$E$76,2,FALSE)</f>
        <v>Target</v>
      </c>
    </row>
    <row r="2621" spans="1:7" x14ac:dyDescent="0.25">
      <c r="A2621" t="s">
        <v>8</v>
      </c>
      <c r="B2621" s="1">
        <v>43061</v>
      </c>
      <c r="C2621" t="s">
        <v>57</v>
      </c>
      <c r="D2621" s="4">
        <v>11004.47</v>
      </c>
      <c r="E2621" s="12" t="str">
        <f>VLOOKUP(C2621,inf!$A$2:$B$7,2,FALSE)</f>
        <v>31 to 60</v>
      </c>
      <c r="F2621" s="12" t="str">
        <f t="shared" si="41"/>
        <v>11/22/2017</v>
      </c>
      <c r="G2621" t="str">
        <f>VLOOKUP(A2621,inf!$D$2:$E$76,2,FALSE)</f>
        <v>Target</v>
      </c>
    </row>
    <row r="2622" spans="1:7" x14ac:dyDescent="0.25">
      <c r="A2622" t="s">
        <v>8</v>
      </c>
      <c r="B2622" s="1">
        <v>43061</v>
      </c>
      <c r="C2622" t="s">
        <v>58</v>
      </c>
      <c r="D2622" s="4">
        <v>3177.13</v>
      </c>
      <c r="E2622" s="12" t="str">
        <f>VLOOKUP(C2622,inf!$A$2:$B$7,2,FALSE)</f>
        <v>61 to 90</v>
      </c>
      <c r="F2622" s="12" t="str">
        <f t="shared" si="41"/>
        <v>11/22/2017</v>
      </c>
      <c r="G2622" t="str">
        <f>VLOOKUP(A2622,inf!$D$2:$E$76,2,FALSE)</f>
        <v>Target</v>
      </c>
    </row>
    <row r="2623" spans="1:7" x14ac:dyDescent="0.25">
      <c r="A2623" t="s">
        <v>8</v>
      </c>
      <c r="B2623" s="1">
        <v>43061</v>
      </c>
      <c r="C2623" t="s">
        <v>59</v>
      </c>
      <c r="D2623" s="4">
        <v>5151.83</v>
      </c>
      <c r="E2623" s="12" t="str">
        <f>VLOOKUP(C2623,inf!$A$2:$B$7,2,FALSE)</f>
        <v>Over 90</v>
      </c>
      <c r="F2623" s="12" t="str">
        <f t="shared" si="41"/>
        <v>11/22/2017</v>
      </c>
      <c r="G2623" t="str">
        <f>VLOOKUP(A2623,inf!$D$2:$E$76,2,FALSE)</f>
        <v>Target</v>
      </c>
    </row>
    <row r="2624" spans="1:7" x14ac:dyDescent="0.25">
      <c r="A2624" t="s">
        <v>8</v>
      </c>
      <c r="B2624" s="1">
        <v>43061</v>
      </c>
      <c r="C2624" t="s">
        <v>60</v>
      </c>
      <c r="D2624" s="4">
        <v>43611.399999999994</v>
      </c>
      <c r="E2624" s="12" t="str">
        <f>VLOOKUP(C2624,inf!$A$2:$B$7,2,FALSE)</f>
        <v>Over 90</v>
      </c>
      <c r="F2624" s="12" t="str">
        <f t="shared" si="41"/>
        <v>11/22/2017</v>
      </c>
      <c r="G2624" t="str">
        <f>VLOOKUP(A2624,inf!$D$2:$E$76,2,FALSE)</f>
        <v>Target</v>
      </c>
    </row>
    <row r="2625" spans="1:7" x14ac:dyDescent="0.25">
      <c r="A2625" t="s">
        <v>54</v>
      </c>
      <c r="B2625" s="1">
        <v>43061</v>
      </c>
      <c r="C2625" t="s">
        <v>57</v>
      </c>
      <c r="D2625" s="4">
        <v>122.72</v>
      </c>
      <c r="E2625" s="12" t="str">
        <f>VLOOKUP(C2625,inf!$A$2:$B$7,2,FALSE)</f>
        <v>31 to 60</v>
      </c>
      <c r="F2625" s="12" t="str">
        <f t="shared" si="41"/>
        <v>11/22/2017</v>
      </c>
      <c r="G2625" t="str">
        <f>VLOOKUP(A2625,inf!$D$2:$E$76,2,FALSE)</f>
        <v>Other</v>
      </c>
    </row>
    <row r="2626" spans="1:7" x14ac:dyDescent="0.25">
      <c r="A2626" t="s">
        <v>54</v>
      </c>
      <c r="B2626" s="1">
        <v>43061</v>
      </c>
      <c r="C2626" t="s">
        <v>58</v>
      </c>
      <c r="D2626" s="4">
        <v>122.72</v>
      </c>
      <c r="E2626" s="12" t="str">
        <f>VLOOKUP(C2626,inf!$A$2:$B$7,2,FALSE)</f>
        <v>61 to 90</v>
      </c>
      <c r="F2626" s="12" t="str">
        <f t="shared" si="41"/>
        <v>11/22/2017</v>
      </c>
      <c r="G2626" t="str">
        <f>VLOOKUP(A2626,inf!$D$2:$E$76,2,FALSE)</f>
        <v>Other</v>
      </c>
    </row>
    <row r="2627" spans="1:7" x14ac:dyDescent="0.25">
      <c r="A2627" t="s">
        <v>28</v>
      </c>
      <c r="B2627" s="1">
        <v>43061</v>
      </c>
      <c r="C2627" t="s">
        <v>55</v>
      </c>
      <c r="D2627" s="4">
        <v>8679.9700000000012</v>
      </c>
      <c r="E2627" s="12" t="str">
        <f>VLOOKUP(C2627,inf!$A$2:$B$7,2,FALSE)</f>
        <v>Current</v>
      </c>
      <c r="F2627" s="12" t="str">
        <f t="shared" ref="F2627:F2690" si="42">TEXT(B2627,"MM/DD/YYYY")</f>
        <v>11/22/2017</v>
      </c>
      <c r="G2627" t="str">
        <f>VLOOKUP(A2627,inf!$D$2:$E$76,2,FALSE)</f>
        <v>Other</v>
      </c>
    </row>
    <row r="2628" spans="1:7" x14ac:dyDescent="0.25">
      <c r="A2628" t="s">
        <v>28</v>
      </c>
      <c r="B2628" s="1">
        <v>43061</v>
      </c>
      <c r="C2628" t="s">
        <v>56</v>
      </c>
      <c r="D2628" s="4">
        <v>3595.83</v>
      </c>
      <c r="E2628" s="12" t="str">
        <f>VLOOKUP(C2628,inf!$A$2:$B$7,2,FALSE)</f>
        <v>Current</v>
      </c>
      <c r="F2628" s="12" t="str">
        <f t="shared" si="42"/>
        <v>11/22/2017</v>
      </c>
      <c r="G2628" t="str">
        <f>VLOOKUP(A2628,inf!$D$2:$E$76,2,FALSE)</f>
        <v>Other</v>
      </c>
    </row>
    <row r="2629" spans="1:7" x14ac:dyDescent="0.25">
      <c r="A2629" t="s">
        <v>28</v>
      </c>
      <c r="B2629" s="1">
        <v>43061</v>
      </c>
      <c r="C2629" t="s">
        <v>57</v>
      </c>
      <c r="D2629" s="4">
        <v>682.55</v>
      </c>
      <c r="E2629" s="12" t="str">
        <f>VLOOKUP(C2629,inf!$A$2:$B$7,2,FALSE)</f>
        <v>31 to 60</v>
      </c>
      <c r="F2629" s="12" t="str">
        <f t="shared" si="42"/>
        <v>11/22/2017</v>
      </c>
      <c r="G2629" t="str">
        <f>VLOOKUP(A2629,inf!$D$2:$E$76,2,FALSE)</f>
        <v>Other</v>
      </c>
    </row>
    <row r="2630" spans="1:7" x14ac:dyDescent="0.25">
      <c r="A2630" t="s">
        <v>15</v>
      </c>
      <c r="B2630" s="1">
        <v>43061</v>
      </c>
      <c r="C2630" t="s">
        <v>55</v>
      </c>
      <c r="D2630" s="4">
        <v>1105.6200000000001</v>
      </c>
      <c r="E2630" s="12" t="str">
        <f>VLOOKUP(C2630,inf!$A$2:$B$7,2,FALSE)</f>
        <v>Current</v>
      </c>
      <c r="F2630" s="12" t="str">
        <f t="shared" si="42"/>
        <v>11/22/2017</v>
      </c>
      <c r="G2630" t="str">
        <f>VLOOKUP(A2630,inf!$D$2:$E$76,2,FALSE)</f>
        <v>Other</v>
      </c>
    </row>
    <row r="2631" spans="1:7" x14ac:dyDescent="0.25">
      <c r="A2631" t="s">
        <v>15</v>
      </c>
      <c r="B2631" s="1">
        <v>43061</v>
      </c>
      <c r="C2631" t="s">
        <v>56</v>
      </c>
      <c r="D2631" s="4">
        <v>362.26</v>
      </c>
      <c r="E2631" s="12" t="str">
        <f>VLOOKUP(C2631,inf!$A$2:$B$7,2,FALSE)</f>
        <v>Current</v>
      </c>
      <c r="F2631" s="12" t="str">
        <f t="shared" si="42"/>
        <v>11/22/2017</v>
      </c>
      <c r="G2631" t="str">
        <f>VLOOKUP(A2631,inf!$D$2:$E$76,2,FALSE)</f>
        <v>Other</v>
      </c>
    </row>
    <row r="2632" spans="1:7" x14ac:dyDescent="0.25">
      <c r="A2632" t="s">
        <v>15</v>
      </c>
      <c r="B2632" s="1">
        <v>43061</v>
      </c>
      <c r="C2632" t="s">
        <v>59</v>
      </c>
      <c r="D2632" s="4">
        <v>291.60000000000002</v>
      </c>
      <c r="E2632" s="12" t="str">
        <f>VLOOKUP(C2632,inf!$A$2:$B$7,2,FALSE)</f>
        <v>Over 90</v>
      </c>
      <c r="F2632" s="12" t="str">
        <f t="shared" si="42"/>
        <v>11/22/2017</v>
      </c>
      <c r="G2632" t="str">
        <f>VLOOKUP(A2632,inf!$D$2:$E$76,2,FALSE)</f>
        <v>Other</v>
      </c>
    </row>
    <row r="2633" spans="1:7" x14ac:dyDescent="0.25">
      <c r="A2633" t="s">
        <v>22</v>
      </c>
      <c r="B2633" s="1">
        <v>43068</v>
      </c>
      <c r="C2633" t="s">
        <v>55</v>
      </c>
      <c r="D2633" s="4">
        <v>114.85</v>
      </c>
      <c r="E2633" s="12" t="str">
        <f>VLOOKUP(C2633,inf!$A$2:$B$7,2,FALSE)</f>
        <v>Current</v>
      </c>
      <c r="F2633" s="12" t="str">
        <f t="shared" si="42"/>
        <v>11/29/2017</v>
      </c>
      <c r="G2633" t="str">
        <f>VLOOKUP(A2633,inf!$D$2:$E$76,2,FALSE)</f>
        <v>Other</v>
      </c>
    </row>
    <row r="2634" spans="1:7" x14ac:dyDescent="0.25">
      <c r="A2634" t="s">
        <v>4</v>
      </c>
      <c r="B2634" s="1">
        <v>43068</v>
      </c>
      <c r="C2634" t="s">
        <v>55</v>
      </c>
      <c r="D2634" s="4">
        <v>3554.46</v>
      </c>
      <c r="E2634" s="12" t="str">
        <f>VLOOKUP(C2634,inf!$A$2:$B$7,2,FALSE)</f>
        <v>Current</v>
      </c>
      <c r="F2634" s="12" t="str">
        <f t="shared" si="42"/>
        <v>11/29/2017</v>
      </c>
      <c r="G2634" t="str">
        <f>VLOOKUP(A2634,inf!$D$2:$E$76,2,FALSE)</f>
        <v>Other</v>
      </c>
    </row>
    <row r="2635" spans="1:7" x14ac:dyDescent="0.25">
      <c r="A2635" t="s">
        <v>4</v>
      </c>
      <c r="B2635" s="1">
        <v>43068</v>
      </c>
      <c r="C2635" t="s">
        <v>56</v>
      </c>
      <c r="D2635" s="4">
        <v>1239.73</v>
      </c>
      <c r="E2635" s="12" t="str">
        <f>VLOOKUP(C2635,inf!$A$2:$B$7,2,FALSE)</f>
        <v>Current</v>
      </c>
      <c r="F2635" s="12" t="str">
        <f t="shared" si="42"/>
        <v>11/29/2017</v>
      </c>
      <c r="G2635" t="str">
        <f>VLOOKUP(A2635,inf!$D$2:$E$76,2,FALSE)</f>
        <v>Other</v>
      </c>
    </row>
    <row r="2636" spans="1:7" x14ac:dyDescent="0.25">
      <c r="A2636" t="s">
        <v>4</v>
      </c>
      <c r="B2636" s="1">
        <v>43068</v>
      </c>
      <c r="C2636" t="s">
        <v>57</v>
      </c>
      <c r="D2636" s="4">
        <v>300</v>
      </c>
      <c r="E2636" s="12" t="str">
        <f>VLOOKUP(C2636,inf!$A$2:$B$7,2,FALSE)</f>
        <v>31 to 60</v>
      </c>
      <c r="F2636" s="12" t="str">
        <f t="shared" si="42"/>
        <v>11/29/2017</v>
      </c>
      <c r="G2636" t="str">
        <f>VLOOKUP(A2636,inf!$D$2:$E$76,2,FALSE)</f>
        <v>Other</v>
      </c>
    </row>
    <row r="2637" spans="1:7" x14ac:dyDescent="0.25">
      <c r="A2637" t="s">
        <v>77</v>
      </c>
      <c r="B2637" s="1">
        <v>43068</v>
      </c>
      <c r="C2637" t="s">
        <v>55</v>
      </c>
      <c r="D2637" s="4">
        <v>834.05</v>
      </c>
      <c r="E2637" s="12" t="str">
        <f>VLOOKUP(C2637,inf!$A$2:$B$7,2,FALSE)</f>
        <v>Current</v>
      </c>
      <c r="F2637" s="12" t="str">
        <f t="shared" si="42"/>
        <v>11/29/2017</v>
      </c>
      <c r="G2637" t="str">
        <f>VLOOKUP(A2637,inf!$D$2:$E$76,2,FALSE)</f>
        <v>Other</v>
      </c>
    </row>
    <row r="2638" spans="1:7" x14ac:dyDescent="0.25">
      <c r="A2638" t="s">
        <v>25</v>
      </c>
      <c r="B2638" s="1">
        <v>43068</v>
      </c>
      <c r="C2638" t="s">
        <v>55</v>
      </c>
      <c r="D2638" s="4">
        <v>367.9</v>
      </c>
      <c r="E2638" s="12" t="str">
        <f>VLOOKUP(C2638,inf!$A$2:$B$7,2,FALSE)</f>
        <v>Current</v>
      </c>
      <c r="F2638" s="12" t="str">
        <f t="shared" si="42"/>
        <v>11/29/2017</v>
      </c>
      <c r="G2638" t="str">
        <f>VLOOKUP(A2638,inf!$D$2:$E$76,2,FALSE)</f>
        <v>Other</v>
      </c>
    </row>
    <row r="2639" spans="1:7" x14ac:dyDescent="0.25">
      <c r="A2639" t="s">
        <v>31</v>
      </c>
      <c r="B2639" s="1">
        <v>43068</v>
      </c>
      <c r="C2639" t="s">
        <v>57</v>
      </c>
      <c r="D2639" s="4">
        <v>365.13</v>
      </c>
      <c r="E2639" s="12" t="str">
        <f>VLOOKUP(C2639,inf!$A$2:$B$7,2,FALSE)</f>
        <v>31 to 60</v>
      </c>
      <c r="F2639" s="12" t="str">
        <f t="shared" si="42"/>
        <v>11/29/2017</v>
      </c>
      <c r="G2639" t="str">
        <f>VLOOKUP(A2639,inf!$D$2:$E$76,2,FALSE)</f>
        <v>Other</v>
      </c>
    </row>
    <row r="2640" spans="1:7" x14ac:dyDescent="0.25">
      <c r="A2640" t="s">
        <v>31</v>
      </c>
      <c r="B2640" s="1">
        <v>43068</v>
      </c>
      <c r="C2640" t="s">
        <v>58</v>
      </c>
      <c r="D2640" s="4">
        <v>174.7</v>
      </c>
      <c r="E2640" s="12" t="str">
        <f>VLOOKUP(C2640,inf!$A$2:$B$7,2,FALSE)</f>
        <v>61 to 90</v>
      </c>
      <c r="F2640" s="12" t="str">
        <f t="shared" si="42"/>
        <v>11/29/2017</v>
      </c>
      <c r="G2640" t="str">
        <f>VLOOKUP(A2640,inf!$D$2:$E$76,2,FALSE)</f>
        <v>Other</v>
      </c>
    </row>
    <row r="2641" spans="1:7" x14ac:dyDescent="0.25">
      <c r="A2641" t="s">
        <v>31</v>
      </c>
      <c r="B2641" s="1">
        <v>43068</v>
      </c>
      <c r="C2641" t="s">
        <v>59</v>
      </c>
      <c r="D2641" s="4">
        <v>296.71000000000004</v>
      </c>
      <c r="E2641" s="12" t="str">
        <f>VLOOKUP(C2641,inf!$A$2:$B$7,2,FALSE)</f>
        <v>Over 90</v>
      </c>
      <c r="F2641" s="12" t="str">
        <f t="shared" si="42"/>
        <v>11/29/2017</v>
      </c>
      <c r="G2641" t="str">
        <f>VLOOKUP(A2641,inf!$D$2:$E$76,2,FALSE)</f>
        <v>Other</v>
      </c>
    </row>
    <row r="2642" spans="1:7" x14ac:dyDescent="0.25">
      <c r="A2642" t="s">
        <v>24</v>
      </c>
      <c r="B2642" s="1">
        <v>43068</v>
      </c>
      <c r="C2642" t="s">
        <v>55</v>
      </c>
      <c r="D2642" s="4">
        <v>373.27</v>
      </c>
      <c r="E2642" s="12" t="str">
        <f>VLOOKUP(C2642,inf!$A$2:$B$7,2,FALSE)</f>
        <v>Current</v>
      </c>
      <c r="F2642" s="12" t="str">
        <f t="shared" si="42"/>
        <v>11/29/2017</v>
      </c>
      <c r="G2642" t="str">
        <f>VLOOKUP(A2642,inf!$D$2:$E$76,2,FALSE)</f>
        <v>Other</v>
      </c>
    </row>
    <row r="2643" spans="1:7" x14ac:dyDescent="0.25">
      <c r="A2643" t="s">
        <v>18</v>
      </c>
      <c r="B2643" s="1">
        <v>43068</v>
      </c>
      <c r="C2643" t="s">
        <v>55</v>
      </c>
      <c r="D2643" s="4">
        <v>630.54</v>
      </c>
      <c r="E2643" s="12" t="str">
        <f>VLOOKUP(C2643,inf!$A$2:$B$7,2,FALSE)</f>
        <v>Current</v>
      </c>
      <c r="F2643" s="12" t="str">
        <f t="shared" si="42"/>
        <v>11/29/2017</v>
      </c>
      <c r="G2643" t="str">
        <f>VLOOKUP(A2643,inf!$D$2:$E$76,2,FALSE)</f>
        <v>Other</v>
      </c>
    </row>
    <row r="2644" spans="1:7" x14ac:dyDescent="0.25">
      <c r="A2644" t="s">
        <v>27</v>
      </c>
      <c r="B2644" s="1">
        <v>43068</v>
      </c>
      <c r="C2644" t="s">
        <v>55</v>
      </c>
      <c r="D2644" s="4">
        <v>403.54</v>
      </c>
      <c r="E2644" s="12" t="str">
        <f>VLOOKUP(C2644,inf!$A$2:$B$7,2,FALSE)</f>
        <v>Current</v>
      </c>
      <c r="F2644" s="12" t="str">
        <f t="shared" si="42"/>
        <v>11/29/2017</v>
      </c>
      <c r="G2644" t="str">
        <f>VLOOKUP(A2644,inf!$D$2:$E$76,2,FALSE)</f>
        <v>Other</v>
      </c>
    </row>
    <row r="2645" spans="1:7" x14ac:dyDescent="0.25">
      <c r="A2645" t="s">
        <v>62</v>
      </c>
      <c r="B2645" s="1">
        <v>43068</v>
      </c>
      <c r="C2645" t="s">
        <v>57</v>
      </c>
      <c r="D2645" s="4">
        <v>229.7</v>
      </c>
      <c r="E2645" s="12" t="str">
        <f>VLOOKUP(C2645,inf!$A$2:$B$7,2,FALSE)</f>
        <v>31 to 60</v>
      </c>
      <c r="F2645" s="12" t="str">
        <f t="shared" si="42"/>
        <v>11/29/2017</v>
      </c>
      <c r="G2645" t="str">
        <f>VLOOKUP(A2645,inf!$D$2:$E$76,2,FALSE)</f>
        <v>Other</v>
      </c>
    </row>
    <row r="2646" spans="1:7" x14ac:dyDescent="0.25">
      <c r="A2646" t="s">
        <v>62</v>
      </c>
      <c r="B2646" s="1">
        <v>43068</v>
      </c>
      <c r="C2646" t="s">
        <v>58</v>
      </c>
      <c r="D2646" s="4">
        <v>241.51</v>
      </c>
      <c r="E2646" s="12" t="str">
        <f>VLOOKUP(C2646,inf!$A$2:$B$7,2,FALSE)</f>
        <v>61 to 90</v>
      </c>
      <c r="F2646" s="12" t="str">
        <f t="shared" si="42"/>
        <v>11/29/2017</v>
      </c>
      <c r="G2646" t="str">
        <f>VLOOKUP(A2646,inf!$D$2:$E$76,2,FALSE)</f>
        <v>Other</v>
      </c>
    </row>
    <row r="2647" spans="1:7" x14ac:dyDescent="0.25">
      <c r="A2647" t="s">
        <v>21</v>
      </c>
      <c r="B2647" s="1">
        <v>43068</v>
      </c>
      <c r="C2647" t="s">
        <v>55</v>
      </c>
      <c r="D2647" s="4">
        <v>287.13</v>
      </c>
      <c r="E2647" s="12" t="str">
        <f>VLOOKUP(C2647,inf!$A$2:$B$7,2,FALSE)</f>
        <v>Current</v>
      </c>
      <c r="F2647" s="12" t="str">
        <f t="shared" si="42"/>
        <v>11/29/2017</v>
      </c>
      <c r="G2647" t="str">
        <f>VLOOKUP(A2647,inf!$D$2:$E$76,2,FALSE)</f>
        <v>Other</v>
      </c>
    </row>
    <row r="2648" spans="1:7" x14ac:dyDescent="0.25">
      <c r="A2648" t="s">
        <v>21</v>
      </c>
      <c r="B2648" s="1">
        <v>43068</v>
      </c>
      <c r="C2648" t="s">
        <v>57</v>
      </c>
      <c r="D2648" s="4">
        <v>172.28</v>
      </c>
      <c r="E2648" s="12" t="str">
        <f>VLOOKUP(C2648,inf!$A$2:$B$7,2,FALSE)</f>
        <v>31 to 60</v>
      </c>
      <c r="F2648" s="12" t="str">
        <f t="shared" si="42"/>
        <v>11/29/2017</v>
      </c>
      <c r="G2648" t="str">
        <f>VLOOKUP(A2648,inf!$D$2:$E$76,2,FALSE)</f>
        <v>Other</v>
      </c>
    </row>
    <row r="2649" spans="1:7" x14ac:dyDescent="0.25">
      <c r="A2649" t="s">
        <v>3</v>
      </c>
      <c r="B2649" s="1">
        <v>43068</v>
      </c>
      <c r="C2649" t="s">
        <v>55</v>
      </c>
      <c r="D2649" s="4">
        <v>334.31</v>
      </c>
      <c r="E2649" s="12" t="str">
        <f>VLOOKUP(C2649,inf!$A$2:$B$7,2,FALSE)</f>
        <v>Current</v>
      </c>
      <c r="F2649" s="12" t="str">
        <f t="shared" si="42"/>
        <v>11/29/2017</v>
      </c>
      <c r="G2649" t="str">
        <f>VLOOKUP(A2649,inf!$D$2:$E$76,2,FALSE)</f>
        <v>Other</v>
      </c>
    </row>
    <row r="2650" spans="1:7" x14ac:dyDescent="0.25">
      <c r="A2650" t="s">
        <v>3</v>
      </c>
      <c r="B2650" s="1">
        <v>43068</v>
      </c>
      <c r="C2650" t="s">
        <v>56</v>
      </c>
      <c r="D2650" s="4">
        <v>1271.7399999999998</v>
      </c>
      <c r="E2650" s="12" t="str">
        <f>VLOOKUP(C2650,inf!$A$2:$B$7,2,FALSE)</f>
        <v>Current</v>
      </c>
      <c r="F2650" s="12" t="str">
        <f t="shared" si="42"/>
        <v>11/29/2017</v>
      </c>
      <c r="G2650" t="str">
        <f>VLOOKUP(A2650,inf!$D$2:$E$76,2,FALSE)</f>
        <v>Other</v>
      </c>
    </row>
    <row r="2651" spans="1:7" x14ac:dyDescent="0.25">
      <c r="A2651" t="s">
        <v>3</v>
      </c>
      <c r="B2651" s="1">
        <v>43068</v>
      </c>
      <c r="C2651" t="s">
        <v>57</v>
      </c>
      <c r="D2651" s="4">
        <v>130.16</v>
      </c>
      <c r="E2651" s="12" t="str">
        <f>VLOOKUP(C2651,inf!$A$2:$B$7,2,FALSE)</f>
        <v>31 to 60</v>
      </c>
      <c r="F2651" s="12" t="str">
        <f t="shared" si="42"/>
        <v>11/29/2017</v>
      </c>
      <c r="G2651" t="str">
        <f>VLOOKUP(A2651,inf!$D$2:$E$76,2,FALSE)</f>
        <v>Other</v>
      </c>
    </row>
    <row r="2652" spans="1:7" x14ac:dyDescent="0.25">
      <c r="A2652" t="s">
        <v>3</v>
      </c>
      <c r="B2652" s="1">
        <v>43068</v>
      </c>
      <c r="C2652" t="s">
        <v>58</v>
      </c>
      <c r="D2652" s="4">
        <v>67.66</v>
      </c>
      <c r="E2652" s="12" t="str">
        <f>VLOOKUP(C2652,inf!$A$2:$B$7,2,FALSE)</f>
        <v>61 to 90</v>
      </c>
      <c r="F2652" s="12" t="str">
        <f t="shared" si="42"/>
        <v>11/29/2017</v>
      </c>
      <c r="G2652" t="str">
        <f>VLOOKUP(A2652,inf!$D$2:$E$76,2,FALSE)</f>
        <v>Other</v>
      </c>
    </row>
    <row r="2653" spans="1:7" x14ac:dyDescent="0.25">
      <c r="A2653" t="s">
        <v>78</v>
      </c>
      <c r="B2653" s="1">
        <v>43068</v>
      </c>
      <c r="C2653" t="s">
        <v>55</v>
      </c>
      <c r="D2653" s="4">
        <v>718.99</v>
      </c>
      <c r="E2653" s="12" t="str">
        <f>VLOOKUP(C2653,inf!$A$2:$B$7,2,FALSE)</f>
        <v>Current</v>
      </c>
      <c r="F2653" s="12" t="str">
        <f t="shared" si="42"/>
        <v>11/29/2017</v>
      </c>
      <c r="G2653" t="str">
        <f>VLOOKUP(A2653,inf!$D$2:$E$76,2,FALSE)</f>
        <v>Other</v>
      </c>
    </row>
    <row r="2654" spans="1:7" x14ac:dyDescent="0.25">
      <c r="A2654" t="s">
        <v>78</v>
      </c>
      <c r="B2654" s="1">
        <v>43068</v>
      </c>
      <c r="C2654" t="s">
        <v>56</v>
      </c>
      <c r="D2654" s="4">
        <v>292.45999999999998</v>
      </c>
      <c r="E2654" s="12" t="str">
        <f>VLOOKUP(C2654,inf!$A$2:$B$7,2,FALSE)</f>
        <v>Current</v>
      </c>
      <c r="F2654" s="12" t="str">
        <f t="shared" si="42"/>
        <v>11/29/2017</v>
      </c>
      <c r="G2654" t="str">
        <f>VLOOKUP(A2654,inf!$D$2:$E$76,2,FALSE)</f>
        <v>Other</v>
      </c>
    </row>
    <row r="2655" spans="1:7" x14ac:dyDescent="0.25">
      <c r="A2655" t="s">
        <v>30</v>
      </c>
      <c r="B2655" s="1">
        <v>43068</v>
      </c>
      <c r="C2655" t="s">
        <v>55</v>
      </c>
      <c r="D2655" s="4">
        <v>472.31</v>
      </c>
      <c r="E2655" s="12" t="str">
        <f>VLOOKUP(C2655,inf!$A$2:$B$7,2,FALSE)</f>
        <v>Current</v>
      </c>
      <c r="F2655" s="12" t="str">
        <f t="shared" si="42"/>
        <v>11/29/2017</v>
      </c>
      <c r="G2655" t="str">
        <f>VLOOKUP(A2655,inf!$D$2:$E$76,2,FALSE)</f>
        <v>Other</v>
      </c>
    </row>
    <row r="2656" spans="1:7" x14ac:dyDescent="0.25">
      <c r="A2656" t="s">
        <v>30</v>
      </c>
      <c r="B2656" s="1">
        <v>43068</v>
      </c>
      <c r="C2656" t="s">
        <v>56</v>
      </c>
      <c r="D2656" s="4">
        <v>114.85</v>
      </c>
      <c r="E2656" s="12" t="str">
        <f>VLOOKUP(C2656,inf!$A$2:$B$7,2,FALSE)</f>
        <v>Current</v>
      </c>
      <c r="F2656" s="12" t="str">
        <f t="shared" si="42"/>
        <v>11/29/2017</v>
      </c>
      <c r="G2656" t="str">
        <f>VLOOKUP(A2656,inf!$D$2:$E$76,2,FALSE)</f>
        <v>Other</v>
      </c>
    </row>
    <row r="2657" spans="1:7" x14ac:dyDescent="0.25">
      <c r="A2657" t="s">
        <v>30</v>
      </c>
      <c r="B2657" s="1">
        <v>43068</v>
      </c>
      <c r="C2657" t="s">
        <v>57</v>
      </c>
      <c r="D2657" s="4">
        <v>232.39</v>
      </c>
      <c r="E2657" s="12" t="str">
        <f>VLOOKUP(C2657,inf!$A$2:$B$7,2,FALSE)</f>
        <v>31 to 60</v>
      </c>
      <c r="F2657" s="12" t="str">
        <f t="shared" si="42"/>
        <v>11/29/2017</v>
      </c>
      <c r="G2657" t="str">
        <f>VLOOKUP(A2657,inf!$D$2:$E$76,2,FALSE)</f>
        <v>Other</v>
      </c>
    </row>
    <row r="2658" spans="1:7" x14ac:dyDescent="0.25">
      <c r="A2658" t="s">
        <v>63</v>
      </c>
      <c r="B2658" s="1">
        <v>43068</v>
      </c>
      <c r="C2658" t="s">
        <v>58</v>
      </c>
      <c r="D2658" s="4">
        <v>170.49</v>
      </c>
      <c r="E2658" s="12" t="str">
        <f>VLOOKUP(C2658,inf!$A$2:$B$7,2,FALSE)</f>
        <v>61 to 90</v>
      </c>
      <c r="F2658" s="12" t="str">
        <f t="shared" si="42"/>
        <v>11/29/2017</v>
      </c>
      <c r="G2658" t="str">
        <f>VLOOKUP(A2658,inf!$D$2:$E$76,2,FALSE)</f>
        <v>Other</v>
      </c>
    </row>
    <row r="2659" spans="1:7" x14ac:dyDescent="0.25">
      <c r="A2659" t="s">
        <v>12</v>
      </c>
      <c r="B2659" s="1">
        <v>43068</v>
      </c>
      <c r="C2659" t="s">
        <v>55</v>
      </c>
      <c r="D2659" s="4">
        <v>519.22</v>
      </c>
      <c r="E2659" s="12" t="str">
        <f>VLOOKUP(C2659,inf!$A$2:$B$7,2,FALSE)</f>
        <v>Current</v>
      </c>
      <c r="F2659" s="12" t="str">
        <f t="shared" si="42"/>
        <v>11/29/2017</v>
      </c>
      <c r="G2659" t="str">
        <f>VLOOKUP(A2659,inf!$D$2:$E$76,2,FALSE)</f>
        <v>Other</v>
      </c>
    </row>
    <row r="2660" spans="1:7" x14ac:dyDescent="0.25">
      <c r="A2660" t="s">
        <v>12</v>
      </c>
      <c r="B2660" s="1">
        <v>43068</v>
      </c>
      <c r="C2660" t="s">
        <v>56</v>
      </c>
      <c r="D2660" s="4">
        <v>416.21</v>
      </c>
      <c r="E2660" s="12" t="str">
        <f>VLOOKUP(C2660,inf!$A$2:$B$7,2,FALSE)</f>
        <v>Current</v>
      </c>
      <c r="F2660" s="12" t="str">
        <f t="shared" si="42"/>
        <v>11/29/2017</v>
      </c>
      <c r="G2660" t="str">
        <f>VLOOKUP(A2660,inf!$D$2:$E$76,2,FALSE)</f>
        <v>Other</v>
      </c>
    </row>
    <row r="2661" spans="1:7" x14ac:dyDescent="0.25">
      <c r="A2661" t="s">
        <v>50</v>
      </c>
      <c r="B2661" s="1">
        <v>43068</v>
      </c>
      <c r="C2661" t="s">
        <v>56</v>
      </c>
      <c r="D2661" s="4">
        <v>202.62</v>
      </c>
      <c r="E2661" s="12" t="str">
        <f>VLOOKUP(C2661,inf!$A$2:$B$7,2,FALSE)</f>
        <v>Current</v>
      </c>
      <c r="F2661" s="12" t="str">
        <f t="shared" si="42"/>
        <v>11/29/2017</v>
      </c>
      <c r="G2661" t="str">
        <f>VLOOKUP(A2661,inf!$D$2:$E$76,2,FALSE)</f>
        <v>Other</v>
      </c>
    </row>
    <row r="2662" spans="1:7" x14ac:dyDescent="0.25">
      <c r="A2662" t="s">
        <v>23</v>
      </c>
      <c r="B2662" s="1">
        <v>43068</v>
      </c>
      <c r="C2662" t="s">
        <v>56</v>
      </c>
      <c r="D2662" s="4">
        <v>250.61</v>
      </c>
      <c r="E2662" s="12" t="str">
        <f>VLOOKUP(C2662,inf!$A$2:$B$7,2,FALSE)</f>
        <v>Current</v>
      </c>
      <c r="F2662" s="12" t="str">
        <f t="shared" si="42"/>
        <v>11/29/2017</v>
      </c>
      <c r="G2662" t="str">
        <f>VLOOKUP(A2662,inf!$D$2:$E$76,2,FALSE)</f>
        <v>Other</v>
      </c>
    </row>
    <row r="2663" spans="1:7" x14ac:dyDescent="0.25">
      <c r="A2663" t="s">
        <v>7</v>
      </c>
      <c r="B2663" s="1">
        <v>43068</v>
      </c>
      <c r="C2663" t="s">
        <v>55</v>
      </c>
      <c r="D2663" s="4">
        <v>77086.659999999974</v>
      </c>
      <c r="E2663" s="12" t="str">
        <f>VLOOKUP(C2663,inf!$A$2:$B$7,2,FALSE)</f>
        <v>Current</v>
      </c>
      <c r="F2663" s="12" t="str">
        <f t="shared" si="42"/>
        <v>11/29/2017</v>
      </c>
      <c r="G2663" t="str">
        <f>VLOOKUP(A2663,inf!$D$2:$E$76,2,FALSE)</f>
        <v>SAFEWAY</v>
      </c>
    </row>
    <row r="2664" spans="1:7" x14ac:dyDescent="0.25">
      <c r="A2664" t="s">
        <v>7</v>
      </c>
      <c r="B2664" s="1">
        <v>43068</v>
      </c>
      <c r="C2664" t="s">
        <v>56</v>
      </c>
      <c r="D2664" s="4">
        <v>29866.51</v>
      </c>
      <c r="E2664" s="12" t="str">
        <f>VLOOKUP(C2664,inf!$A$2:$B$7,2,FALSE)</f>
        <v>Current</v>
      </c>
      <c r="F2664" s="12" t="str">
        <f t="shared" si="42"/>
        <v>11/29/2017</v>
      </c>
      <c r="G2664" t="str">
        <f>VLOOKUP(A2664,inf!$D$2:$E$76,2,FALSE)</f>
        <v>SAFEWAY</v>
      </c>
    </row>
    <row r="2665" spans="1:7" x14ac:dyDescent="0.25">
      <c r="A2665" t="s">
        <v>7</v>
      </c>
      <c r="B2665" s="1">
        <v>43068</v>
      </c>
      <c r="C2665" t="s">
        <v>57</v>
      </c>
      <c r="D2665" s="4">
        <v>1241.8499999999999</v>
      </c>
      <c r="E2665" s="12" t="str">
        <f>VLOOKUP(C2665,inf!$A$2:$B$7,2,FALSE)</f>
        <v>31 to 60</v>
      </c>
      <c r="F2665" s="12" t="str">
        <f t="shared" si="42"/>
        <v>11/29/2017</v>
      </c>
      <c r="G2665" t="str">
        <f>VLOOKUP(A2665,inf!$D$2:$E$76,2,FALSE)</f>
        <v>SAFEWAY</v>
      </c>
    </row>
    <row r="2666" spans="1:7" x14ac:dyDescent="0.25">
      <c r="A2666" t="s">
        <v>7</v>
      </c>
      <c r="B2666" s="1">
        <v>43068</v>
      </c>
      <c r="C2666" t="s">
        <v>58</v>
      </c>
      <c r="D2666" s="4">
        <v>4977.1099999999997</v>
      </c>
      <c r="E2666" s="12" t="str">
        <f>VLOOKUP(C2666,inf!$A$2:$B$7,2,FALSE)</f>
        <v>61 to 90</v>
      </c>
      <c r="F2666" s="12" t="str">
        <f t="shared" si="42"/>
        <v>11/29/2017</v>
      </c>
      <c r="G2666" t="str">
        <f>VLOOKUP(A2666,inf!$D$2:$E$76,2,FALSE)</f>
        <v>SAFEWAY</v>
      </c>
    </row>
    <row r="2667" spans="1:7" x14ac:dyDescent="0.25">
      <c r="A2667" t="s">
        <v>7</v>
      </c>
      <c r="B2667" s="1">
        <v>43068</v>
      </c>
      <c r="C2667" t="s">
        <v>59</v>
      </c>
      <c r="D2667" s="4">
        <v>854</v>
      </c>
      <c r="E2667" s="12" t="str">
        <f>VLOOKUP(C2667,inf!$A$2:$B$7,2,FALSE)</f>
        <v>Over 90</v>
      </c>
      <c r="F2667" s="12" t="str">
        <f t="shared" si="42"/>
        <v>11/29/2017</v>
      </c>
      <c r="G2667" t="str">
        <f>VLOOKUP(A2667,inf!$D$2:$E$76,2,FALSE)</f>
        <v>SAFEWAY</v>
      </c>
    </row>
    <row r="2668" spans="1:7" x14ac:dyDescent="0.25">
      <c r="A2668" t="s">
        <v>7</v>
      </c>
      <c r="B2668" s="1">
        <v>43068</v>
      </c>
      <c r="C2668" t="s">
        <v>60</v>
      </c>
      <c r="D2668" s="4">
        <v>334.41</v>
      </c>
      <c r="E2668" s="12" t="str">
        <f>VLOOKUP(C2668,inf!$A$2:$B$7,2,FALSE)</f>
        <v>Over 90</v>
      </c>
      <c r="F2668" s="12" t="str">
        <f t="shared" si="42"/>
        <v>11/29/2017</v>
      </c>
      <c r="G2668" t="str">
        <f>VLOOKUP(A2668,inf!$D$2:$E$76,2,FALSE)</f>
        <v>SAFEWAY</v>
      </c>
    </row>
    <row r="2669" spans="1:7" x14ac:dyDescent="0.25">
      <c r="A2669" t="s">
        <v>74</v>
      </c>
      <c r="B2669" s="1">
        <v>43068</v>
      </c>
      <c r="C2669" t="s">
        <v>57</v>
      </c>
      <c r="D2669" s="4">
        <v>742.26</v>
      </c>
      <c r="E2669" s="12" t="str">
        <f>VLOOKUP(C2669,inf!$A$2:$B$7,2,FALSE)</f>
        <v>31 to 60</v>
      </c>
      <c r="F2669" s="12" t="str">
        <f t="shared" si="42"/>
        <v>11/29/2017</v>
      </c>
      <c r="G2669" t="str">
        <f>VLOOKUP(A2669,inf!$D$2:$E$76,2,FALSE)</f>
        <v>Other</v>
      </c>
    </row>
    <row r="2670" spans="1:7" x14ac:dyDescent="0.25">
      <c r="A2670" t="s">
        <v>5</v>
      </c>
      <c r="B2670" s="1">
        <v>43068</v>
      </c>
      <c r="C2670" t="s">
        <v>55</v>
      </c>
      <c r="D2670" s="4">
        <v>6088790.0899999337</v>
      </c>
      <c r="E2670" s="12" t="str">
        <f>VLOOKUP(C2670,inf!$A$2:$B$7,2,FALSE)</f>
        <v>Current</v>
      </c>
      <c r="F2670" s="12" t="str">
        <f t="shared" si="42"/>
        <v>11/29/2017</v>
      </c>
      <c r="G2670" t="str">
        <f>VLOOKUP(A2670,inf!$D$2:$E$76,2,FALSE)</f>
        <v>SBUX</v>
      </c>
    </row>
    <row r="2671" spans="1:7" x14ac:dyDescent="0.25">
      <c r="A2671" t="s">
        <v>5</v>
      </c>
      <c r="B2671" s="1">
        <v>43068</v>
      </c>
      <c r="C2671" t="s">
        <v>56</v>
      </c>
      <c r="D2671" s="4">
        <v>68202.58</v>
      </c>
      <c r="E2671" s="12" t="str">
        <f>VLOOKUP(C2671,inf!$A$2:$B$7,2,FALSE)</f>
        <v>Current</v>
      </c>
      <c r="F2671" s="12" t="str">
        <f t="shared" si="42"/>
        <v>11/29/2017</v>
      </c>
      <c r="G2671" t="str">
        <f>VLOOKUP(A2671,inf!$D$2:$E$76,2,FALSE)</f>
        <v>SBUX</v>
      </c>
    </row>
    <row r="2672" spans="1:7" x14ac:dyDescent="0.25">
      <c r="A2672" t="s">
        <v>5</v>
      </c>
      <c r="B2672" s="1">
        <v>43068</v>
      </c>
      <c r="C2672" t="s">
        <v>57</v>
      </c>
      <c r="D2672" s="4">
        <v>26979.09</v>
      </c>
      <c r="E2672" s="12" t="str">
        <f>VLOOKUP(C2672,inf!$A$2:$B$7,2,FALSE)</f>
        <v>31 to 60</v>
      </c>
      <c r="F2672" s="12" t="str">
        <f t="shared" si="42"/>
        <v>11/29/2017</v>
      </c>
      <c r="G2672" t="str">
        <f>VLOOKUP(A2672,inf!$D$2:$E$76,2,FALSE)</f>
        <v>SBUX</v>
      </c>
    </row>
    <row r="2673" spans="1:7" x14ac:dyDescent="0.25">
      <c r="A2673" t="s">
        <v>5</v>
      </c>
      <c r="B2673" s="1">
        <v>43068</v>
      </c>
      <c r="C2673" t="s">
        <v>58</v>
      </c>
      <c r="D2673" s="4">
        <v>25560.459999999992</v>
      </c>
      <c r="E2673" s="12" t="str">
        <f>VLOOKUP(C2673,inf!$A$2:$B$7,2,FALSE)</f>
        <v>61 to 90</v>
      </c>
      <c r="F2673" s="12" t="str">
        <f t="shared" si="42"/>
        <v>11/29/2017</v>
      </c>
      <c r="G2673" t="str">
        <f>VLOOKUP(A2673,inf!$D$2:$E$76,2,FALSE)</f>
        <v>SBUX</v>
      </c>
    </row>
    <row r="2674" spans="1:7" x14ac:dyDescent="0.25">
      <c r="A2674" t="s">
        <v>5</v>
      </c>
      <c r="B2674" s="1">
        <v>43068</v>
      </c>
      <c r="C2674" t="s">
        <v>59</v>
      </c>
      <c r="D2674" s="4">
        <v>14732.47999999999</v>
      </c>
      <c r="E2674" s="12" t="str">
        <f>VLOOKUP(C2674,inf!$A$2:$B$7,2,FALSE)</f>
        <v>Over 90</v>
      </c>
      <c r="F2674" s="12" t="str">
        <f t="shared" si="42"/>
        <v>11/29/2017</v>
      </c>
      <c r="G2674" t="str">
        <f>VLOOKUP(A2674,inf!$D$2:$E$76,2,FALSE)</f>
        <v>SBUX</v>
      </c>
    </row>
    <row r="2675" spans="1:7" x14ac:dyDescent="0.25">
      <c r="A2675" t="s">
        <v>5</v>
      </c>
      <c r="B2675" s="1">
        <v>43068</v>
      </c>
      <c r="C2675" t="s">
        <v>60</v>
      </c>
      <c r="D2675" s="4">
        <v>163314.25000000003</v>
      </c>
      <c r="E2675" s="12" t="str">
        <f>VLOOKUP(C2675,inf!$A$2:$B$7,2,FALSE)</f>
        <v>Over 90</v>
      </c>
      <c r="F2675" s="12" t="str">
        <f t="shared" si="42"/>
        <v>11/29/2017</v>
      </c>
      <c r="G2675" t="str">
        <f>VLOOKUP(A2675,inf!$D$2:$E$76,2,FALSE)</f>
        <v>SBUX</v>
      </c>
    </row>
    <row r="2676" spans="1:7" x14ac:dyDescent="0.25">
      <c r="A2676" t="s">
        <v>6</v>
      </c>
      <c r="B2676" s="1">
        <v>43068</v>
      </c>
      <c r="C2676" t="s">
        <v>55</v>
      </c>
      <c r="D2676" s="4">
        <v>540870.49999999767</v>
      </c>
      <c r="E2676" s="12" t="str">
        <f>VLOOKUP(C2676,inf!$A$2:$B$7,2,FALSE)</f>
        <v>Current</v>
      </c>
      <c r="F2676" s="12" t="str">
        <f t="shared" si="42"/>
        <v>11/29/2017</v>
      </c>
      <c r="G2676" t="str">
        <f>VLOOKUP(A2676,inf!$D$2:$E$76,2,FALSE)</f>
        <v>SBUX</v>
      </c>
    </row>
    <row r="2677" spans="1:7" x14ac:dyDescent="0.25">
      <c r="A2677" t="s">
        <v>6</v>
      </c>
      <c r="B2677" s="1">
        <v>43068</v>
      </c>
      <c r="C2677" t="s">
        <v>56</v>
      </c>
      <c r="D2677" s="4">
        <v>4836.7599999999993</v>
      </c>
      <c r="E2677" s="12" t="str">
        <f>VLOOKUP(C2677,inf!$A$2:$B$7,2,FALSE)</f>
        <v>Current</v>
      </c>
      <c r="F2677" s="12" t="str">
        <f t="shared" si="42"/>
        <v>11/29/2017</v>
      </c>
      <c r="G2677" t="str">
        <f>VLOOKUP(A2677,inf!$D$2:$E$76,2,FALSE)</f>
        <v>SBUX</v>
      </c>
    </row>
    <row r="2678" spans="1:7" x14ac:dyDescent="0.25">
      <c r="A2678" t="s">
        <v>6</v>
      </c>
      <c r="B2678" s="1">
        <v>43068</v>
      </c>
      <c r="C2678" t="s">
        <v>57</v>
      </c>
      <c r="D2678" s="4">
        <v>2057.4300000000003</v>
      </c>
      <c r="E2678" s="12" t="str">
        <f>VLOOKUP(C2678,inf!$A$2:$B$7,2,FALSE)</f>
        <v>31 to 60</v>
      </c>
      <c r="F2678" s="12" t="str">
        <f t="shared" si="42"/>
        <v>11/29/2017</v>
      </c>
      <c r="G2678" t="str">
        <f>VLOOKUP(A2678,inf!$D$2:$E$76,2,FALSE)</f>
        <v>SBUX</v>
      </c>
    </row>
    <row r="2679" spans="1:7" x14ac:dyDescent="0.25">
      <c r="A2679" t="s">
        <v>6</v>
      </c>
      <c r="B2679" s="1">
        <v>43068</v>
      </c>
      <c r="C2679" t="s">
        <v>58</v>
      </c>
      <c r="D2679" s="4">
        <v>4352.9599999999991</v>
      </c>
      <c r="E2679" s="12" t="str">
        <f>VLOOKUP(C2679,inf!$A$2:$B$7,2,FALSE)</f>
        <v>61 to 90</v>
      </c>
      <c r="F2679" s="12" t="str">
        <f t="shared" si="42"/>
        <v>11/29/2017</v>
      </c>
      <c r="G2679" t="str">
        <f>VLOOKUP(A2679,inf!$D$2:$E$76,2,FALSE)</f>
        <v>SBUX</v>
      </c>
    </row>
    <row r="2680" spans="1:7" x14ac:dyDescent="0.25">
      <c r="A2680" t="s">
        <v>6</v>
      </c>
      <c r="B2680" s="1">
        <v>43068</v>
      </c>
      <c r="C2680" t="s">
        <v>59</v>
      </c>
      <c r="D2680" s="4">
        <v>1210.52</v>
      </c>
      <c r="E2680" s="12" t="str">
        <f>VLOOKUP(C2680,inf!$A$2:$B$7,2,FALSE)</f>
        <v>Over 90</v>
      </c>
      <c r="F2680" s="12" t="str">
        <f t="shared" si="42"/>
        <v>11/29/2017</v>
      </c>
      <c r="G2680" t="str">
        <f>VLOOKUP(A2680,inf!$D$2:$E$76,2,FALSE)</f>
        <v>SBUX</v>
      </c>
    </row>
    <row r="2681" spans="1:7" x14ac:dyDescent="0.25">
      <c r="A2681" t="s">
        <v>6</v>
      </c>
      <c r="B2681" s="1">
        <v>43068</v>
      </c>
      <c r="C2681" t="s">
        <v>60</v>
      </c>
      <c r="D2681" s="4">
        <v>7274.2199999999993</v>
      </c>
      <c r="E2681" s="12" t="str">
        <f>VLOOKUP(C2681,inf!$A$2:$B$7,2,FALSE)</f>
        <v>Over 90</v>
      </c>
      <c r="F2681" s="12" t="str">
        <f t="shared" si="42"/>
        <v>11/29/2017</v>
      </c>
      <c r="G2681" t="str">
        <f>VLOOKUP(A2681,inf!$D$2:$E$76,2,FALSE)</f>
        <v>SBUX</v>
      </c>
    </row>
    <row r="2682" spans="1:7" x14ac:dyDescent="0.25">
      <c r="A2682" t="s">
        <v>48</v>
      </c>
      <c r="B2682" s="1">
        <v>43068</v>
      </c>
      <c r="C2682" t="s">
        <v>55</v>
      </c>
      <c r="D2682" s="4">
        <v>303352.07999999967</v>
      </c>
      <c r="E2682" s="12" t="str">
        <f>VLOOKUP(C2682,inf!$A$2:$B$7,2,FALSE)</f>
        <v>Current</v>
      </c>
      <c r="F2682" s="12" t="str">
        <f t="shared" si="42"/>
        <v>11/29/2017</v>
      </c>
      <c r="G2682" t="str">
        <f>VLOOKUP(A2682,inf!$D$2:$E$76,2,FALSE)</f>
        <v>Target</v>
      </c>
    </row>
    <row r="2683" spans="1:7" x14ac:dyDescent="0.25">
      <c r="A2683" t="s">
        <v>48</v>
      </c>
      <c r="B2683" s="1">
        <v>43068</v>
      </c>
      <c r="C2683" t="s">
        <v>56</v>
      </c>
      <c r="D2683" s="4">
        <v>67950.999999999985</v>
      </c>
      <c r="E2683" s="12" t="str">
        <f>VLOOKUP(C2683,inf!$A$2:$B$7,2,FALSE)</f>
        <v>Current</v>
      </c>
      <c r="F2683" s="12" t="str">
        <f t="shared" si="42"/>
        <v>11/29/2017</v>
      </c>
      <c r="G2683" t="str">
        <f>VLOOKUP(A2683,inf!$D$2:$E$76,2,FALSE)</f>
        <v>Target</v>
      </c>
    </row>
    <row r="2684" spans="1:7" x14ac:dyDescent="0.25">
      <c r="A2684" t="s">
        <v>48</v>
      </c>
      <c r="B2684" s="1">
        <v>43068</v>
      </c>
      <c r="C2684" t="s">
        <v>57</v>
      </c>
      <c r="D2684" s="4">
        <v>10440.15</v>
      </c>
      <c r="E2684" s="12" t="str">
        <f>VLOOKUP(C2684,inf!$A$2:$B$7,2,FALSE)</f>
        <v>31 to 60</v>
      </c>
      <c r="F2684" s="12" t="str">
        <f t="shared" si="42"/>
        <v>11/29/2017</v>
      </c>
      <c r="G2684" t="str">
        <f>VLOOKUP(A2684,inf!$D$2:$E$76,2,FALSE)</f>
        <v>Target</v>
      </c>
    </row>
    <row r="2685" spans="1:7" x14ac:dyDescent="0.25">
      <c r="A2685" t="s">
        <v>48</v>
      </c>
      <c r="B2685" s="1">
        <v>43068</v>
      </c>
      <c r="C2685" t="s">
        <v>58</v>
      </c>
      <c r="D2685" s="4">
        <v>3813.9500000000003</v>
      </c>
      <c r="E2685" s="12" t="str">
        <f>VLOOKUP(C2685,inf!$A$2:$B$7,2,FALSE)</f>
        <v>61 to 90</v>
      </c>
      <c r="F2685" s="12" t="str">
        <f t="shared" si="42"/>
        <v>11/29/2017</v>
      </c>
      <c r="G2685" t="str">
        <f>VLOOKUP(A2685,inf!$D$2:$E$76,2,FALSE)</f>
        <v>Target</v>
      </c>
    </row>
    <row r="2686" spans="1:7" x14ac:dyDescent="0.25">
      <c r="A2686" t="s">
        <v>48</v>
      </c>
      <c r="B2686" s="1">
        <v>43068</v>
      </c>
      <c r="C2686" t="s">
        <v>59</v>
      </c>
      <c r="D2686" s="4">
        <v>4663.55</v>
      </c>
      <c r="E2686" s="12" t="str">
        <f>VLOOKUP(C2686,inf!$A$2:$B$7,2,FALSE)</f>
        <v>Over 90</v>
      </c>
      <c r="F2686" s="12" t="str">
        <f t="shared" si="42"/>
        <v>11/29/2017</v>
      </c>
      <c r="G2686" t="str">
        <f>VLOOKUP(A2686,inf!$D$2:$E$76,2,FALSE)</f>
        <v>Target</v>
      </c>
    </row>
    <row r="2687" spans="1:7" x14ac:dyDescent="0.25">
      <c r="A2687" t="s">
        <v>48</v>
      </c>
      <c r="B2687" s="1">
        <v>43068</v>
      </c>
      <c r="C2687" t="s">
        <v>60</v>
      </c>
      <c r="D2687" s="4">
        <v>653.47</v>
      </c>
      <c r="E2687" s="12" t="str">
        <f>VLOOKUP(C2687,inf!$A$2:$B$7,2,FALSE)</f>
        <v>Over 90</v>
      </c>
      <c r="F2687" s="12" t="str">
        <f t="shared" si="42"/>
        <v>11/29/2017</v>
      </c>
      <c r="G2687" t="str">
        <f>VLOOKUP(A2687,inf!$D$2:$E$76,2,FALSE)</f>
        <v>Target</v>
      </c>
    </row>
    <row r="2688" spans="1:7" x14ac:dyDescent="0.25">
      <c r="A2688" t="s">
        <v>8</v>
      </c>
      <c r="B2688" s="1">
        <v>43068</v>
      </c>
      <c r="C2688" t="s">
        <v>55</v>
      </c>
      <c r="D2688" s="4">
        <v>447816.59999999887</v>
      </c>
      <c r="E2688" s="12" t="str">
        <f>VLOOKUP(C2688,inf!$A$2:$B$7,2,FALSE)</f>
        <v>Current</v>
      </c>
      <c r="F2688" s="12" t="str">
        <f t="shared" si="42"/>
        <v>11/29/2017</v>
      </c>
      <c r="G2688" t="str">
        <f>VLOOKUP(A2688,inf!$D$2:$E$76,2,FALSE)</f>
        <v>Target</v>
      </c>
    </row>
    <row r="2689" spans="1:7" x14ac:dyDescent="0.25">
      <c r="A2689" t="s">
        <v>8</v>
      </c>
      <c r="B2689" s="1">
        <v>43068</v>
      </c>
      <c r="C2689" t="s">
        <v>56</v>
      </c>
      <c r="D2689" s="4">
        <v>66174.25</v>
      </c>
      <c r="E2689" s="12" t="str">
        <f>VLOOKUP(C2689,inf!$A$2:$B$7,2,FALSE)</f>
        <v>Current</v>
      </c>
      <c r="F2689" s="12" t="str">
        <f t="shared" si="42"/>
        <v>11/29/2017</v>
      </c>
      <c r="G2689" t="str">
        <f>VLOOKUP(A2689,inf!$D$2:$E$76,2,FALSE)</f>
        <v>Target</v>
      </c>
    </row>
    <row r="2690" spans="1:7" x14ac:dyDescent="0.25">
      <c r="A2690" t="s">
        <v>8</v>
      </c>
      <c r="B2690" s="1">
        <v>43068</v>
      </c>
      <c r="C2690" t="s">
        <v>57</v>
      </c>
      <c r="D2690" s="4">
        <v>11834.93</v>
      </c>
      <c r="E2690" s="12" t="str">
        <f>VLOOKUP(C2690,inf!$A$2:$B$7,2,FALSE)</f>
        <v>31 to 60</v>
      </c>
      <c r="F2690" s="12" t="str">
        <f t="shared" si="42"/>
        <v>11/29/2017</v>
      </c>
      <c r="G2690" t="str">
        <f>VLOOKUP(A2690,inf!$D$2:$E$76,2,FALSE)</f>
        <v>Target</v>
      </c>
    </row>
    <row r="2691" spans="1:7" x14ac:dyDescent="0.25">
      <c r="A2691" t="s">
        <v>8</v>
      </c>
      <c r="B2691" s="1">
        <v>43068</v>
      </c>
      <c r="C2691" t="s">
        <v>58</v>
      </c>
      <c r="D2691" s="4">
        <v>2310.4499999999998</v>
      </c>
      <c r="E2691" s="12" t="str">
        <f>VLOOKUP(C2691,inf!$A$2:$B$7,2,FALSE)</f>
        <v>61 to 90</v>
      </c>
      <c r="F2691" s="12" t="str">
        <f t="shared" ref="F2691:F2754" si="43">TEXT(B2691,"MM/DD/YYYY")</f>
        <v>11/29/2017</v>
      </c>
      <c r="G2691" t="str">
        <f>VLOOKUP(A2691,inf!$D$2:$E$76,2,FALSE)</f>
        <v>Target</v>
      </c>
    </row>
    <row r="2692" spans="1:7" x14ac:dyDescent="0.25">
      <c r="A2692" t="s">
        <v>8</v>
      </c>
      <c r="B2692" s="1">
        <v>43068</v>
      </c>
      <c r="C2692" t="s">
        <v>59</v>
      </c>
      <c r="D2692" s="4">
        <v>4091.17</v>
      </c>
      <c r="E2692" s="12" t="str">
        <f>VLOOKUP(C2692,inf!$A$2:$B$7,2,FALSE)</f>
        <v>Over 90</v>
      </c>
      <c r="F2692" s="12" t="str">
        <f t="shared" si="43"/>
        <v>11/29/2017</v>
      </c>
      <c r="G2692" t="str">
        <f>VLOOKUP(A2692,inf!$D$2:$E$76,2,FALSE)</f>
        <v>Target</v>
      </c>
    </row>
    <row r="2693" spans="1:7" x14ac:dyDescent="0.25">
      <c r="A2693" t="s">
        <v>8</v>
      </c>
      <c r="B2693" s="1">
        <v>43068</v>
      </c>
      <c r="C2693" t="s">
        <v>60</v>
      </c>
      <c r="D2693" s="4">
        <v>49560.359999999993</v>
      </c>
      <c r="E2693" s="12" t="str">
        <f>VLOOKUP(C2693,inf!$A$2:$B$7,2,FALSE)</f>
        <v>Over 90</v>
      </c>
      <c r="F2693" s="12" t="str">
        <f t="shared" si="43"/>
        <v>11/29/2017</v>
      </c>
      <c r="G2693" t="str">
        <f>VLOOKUP(A2693,inf!$D$2:$E$76,2,FALSE)</f>
        <v>Target</v>
      </c>
    </row>
    <row r="2694" spans="1:7" x14ac:dyDescent="0.25">
      <c r="A2694" t="s">
        <v>54</v>
      </c>
      <c r="B2694" s="1">
        <v>43068</v>
      </c>
      <c r="C2694" t="s">
        <v>58</v>
      </c>
      <c r="D2694" s="4">
        <v>245.44</v>
      </c>
      <c r="E2694" s="12" t="str">
        <f>VLOOKUP(C2694,inf!$A$2:$B$7,2,FALSE)</f>
        <v>61 to 90</v>
      </c>
      <c r="F2694" s="12" t="str">
        <f t="shared" si="43"/>
        <v>11/29/2017</v>
      </c>
      <c r="G2694" t="str">
        <f>VLOOKUP(A2694,inf!$D$2:$E$76,2,FALSE)</f>
        <v>Other</v>
      </c>
    </row>
    <row r="2695" spans="1:7" x14ac:dyDescent="0.25">
      <c r="A2695" t="s">
        <v>28</v>
      </c>
      <c r="B2695" s="1">
        <v>43068</v>
      </c>
      <c r="C2695" t="s">
        <v>55</v>
      </c>
      <c r="D2695" s="4">
        <v>4970.3899999999994</v>
      </c>
      <c r="E2695" s="12" t="str">
        <f>VLOOKUP(C2695,inf!$A$2:$B$7,2,FALSE)</f>
        <v>Current</v>
      </c>
      <c r="F2695" s="12" t="str">
        <f t="shared" si="43"/>
        <v>11/29/2017</v>
      </c>
      <c r="G2695" t="str">
        <f>VLOOKUP(A2695,inf!$D$2:$E$76,2,FALSE)</f>
        <v>Other</v>
      </c>
    </row>
    <row r="2696" spans="1:7" x14ac:dyDescent="0.25">
      <c r="A2696" t="s">
        <v>28</v>
      </c>
      <c r="B2696" s="1">
        <v>43068</v>
      </c>
      <c r="C2696" t="s">
        <v>56</v>
      </c>
      <c r="D2696" s="4">
        <v>407.15999999999997</v>
      </c>
      <c r="E2696" s="12" t="str">
        <f>VLOOKUP(C2696,inf!$A$2:$B$7,2,FALSE)</f>
        <v>Current</v>
      </c>
      <c r="F2696" s="12" t="str">
        <f t="shared" si="43"/>
        <v>11/29/2017</v>
      </c>
      <c r="G2696" t="str">
        <f>VLOOKUP(A2696,inf!$D$2:$E$76,2,FALSE)</f>
        <v>Other</v>
      </c>
    </row>
    <row r="2697" spans="1:7" x14ac:dyDescent="0.25">
      <c r="A2697" t="s">
        <v>15</v>
      </c>
      <c r="B2697" s="1">
        <v>43068</v>
      </c>
      <c r="C2697" t="s">
        <v>56</v>
      </c>
      <c r="D2697" s="4">
        <v>1105.6200000000001</v>
      </c>
      <c r="E2697" s="12" t="str">
        <f>VLOOKUP(C2697,inf!$A$2:$B$7,2,FALSE)</f>
        <v>Current</v>
      </c>
      <c r="F2697" s="12" t="str">
        <f t="shared" si="43"/>
        <v>11/29/2017</v>
      </c>
      <c r="G2697" t="str">
        <f>VLOOKUP(A2697,inf!$D$2:$E$76,2,FALSE)</f>
        <v>Other</v>
      </c>
    </row>
    <row r="2698" spans="1:7" x14ac:dyDescent="0.25">
      <c r="A2698" t="s">
        <v>15</v>
      </c>
      <c r="B2698" s="1">
        <v>43068</v>
      </c>
      <c r="C2698" t="s">
        <v>57</v>
      </c>
      <c r="D2698" s="4">
        <v>362.26</v>
      </c>
      <c r="E2698" s="12" t="str">
        <f>VLOOKUP(C2698,inf!$A$2:$B$7,2,FALSE)</f>
        <v>31 to 60</v>
      </c>
      <c r="F2698" s="12" t="str">
        <f t="shared" si="43"/>
        <v>11/29/2017</v>
      </c>
      <c r="G2698" t="str">
        <f>VLOOKUP(A2698,inf!$D$2:$E$76,2,FALSE)</f>
        <v>Other</v>
      </c>
    </row>
    <row r="2699" spans="1:7" x14ac:dyDescent="0.25">
      <c r="A2699" t="s">
        <v>15</v>
      </c>
      <c r="B2699" s="1">
        <v>43068</v>
      </c>
      <c r="C2699" t="s">
        <v>59</v>
      </c>
      <c r="D2699" s="4">
        <v>291.60000000000002</v>
      </c>
      <c r="E2699" s="12" t="str">
        <f>VLOOKUP(C2699,inf!$A$2:$B$7,2,FALSE)</f>
        <v>Over 90</v>
      </c>
      <c r="F2699" s="12" t="str">
        <f t="shared" si="43"/>
        <v>11/29/2017</v>
      </c>
      <c r="G2699" t="str">
        <f>VLOOKUP(A2699,inf!$D$2:$E$76,2,FALSE)</f>
        <v>Other</v>
      </c>
    </row>
    <row r="2700" spans="1:7" x14ac:dyDescent="0.25">
      <c r="A2700" t="s">
        <v>22</v>
      </c>
      <c r="B2700" s="1">
        <v>43075</v>
      </c>
      <c r="C2700" t="s">
        <v>55</v>
      </c>
      <c r="D2700" s="4">
        <v>114.85</v>
      </c>
      <c r="E2700" s="12" t="str">
        <f>VLOOKUP(C2700,inf!$A$2:$B$7,2,FALSE)</f>
        <v>Current</v>
      </c>
      <c r="F2700" s="12" t="str">
        <f t="shared" si="43"/>
        <v>12/06/2017</v>
      </c>
      <c r="G2700" t="str">
        <f>VLOOKUP(A2700,inf!$D$2:$E$76,2,FALSE)</f>
        <v>Other</v>
      </c>
    </row>
    <row r="2701" spans="1:7" x14ac:dyDescent="0.25">
      <c r="A2701" t="s">
        <v>4</v>
      </c>
      <c r="B2701" s="1">
        <v>43075</v>
      </c>
      <c r="C2701" t="s">
        <v>55</v>
      </c>
      <c r="D2701" s="4">
        <v>3633.11</v>
      </c>
      <c r="E2701" s="12" t="str">
        <f>VLOOKUP(C2701,inf!$A$2:$B$7,2,FALSE)</f>
        <v>Current</v>
      </c>
      <c r="F2701" s="12" t="str">
        <f t="shared" si="43"/>
        <v>12/06/2017</v>
      </c>
      <c r="G2701" t="str">
        <f>VLOOKUP(A2701,inf!$D$2:$E$76,2,FALSE)</f>
        <v>Other</v>
      </c>
    </row>
    <row r="2702" spans="1:7" x14ac:dyDescent="0.25">
      <c r="A2702" t="s">
        <v>4</v>
      </c>
      <c r="B2702" s="1">
        <v>43075</v>
      </c>
      <c r="C2702" t="s">
        <v>56</v>
      </c>
      <c r="D2702" s="4">
        <v>1012.8900000000001</v>
      </c>
      <c r="E2702" s="12" t="str">
        <f>VLOOKUP(C2702,inf!$A$2:$B$7,2,FALSE)</f>
        <v>Current</v>
      </c>
      <c r="F2702" s="12" t="str">
        <f t="shared" si="43"/>
        <v>12/06/2017</v>
      </c>
      <c r="G2702" t="str">
        <f>VLOOKUP(A2702,inf!$D$2:$E$76,2,FALSE)</f>
        <v>Other</v>
      </c>
    </row>
    <row r="2703" spans="1:7" x14ac:dyDescent="0.25">
      <c r="A2703" t="s">
        <v>4</v>
      </c>
      <c r="B2703" s="1">
        <v>43075</v>
      </c>
      <c r="C2703" t="s">
        <v>57</v>
      </c>
      <c r="D2703" s="4">
        <v>526.84</v>
      </c>
      <c r="E2703" s="12" t="str">
        <f>VLOOKUP(C2703,inf!$A$2:$B$7,2,FALSE)</f>
        <v>31 to 60</v>
      </c>
      <c r="F2703" s="12" t="str">
        <f t="shared" si="43"/>
        <v>12/06/2017</v>
      </c>
      <c r="G2703" t="str">
        <f>VLOOKUP(A2703,inf!$D$2:$E$76,2,FALSE)</f>
        <v>Other</v>
      </c>
    </row>
    <row r="2704" spans="1:7" x14ac:dyDescent="0.25">
      <c r="A2704" t="s">
        <v>77</v>
      </c>
      <c r="B2704" s="1">
        <v>43075</v>
      </c>
      <c r="C2704" t="s">
        <v>55</v>
      </c>
      <c r="D2704" s="4">
        <v>834.05</v>
      </c>
      <c r="E2704" s="12" t="str">
        <f>VLOOKUP(C2704,inf!$A$2:$B$7,2,FALSE)</f>
        <v>Current</v>
      </c>
      <c r="F2704" s="12" t="str">
        <f t="shared" si="43"/>
        <v>12/06/2017</v>
      </c>
      <c r="G2704" t="str">
        <f>VLOOKUP(A2704,inf!$D$2:$E$76,2,FALSE)</f>
        <v>Other</v>
      </c>
    </row>
    <row r="2705" spans="1:7" x14ac:dyDescent="0.25">
      <c r="A2705" t="s">
        <v>25</v>
      </c>
      <c r="B2705" s="1">
        <v>43075</v>
      </c>
      <c r="C2705" t="s">
        <v>55</v>
      </c>
      <c r="D2705" s="4">
        <v>367.9</v>
      </c>
      <c r="E2705" s="12" t="str">
        <f>VLOOKUP(C2705,inf!$A$2:$B$7,2,FALSE)</f>
        <v>Current</v>
      </c>
      <c r="F2705" s="12" t="str">
        <f t="shared" si="43"/>
        <v>12/06/2017</v>
      </c>
      <c r="G2705" t="str">
        <f>VLOOKUP(A2705,inf!$D$2:$E$76,2,FALSE)</f>
        <v>Other</v>
      </c>
    </row>
    <row r="2706" spans="1:7" x14ac:dyDescent="0.25">
      <c r="A2706" t="s">
        <v>31</v>
      </c>
      <c r="B2706" s="1">
        <v>43075</v>
      </c>
      <c r="C2706" t="s">
        <v>58</v>
      </c>
      <c r="D2706" s="4">
        <v>539.82999999999993</v>
      </c>
      <c r="E2706" s="12" t="str">
        <f>VLOOKUP(C2706,inf!$A$2:$B$7,2,FALSE)</f>
        <v>61 to 90</v>
      </c>
      <c r="F2706" s="12" t="str">
        <f t="shared" si="43"/>
        <v>12/06/2017</v>
      </c>
      <c r="G2706" t="str">
        <f>VLOOKUP(A2706,inf!$D$2:$E$76,2,FALSE)</f>
        <v>Other</v>
      </c>
    </row>
    <row r="2707" spans="1:7" x14ac:dyDescent="0.25">
      <c r="A2707" t="s">
        <v>31</v>
      </c>
      <c r="B2707" s="1">
        <v>43075</v>
      </c>
      <c r="C2707" t="s">
        <v>59</v>
      </c>
      <c r="D2707" s="4">
        <v>296.71000000000004</v>
      </c>
      <c r="E2707" s="12" t="str">
        <f>VLOOKUP(C2707,inf!$A$2:$B$7,2,FALSE)</f>
        <v>Over 90</v>
      </c>
      <c r="F2707" s="12" t="str">
        <f t="shared" si="43"/>
        <v>12/06/2017</v>
      </c>
      <c r="G2707" t="str">
        <f>VLOOKUP(A2707,inf!$D$2:$E$76,2,FALSE)</f>
        <v>Other</v>
      </c>
    </row>
    <row r="2708" spans="1:7" x14ac:dyDescent="0.25">
      <c r="A2708" t="s">
        <v>24</v>
      </c>
      <c r="B2708" s="1">
        <v>43075</v>
      </c>
      <c r="C2708" t="s">
        <v>55</v>
      </c>
      <c r="D2708" s="4">
        <v>229.7</v>
      </c>
      <c r="E2708" s="12" t="str">
        <f>VLOOKUP(C2708,inf!$A$2:$B$7,2,FALSE)</f>
        <v>Current</v>
      </c>
      <c r="F2708" s="12" t="str">
        <f t="shared" si="43"/>
        <v>12/06/2017</v>
      </c>
      <c r="G2708" t="str">
        <f>VLOOKUP(A2708,inf!$D$2:$E$76,2,FALSE)</f>
        <v>Other</v>
      </c>
    </row>
    <row r="2709" spans="1:7" x14ac:dyDescent="0.25">
      <c r="A2709" t="s">
        <v>24</v>
      </c>
      <c r="B2709" s="1">
        <v>43075</v>
      </c>
      <c r="C2709" t="s">
        <v>56</v>
      </c>
      <c r="D2709" s="4">
        <v>143.57</v>
      </c>
      <c r="E2709" s="12" t="str">
        <f>VLOOKUP(C2709,inf!$A$2:$B$7,2,FALSE)</f>
        <v>Current</v>
      </c>
      <c r="F2709" s="12" t="str">
        <f t="shared" si="43"/>
        <v>12/06/2017</v>
      </c>
      <c r="G2709" t="str">
        <f>VLOOKUP(A2709,inf!$D$2:$E$76,2,FALSE)</f>
        <v>Other</v>
      </c>
    </row>
    <row r="2710" spans="1:7" x14ac:dyDescent="0.25">
      <c r="A2710" t="s">
        <v>18</v>
      </c>
      <c r="B2710" s="1">
        <v>43075</v>
      </c>
      <c r="C2710" t="s">
        <v>55</v>
      </c>
      <c r="D2710" s="4">
        <v>630.54</v>
      </c>
      <c r="E2710" s="12" t="str">
        <f>VLOOKUP(C2710,inf!$A$2:$B$7,2,FALSE)</f>
        <v>Current</v>
      </c>
      <c r="F2710" s="12" t="str">
        <f t="shared" si="43"/>
        <v>12/06/2017</v>
      </c>
      <c r="G2710" t="str">
        <f>VLOOKUP(A2710,inf!$D$2:$E$76,2,FALSE)</f>
        <v>Other</v>
      </c>
    </row>
    <row r="2711" spans="1:7" x14ac:dyDescent="0.25">
      <c r="A2711" t="s">
        <v>27</v>
      </c>
      <c r="B2711" s="1">
        <v>43075</v>
      </c>
      <c r="C2711" t="s">
        <v>55</v>
      </c>
      <c r="D2711" s="4">
        <v>1027.05</v>
      </c>
      <c r="E2711" s="12" t="str">
        <f>VLOOKUP(C2711,inf!$A$2:$B$7,2,FALSE)</f>
        <v>Current</v>
      </c>
      <c r="F2711" s="12" t="str">
        <f t="shared" si="43"/>
        <v>12/06/2017</v>
      </c>
      <c r="G2711" t="str">
        <f>VLOOKUP(A2711,inf!$D$2:$E$76,2,FALSE)</f>
        <v>Other</v>
      </c>
    </row>
    <row r="2712" spans="1:7" x14ac:dyDescent="0.25">
      <c r="A2712" t="s">
        <v>62</v>
      </c>
      <c r="B2712" s="1">
        <v>43075</v>
      </c>
      <c r="C2712" t="s">
        <v>58</v>
      </c>
      <c r="D2712" s="4">
        <v>471.21000000000004</v>
      </c>
      <c r="E2712" s="12" t="str">
        <f>VLOOKUP(C2712,inf!$A$2:$B$7,2,FALSE)</f>
        <v>61 to 90</v>
      </c>
      <c r="F2712" s="12" t="str">
        <f t="shared" si="43"/>
        <v>12/06/2017</v>
      </c>
      <c r="G2712" t="str">
        <f>VLOOKUP(A2712,inf!$D$2:$E$76,2,FALSE)</f>
        <v>Other</v>
      </c>
    </row>
    <row r="2713" spans="1:7" x14ac:dyDescent="0.25">
      <c r="A2713" t="s">
        <v>21</v>
      </c>
      <c r="B2713" s="1">
        <v>43075</v>
      </c>
      <c r="C2713" t="s">
        <v>55</v>
      </c>
      <c r="D2713" s="4">
        <v>287.13</v>
      </c>
      <c r="E2713" s="12" t="str">
        <f>VLOOKUP(C2713,inf!$A$2:$B$7,2,FALSE)</f>
        <v>Current</v>
      </c>
      <c r="F2713" s="12" t="str">
        <f t="shared" si="43"/>
        <v>12/06/2017</v>
      </c>
      <c r="G2713" t="str">
        <f>VLOOKUP(A2713,inf!$D$2:$E$76,2,FALSE)</f>
        <v>Other</v>
      </c>
    </row>
    <row r="2714" spans="1:7" x14ac:dyDescent="0.25">
      <c r="A2714" t="s">
        <v>21</v>
      </c>
      <c r="B2714" s="1">
        <v>43075</v>
      </c>
      <c r="C2714" t="s">
        <v>57</v>
      </c>
      <c r="D2714" s="4">
        <v>172.28</v>
      </c>
      <c r="E2714" s="12" t="str">
        <f>VLOOKUP(C2714,inf!$A$2:$B$7,2,FALSE)</f>
        <v>31 to 60</v>
      </c>
      <c r="F2714" s="12" t="str">
        <f t="shared" si="43"/>
        <v>12/06/2017</v>
      </c>
      <c r="G2714" t="str">
        <f>VLOOKUP(A2714,inf!$D$2:$E$76,2,FALSE)</f>
        <v>Other</v>
      </c>
    </row>
    <row r="2715" spans="1:7" x14ac:dyDescent="0.25">
      <c r="A2715" t="s">
        <v>3</v>
      </c>
      <c r="B2715" s="1">
        <v>43075</v>
      </c>
      <c r="C2715" t="s">
        <v>55</v>
      </c>
      <c r="D2715" s="4">
        <v>334.31</v>
      </c>
      <c r="E2715" s="12" t="str">
        <f>VLOOKUP(C2715,inf!$A$2:$B$7,2,FALSE)</f>
        <v>Current</v>
      </c>
      <c r="F2715" s="12" t="str">
        <f t="shared" si="43"/>
        <v>12/06/2017</v>
      </c>
      <c r="G2715" t="str">
        <f>VLOOKUP(A2715,inf!$D$2:$E$76,2,FALSE)</f>
        <v>Other</v>
      </c>
    </row>
    <row r="2716" spans="1:7" x14ac:dyDescent="0.25">
      <c r="A2716" t="s">
        <v>3</v>
      </c>
      <c r="B2716" s="1">
        <v>43075</v>
      </c>
      <c r="C2716" t="s">
        <v>56</v>
      </c>
      <c r="D2716" s="4">
        <v>1204.08</v>
      </c>
      <c r="E2716" s="12" t="str">
        <f>VLOOKUP(C2716,inf!$A$2:$B$7,2,FALSE)</f>
        <v>Current</v>
      </c>
      <c r="F2716" s="12" t="str">
        <f t="shared" si="43"/>
        <v>12/06/2017</v>
      </c>
      <c r="G2716" t="str">
        <f>VLOOKUP(A2716,inf!$D$2:$E$76,2,FALSE)</f>
        <v>Other</v>
      </c>
    </row>
    <row r="2717" spans="1:7" x14ac:dyDescent="0.25">
      <c r="A2717" t="s">
        <v>3</v>
      </c>
      <c r="B2717" s="1">
        <v>43075</v>
      </c>
      <c r="C2717" t="s">
        <v>57</v>
      </c>
      <c r="D2717" s="4">
        <v>67.66</v>
      </c>
      <c r="E2717" s="12" t="str">
        <f>VLOOKUP(C2717,inf!$A$2:$B$7,2,FALSE)</f>
        <v>31 to 60</v>
      </c>
      <c r="F2717" s="12" t="str">
        <f t="shared" si="43"/>
        <v>12/06/2017</v>
      </c>
      <c r="G2717" t="str">
        <f>VLOOKUP(A2717,inf!$D$2:$E$76,2,FALSE)</f>
        <v>Other</v>
      </c>
    </row>
    <row r="2718" spans="1:7" x14ac:dyDescent="0.25">
      <c r="A2718" t="s">
        <v>3</v>
      </c>
      <c r="B2718" s="1">
        <v>43075</v>
      </c>
      <c r="C2718" t="s">
        <v>58</v>
      </c>
      <c r="D2718" s="4">
        <v>197.82</v>
      </c>
      <c r="E2718" s="12" t="str">
        <f>VLOOKUP(C2718,inf!$A$2:$B$7,2,FALSE)</f>
        <v>61 to 90</v>
      </c>
      <c r="F2718" s="12" t="str">
        <f t="shared" si="43"/>
        <v>12/06/2017</v>
      </c>
      <c r="G2718" t="str">
        <f>VLOOKUP(A2718,inf!$D$2:$E$76,2,FALSE)</f>
        <v>Other</v>
      </c>
    </row>
    <row r="2719" spans="1:7" x14ac:dyDescent="0.25">
      <c r="A2719" t="s">
        <v>78</v>
      </c>
      <c r="B2719" s="1">
        <v>43075</v>
      </c>
      <c r="C2719" t="s">
        <v>55</v>
      </c>
      <c r="D2719" s="4">
        <v>983.65000000000009</v>
      </c>
      <c r="E2719" s="12" t="str">
        <f>VLOOKUP(C2719,inf!$A$2:$B$7,2,FALSE)</f>
        <v>Current</v>
      </c>
      <c r="F2719" s="12" t="str">
        <f t="shared" si="43"/>
        <v>12/06/2017</v>
      </c>
      <c r="G2719" t="str">
        <f>VLOOKUP(A2719,inf!$D$2:$E$76,2,FALSE)</f>
        <v>Other</v>
      </c>
    </row>
    <row r="2720" spans="1:7" x14ac:dyDescent="0.25">
      <c r="A2720" t="s">
        <v>78</v>
      </c>
      <c r="B2720" s="1">
        <v>43075</v>
      </c>
      <c r="C2720" t="s">
        <v>56</v>
      </c>
      <c r="D2720" s="4">
        <v>292.45999999999998</v>
      </c>
      <c r="E2720" s="12" t="str">
        <f>VLOOKUP(C2720,inf!$A$2:$B$7,2,FALSE)</f>
        <v>Current</v>
      </c>
      <c r="F2720" s="12" t="str">
        <f t="shared" si="43"/>
        <v>12/06/2017</v>
      </c>
      <c r="G2720" t="str">
        <f>VLOOKUP(A2720,inf!$D$2:$E$76,2,FALSE)</f>
        <v>Other</v>
      </c>
    </row>
    <row r="2721" spans="1:7" x14ac:dyDescent="0.25">
      <c r="A2721" t="s">
        <v>79</v>
      </c>
      <c r="B2721" s="1">
        <v>43075</v>
      </c>
      <c r="C2721" t="s">
        <v>55</v>
      </c>
      <c r="D2721" s="4">
        <v>255.81</v>
      </c>
      <c r="E2721" s="12" t="str">
        <f>VLOOKUP(C2721,inf!$A$2:$B$7,2,FALSE)</f>
        <v>Current</v>
      </c>
      <c r="F2721" s="12" t="str">
        <f t="shared" si="43"/>
        <v>12/06/2017</v>
      </c>
      <c r="G2721" t="str">
        <f>VLOOKUP(A2721,inf!$D$2:$E$76,2,FALSE)</f>
        <v>Other</v>
      </c>
    </row>
    <row r="2722" spans="1:7" x14ac:dyDescent="0.25">
      <c r="A2722" t="s">
        <v>30</v>
      </c>
      <c r="B2722" s="1">
        <v>43075</v>
      </c>
      <c r="C2722" t="s">
        <v>55</v>
      </c>
      <c r="D2722" s="4">
        <v>687.66</v>
      </c>
      <c r="E2722" s="12" t="str">
        <f>VLOOKUP(C2722,inf!$A$2:$B$7,2,FALSE)</f>
        <v>Current</v>
      </c>
      <c r="F2722" s="12" t="str">
        <f t="shared" si="43"/>
        <v>12/06/2017</v>
      </c>
      <c r="G2722" t="str">
        <f>VLOOKUP(A2722,inf!$D$2:$E$76,2,FALSE)</f>
        <v>Other</v>
      </c>
    </row>
    <row r="2723" spans="1:7" x14ac:dyDescent="0.25">
      <c r="A2723" t="s">
        <v>30</v>
      </c>
      <c r="B2723" s="1">
        <v>43075</v>
      </c>
      <c r="C2723" t="s">
        <v>56</v>
      </c>
      <c r="D2723" s="4">
        <v>114.85</v>
      </c>
      <c r="E2723" s="12" t="str">
        <f>VLOOKUP(C2723,inf!$A$2:$B$7,2,FALSE)</f>
        <v>Current</v>
      </c>
      <c r="F2723" s="12" t="str">
        <f t="shared" si="43"/>
        <v>12/06/2017</v>
      </c>
      <c r="G2723" t="str">
        <f>VLOOKUP(A2723,inf!$D$2:$E$76,2,FALSE)</f>
        <v>Other</v>
      </c>
    </row>
    <row r="2724" spans="1:7" x14ac:dyDescent="0.25">
      <c r="A2724" t="s">
        <v>30</v>
      </c>
      <c r="B2724" s="1">
        <v>43075</v>
      </c>
      <c r="C2724" t="s">
        <v>57</v>
      </c>
      <c r="D2724" s="4">
        <v>232.39</v>
      </c>
      <c r="E2724" s="12" t="str">
        <f>VLOOKUP(C2724,inf!$A$2:$B$7,2,FALSE)</f>
        <v>31 to 60</v>
      </c>
      <c r="F2724" s="12" t="str">
        <f t="shared" si="43"/>
        <v>12/06/2017</v>
      </c>
      <c r="G2724" t="str">
        <f>VLOOKUP(A2724,inf!$D$2:$E$76,2,FALSE)</f>
        <v>Other</v>
      </c>
    </row>
    <row r="2725" spans="1:7" x14ac:dyDescent="0.25">
      <c r="A2725" t="s">
        <v>63</v>
      </c>
      <c r="B2725" s="1">
        <v>43075</v>
      </c>
      <c r="C2725" t="s">
        <v>58</v>
      </c>
      <c r="D2725" s="4">
        <v>170.49</v>
      </c>
      <c r="E2725" s="12" t="str">
        <f>VLOOKUP(C2725,inf!$A$2:$B$7,2,FALSE)</f>
        <v>61 to 90</v>
      </c>
      <c r="F2725" s="12" t="str">
        <f t="shared" si="43"/>
        <v>12/06/2017</v>
      </c>
      <c r="G2725" t="str">
        <f>VLOOKUP(A2725,inf!$D$2:$E$76,2,FALSE)</f>
        <v>Other</v>
      </c>
    </row>
    <row r="2726" spans="1:7" x14ac:dyDescent="0.25">
      <c r="A2726" t="s">
        <v>12</v>
      </c>
      <c r="B2726" s="1">
        <v>43075</v>
      </c>
      <c r="C2726" t="s">
        <v>55</v>
      </c>
      <c r="D2726" s="4">
        <v>519.22</v>
      </c>
      <c r="E2726" s="12" t="str">
        <f>VLOOKUP(C2726,inf!$A$2:$B$7,2,FALSE)</f>
        <v>Current</v>
      </c>
      <c r="F2726" s="12" t="str">
        <f t="shared" si="43"/>
        <v>12/06/2017</v>
      </c>
      <c r="G2726" t="str">
        <f>VLOOKUP(A2726,inf!$D$2:$E$76,2,FALSE)</f>
        <v>Other</v>
      </c>
    </row>
    <row r="2727" spans="1:7" x14ac:dyDescent="0.25">
      <c r="A2727" t="s">
        <v>23</v>
      </c>
      <c r="B2727" s="1">
        <v>43075</v>
      </c>
      <c r="C2727" t="s">
        <v>56</v>
      </c>
      <c r="D2727" s="4">
        <v>250.61</v>
      </c>
      <c r="E2727" s="12" t="str">
        <f>VLOOKUP(C2727,inf!$A$2:$B$7,2,FALSE)</f>
        <v>Current</v>
      </c>
      <c r="F2727" s="12" t="str">
        <f t="shared" si="43"/>
        <v>12/06/2017</v>
      </c>
      <c r="G2727" t="str">
        <f>VLOOKUP(A2727,inf!$D$2:$E$76,2,FALSE)</f>
        <v>Other</v>
      </c>
    </row>
    <row r="2728" spans="1:7" x14ac:dyDescent="0.25">
      <c r="A2728" t="s">
        <v>7</v>
      </c>
      <c r="B2728" s="1">
        <v>43075</v>
      </c>
      <c r="C2728" t="s">
        <v>55</v>
      </c>
      <c r="D2728" s="4">
        <v>76279.859999999957</v>
      </c>
      <c r="E2728" s="12" t="str">
        <f>VLOOKUP(C2728,inf!$A$2:$B$7,2,FALSE)</f>
        <v>Current</v>
      </c>
      <c r="F2728" s="12" t="str">
        <f t="shared" si="43"/>
        <v>12/06/2017</v>
      </c>
      <c r="G2728" t="str">
        <f>VLOOKUP(A2728,inf!$D$2:$E$76,2,FALSE)</f>
        <v>SAFEWAY</v>
      </c>
    </row>
    <row r="2729" spans="1:7" x14ac:dyDescent="0.25">
      <c r="A2729" t="s">
        <v>7</v>
      </c>
      <c r="B2729" s="1">
        <v>43075</v>
      </c>
      <c r="C2729" t="s">
        <v>56</v>
      </c>
      <c r="D2729" s="4">
        <v>10081.81</v>
      </c>
      <c r="E2729" s="12" t="str">
        <f>VLOOKUP(C2729,inf!$A$2:$B$7,2,FALSE)</f>
        <v>Current</v>
      </c>
      <c r="F2729" s="12" t="str">
        <f t="shared" si="43"/>
        <v>12/06/2017</v>
      </c>
      <c r="G2729" t="str">
        <f>VLOOKUP(A2729,inf!$D$2:$E$76,2,FALSE)</f>
        <v>SAFEWAY</v>
      </c>
    </row>
    <row r="2730" spans="1:7" x14ac:dyDescent="0.25">
      <c r="A2730" t="s">
        <v>7</v>
      </c>
      <c r="B2730" s="1">
        <v>43075</v>
      </c>
      <c r="C2730" t="s">
        <v>57</v>
      </c>
      <c r="D2730" s="4">
        <v>2561.56</v>
      </c>
      <c r="E2730" s="12" t="str">
        <f>VLOOKUP(C2730,inf!$A$2:$B$7,2,FALSE)</f>
        <v>31 to 60</v>
      </c>
      <c r="F2730" s="12" t="str">
        <f t="shared" si="43"/>
        <v>12/06/2017</v>
      </c>
      <c r="G2730" t="str">
        <f>VLOOKUP(A2730,inf!$D$2:$E$76,2,FALSE)</f>
        <v>SAFEWAY</v>
      </c>
    </row>
    <row r="2731" spans="1:7" x14ac:dyDescent="0.25">
      <c r="A2731" t="s">
        <v>7</v>
      </c>
      <c r="B2731" s="1">
        <v>43075</v>
      </c>
      <c r="C2731" t="s">
        <v>58</v>
      </c>
      <c r="D2731" s="4">
        <v>3623.89</v>
      </c>
      <c r="E2731" s="12" t="str">
        <f>VLOOKUP(C2731,inf!$A$2:$B$7,2,FALSE)</f>
        <v>61 to 90</v>
      </c>
      <c r="F2731" s="12" t="str">
        <f t="shared" si="43"/>
        <v>12/06/2017</v>
      </c>
      <c r="G2731" t="str">
        <f>VLOOKUP(A2731,inf!$D$2:$E$76,2,FALSE)</f>
        <v>SAFEWAY</v>
      </c>
    </row>
    <row r="2732" spans="1:7" x14ac:dyDescent="0.25">
      <c r="A2732" t="s">
        <v>7</v>
      </c>
      <c r="B2732" s="1">
        <v>43075</v>
      </c>
      <c r="C2732" t="s">
        <v>59</v>
      </c>
      <c r="D2732" s="4">
        <v>854</v>
      </c>
      <c r="E2732" s="12" t="str">
        <f>VLOOKUP(C2732,inf!$A$2:$B$7,2,FALSE)</f>
        <v>Over 90</v>
      </c>
      <c r="F2732" s="12" t="str">
        <f t="shared" si="43"/>
        <v>12/06/2017</v>
      </c>
      <c r="G2732" t="str">
        <f>VLOOKUP(A2732,inf!$D$2:$E$76,2,FALSE)</f>
        <v>SAFEWAY</v>
      </c>
    </row>
    <row r="2733" spans="1:7" x14ac:dyDescent="0.25">
      <c r="A2733" t="s">
        <v>7</v>
      </c>
      <c r="B2733" s="1">
        <v>43075</v>
      </c>
      <c r="C2733" t="s">
        <v>60</v>
      </c>
      <c r="D2733" s="4">
        <v>334.41</v>
      </c>
      <c r="E2733" s="12" t="str">
        <f>VLOOKUP(C2733,inf!$A$2:$B$7,2,FALSE)</f>
        <v>Over 90</v>
      </c>
      <c r="F2733" s="12" t="str">
        <f t="shared" si="43"/>
        <v>12/06/2017</v>
      </c>
      <c r="G2733" t="str">
        <f>VLOOKUP(A2733,inf!$D$2:$E$76,2,FALSE)</f>
        <v>SAFEWAY</v>
      </c>
    </row>
    <row r="2734" spans="1:7" x14ac:dyDescent="0.25">
      <c r="A2734" t="s">
        <v>74</v>
      </c>
      <c r="B2734" s="1">
        <v>43075</v>
      </c>
      <c r="C2734" t="s">
        <v>58</v>
      </c>
      <c r="D2734" s="4">
        <v>742.26</v>
      </c>
      <c r="E2734" s="12" t="str">
        <f>VLOOKUP(C2734,inf!$A$2:$B$7,2,FALSE)</f>
        <v>61 to 90</v>
      </c>
      <c r="F2734" s="12" t="str">
        <f t="shared" si="43"/>
        <v>12/06/2017</v>
      </c>
      <c r="G2734" t="str">
        <f>VLOOKUP(A2734,inf!$D$2:$E$76,2,FALSE)</f>
        <v>Other</v>
      </c>
    </row>
    <row r="2735" spans="1:7" x14ac:dyDescent="0.25">
      <c r="A2735" t="s">
        <v>5</v>
      </c>
      <c r="B2735" s="1">
        <v>43075</v>
      </c>
      <c r="C2735" t="s">
        <v>55</v>
      </c>
      <c r="D2735" s="4">
        <v>6252541.1900000274</v>
      </c>
      <c r="E2735" s="12" t="str">
        <f>VLOOKUP(C2735,inf!$A$2:$B$7,2,FALSE)</f>
        <v>Current</v>
      </c>
      <c r="F2735" s="12" t="str">
        <f t="shared" si="43"/>
        <v>12/06/2017</v>
      </c>
      <c r="G2735" t="str">
        <f>VLOOKUP(A2735,inf!$D$2:$E$76,2,FALSE)</f>
        <v>SBUX</v>
      </c>
    </row>
    <row r="2736" spans="1:7" x14ac:dyDescent="0.25">
      <c r="A2736" t="s">
        <v>5</v>
      </c>
      <c r="B2736" s="1">
        <v>43075</v>
      </c>
      <c r="C2736" t="s">
        <v>56</v>
      </c>
      <c r="D2736" s="4">
        <v>64438.899999999972</v>
      </c>
      <c r="E2736" s="12" t="str">
        <f>VLOOKUP(C2736,inf!$A$2:$B$7,2,FALSE)</f>
        <v>Current</v>
      </c>
      <c r="F2736" s="12" t="str">
        <f t="shared" si="43"/>
        <v>12/06/2017</v>
      </c>
      <c r="G2736" t="str">
        <f>VLOOKUP(A2736,inf!$D$2:$E$76,2,FALSE)</f>
        <v>SBUX</v>
      </c>
    </row>
    <row r="2737" spans="1:7" x14ac:dyDescent="0.25">
      <c r="A2737" t="s">
        <v>5</v>
      </c>
      <c r="B2737" s="1">
        <v>43075</v>
      </c>
      <c r="C2737" t="s">
        <v>57</v>
      </c>
      <c r="D2737" s="4">
        <v>28259.750000000004</v>
      </c>
      <c r="E2737" s="12" t="str">
        <f>VLOOKUP(C2737,inf!$A$2:$B$7,2,FALSE)</f>
        <v>31 to 60</v>
      </c>
      <c r="F2737" s="12" t="str">
        <f t="shared" si="43"/>
        <v>12/06/2017</v>
      </c>
      <c r="G2737" t="str">
        <f>VLOOKUP(A2737,inf!$D$2:$E$76,2,FALSE)</f>
        <v>SBUX</v>
      </c>
    </row>
    <row r="2738" spans="1:7" x14ac:dyDescent="0.25">
      <c r="A2738" t="s">
        <v>5</v>
      </c>
      <c r="B2738" s="1">
        <v>43075</v>
      </c>
      <c r="C2738" t="s">
        <v>58</v>
      </c>
      <c r="D2738" s="4">
        <v>9505.0800000000017</v>
      </c>
      <c r="E2738" s="12" t="str">
        <f>VLOOKUP(C2738,inf!$A$2:$B$7,2,FALSE)</f>
        <v>61 to 90</v>
      </c>
      <c r="F2738" s="12" t="str">
        <f t="shared" si="43"/>
        <v>12/06/2017</v>
      </c>
      <c r="G2738" t="str">
        <f>VLOOKUP(A2738,inf!$D$2:$E$76,2,FALSE)</f>
        <v>SBUX</v>
      </c>
    </row>
    <row r="2739" spans="1:7" x14ac:dyDescent="0.25">
      <c r="A2739" t="s">
        <v>5</v>
      </c>
      <c r="B2739" s="1">
        <v>43075</v>
      </c>
      <c r="C2739" t="s">
        <v>59</v>
      </c>
      <c r="D2739" s="4">
        <v>29674.699999999993</v>
      </c>
      <c r="E2739" s="12" t="str">
        <f>VLOOKUP(C2739,inf!$A$2:$B$7,2,FALSE)</f>
        <v>Over 90</v>
      </c>
      <c r="F2739" s="12" t="str">
        <f t="shared" si="43"/>
        <v>12/06/2017</v>
      </c>
      <c r="G2739" t="str">
        <f>VLOOKUP(A2739,inf!$D$2:$E$76,2,FALSE)</f>
        <v>SBUX</v>
      </c>
    </row>
    <row r="2740" spans="1:7" x14ac:dyDescent="0.25">
      <c r="A2740" t="s">
        <v>5</v>
      </c>
      <c r="B2740" s="1">
        <v>43075</v>
      </c>
      <c r="C2740" t="s">
        <v>60</v>
      </c>
      <c r="D2740" s="4">
        <v>149353.83000000002</v>
      </c>
      <c r="E2740" s="12" t="str">
        <f>VLOOKUP(C2740,inf!$A$2:$B$7,2,FALSE)</f>
        <v>Over 90</v>
      </c>
      <c r="F2740" s="12" t="str">
        <f t="shared" si="43"/>
        <v>12/06/2017</v>
      </c>
      <c r="G2740" t="str">
        <f>VLOOKUP(A2740,inf!$D$2:$E$76,2,FALSE)</f>
        <v>SBUX</v>
      </c>
    </row>
    <row r="2741" spans="1:7" x14ac:dyDescent="0.25">
      <c r="A2741" t="s">
        <v>6</v>
      </c>
      <c r="B2741" s="1">
        <v>43075</v>
      </c>
      <c r="C2741" t="s">
        <v>55</v>
      </c>
      <c r="D2741" s="4">
        <v>553192.68999999703</v>
      </c>
      <c r="E2741" s="12" t="str">
        <f>VLOOKUP(C2741,inf!$A$2:$B$7,2,FALSE)</f>
        <v>Current</v>
      </c>
      <c r="F2741" s="12" t="str">
        <f t="shared" si="43"/>
        <v>12/06/2017</v>
      </c>
      <c r="G2741" t="str">
        <f>VLOOKUP(A2741,inf!$D$2:$E$76,2,FALSE)</f>
        <v>SBUX</v>
      </c>
    </row>
    <row r="2742" spans="1:7" x14ac:dyDescent="0.25">
      <c r="A2742" t="s">
        <v>6</v>
      </c>
      <c r="B2742" s="1">
        <v>43075</v>
      </c>
      <c r="C2742" t="s">
        <v>56</v>
      </c>
      <c r="D2742" s="4">
        <v>1962.73</v>
      </c>
      <c r="E2742" s="12" t="str">
        <f>VLOOKUP(C2742,inf!$A$2:$B$7,2,FALSE)</f>
        <v>Current</v>
      </c>
      <c r="F2742" s="12" t="str">
        <f t="shared" si="43"/>
        <v>12/06/2017</v>
      </c>
      <c r="G2742" t="str">
        <f>VLOOKUP(A2742,inf!$D$2:$E$76,2,FALSE)</f>
        <v>SBUX</v>
      </c>
    </row>
    <row r="2743" spans="1:7" x14ac:dyDescent="0.25">
      <c r="A2743" t="s">
        <v>6</v>
      </c>
      <c r="B2743" s="1">
        <v>43075</v>
      </c>
      <c r="C2743" t="s">
        <v>57</v>
      </c>
      <c r="D2743" s="4">
        <v>4022.06</v>
      </c>
      <c r="E2743" s="12" t="str">
        <f>VLOOKUP(C2743,inf!$A$2:$B$7,2,FALSE)</f>
        <v>31 to 60</v>
      </c>
      <c r="F2743" s="12" t="str">
        <f t="shared" si="43"/>
        <v>12/06/2017</v>
      </c>
      <c r="G2743" t="str">
        <f>VLOOKUP(A2743,inf!$D$2:$E$76,2,FALSE)</f>
        <v>SBUX</v>
      </c>
    </row>
    <row r="2744" spans="1:7" x14ac:dyDescent="0.25">
      <c r="A2744" t="s">
        <v>6</v>
      </c>
      <c r="B2744" s="1">
        <v>43075</v>
      </c>
      <c r="C2744" t="s">
        <v>58</v>
      </c>
      <c r="D2744" s="4">
        <v>3640.35</v>
      </c>
      <c r="E2744" s="12" t="str">
        <f>VLOOKUP(C2744,inf!$A$2:$B$7,2,FALSE)</f>
        <v>61 to 90</v>
      </c>
      <c r="F2744" s="12" t="str">
        <f t="shared" si="43"/>
        <v>12/06/2017</v>
      </c>
      <c r="G2744" t="str">
        <f>VLOOKUP(A2744,inf!$D$2:$E$76,2,FALSE)</f>
        <v>SBUX</v>
      </c>
    </row>
    <row r="2745" spans="1:7" x14ac:dyDescent="0.25">
      <c r="A2745" t="s">
        <v>6</v>
      </c>
      <c r="B2745" s="1">
        <v>43075</v>
      </c>
      <c r="C2745" t="s">
        <v>59</v>
      </c>
      <c r="D2745" s="4">
        <v>2507.64</v>
      </c>
      <c r="E2745" s="12" t="str">
        <f>VLOOKUP(C2745,inf!$A$2:$B$7,2,FALSE)</f>
        <v>Over 90</v>
      </c>
      <c r="F2745" s="12" t="str">
        <f t="shared" si="43"/>
        <v>12/06/2017</v>
      </c>
      <c r="G2745" t="str">
        <f>VLOOKUP(A2745,inf!$D$2:$E$76,2,FALSE)</f>
        <v>SBUX</v>
      </c>
    </row>
    <row r="2746" spans="1:7" x14ac:dyDescent="0.25">
      <c r="A2746" t="s">
        <v>6</v>
      </c>
      <c r="B2746" s="1">
        <v>43075</v>
      </c>
      <c r="C2746" t="s">
        <v>60</v>
      </c>
      <c r="D2746" s="4">
        <v>7160.0899999999992</v>
      </c>
      <c r="E2746" s="12" t="str">
        <f>VLOOKUP(C2746,inf!$A$2:$B$7,2,FALSE)</f>
        <v>Over 90</v>
      </c>
      <c r="F2746" s="12" t="str">
        <f t="shared" si="43"/>
        <v>12/06/2017</v>
      </c>
      <c r="G2746" t="str">
        <f>VLOOKUP(A2746,inf!$D$2:$E$76,2,FALSE)</f>
        <v>SBUX</v>
      </c>
    </row>
    <row r="2747" spans="1:7" x14ac:dyDescent="0.25">
      <c r="A2747" t="s">
        <v>48</v>
      </c>
      <c r="B2747" s="1">
        <v>43075</v>
      </c>
      <c r="C2747" t="s">
        <v>55</v>
      </c>
      <c r="D2747" s="4">
        <v>293001.82999999961</v>
      </c>
      <c r="E2747" s="12" t="str">
        <f>VLOOKUP(C2747,inf!$A$2:$B$7,2,FALSE)</f>
        <v>Current</v>
      </c>
      <c r="F2747" s="12" t="str">
        <f t="shared" si="43"/>
        <v>12/06/2017</v>
      </c>
      <c r="G2747" t="str">
        <f>VLOOKUP(A2747,inf!$D$2:$E$76,2,FALSE)</f>
        <v>Target</v>
      </c>
    </row>
    <row r="2748" spans="1:7" x14ac:dyDescent="0.25">
      <c r="A2748" t="s">
        <v>48</v>
      </c>
      <c r="B2748" s="1">
        <v>43075</v>
      </c>
      <c r="C2748" t="s">
        <v>56</v>
      </c>
      <c r="D2748" s="4">
        <v>54257.319999999985</v>
      </c>
      <c r="E2748" s="12" t="str">
        <f>VLOOKUP(C2748,inf!$A$2:$B$7,2,FALSE)</f>
        <v>Current</v>
      </c>
      <c r="F2748" s="12" t="str">
        <f t="shared" si="43"/>
        <v>12/06/2017</v>
      </c>
      <c r="G2748" t="str">
        <f>VLOOKUP(A2748,inf!$D$2:$E$76,2,FALSE)</f>
        <v>Target</v>
      </c>
    </row>
    <row r="2749" spans="1:7" x14ac:dyDescent="0.25">
      <c r="A2749" t="s">
        <v>48</v>
      </c>
      <c r="B2749" s="1">
        <v>43075</v>
      </c>
      <c r="C2749" t="s">
        <v>57</v>
      </c>
      <c r="D2749" s="4">
        <v>8674.75</v>
      </c>
      <c r="E2749" s="12" t="str">
        <f>VLOOKUP(C2749,inf!$A$2:$B$7,2,FALSE)</f>
        <v>31 to 60</v>
      </c>
      <c r="F2749" s="12" t="str">
        <f t="shared" si="43"/>
        <v>12/06/2017</v>
      </c>
      <c r="G2749" t="str">
        <f>VLOOKUP(A2749,inf!$D$2:$E$76,2,FALSE)</f>
        <v>Target</v>
      </c>
    </row>
    <row r="2750" spans="1:7" x14ac:dyDescent="0.25">
      <c r="A2750" t="s">
        <v>48</v>
      </c>
      <c r="B2750" s="1">
        <v>43075</v>
      </c>
      <c r="C2750" t="s">
        <v>58</v>
      </c>
      <c r="D2750" s="4">
        <v>1984.6100000000001</v>
      </c>
      <c r="E2750" s="12" t="str">
        <f>VLOOKUP(C2750,inf!$A$2:$B$7,2,FALSE)</f>
        <v>61 to 90</v>
      </c>
      <c r="F2750" s="12" t="str">
        <f t="shared" si="43"/>
        <v>12/06/2017</v>
      </c>
      <c r="G2750" t="str">
        <f>VLOOKUP(A2750,inf!$D$2:$E$76,2,FALSE)</f>
        <v>Target</v>
      </c>
    </row>
    <row r="2751" spans="1:7" x14ac:dyDescent="0.25">
      <c r="A2751" t="s">
        <v>48</v>
      </c>
      <c r="B2751" s="1">
        <v>43075</v>
      </c>
      <c r="C2751" t="s">
        <v>59</v>
      </c>
      <c r="D2751" s="4">
        <v>3572.69</v>
      </c>
      <c r="E2751" s="12" t="str">
        <f>VLOOKUP(C2751,inf!$A$2:$B$7,2,FALSE)</f>
        <v>Over 90</v>
      </c>
      <c r="F2751" s="12" t="str">
        <f t="shared" si="43"/>
        <v>12/06/2017</v>
      </c>
      <c r="G2751" t="str">
        <f>VLOOKUP(A2751,inf!$D$2:$E$76,2,FALSE)</f>
        <v>Target</v>
      </c>
    </row>
    <row r="2752" spans="1:7" x14ac:dyDescent="0.25">
      <c r="A2752" t="s">
        <v>48</v>
      </c>
      <c r="B2752" s="1">
        <v>43075</v>
      </c>
      <c r="C2752" t="s">
        <v>60</v>
      </c>
      <c r="D2752" s="4">
        <v>1744.33</v>
      </c>
      <c r="E2752" s="12" t="str">
        <f>VLOOKUP(C2752,inf!$A$2:$B$7,2,FALSE)</f>
        <v>Over 90</v>
      </c>
      <c r="F2752" s="12" t="str">
        <f t="shared" si="43"/>
        <v>12/06/2017</v>
      </c>
      <c r="G2752" t="str">
        <f>VLOOKUP(A2752,inf!$D$2:$E$76,2,FALSE)</f>
        <v>Target</v>
      </c>
    </row>
    <row r="2753" spans="1:7" x14ac:dyDescent="0.25">
      <c r="A2753" t="s">
        <v>8</v>
      </c>
      <c r="B2753" s="1">
        <v>43075</v>
      </c>
      <c r="C2753" t="s">
        <v>55</v>
      </c>
      <c r="D2753" s="4">
        <v>409601.01999999955</v>
      </c>
      <c r="E2753" s="12" t="str">
        <f>VLOOKUP(C2753,inf!$A$2:$B$7,2,FALSE)</f>
        <v>Current</v>
      </c>
      <c r="F2753" s="12" t="str">
        <f t="shared" si="43"/>
        <v>12/06/2017</v>
      </c>
      <c r="G2753" t="str">
        <f>VLOOKUP(A2753,inf!$D$2:$E$76,2,FALSE)</f>
        <v>Target</v>
      </c>
    </row>
    <row r="2754" spans="1:7" x14ac:dyDescent="0.25">
      <c r="A2754" t="s">
        <v>8</v>
      </c>
      <c r="B2754" s="1">
        <v>43075</v>
      </c>
      <c r="C2754" t="s">
        <v>56</v>
      </c>
      <c r="D2754" s="4">
        <v>80985.600000000035</v>
      </c>
      <c r="E2754" s="12" t="str">
        <f>VLOOKUP(C2754,inf!$A$2:$B$7,2,FALSE)</f>
        <v>Current</v>
      </c>
      <c r="F2754" s="12" t="str">
        <f t="shared" si="43"/>
        <v>12/06/2017</v>
      </c>
      <c r="G2754" t="str">
        <f>VLOOKUP(A2754,inf!$D$2:$E$76,2,FALSE)</f>
        <v>Target</v>
      </c>
    </row>
    <row r="2755" spans="1:7" x14ac:dyDescent="0.25">
      <c r="A2755" t="s">
        <v>8</v>
      </c>
      <c r="B2755" s="1">
        <v>43075</v>
      </c>
      <c r="C2755" t="s">
        <v>57</v>
      </c>
      <c r="D2755" s="4">
        <v>18754.310000000005</v>
      </c>
      <c r="E2755" s="12" t="str">
        <f>VLOOKUP(C2755,inf!$A$2:$B$7,2,FALSE)</f>
        <v>31 to 60</v>
      </c>
      <c r="F2755" s="12" t="str">
        <f t="shared" ref="F2755:F2818" si="44">TEXT(B2755,"MM/DD/YYYY")</f>
        <v>12/06/2017</v>
      </c>
      <c r="G2755" t="str">
        <f>VLOOKUP(A2755,inf!$D$2:$E$76,2,FALSE)</f>
        <v>Target</v>
      </c>
    </row>
    <row r="2756" spans="1:7" x14ac:dyDescent="0.25">
      <c r="A2756" t="s">
        <v>8</v>
      </c>
      <c r="B2756" s="1">
        <v>43075</v>
      </c>
      <c r="C2756" t="s">
        <v>58</v>
      </c>
      <c r="D2756" s="4">
        <v>3788.75</v>
      </c>
      <c r="E2756" s="12" t="str">
        <f>VLOOKUP(C2756,inf!$A$2:$B$7,2,FALSE)</f>
        <v>61 to 90</v>
      </c>
      <c r="F2756" s="12" t="str">
        <f t="shared" si="44"/>
        <v>12/06/2017</v>
      </c>
      <c r="G2756" t="str">
        <f>VLOOKUP(A2756,inf!$D$2:$E$76,2,FALSE)</f>
        <v>Target</v>
      </c>
    </row>
    <row r="2757" spans="1:7" x14ac:dyDescent="0.25">
      <c r="A2757" t="s">
        <v>8</v>
      </c>
      <c r="B2757" s="1">
        <v>43075</v>
      </c>
      <c r="C2757" t="s">
        <v>59</v>
      </c>
      <c r="D2757" s="4">
        <v>3111.75</v>
      </c>
      <c r="E2757" s="12" t="str">
        <f>VLOOKUP(C2757,inf!$A$2:$B$7,2,FALSE)</f>
        <v>Over 90</v>
      </c>
      <c r="F2757" s="12" t="str">
        <f t="shared" si="44"/>
        <v>12/06/2017</v>
      </c>
      <c r="G2757" t="str">
        <f>VLOOKUP(A2757,inf!$D$2:$E$76,2,FALSE)</f>
        <v>Target</v>
      </c>
    </row>
    <row r="2758" spans="1:7" x14ac:dyDescent="0.25">
      <c r="A2758" t="s">
        <v>8</v>
      </c>
      <c r="B2758" s="1">
        <v>43075</v>
      </c>
      <c r="C2758" t="s">
        <v>60</v>
      </c>
      <c r="D2758" s="4">
        <v>20513.100000000002</v>
      </c>
      <c r="E2758" s="12" t="str">
        <f>VLOOKUP(C2758,inf!$A$2:$B$7,2,FALSE)</f>
        <v>Over 90</v>
      </c>
      <c r="F2758" s="12" t="str">
        <f t="shared" si="44"/>
        <v>12/06/2017</v>
      </c>
      <c r="G2758" t="str">
        <f>VLOOKUP(A2758,inf!$D$2:$E$76,2,FALSE)</f>
        <v>Target</v>
      </c>
    </row>
    <row r="2759" spans="1:7" x14ac:dyDescent="0.25">
      <c r="A2759" t="s">
        <v>54</v>
      </c>
      <c r="B2759" s="1">
        <v>43075</v>
      </c>
      <c r="C2759" t="s">
        <v>55</v>
      </c>
      <c r="D2759" s="4">
        <v>114.85</v>
      </c>
      <c r="E2759" s="12" t="str">
        <f>VLOOKUP(C2759,inf!$A$2:$B$7,2,FALSE)</f>
        <v>Current</v>
      </c>
      <c r="F2759" s="12" t="str">
        <f t="shared" si="44"/>
        <v>12/06/2017</v>
      </c>
      <c r="G2759" t="str">
        <f>VLOOKUP(A2759,inf!$D$2:$E$76,2,FALSE)</f>
        <v>Other</v>
      </c>
    </row>
    <row r="2760" spans="1:7" x14ac:dyDescent="0.25">
      <c r="A2760" t="s">
        <v>54</v>
      </c>
      <c r="B2760" s="1">
        <v>43075</v>
      </c>
      <c r="C2760" t="s">
        <v>58</v>
      </c>
      <c r="D2760" s="4">
        <v>122.72</v>
      </c>
      <c r="E2760" s="12" t="str">
        <f>VLOOKUP(C2760,inf!$A$2:$B$7,2,FALSE)</f>
        <v>61 to 90</v>
      </c>
      <c r="F2760" s="12" t="str">
        <f t="shared" si="44"/>
        <v>12/06/2017</v>
      </c>
      <c r="G2760" t="str">
        <f>VLOOKUP(A2760,inf!$D$2:$E$76,2,FALSE)</f>
        <v>Other</v>
      </c>
    </row>
    <row r="2761" spans="1:7" x14ac:dyDescent="0.25">
      <c r="A2761" t="s">
        <v>54</v>
      </c>
      <c r="B2761" s="1">
        <v>43075</v>
      </c>
      <c r="C2761" t="s">
        <v>59</v>
      </c>
      <c r="D2761" s="4">
        <v>122.72</v>
      </c>
      <c r="E2761" s="12" t="str">
        <f>VLOOKUP(C2761,inf!$A$2:$B$7,2,FALSE)</f>
        <v>Over 90</v>
      </c>
      <c r="F2761" s="12" t="str">
        <f t="shared" si="44"/>
        <v>12/06/2017</v>
      </c>
      <c r="G2761" t="str">
        <f>VLOOKUP(A2761,inf!$D$2:$E$76,2,FALSE)</f>
        <v>Other</v>
      </c>
    </row>
    <row r="2762" spans="1:7" x14ac:dyDescent="0.25">
      <c r="A2762" t="s">
        <v>28</v>
      </c>
      <c r="B2762" s="1">
        <v>43075</v>
      </c>
      <c r="C2762" t="s">
        <v>55</v>
      </c>
      <c r="D2762" s="4">
        <v>4970.3899999999994</v>
      </c>
      <c r="E2762" s="12" t="str">
        <f>VLOOKUP(C2762,inf!$A$2:$B$7,2,FALSE)</f>
        <v>Current</v>
      </c>
      <c r="F2762" s="12" t="str">
        <f t="shared" si="44"/>
        <v>12/06/2017</v>
      </c>
      <c r="G2762" t="str">
        <f>VLOOKUP(A2762,inf!$D$2:$E$76,2,FALSE)</f>
        <v>Other</v>
      </c>
    </row>
    <row r="2763" spans="1:7" x14ac:dyDescent="0.25">
      <c r="A2763" t="s">
        <v>28</v>
      </c>
      <c r="B2763" s="1">
        <v>43075</v>
      </c>
      <c r="C2763" t="s">
        <v>56</v>
      </c>
      <c r="D2763" s="4">
        <v>407.15999999999997</v>
      </c>
      <c r="E2763" s="12" t="str">
        <f>VLOOKUP(C2763,inf!$A$2:$B$7,2,FALSE)</f>
        <v>Current</v>
      </c>
      <c r="F2763" s="12" t="str">
        <f t="shared" si="44"/>
        <v>12/06/2017</v>
      </c>
      <c r="G2763" t="str">
        <f>VLOOKUP(A2763,inf!$D$2:$E$76,2,FALSE)</f>
        <v>Other</v>
      </c>
    </row>
    <row r="2764" spans="1:7" x14ac:dyDescent="0.25">
      <c r="A2764" t="s">
        <v>15</v>
      </c>
      <c r="B2764" s="1">
        <v>43075</v>
      </c>
      <c r="C2764" t="s">
        <v>56</v>
      </c>
      <c r="D2764" s="4">
        <v>1105.6200000000001</v>
      </c>
      <c r="E2764" s="12" t="str">
        <f>VLOOKUP(C2764,inf!$A$2:$B$7,2,FALSE)</f>
        <v>Current</v>
      </c>
      <c r="F2764" s="12" t="str">
        <f t="shared" si="44"/>
        <v>12/06/2017</v>
      </c>
      <c r="G2764" t="str">
        <f>VLOOKUP(A2764,inf!$D$2:$E$76,2,FALSE)</f>
        <v>Other</v>
      </c>
    </row>
    <row r="2765" spans="1:7" x14ac:dyDescent="0.25">
      <c r="A2765" t="s">
        <v>15</v>
      </c>
      <c r="B2765" s="1">
        <v>43075</v>
      </c>
      <c r="C2765" t="s">
        <v>57</v>
      </c>
      <c r="D2765" s="4">
        <v>362.26</v>
      </c>
      <c r="E2765" s="12" t="str">
        <f>VLOOKUP(C2765,inf!$A$2:$B$7,2,FALSE)</f>
        <v>31 to 60</v>
      </c>
      <c r="F2765" s="12" t="str">
        <f t="shared" si="44"/>
        <v>12/06/2017</v>
      </c>
      <c r="G2765" t="str">
        <f>VLOOKUP(A2765,inf!$D$2:$E$76,2,FALSE)</f>
        <v>Other</v>
      </c>
    </row>
    <row r="2766" spans="1:7" x14ac:dyDescent="0.25">
      <c r="A2766" t="s">
        <v>15</v>
      </c>
      <c r="B2766" s="1">
        <v>43075</v>
      </c>
      <c r="C2766" t="s">
        <v>59</v>
      </c>
      <c r="D2766" s="4">
        <v>291.60000000000002</v>
      </c>
      <c r="E2766" s="12" t="str">
        <f>VLOOKUP(C2766,inf!$A$2:$B$7,2,FALSE)</f>
        <v>Over 90</v>
      </c>
      <c r="F2766" s="12" t="str">
        <f t="shared" si="44"/>
        <v>12/06/2017</v>
      </c>
      <c r="G2766" t="str">
        <f>VLOOKUP(A2766,inf!$D$2:$E$76,2,FALSE)</f>
        <v>Other</v>
      </c>
    </row>
    <row r="2767" spans="1:7" x14ac:dyDescent="0.25">
      <c r="A2767" t="s">
        <v>22</v>
      </c>
      <c r="B2767" s="1">
        <v>43082</v>
      </c>
      <c r="C2767" t="s">
        <v>55</v>
      </c>
      <c r="D2767" s="4">
        <v>114.85</v>
      </c>
      <c r="E2767" s="12" t="str">
        <f>VLOOKUP(C2767,inf!$A$2:$B$7,2,FALSE)</f>
        <v>Current</v>
      </c>
      <c r="F2767" s="12" t="str">
        <f t="shared" si="44"/>
        <v>12/13/2017</v>
      </c>
      <c r="G2767" t="str">
        <f>VLOOKUP(A2767,inf!$D$2:$E$76,2,FALSE)</f>
        <v>Other</v>
      </c>
    </row>
    <row r="2768" spans="1:7" x14ac:dyDescent="0.25">
      <c r="A2768" t="s">
        <v>4</v>
      </c>
      <c r="B2768" s="1">
        <v>43082</v>
      </c>
      <c r="C2768" t="s">
        <v>55</v>
      </c>
      <c r="D2768" s="4">
        <v>2566.5000000000005</v>
      </c>
      <c r="E2768" s="12" t="str">
        <f>VLOOKUP(C2768,inf!$A$2:$B$7,2,FALSE)</f>
        <v>Current</v>
      </c>
      <c r="F2768" s="12" t="str">
        <f t="shared" si="44"/>
        <v>12/13/2017</v>
      </c>
      <c r="G2768" t="str">
        <f>VLOOKUP(A2768,inf!$D$2:$E$76,2,FALSE)</f>
        <v>Other</v>
      </c>
    </row>
    <row r="2769" spans="1:7" x14ac:dyDescent="0.25">
      <c r="A2769" t="s">
        <v>4</v>
      </c>
      <c r="B2769" s="1">
        <v>43082</v>
      </c>
      <c r="C2769" t="s">
        <v>56</v>
      </c>
      <c r="D2769" s="4">
        <v>2079.5</v>
      </c>
      <c r="E2769" s="12" t="str">
        <f>VLOOKUP(C2769,inf!$A$2:$B$7,2,FALSE)</f>
        <v>Current</v>
      </c>
      <c r="F2769" s="12" t="str">
        <f t="shared" si="44"/>
        <v>12/13/2017</v>
      </c>
      <c r="G2769" t="str">
        <f>VLOOKUP(A2769,inf!$D$2:$E$76,2,FALSE)</f>
        <v>Other</v>
      </c>
    </row>
    <row r="2770" spans="1:7" x14ac:dyDescent="0.25">
      <c r="A2770" t="s">
        <v>4</v>
      </c>
      <c r="B2770" s="1">
        <v>43082</v>
      </c>
      <c r="C2770" t="s">
        <v>57</v>
      </c>
      <c r="D2770" s="4">
        <v>526.84</v>
      </c>
      <c r="E2770" s="12" t="str">
        <f>VLOOKUP(C2770,inf!$A$2:$B$7,2,FALSE)</f>
        <v>31 to 60</v>
      </c>
      <c r="F2770" s="12" t="str">
        <f t="shared" si="44"/>
        <v>12/13/2017</v>
      </c>
      <c r="G2770" t="str">
        <f>VLOOKUP(A2770,inf!$D$2:$E$76,2,FALSE)</f>
        <v>Other</v>
      </c>
    </row>
    <row r="2771" spans="1:7" x14ac:dyDescent="0.25">
      <c r="A2771" t="s">
        <v>77</v>
      </c>
      <c r="B2771" s="1">
        <v>43082</v>
      </c>
      <c r="C2771" t="s">
        <v>55</v>
      </c>
      <c r="D2771" s="4">
        <v>834.05</v>
      </c>
      <c r="E2771" s="12" t="str">
        <f>VLOOKUP(C2771,inf!$A$2:$B$7,2,FALSE)</f>
        <v>Current</v>
      </c>
      <c r="F2771" s="12" t="str">
        <f t="shared" si="44"/>
        <v>12/13/2017</v>
      </c>
      <c r="G2771" t="str">
        <f>VLOOKUP(A2771,inf!$D$2:$E$76,2,FALSE)</f>
        <v>Other</v>
      </c>
    </row>
    <row r="2772" spans="1:7" x14ac:dyDescent="0.25">
      <c r="A2772" t="s">
        <v>11</v>
      </c>
      <c r="B2772" s="1">
        <v>43082</v>
      </c>
      <c r="C2772" t="s">
        <v>55</v>
      </c>
      <c r="D2772" s="4">
        <v>331.6</v>
      </c>
      <c r="E2772" s="12" t="str">
        <f>VLOOKUP(C2772,inf!$A$2:$B$7,2,FALSE)</f>
        <v>Current</v>
      </c>
      <c r="F2772" s="12" t="str">
        <f t="shared" si="44"/>
        <v>12/13/2017</v>
      </c>
      <c r="G2772" t="str">
        <f>VLOOKUP(A2772,inf!$D$2:$E$76,2,FALSE)</f>
        <v>Other</v>
      </c>
    </row>
    <row r="2773" spans="1:7" x14ac:dyDescent="0.25">
      <c r="A2773" t="s">
        <v>25</v>
      </c>
      <c r="B2773" s="1">
        <v>43082</v>
      </c>
      <c r="C2773" t="s">
        <v>55</v>
      </c>
      <c r="D2773" s="4">
        <v>367.9</v>
      </c>
      <c r="E2773" s="12" t="str">
        <f>VLOOKUP(C2773,inf!$A$2:$B$7,2,FALSE)</f>
        <v>Current</v>
      </c>
      <c r="F2773" s="12" t="str">
        <f t="shared" si="44"/>
        <v>12/13/2017</v>
      </c>
      <c r="G2773" t="str">
        <f>VLOOKUP(A2773,inf!$D$2:$E$76,2,FALSE)</f>
        <v>Other</v>
      </c>
    </row>
    <row r="2774" spans="1:7" x14ac:dyDescent="0.25">
      <c r="A2774" t="s">
        <v>31</v>
      </c>
      <c r="B2774" s="1">
        <v>43082</v>
      </c>
      <c r="C2774" t="s">
        <v>58</v>
      </c>
      <c r="D2774" s="4">
        <v>539.82999999999993</v>
      </c>
      <c r="E2774" s="12" t="str">
        <f>VLOOKUP(C2774,inf!$A$2:$B$7,2,FALSE)</f>
        <v>61 to 90</v>
      </c>
      <c r="F2774" s="12" t="str">
        <f t="shared" si="44"/>
        <v>12/13/2017</v>
      </c>
      <c r="G2774" t="str">
        <f>VLOOKUP(A2774,inf!$D$2:$E$76,2,FALSE)</f>
        <v>Other</v>
      </c>
    </row>
    <row r="2775" spans="1:7" x14ac:dyDescent="0.25">
      <c r="A2775" t="s">
        <v>31</v>
      </c>
      <c r="B2775" s="1">
        <v>43082</v>
      </c>
      <c r="C2775" t="s">
        <v>59</v>
      </c>
      <c r="D2775" s="4">
        <v>296.71000000000004</v>
      </c>
      <c r="E2775" s="12" t="str">
        <f>VLOOKUP(C2775,inf!$A$2:$B$7,2,FALSE)</f>
        <v>Over 90</v>
      </c>
      <c r="F2775" s="12" t="str">
        <f t="shared" si="44"/>
        <v>12/13/2017</v>
      </c>
      <c r="G2775" t="str">
        <f>VLOOKUP(A2775,inf!$D$2:$E$76,2,FALSE)</f>
        <v>Other</v>
      </c>
    </row>
    <row r="2776" spans="1:7" x14ac:dyDescent="0.25">
      <c r="A2776" t="s">
        <v>24</v>
      </c>
      <c r="B2776" s="1">
        <v>43082</v>
      </c>
      <c r="C2776" t="s">
        <v>55</v>
      </c>
      <c r="D2776" s="4">
        <v>229.7</v>
      </c>
      <c r="E2776" s="12" t="str">
        <f>VLOOKUP(C2776,inf!$A$2:$B$7,2,FALSE)</f>
        <v>Current</v>
      </c>
      <c r="F2776" s="12" t="str">
        <f t="shared" si="44"/>
        <v>12/13/2017</v>
      </c>
      <c r="G2776" t="str">
        <f>VLOOKUP(A2776,inf!$D$2:$E$76,2,FALSE)</f>
        <v>Other</v>
      </c>
    </row>
    <row r="2777" spans="1:7" x14ac:dyDescent="0.25">
      <c r="A2777" t="s">
        <v>18</v>
      </c>
      <c r="B2777" s="1">
        <v>43082</v>
      </c>
      <c r="C2777" t="s">
        <v>55</v>
      </c>
      <c r="D2777" s="4">
        <v>630.54</v>
      </c>
      <c r="E2777" s="12" t="str">
        <f>VLOOKUP(C2777,inf!$A$2:$B$7,2,FALSE)</f>
        <v>Current</v>
      </c>
      <c r="F2777" s="12" t="str">
        <f t="shared" si="44"/>
        <v>12/13/2017</v>
      </c>
      <c r="G2777" t="str">
        <f>VLOOKUP(A2777,inf!$D$2:$E$76,2,FALSE)</f>
        <v>Other</v>
      </c>
    </row>
    <row r="2778" spans="1:7" x14ac:dyDescent="0.25">
      <c r="A2778" t="s">
        <v>27</v>
      </c>
      <c r="B2778" s="1">
        <v>43082</v>
      </c>
      <c r="C2778" t="s">
        <v>55</v>
      </c>
      <c r="D2778" s="4">
        <v>1210.7</v>
      </c>
      <c r="E2778" s="12" t="str">
        <f>VLOOKUP(C2778,inf!$A$2:$B$7,2,FALSE)</f>
        <v>Current</v>
      </c>
      <c r="F2778" s="12" t="str">
        <f t="shared" si="44"/>
        <v>12/13/2017</v>
      </c>
      <c r="G2778" t="str">
        <f>VLOOKUP(A2778,inf!$D$2:$E$76,2,FALSE)</f>
        <v>Other</v>
      </c>
    </row>
    <row r="2779" spans="1:7" x14ac:dyDescent="0.25">
      <c r="A2779" t="s">
        <v>62</v>
      </c>
      <c r="B2779" s="1">
        <v>43082</v>
      </c>
      <c r="C2779" t="s">
        <v>58</v>
      </c>
      <c r="D2779" s="4">
        <v>229.7</v>
      </c>
      <c r="E2779" s="12" t="str">
        <f>VLOOKUP(C2779,inf!$A$2:$B$7,2,FALSE)</f>
        <v>61 to 90</v>
      </c>
      <c r="F2779" s="12" t="str">
        <f t="shared" si="44"/>
        <v>12/13/2017</v>
      </c>
      <c r="G2779" t="str">
        <f>VLOOKUP(A2779,inf!$D$2:$E$76,2,FALSE)</f>
        <v>Other</v>
      </c>
    </row>
    <row r="2780" spans="1:7" x14ac:dyDescent="0.25">
      <c r="A2780" t="s">
        <v>62</v>
      </c>
      <c r="B2780" s="1">
        <v>43082</v>
      </c>
      <c r="C2780" t="s">
        <v>59</v>
      </c>
      <c r="D2780" s="4">
        <v>241.51</v>
      </c>
      <c r="E2780" s="12" t="str">
        <f>VLOOKUP(C2780,inf!$A$2:$B$7,2,FALSE)</f>
        <v>Over 90</v>
      </c>
      <c r="F2780" s="12" t="str">
        <f t="shared" si="44"/>
        <v>12/13/2017</v>
      </c>
      <c r="G2780" t="str">
        <f>VLOOKUP(A2780,inf!$D$2:$E$76,2,FALSE)</f>
        <v>Other</v>
      </c>
    </row>
    <row r="2781" spans="1:7" x14ac:dyDescent="0.25">
      <c r="A2781" t="s">
        <v>21</v>
      </c>
      <c r="B2781" s="1">
        <v>43082</v>
      </c>
      <c r="C2781" t="s">
        <v>55</v>
      </c>
      <c r="D2781" s="4">
        <v>287.13</v>
      </c>
      <c r="E2781" s="12" t="str">
        <f>VLOOKUP(C2781,inf!$A$2:$B$7,2,FALSE)</f>
        <v>Current</v>
      </c>
      <c r="F2781" s="12" t="str">
        <f t="shared" si="44"/>
        <v>12/13/2017</v>
      </c>
      <c r="G2781" t="str">
        <f>VLOOKUP(A2781,inf!$D$2:$E$76,2,FALSE)</f>
        <v>Other</v>
      </c>
    </row>
    <row r="2782" spans="1:7" x14ac:dyDescent="0.25">
      <c r="A2782" t="s">
        <v>21</v>
      </c>
      <c r="B2782" s="1">
        <v>43082</v>
      </c>
      <c r="C2782" t="s">
        <v>57</v>
      </c>
      <c r="D2782" s="4">
        <v>172.28</v>
      </c>
      <c r="E2782" s="12" t="str">
        <f>VLOOKUP(C2782,inf!$A$2:$B$7,2,FALSE)</f>
        <v>31 to 60</v>
      </c>
      <c r="F2782" s="12" t="str">
        <f t="shared" si="44"/>
        <v>12/13/2017</v>
      </c>
      <c r="G2782" t="str">
        <f>VLOOKUP(A2782,inf!$D$2:$E$76,2,FALSE)</f>
        <v>Other</v>
      </c>
    </row>
    <row r="2783" spans="1:7" x14ac:dyDescent="0.25">
      <c r="A2783" t="s">
        <v>3</v>
      </c>
      <c r="B2783" s="1">
        <v>43082</v>
      </c>
      <c r="C2783" t="s">
        <v>55</v>
      </c>
      <c r="D2783" s="4">
        <v>1390.39</v>
      </c>
      <c r="E2783" s="12" t="str">
        <f>VLOOKUP(C2783,inf!$A$2:$B$7,2,FALSE)</f>
        <v>Current</v>
      </c>
      <c r="F2783" s="12" t="str">
        <f t="shared" si="44"/>
        <v>12/13/2017</v>
      </c>
      <c r="G2783" t="str">
        <f>VLOOKUP(A2783,inf!$D$2:$E$76,2,FALSE)</f>
        <v>Other</v>
      </c>
    </row>
    <row r="2784" spans="1:7" x14ac:dyDescent="0.25">
      <c r="A2784" t="s">
        <v>3</v>
      </c>
      <c r="B2784" s="1">
        <v>43082</v>
      </c>
      <c r="C2784" t="s">
        <v>56</v>
      </c>
      <c r="D2784" s="4">
        <v>345.82</v>
      </c>
      <c r="E2784" s="12" t="str">
        <f>VLOOKUP(C2784,inf!$A$2:$B$7,2,FALSE)</f>
        <v>Current</v>
      </c>
      <c r="F2784" s="12" t="str">
        <f t="shared" si="44"/>
        <v>12/13/2017</v>
      </c>
      <c r="G2784" t="str">
        <f>VLOOKUP(A2784,inf!$D$2:$E$76,2,FALSE)</f>
        <v>Other</v>
      </c>
    </row>
    <row r="2785" spans="1:7" x14ac:dyDescent="0.25">
      <c r="A2785" t="s">
        <v>3</v>
      </c>
      <c r="B2785" s="1">
        <v>43082</v>
      </c>
      <c r="C2785" t="s">
        <v>58</v>
      </c>
      <c r="D2785" s="4">
        <v>67.66</v>
      </c>
      <c r="E2785" s="12" t="str">
        <f>VLOOKUP(C2785,inf!$A$2:$B$7,2,FALSE)</f>
        <v>61 to 90</v>
      </c>
      <c r="F2785" s="12" t="str">
        <f t="shared" si="44"/>
        <v>12/13/2017</v>
      </c>
      <c r="G2785" t="str">
        <f>VLOOKUP(A2785,inf!$D$2:$E$76,2,FALSE)</f>
        <v>Other</v>
      </c>
    </row>
    <row r="2786" spans="1:7" x14ac:dyDescent="0.25">
      <c r="A2786" t="s">
        <v>78</v>
      </c>
      <c r="B2786" s="1">
        <v>43082</v>
      </c>
      <c r="C2786" t="s">
        <v>55</v>
      </c>
      <c r="D2786" s="4">
        <v>983.65000000000009</v>
      </c>
      <c r="E2786" s="12" t="str">
        <f>VLOOKUP(C2786,inf!$A$2:$B$7,2,FALSE)</f>
        <v>Current</v>
      </c>
      <c r="F2786" s="12" t="str">
        <f t="shared" si="44"/>
        <v>12/13/2017</v>
      </c>
      <c r="G2786" t="str">
        <f>VLOOKUP(A2786,inf!$D$2:$E$76,2,FALSE)</f>
        <v>Other</v>
      </c>
    </row>
    <row r="2787" spans="1:7" x14ac:dyDescent="0.25">
      <c r="A2787" t="s">
        <v>78</v>
      </c>
      <c r="B2787" s="1">
        <v>43082</v>
      </c>
      <c r="C2787" t="s">
        <v>56</v>
      </c>
      <c r="D2787" s="4">
        <v>292.45999999999998</v>
      </c>
      <c r="E2787" s="12" t="str">
        <f>VLOOKUP(C2787,inf!$A$2:$B$7,2,FALSE)</f>
        <v>Current</v>
      </c>
      <c r="F2787" s="12" t="str">
        <f t="shared" si="44"/>
        <v>12/13/2017</v>
      </c>
      <c r="G2787" t="str">
        <f>VLOOKUP(A2787,inf!$D$2:$E$76,2,FALSE)</f>
        <v>Other</v>
      </c>
    </row>
    <row r="2788" spans="1:7" x14ac:dyDescent="0.25">
      <c r="A2788" t="s">
        <v>79</v>
      </c>
      <c r="B2788" s="1">
        <v>43082</v>
      </c>
      <c r="C2788" t="s">
        <v>55</v>
      </c>
      <c r="D2788" s="4">
        <v>255.81</v>
      </c>
      <c r="E2788" s="12" t="str">
        <f>VLOOKUP(C2788,inf!$A$2:$B$7,2,FALSE)</f>
        <v>Current</v>
      </c>
      <c r="F2788" s="12" t="str">
        <f t="shared" si="44"/>
        <v>12/13/2017</v>
      </c>
      <c r="G2788" t="str">
        <f>VLOOKUP(A2788,inf!$D$2:$E$76,2,FALSE)</f>
        <v>Other</v>
      </c>
    </row>
    <row r="2789" spans="1:7" x14ac:dyDescent="0.25">
      <c r="A2789" t="s">
        <v>30</v>
      </c>
      <c r="B2789" s="1">
        <v>43082</v>
      </c>
      <c r="C2789" t="s">
        <v>55</v>
      </c>
      <c r="D2789" s="4">
        <v>454.53</v>
      </c>
      <c r="E2789" s="12" t="str">
        <f>VLOOKUP(C2789,inf!$A$2:$B$7,2,FALSE)</f>
        <v>Current</v>
      </c>
      <c r="F2789" s="12" t="str">
        <f t="shared" si="44"/>
        <v>12/13/2017</v>
      </c>
      <c r="G2789" t="str">
        <f>VLOOKUP(A2789,inf!$D$2:$E$76,2,FALSE)</f>
        <v>Other</v>
      </c>
    </row>
    <row r="2790" spans="1:7" x14ac:dyDescent="0.25">
      <c r="A2790" t="s">
        <v>30</v>
      </c>
      <c r="B2790" s="1">
        <v>43082</v>
      </c>
      <c r="C2790" t="s">
        <v>56</v>
      </c>
      <c r="D2790" s="4">
        <v>114.85</v>
      </c>
      <c r="E2790" s="12" t="str">
        <f>VLOOKUP(C2790,inf!$A$2:$B$7,2,FALSE)</f>
        <v>Current</v>
      </c>
      <c r="F2790" s="12" t="str">
        <f t="shared" si="44"/>
        <v>12/13/2017</v>
      </c>
      <c r="G2790" t="str">
        <f>VLOOKUP(A2790,inf!$D$2:$E$76,2,FALSE)</f>
        <v>Other</v>
      </c>
    </row>
    <row r="2791" spans="1:7" x14ac:dyDescent="0.25">
      <c r="A2791" t="s">
        <v>30</v>
      </c>
      <c r="B2791" s="1">
        <v>43082</v>
      </c>
      <c r="C2791" t="s">
        <v>57</v>
      </c>
      <c r="D2791" s="4">
        <v>232.39</v>
      </c>
      <c r="E2791" s="12" t="str">
        <f>VLOOKUP(C2791,inf!$A$2:$B$7,2,FALSE)</f>
        <v>31 to 60</v>
      </c>
      <c r="F2791" s="12" t="str">
        <f t="shared" si="44"/>
        <v>12/13/2017</v>
      </c>
      <c r="G2791" t="str">
        <f>VLOOKUP(A2791,inf!$D$2:$E$76,2,FALSE)</f>
        <v>Other</v>
      </c>
    </row>
    <row r="2792" spans="1:7" x14ac:dyDescent="0.25">
      <c r="A2792" t="s">
        <v>63</v>
      </c>
      <c r="B2792" s="1">
        <v>43082</v>
      </c>
      <c r="C2792" t="s">
        <v>59</v>
      </c>
      <c r="D2792" s="4">
        <v>170.49</v>
      </c>
      <c r="E2792" s="12" t="str">
        <f>VLOOKUP(C2792,inf!$A$2:$B$7,2,FALSE)</f>
        <v>Over 90</v>
      </c>
      <c r="F2792" s="12" t="str">
        <f t="shared" si="44"/>
        <v>12/13/2017</v>
      </c>
      <c r="G2792" t="str">
        <f>VLOOKUP(A2792,inf!$D$2:$E$76,2,FALSE)</f>
        <v>Other</v>
      </c>
    </row>
    <row r="2793" spans="1:7" x14ac:dyDescent="0.25">
      <c r="A2793" t="s">
        <v>12</v>
      </c>
      <c r="B2793" s="1">
        <v>43082</v>
      </c>
      <c r="C2793" t="s">
        <v>55</v>
      </c>
      <c r="D2793" s="4">
        <v>519.22</v>
      </c>
      <c r="E2793" s="12" t="str">
        <f>VLOOKUP(C2793,inf!$A$2:$B$7,2,FALSE)</f>
        <v>Current</v>
      </c>
      <c r="F2793" s="12" t="str">
        <f t="shared" si="44"/>
        <v>12/13/2017</v>
      </c>
      <c r="G2793" t="str">
        <f>VLOOKUP(A2793,inf!$D$2:$E$76,2,FALSE)</f>
        <v>Other</v>
      </c>
    </row>
    <row r="2794" spans="1:7" x14ac:dyDescent="0.25">
      <c r="A2794" t="s">
        <v>50</v>
      </c>
      <c r="B2794" s="1">
        <v>43082</v>
      </c>
      <c r="C2794" t="s">
        <v>55</v>
      </c>
      <c r="D2794" s="4">
        <v>319.83999999999997</v>
      </c>
      <c r="E2794" s="12" t="str">
        <f>VLOOKUP(C2794,inf!$A$2:$B$7,2,FALSE)</f>
        <v>Current</v>
      </c>
      <c r="F2794" s="12" t="str">
        <f t="shared" si="44"/>
        <v>12/13/2017</v>
      </c>
      <c r="G2794" t="str">
        <f>VLOOKUP(A2794,inf!$D$2:$E$76,2,FALSE)</f>
        <v>Other</v>
      </c>
    </row>
    <row r="2795" spans="1:7" x14ac:dyDescent="0.25">
      <c r="A2795" t="s">
        <v>23</v>
      </c>
      <c r="B2795" s="1">
        <v>43082</v>
      </c>
      <c r="C2795" t="s">
        <v>56</v>
      </c>
      <c r="D2795" s="4">
        <v>250.61</v>
      </c>
      <c r="E2795" s="12" t="str">
        <f>VLOOKUP(C2795,inf!$A$2:$B$7,2,FALSE)</f>
        <v>Current</v>
      </c>
      <c r="F2795" s="12" t="str">
        <f t="shared" si="44"/>
        <v>12/13/2017</v>
      </c>
      <c r="G2795" t="str">
        <f>VLOOKUP(A2795,inf!$D$2:$E$76,2,FALSE)</f>
        <v>Other</v>
      </c>
    </row>
    <row r="2796" spans="1:7" x14ac:dyDescent="0.25">
      <c r="A2796" t="s">
        <v>7</v>
      </c>
      <c r="B2796" s="1">
        <v>43082</v>
      </c>
      <c r="C2796" t="s">
        <v>55</v>
      </c>
      <c r="D2796" s="4">
        <v>88437.930000000022</v>
      </c>
      <c r="E2796" s="12" t="str">
        <f>VLOOKUP(C2796,inf!$A$2:$B$7,2,FALSE)</f>
        <v>Current</v>
      </c>
      <c r="F2796" s="12" t="str">
        <f t="shared" si="44"/>
        <v>12/13/2017</v>
      </c>
      <c r="G2796" t="str">
        <f>VLOOKUP(A2796,inf!$D$2:$E$76,2,FALSE)</f>
        <v>SAFEWAY</v>
      </c>
    </row>
    <row r="2797" spans="1:7" x14ac:dyDescent="0.25">
      <c r="A2797" t="s">
        <v>7</v>
      </c>
      <c r="B2797" s="1">
        <v>43082</v>
      </c>
      <c r="C2797" t="s">
        <v>56</v>
      </c>
      <c r="D2797" s="4">
        <v>25866.380000000005</v>
      </c>
      <c r="E2797" s="12" t="str">
        <f>VLOOKUP(C2797,inf!$A$2:$B$7,2,FALSE)</f>
        <v>Current</v>
      </c>
      <c r="F2797" s="12" t="str">
        <f t="shared" si="44"/>
        <v>12/13/2017</v>
      </c>
      <c r="G2797" t="str">
        <f>VLOOKUP(A2797,inf!$D$2:$E$76,2,FALSE)</f>
        <v>SAFEWAY</v>
      </c>
    </row>
    <row r="2798" spans="1:7" x14ac:dyDescent="0.25">
      <c r="A2798" t="s">
        <v>7</v>
      </c>
      <c r="B2798" s="1">
        <v>43082</v>
      </c>
      <c r="C2798" t="s">
        <v>57</v>
      </c>
      <c r="D2798" s="4">
        <v>4266.8999999999996</v>
      </c>
      <c r="E2798" s="12" t="str">
        <f>VLOOKUP(C2798,inf!$A$2:$B$7,2,FALSE)</f>
        <v>31 to 60</v>
      </c>
      <c r="F2798" s="12" t="str">
        <f t="shared" si="44"/>
        <v>12/13/2017</v>
      </c>
      <c r="G2798" t="str">
        <f>VLOOKUP(A2798,inf!$D$2:$E$76,2,FALSE)</f>
        <v>SAFEWAY</v>
      </c>
    </row>
    <row r="2799" spans="1:7" x14ac:dyDescent="0.25">
      <c r="A2799" t="s">
        <v>7</v>
      </c>
      <c r="B2799" s="1">
        <v>43082</v>
      </c>
      <c r="C2799" t="s">
        <v>58</v>
      </c>
      <c r="D2799" s="4">
        <v>803.33999999999992</v>
      </c>
      <c r="E2799" s="12" t="str">
        <f>VLOOKUP(C2799,inf!$A$2:$B$7,2,FALSE)</f>
        <v>61 to 90</v>
      </c>
      <c r="F2799" s="12" t="str">
        <f t="shared" si="44"/>
        <v>12/13/2017</v>
      </c>
      <c r="G2799" t="str">
        <f>VLOOKUP(A2799,inf!$D$2:$E$76,2,FALSE)</f>
        <v>SAFEWAY</v>
      </c>
    </row>
    <row r="2800" spans="1:7" x14ac:dyDescent="0.25">
      <c r="A2800" t="s">
        <v>7</v>
      </c>
      <c r="B2800" s="1">
        <v>43082</v>
      </c>
      <c r="C2800" t="s">
        <v>60</v>
      </c>
      <c r="D2800" s="4">
        <v>334.41</v>
      </c>
      <c r="E2800" s="12" t="str">
        <f>VLOOKUP(C2800,inf!$A$2:$B$7,2,FALSE)</f>
        <v>Over 90</v>
      </c>
      <c r="F2800" s="12" t="str">
        <f t="shared" si="44"/>
        <v>12/13/2017</v>
      </c>
      <c r="G2800" t="str">
        <f>VLOOKUP(A2800,inf!$D$2:$E$76,2,FALSE)</f>
        <v>SAFEWAY</v>
      </c>
    </row>
    <row r="2801" spans="1:7" x14ac:dyDescent="0.25">
      <c r="A2801" t="s">
        <v>74</v>
      </c>
      <c r="B2801" s="1">
        <v>43082</v>
      </c>
      <c r="C2801" t="s">
        <v>58</v>
      </c>
      <c r="D2801" s="4">
        <v>742.26</v>
      </c>
      <c r="E2801" s="12" t="str">
        <f>VLOOKUP(C2801,inf!$A$2:$B$7,2,FALSE)</f>
        <v>61 to 90</v>
      </c>
      <c r="F2801" s="12" t="str">
        <f t="shared" si="44"/>
        <v>12/13/2017</v>
      </c>
      <c r="G2801" t="str">
        <f>VLOOKUP(A2801,inf!$D$2:$E$76,2,FALSE)</f>
        <v>Other</v>
      </c>
    </row>
    <row r="2802" spans="1:7" x14ac:dyDescent="0.25">
      <c r="A2802" t="s">
        <v>5</v>
      </c>
      <c r="B2802" s="1">
        <v>43082</v>
      </c>
      <c r="C2802" t="s">
        <v>55</v>
      </c>
      <c r="D2802" s="4">
        <v>7972378.999999932</v>
      </c>
      <c r="E2802" s="12" t="str">
        <f>VLOOKUP(C2802,inf!$A$2:$B$7,2,FALSE)</f>
        <v>Current</v>
      </c>
      <c r="F2802" s="12" t="str">
        <f t="shared" si="44"/>
        <v>12/13/2017</v>
      </c>
      <c r="G2802" t="str">
        <f>VLOOKUP(A2802,inf!$D$2:$E$76,2,FALSE)</f>
        <v>SBUX</v>
      </c>
    </row>
    <row r="2803" spans="1:7" x14ac:dyDescent="0.25">
      <c r="A2803" t="s">
        <v>5</v>
      </c>
      <c r="B2803" s="1">
        <v>43082</v>
      </c>
      <c r="C2803" t="s">
        <v>56</v>
      </c>
      <c r="D2803" s="4">
        <v>70060.960000000006</v>
      </c>
      <c r="E2803" s="12" t="str">
        <f>VLOOKUP(C2803,inf!$A$2:$B$7,2,FALSE)</f>
        <v>Current</v>
      </c>
      <c r="F2803" s="12" t="str">
        <f t="shared" si="44"/>
        <v>12/13/2017</v>
      </c>
      <c r="G2803" t="str">
        <f>VLOOKUP(A2803,inf!$D$2:$E$76,2,FALSE)</f>
        <v>SBUX</v>
      </c>
    </row>
    <row r="2804" spans="1:7" x14ac:dyDescent="0.25">
      <c r="A2804" t="s">
        <v>5</v>
      </c>
      <c r="B2804" s="1">
        <v>43082</v>
      </c>
      <c r="C2804" t="s">
        <v>57</v>
      </c>
      <c r="D2804" s="4">
        <v>46532.32</v>
      </c>
      <c r="E2804" s="12" t="str">
        <f>VLOOKUP(C2804,inf!$A$2:$B$7,2,FALSE)</f>
        <v>31 to 60</v>
      </c>
      <c r="F2804" s="12" t="str">
        <f t="shared" si="44"/>
        <v>12/13/2017</v>
      </c>
      <c r="G2804" t="str">
        <f>VLOOKUP(A2804,inf!$D$2:$E$76,2,FALSE)</f>
        <v>SBUX</v>
      </c>
    </row>
    <row r="2805" spans="1:7" x14ac:dyDescent="0.25">
      <c r="A2805" t="s">
        <v>5</v>
      </c>
      <c r="B2805" s="1">
        <v>43082</v>
      </c>
      <c r="C2805" t="s">
        <v>58</v>
      </c>
      <c r="D2805" s="4">
        <v>19013.920000000002</v>
      </c>
      <c r="E2805" s="12" t="str">
        <f>VLOOKUP(C2805,inf!$A$2:$B$7,2,FALSE)</f>
        <v>61 to 90</v>
      </c>
      <c r="F2805" s="12" t="str">
        <f t="shared" si="44"/>
        <v>12/13/2017</v>
      </c>
      <c r="G2805" t="str">
        <f>VLOOKUP(A2805,inf!$D$2:$E$76,2,FALSE)</f>
        <v>SBUX</v>
      </c>
    </row>
    <row r="2806" spans="1:7" x14ac:dyDescent="0.25">
      <c r="A2806" t="s">
        <v>5</v>
      </c>
      <c r="B2806" s="1">
        <v>43082</v>
      </c>
      <c r="C2806" t="s">
        <v>59</v>
      </c>
      <c r="D2806" s="4">
        <v>28021.219999999994</v>
      </c>
      <c r="E2806" s="12" t="str">
        <f>VLOOKUP(C2806,inf!$A$2:$B$7,2,FALSE)</f>
        <v>Over 90</v>
      </c>
      <c r="F2806" s="12" t="str">
        <f t="shared" si="44"/>
        <v>12/13/2017</v>
      </c>
      <c r="G2806" t="str">
        <f>VLOOKUP(A2806,inf!$D$2:$E$76,2,FALSE)</f>
        <v>SBUX</v>
      </c>
    </row>
    <row r="2807" spans="1:7" x14ac:dyDescent="0.25">
      <c r="A2807" t="s">
        <v>5</v>
      </c>
      <c r="B2807" s="1">
        <v>43082</v>
      </c>
      <c r="C2807" t="s">
        <v>60</v>
      </c>
      <c r="D2807" s="4">
        <v>117385.10000000003</v>
      </c>
      <c r="E2807" s="12" t="str">
        <f>VLOOKUP(C2807,inf!$A$2:$B$7,2,FALSE)</f>
        <v>Over 90</v>
      </c>
      <c r="F2807" s="12" t="str">
        <f t="shared" si="44"/>
        <v>12/13/2017</v>
      </c>
      <c r="G2807" t="str">
        <f>VLOOKUP(A2807,inf!$D$2:$E$76,2,FALSE)</f>
        <v>SBUX</v>
      </c>
    </row>
    <row r="2808" spans="1:7" x14ac:dyDescent="0.25">
      <c r="A2808" t="s">
        <v>6</v>
      </c>
      <c r="B2808" s="1">
        <v>43082</v>
      </c>
      <c r="C2808" t="s">
        <v>55</v>
      </c>
      <c r="D2808" s="4">
        <v>633252.38999999373</v>
      </c>
      <c r="E2808" s="12" t="str">
        <f>VLOOKUP(C2808,inf!$A$2:$B$7,2,FALSE)</f>
        <v>Current</v>
      </c>
      <c r="F2808" s="12" t="str">
        <f t="shared" si="44"/>
        <v>12/13/2017</v>
      </c>
      <c r="G2808" t="str">
        <f>VLOOKUP(A2808,inf!$D$2:$E$76,2,FALSE)</f>
        <v>SBUX</v>
      </c>
    </row>
    <row r="2809" spans="1:7" x14ac:dyDescent="0.25">
      <c r="A2809" t="s">
        <v>6</v>
      </c>
      <c r="B2809" s="1">
        <v>43082</v>
      </c>
      <c r="C2809" t="s">
        <v>56</v>
      </c>
      <c r="D2809" s="4">
        <v>1489.88</v>
      </c>
      <c r="E2809" s="12" t="str">
        <f>VLOOKUP(C2809,inf!$A$2:$B$7,2,FALSE)</f>
        <v>Current</v>
      </c>
      <c r="F2809" s="12" t="str">
        <f t="shared" si="44"/>
        <v>12/13/2017</v>
      </c>
      <c r="G2809" t="str">
        <f>VLOOKUP(A2809,inf!$D$2:$E$76,2,FALSE)</f>
        <v>SBUX</v>
      </c>
    </row>
    <row r="2810" spans="1:7" x14ac:dyDescent="0.25">
      <c r="A2810" t="s">
        <v>6</v>
      </c>
      <c r="B2810" s="1">
        <v>43082</v>
      </c>
      <c r="C2810" t="s">
        <v>57</v>
      </c>
      <c r="D2810" s="4">
        <v>4022.06</v>
      </c>
      <c r="E2810" s="12" t="str">
        <f>VLOOKUP(C2810,inf!$A$2:$B$7,2,FALSE)</f>
        <v>31 to 60</v>
      </c>
      <c r="F2810" s="12" t="str">
        <f t="shared" si="44"/>
        <v>12/13/2017</v>
      </c>
      <c r="G2810" t="str">
        <f>VLOOKUP(A2810,inf!$D$2:$E$76,2,FALSE)</f>
        <v>SBUX</v>
      </c>
    </row>
    <row r="2811" spans="1:7" x14ac:dyDescent="0.25">
      <c r="A2811" t="s">
        <v>6</v>
      </c>
      <c r="B2811" s="1">
        <v>43082</v>
      </c>
      <c r="C2811" t="s">
        <v>58</v>
      </c>
      <c r="D2811" s="4">
        <v>2862.35</v>
      </c>
      <c r="E2811" s="12" t="str">
        <f>VLOOKUP(C2811,inf!$A$2:$B$7,2,FALSE)</f>
        <v>61 to 90</v>
      </c>
      <c r="F2811" s="12" t="str">
        <f t="shared" si="44"/>
        <v>12/13/2017</v>
      </c>
      <c r="G2811" t="str">
        <f>VLOOKUP(A2811,inf!$D$2:$E$76,2,FALSE)</f>
        <v>SBUX</v>
      </c>
    </row>
    <row r="2812" spans="1:7" x14ac:dyDescent="0.25">
      <c r="A2812" t="s">
        <v>6</v>
      </c>
      <c r="B2812" s="1">
        <v>43082</v>
      </c>
      <c r="C2812" t="s">
        <v>59</v>
      </c>
      <c r="D2812" s="4">
        <v>3202.86</v>
      </c>
      <c r="E2812" s="12" t="str">
        <f>VLOOKUP(C2812,inf!$A$2:$B$7,2,FALSE)</f>
        <v>Over 90</v>
      </c>
      <c r="F2812" s="12" t="str">
        <f t="shared" si="44"/>
        <v>12/13/2017</v>
      </c>
      <c r="G2812" t="str">
        <f>VLOOKUP(A2812,inf!$D$2:$E$76,2,FALSE)</f>
        <v>SBUX</v>
      </c>
    </row>
    <row r="2813" spans="1:7" x14ac:dyDescent="0.25">
      <c r="A2813" t="s">
        <v>6</v>
      </c>
      <c r="B2813" s="1">
        <v>43082</v>
      </c>
      <c r="C2813" t="s">
        <v>60</v>
      </c>
      <c r="D2813" s="4">
        <v>7242.869999999999</v>
      </c>
      <c r="E2813" s="12" t="str">
        <f>VLOOKUP(C2813,inf!$A$2:$B$7,2,FALSE)</f>
        <v>Over 90</v>
      </c>
      <c r="F2813" s="12" t="str">
        <f t="shared" si="44"/>
        <v>12/13/2017</v>
      </c>
      <c r="G2813" t="str">
        <f>VLOOKUP(A2813,inf!$D$2:$E$76,2,FALSE)</f>
        <v>SBUX</v>
      </c>
    </row>
    <row r="2814" spans="1:7" x14ac:dyDescent="0.25">
      <c r="A2814" t="s">
        <v>48</v>
      </c>
      <c r="B2814" s="1">
        <v>43082</v>
      </c>
      <c r="C2814" t="s">
        <v>55</v>
      </c>
      <c r="D2814" s="4">
        <v>294392.25999999983</v>
      </c>
      <c r="E2814" s="12" t="str">
        <f>VLOOKUP(C2814,inf!$A$2:$B$7,2,FALSE)</f>
        <v>Current</v>
      </c>
      <c r="F2814" s="12" t="str">
        <f t="shared" si="44"/>
        <v>12/13/2017</v>
      </c>
      <c r="G2814" t="str">
        <f>VLOOKUP(A2814,inf!$D$2:$E$76,2,FALSE)</f>
        <v>Target</v>
      </c>
    </row>
    <row r="2815" spans="1:7" x14ac:dyDescent="0.25">
      <c r="A2815" t="s">
        <v>48</v>
      </c>
      <c r="B2815" s="1">
        <v>43082</v>
      </c>
      <c r="C2815" t="s">
        <v>56</v>
      </c>
      <c r="D2815" s="4">
        <v>93665.940000000017</v>
      </c>
      <c r="E2815" s="12" t="str">
        <f>VLOOKUP(C2815,inf!$A$2:$B$7,2,FALSE)</f>
        <v>Current</v>
      </c>
      <c r="F2815" s="12" t="str">
        <f t="shared" si="44"/>
        <v>12/13/2017</v>
      </c>
      <c r="G2815" t="str">
        <f>VLOOKUP(A2815,inf!$D$2:$E$76,2,FALSE)</f>
        <v>Target</v>
      </c>
    </row>
    <row r="2816" spans="1:7" x14ac:dyDescent="0.25">
      <c r="A2816" t="s">
        <v>48</v>
      </c>
      <c r="B2816" s="1">
        <v>43082</v>
      </c>
      <c r="C2816" t="s">
        <v>57</v>
      </c>
      <c r="D2816" s="4">
        <v>12398.369999999999</v>
      </c>
      <c r="E2816" s="12" t="str">
        <f>VLOOKUP(C2816,inf!$A$2:$B$7,2,FALSE)</f>
        <v>31 to 60</v>
      </c>
      <c r="F2816" s="12" t="str">
        <f t="shared" si="44"/>
        <v>12/13/2017</v>
      </c>
      <c r="G2816" t="str">
        <f>VLOOKUP(A2816,inf!$D$2:$E$76,2,FALSE)</f>
        <v>Target</v>
      </c>
    </row>
    <row r="2817" spans="1:7" x14ac:dyDescent="0.25">
      <c r="A2817" t="s">
        <v>48</v>
      </c>
      <c r="B2817" s="1">
        <v>43082</v>
      </c>
      <c r="C2817" t="s">
        <v>58</v>
      </c>
      <c r="D2817" s="4">
        <v>3167.7400000000002</v>
      </c>
      <c r="E2817" s="12" t="str">
        <f>VLOOKUP(C2817,inf!$A$2:$B$7,2,FALSE)</f>
        <v>61 to 90</v>
      </c>
      <c r="F2817" s="12" t="str">
        <f t="shared" si="44"/>
        <v>12/13/2017</v>
      </c>
      <c r="G2817" t="str">
        <f>VLOOKUP(A2817,inf!$D$2:$E$76,2,FALSE)</f>
        <v>Target</v>
      </c>
    </row>
    <row r="2818" spans="1:7" x14ac:dyDescent="0.25">
      <c r="A2818" t="s">
        <v>48</v>
      </c>
      <c r="B2818" s="1">
        <v>43082</v>
      </c>
      <c r="C2818" t="s">
        <v>59</v>
      </c>
      <c r="D2818" s="4">
        <v>2569.09</v>
      </c>
      <c r="E2818" s="12" t="str">
        <f>VLOOKUP(C2818,inf!$A$2:$B$7,2,FALSE)</f>
        <v>Over 90</v>
      </c>
      <c r="F2818" s="12" t="str">
        <f t="shared" si="44"/>
        <v>12/13/2017</v>
      </c>
      <c r="G2818" t="str">
        <f>VLOOKUP(A2818,inf!$D$2:$E$76,2,FALSE)</f>
        <v>Target</v>
      </c>
    </row>
    <row r="2819" spans="1:7" x14ac:dyDescent="0.25">
      <c r="A2819" t="s">
        <v>48</v>
      </c>
      <c r="B2819" s="1">
        <v>43082</v>
      </c>
      <c r="C2819" t="s">
        <v>60</v>
      </c>
      <c r="D2819" s="4">
        <v>364.22</v>
      </c>
      <c r="E2819" s="12" t="str">
        <f>VLOOKUP(C2819,inf!$A$2:$B$7,2,FALSE)</f>
        <v>Over 90</v>
      </c>
      <c r="F2819" s="12" t="str">
        <f t="shared" ref="F2819:F2882" si="45">TEXT(B2819,"MM/DD/YYYY")</f>
        <v>12/13/2017</v>
      </c>
      <c r="G2819" t="str">
        <f>VLOOKUP(A2819,inf!$D$2:$E$76,2,FALSE)</f>
        <v>Target</v>
      </c>
    </row>
    <row r="2820" spans="1:7" x14ac:dyDescent="0.25">
      <c r="A2820" t="s">
        <v>8</v>
      </c>
      <c r="B2820" s="1">
        <v>43082</v>
      </c>
      <c r="C2820" t="s">
        <v>55</v>
      </c>
      <c r="D2820" s="4">
        <v>401956.30999999988</v>
      </c>
      <c r="E2820" s="12" t="str">
        <f>VLOOKUP(C2820,inf!$A$2:$B$7,2,FALSE)</f>
        <v>Current</v>
      </c>
      <c r="F2820" s="12" t="str">
        <f t="shared" si="45"/>
        <v>12/13/2017</v>
      </c>
      <c r="G2820" t="str">
        <f>VLOOKUP(A2820,inf!$D$2:$E$76,2,FALSE)</f>
        <v>Target</v>
      </c>
    </row>
    <row r="2821" spans="1:7" x14ac:dyDescent="0.25">
      <c r="A2821" t="s">
        <v>8</v>
      </c>
      <c r="B2821" s="1">
        <v>43082</v>
      </c>
      <c r="C2821" t="s">
        <v>56</v>
      </c>
      <c r="D2821" s="4">
        <v>119576.79000000002</v>
      </c>
      <c r="E2821" s="12" t="str">
        <f>VLOOKUP(C2821,inf!$A$2:$B$7,2,FALSE)</f>
        <v>Current</v>
      </c>
      <c r="F2821" s="12" t="str">
        <f t="shared" si="45"/>
        <v>12/13/2017</v>
      </c>
      <c r="G2821" t="str">
        <f>VLOOKUP(A2821,inf!$D$2:$E$76,2,FALSE)</f>
        <v>Target</v>
      </c>
    </row>
    <row r="2822" spans="1:7" x14ac:dyDescent="0.25">
      <c r="A2822" t="s">
        <v>8</v>
      </c>
      <c r="B2822" s="1">
        <v>43082</v>
      </c>
      <c r="C2822" t="s">
        <v>57</v>
      </c>
      <c r="D2822" s="4">
        <v>18966.14</v>
      </c>
      <c r="E2822" s="12" t="str">
        <f>VLOOKUP(C2822,inf!$A$2:$B$7,2,FALSE)</f>
        <v>31 to 60</v>
      </c>
      <c r="F2822" s="12" t="str">
        <f t="shared" si="45"/>
        <v>12/13/2017</v>
      </c>
      <c r="G2822" t="str">
        <f>VLOOKUP(A2822,inf!$D$2:$E$76,2,FALSE)</f>
        <v>Target</v>
      </c>
    </row>
    <row r="2823" spans="1:7" x14ac:dyDescent="0.25">
      <c r="A2823" t="s">
        <v>8</v>
      </c>
      <c r="B2823" s="1">
        <v>43082</v>
      </c>
      <c r="C2823" t="s">
        <v>58</v>
      </c>
      <c r="D2823" s="4">
        <v>11192.57</v>
      </c>
      <c r="E2823" s="12" t="str">
        <f>VLOOKUP(C2823,inf!$A$2:$B$7,2,FALSE)</f>
        <v>61 to 90</v>
      </c>
      <c r="F2823" s="12" t="str">
        <f t="shared" si="45"/>
        <v>12/13/2017</v>
      </c>
      <c r="G2823" t="str">
        <f>VLOOKUP(A2823,inf!$D$2:$E$76,2,FALSE)</f>
        <v>Target</v>
      </c>
    </row>
    <row r="2824" spans="1:7" x14ac:dyDescent="0.25">
      <c r="A2824" t="s">
        <v>8</v>
      </c>
      <c r="B2824" s="1">
        <v>43082</v>
      </c>
      <c r="C2824" t="s">
        <v>59</v>
      </c>
      <c r="D2824" s="4">
        <v>2593.75</v>
      </c>
      <c r="E2824" s="12" t="str">
        <f>VLOOKUP(C2824,inf!$A$2:$B$7,2,FALSE)</f>
        <v>Over 90</v>
      </c>
      <c r="F2824" s="12" t="str">
        <f t="shared" si="45"/>
        <v>12/13/2017</v>
      </c>
      <c r="G2824" t="str">
        <f>VLOOKUP(A2824,inf!$D$2:$E$76,2,FALSE)</f>
        <v>Target</v>
      </c>
    </row>
    <row r="2825" spans="1:7" x14ac:dyDescent="0.25">
      <c r="A2825" t="s">
        <v>8</v>
      </c>
      <c r="B2825" s="1">
        <v>43082</v>
      </c>
      <c r="C2825" t="s">
        <v>60</v>
      </c>
      <c r="D2825" s="4">
        <v>17643.500000000004</v>
      </c>
      <c r="E2825" s="12" t="str">
        <f>VLOOKUP(C2825,inf!$A$2:$B$7,2,FALSE)</f>
        <v>Over 90</v>
      </c>
      <c r="F2825" s="12" t="str">
        <f t="shared" si="45"/>
        <v>12/13/2017</v>
      </c>
      <c r="G2825" t="str">
        <f>VLOOKUP(A2825,inf!$D$2:$E$76,2,FALSE)</f>
        <v>Target</v>
      </c>
    </row>
    <row r="2826" spans="1:7" x14ac:dyDescent="0.25">
      <c r="A2826" t="s">
        <v>54</v>
      </c>
      <c r="B2826" s="1">
        <v>43082</v>
      </c>
      <c r="C2826" t="s">
        <v>55</v>
      </c>
      <c r="D2826" s="4">
        <v>114.85</v>
      </c>
      <c r="E2826" s="12" t="str">
        <f>VLOOKUP(C2826,inf!$A$2:$B$7,2,FALSE)</f>
        <v>Current</v>
      </c>
      <c r="F2826" s="12" t="str">
        <f t="shared" si="45"/>
        <v>12/13/2017</v>
      </c>
      <c r="G2826" t="str">
        <f>VLOOKUP(A2826,inf!$D$2:$E$76,2,FALSE)</f>
        <v>Other</v>
      </c>
    </row>
    <row r="2827" spans="1:7" x14ac:dyDescent="0.25">
      <c r="A2827" t="s">
        <v>54</v>
      </c>
      <c r="B2827" s="1">
        <v>43082</v>
      </c>
      <c r="C2827" t="s">
        <v>58</v>
      </c>
      <c r="D2827" s="4">
        <v>122.72</v>
      </c>
      <c r="E2827" s="12" t="str">
        <f>VLOOKUP(C2827,inf!$A$2:$B$7,2,FALSE)</f>
        <v>61 to 90</v>
      </c>
      <c r="F2827" s="12" t="str">
        <f t="shared" si="45"/>
        <v>12/13/2017</v>
      </c>
      <c r="G2827" t="str">
        <f>VLOOKUP(A2827,inf!$D$2:$E$76,2,FALSE)</f>
        <v>Other</v>
      </c>
    </row>
    <row r="2828" spans="1:7" x14ac:dyDescent="0.25">
      <c r="A2828" t="s">
        <v>54</v>
      </c>
      <c r="B2828" s="1">
        <v>43082</v>
      </c>
      <c r="C2828" t="s">
        <v>59</v>
      </c>
      <c r="D2828" s="4">
        <v>122.72</v>
      </c>
      <c r="E2828" s="12" t="str">
        <f>VLOOKUP(C2828,inf!$A$2:$B$7,2,FALSE)</f>
        <v>Over 90</v>
      </c>
      <c r="F2828" s="12" t="str">
        <f t="shared" si="45"/>
        <v>12/13/2017</v>
      </c>
      <c r="G2828" t="str">
        <f>VLOOKUP(A2828,inf!$D$2:$E$76,2,FALSE)</f>
        <v>Other</v>
      </c>
    </row>
    <row r="2829" spans="1:7" x14ac:dyDescent="0.25">
      <c r="A2829" t="s">
        <v>28</v>
      </c>
      <c r="B2829" s="1">
        <v>43082</v>
      </c>
      <c r="C2829" t="s">
        <v>55</v>
      </c>
      <c r="D2829" s="4">
        <v>5205.1000000000004</v>
      </c>
      <c r="E2829" s="12" t="str">
        <f>VLOOKUP(C2829,inf!$A$2:$B$7,2,FALSE)</f>
        <v>Current</v>
      </c>
      <c r="F2829" s="12" t="str">
        <f t="shared" si="45"/>
        <v>12/13/2017</v>
      </c>
      <c r="G2829" t="str">
        <f>VLOOKUP(A2829,inf!$D$2:$E$76,2,FALSE)</f>
        <v>Other</v>
      </c>
    </row>
    <row r="2830" spans="1:7" x14ac:dyDescent="0.25">
      <c r="A2830" t="s">
        <v>28</v>
      </c>
      <c r="B2830" s="1">
        <v>43082</v>
      </c>
      <c r="C2830" t="s">
        <v>56</v>
      </c>
      <c r="D2830" s="4">
        <v>3545.3999999999996</v>
      </c>
      <c r="E2830" s="12" t="str">
        <f>VLOOKUP(C2830,inf!$A$2:$B$7,2,FALSE)</f>
        <v>Current</v>
      </c>
      <c r="F2830" s="12" t="str">
        <f t="shared" si="45"/>
        <v>12/13/2017</v>
      </c>
      <c r="G2830" t="str">
        <f>VLOOKUP(A2830,inf!$D$2:$E$76,2,FALSE)</f>
        <v>Other</v>
      </c>
    </row>
    <row r="2831" spans="1:7" x14ac:dyDescent="0.25">
      <c r="A2831" t="s">
        <v>15</v>
      </c>
      <c r="B2831" s="1">
        <v>43082</v>
      </c>
      <c r="C2831" t="s">
        <v>56</v>
      </c>
      <c r="D2831" s="4">
        <v>1105.6200000000001</v>
      </c>
      <c r="E2831" s="12" t="str">
        <f>VLOOKUP(C2831,inf!$A$2:$B$7,2,FALSE)</f>
        <v>Current</v>
      </c>
      <c r="F2831" s="12" t="str">
        <f t="shared" si="45"/>
        <v>12/13/2017</v>
      </c>
      <c r="G2831" t="str">
        <f>VLOOKUP(A2831,inf!$D$2:$E$76,2,FALSE)</f>
        <v>Other</v>
      </c>
    </row>
    <row r="2832" spans="1:7" x14ac:dyDescent="0.25">
      <c r="A2832" t="s">
        <v>15</v>
      </c>
      <c r="B2832" s="1">
        <v>43082</v>
      </c>
      <c r="C2832" t="s">
        <v>57</v>
      </c>
      <c r="D2832" s="4">
        <v>362.26</v>
      </c>
      <c r="E2832" s="12" t="str">
        <f>VLOOKUP(C2832,inf!$A$2:$B$7,2,FALSE)</f>
        <v>31 to 60</v>
      </c>
      <c r="F2832" s="12" t="str">
        <f t="shared" si="45"/>
        <v>12/13/2017</v>
      </c>
      <c r="G2832" t="str">
        <f>VLOOKUP(A2832,inf!$D$2:$E$76,2,FALSE)</f>
        <v>Other</v>
      </c>
    </row>
    <row r="2833" spans="1:7" x14ac:dyDescent="0.25">
      <c r="A2833" t="s">
        <v>15</v>
      </c>
      <c r="B2833" s="1">
        <v>43082</v>
      </c>
      <c r="C2833" t="s">
        <v>60</v>
      </c>
      <c r="D2833" s="4">
        <v>291.60000000000002</v>
      </c>
      <c r="E2833" s="12" t="str">
        <f>VLOOKUP(C2833,inf!$A$2:$B$7,2,FALSE)</f>
        <v>Over 90</v>
      </c>
      <c r="F2833" s="12" t="str">
        <f t="shared" si="45"/>
        <v>12/13/2017</v>
      </c>
      <c r="G2833" t="str">
        <f>VLOOKUP(A2833,inf!$D$2:$E$76,2,FALSE)</f>
        <v>Other</v>
      </c>
    </row>
    <row r="2834" spans="1:7" x14ac:dyDescent="0.25">
      <c r="A2834" t="s">
        <v>22</v>
      </c>
      <c r="B2834" s="1">
        <v>43089</v>
      </c>
      <c r="C2834" t="s">
        <v>55</v>
      </c>
      <c r="D2834" s="4">
        <v>586.51</v>
      </c>
      <c r="E2834" s="12" t="str">
        <f>VLOOKUP(C2834,inf!$A$2:$B$7,2,FALSE)</f>
        <v>Current</v>
      </c>
      <c r="F2834" s="12" t="str">
        <f t="shared" si="45"/>
        <v>12/20/2017</v>
      </c>
      <c r="G2834" t="str">
        <f>VLOOKUP(A2834,inf!$D$2:$E$76,2,FALSE)</f>
        <v>Other</v>
      </c>
    </row>
    <row r="2835" spans="1:7" x14ac:dyDescent="0.25">
      <c r="A2835" t="s">
        <v>80</v>
      </c>
      <c r="B2835" s="1">
        <v>43089</v>
      </c>
      <c r="C2835" t="s">
        <v>55</v>
      </c>
      <c r="D2835" s="4">
        <v>262.01</v>
      </c>
      <c r="E2835" s="12" t="str">
        <f>VLOOKUP(C2835,inf!$A$2:$B$7,2,FALSE)</f>
        <v>Current</v>
      </c>
      <c r="F2835" s="12" t="str">
        <f t="shared" si="45"/>
        <v>12/20/2017</v>
      </c>
      <c r="G2835" t="str">
        <f>VLOOKUP(A2835,inf!$D$2:$E$76,2,FALSE)</f>
        <v>Other</v>
      </c>
    </row>
    <row r="2836" spans="1:7" x14ac:dyDescent="0.25">
      <c r="A2836" t="s">
        <v>4</v>
      </c>
      <c r="B2836" s="1">
        <v>43089</v>
      </c>
      <c r="C2836" t="s">
        <v>55</v>
      </c>
      <c r="D2836" s="4">
        <v>4637.42</v>
      </c>
      <c r="E2836" s="12" t="str">
        <f>VLOOKUP(C2836,inf!$A$2:$B$7,2,FALSE)</f>
        <v>Current</v>
      </c>
      <c r="F2836" s="12" t="str">
        <f t="shared" si="45"/>
        <v>12/20/2017</v>
      </c>
      <c r="G2836" t="str">
        <f>VLOOKUP(A2836,inf!$D$2:$E$76,2,FALSE)</f>
        <v>Other</v>
      </c>
    </row>
    <row r="2837" spans="1:7" x14ac:dyDescent="0.25">
      <c r="A2837" t="s">
        <v>4</v>
      </c>
      <c r="B2837" s="1">
        <v>43089</v>
      </c>
      <c r="C2837" t="s">
        <v>56</v>
      </c>
      <c r="D2837" s="4">
        <v>3780.55</v>
      </c>
      <c r="E2837" s="12" t="str">
        <f>VLOOKUP(C2837,inf!$A$2:$B$7,2,FALSE)</f>
        <v>Current</v>
      </c>
      <c r="F2837" s="12" t="str">
        <f t="shared" si="45"/>
        <v>12/20/2017</v>
      </c>
      <c r="G2837" t="str">
        <f>VLOOKUP(A2837,inf!$D$2:$E$76,2,FALSE)</f>
        <v>Other</v>
      </c>
    </row>
    <row r="2838" spans="1:7" x14ac:dyDescent="0.25">
      <c r="A2838" t="s">
        <v>4</v>
      </c>
      <c r="B2838" s="1">
        <v>43089</v>
      </c>
      <c r="C2838" t="s">
        <v>57</v>
      </c>
      <c r="D2838" s="4">
        <v>526.84</v>
      </c>
      <c r="E2838" s="12" t="str">
        <f>VLOOKUP(C2838,inf!$A$2:$B$7,2,FALSE)</f>
        <v>31 to 60</v>
      </c>
      <c r="F2838" s="12" t="str">
        <f t="shared" si="45"/>
        <v>12/20/2017</v>
      </c>
      <c r="G2838" t="str">
        <f>VLOOKUP(A2838,inf!$D$2:$E$76,2,FALSE)</f>
        <v>Other</v>
      </c>
    </row>
    <row r="2839" spans="1:7" x14ac:dyDescent="0.25">
      <c r="A2839" t="s">
        <v>77</v>
      </c>
      <c r="B2839" s="1">
        <v>43089</v>
      </c>
      <c r="C2839" t="s">
        <v>55</v>
      </c>
      <c r="D2839" s="4">
        <v>834.05</v>
      </c>
      <c r="E2839" s="12" t="str">
        <f>VLOOKUP(C2839,inf!$A$2:$B$7,2,FALSE)</f>
        <v>Current</v>
      </c>
      <c r="F2839" s="12" t="str">
        <f t="shared" si="45"/>
        <v>12/20/2017</v>
      </c>
      <c r="G2839" t="str">
        <f>VLOOKUP(A2839,inf!$D$2:$E$76,2,FALSE)</f>
        <v>Other</v>
      </c>
    </row>
    <row r="2840" spans="1:7" x14ac:dyDescent="0.25">
      <c r="A2840" t="s">
        <v>11</v>
      </c>
      <c r="B2840" s="1">
        <v>43089</v>
      </c>
      <c r="C2840" t="s">
        <v>55</v>
      </c>
      <c r="D2840" s="4">
        <v>331.6</v>
      </c>
      <c r="E2840" s="12" t="str">
        <f>VLOOKUP(C2840,inf!$A$2:$B$7,2,FALSE)</f>
        <v>Current</v>
      </c>
      <c r="F2840" s="12" t="str">
        <f t="shared" si="45"/>
        <v>12/20/2017</v>
      </c>
      <c r="G2840" t="str">
        <f>VLOOKUP(A2840,inf!$D$2:$E$76,2,FALSE)</f>
        <v>Other</v>
      </c>
    </row>
    <row r="2841" spans="1:7" x14ac:dyDescent="0.25">
      <c r="A2841" t="s">
        <v>25</v>
      </c>
      <c r="B2841" s="1">
        <v>43089</v>
      </c>
      <c r="C2841" t="s">
        <v>55</v>
      </c>
      <c r="D2841" s="4">
        <v>2397.85</v>
      </c>
      <c r="E2841" s="12" t="str">
        <f>VLOOKUP(C2841,inf!$A$2:$B$7,2,FALSE)</f>
        <v>Current</v>
      </c>
      <c r="F2841" s="12" t="str">
        <f t="shared" si="45"/>
        <v>12/20/2017</v>
      </c>
      <c r="G2841" t="str">
        <f>VLOOKUP(A2841,inf!$D$2:$E$76,2,FALSE)</f>
        <v>Other</v>
      </c>
    </row>
    <row r="2842" spans="1:7" x14ac:dyDescent="0.25">
      <c r="A2842" t="s">
        <v>31</v>
      </c>
      <c r="B2842" s="1">
        <v>43089</v>
      </c>
      <c r="C2842" t="s">
        <v>58</v>
      </c>
      <c r="D2842" s="4">
        <v>539.82999999999993</v>
      </c>
      <c r="E2842" s="12" t="str">
        <f>VLOOKUP(C2842,inf!$A$2:$B$7,2,FALSE)</f>
        <v>61 to 90</v>
      </c>
      <c r="F2842" s="12" t="str">
        <f t="shared" si="45"/>
        <v>12/20/2017</v>
      </c>
      <c r="G2842" t="str">
        <f>VLOOKUP(A2842,inf!$D$2:$E$76,2,FALSE)</f>
        <v>Other</v>
      </c>
    </row>
    <row r="2843" spans="1:7" x14ac:dyDescent="0.25">
      <c r="A2843" t="s">
        <v>31</v>
      </c>
      <c r="B2843" s="1">
        <v>43089</v>
      </c>
      <c r="C2843" t="s">
        <v>59</v>
      </c>
      <c r="D2843" s="4">
        <v>296.71000000000004</v>
      </c>
      <c r="E2843" s="12" t="str">
        <f>VLOOKUP(C2843,inf!$A$2:$B$7,2,FALSE)</f>
        <v>Over 90</v>
      </c>
      <c r="F2843" s="12" t="str">
        <f t="shared" si="45"/>
        <v>12/20/2017</v>
      </c>
      <c r="G2843" t="str">
        <f>VLOOKUP(A2843,inf!$D$2:$E$76,2,FALSE)</f>
        <v>Other</v>
      </c>
    </row>
    <row r="2844" spans="1:7" x14ac:dyDescent="0.25">
      <c r="A2844" t="s">
        <v>24</v>
      </c>
      <c r="B2844" s="1">
        <v>43089</v>
      </c>
      <c r="C2844" t="s">
        <v>55</v>
      </c>
      <c r="D2844" s="4">
        <v>229.7</v>
      </c>
      <c r="E2844" s="12" t="str">
        <f>VLOOKUP(C2844,inf!$A$2:$B$7,2,FALSE)</f>
        <v>Current</v>
      </c>
      <c r="F2844" s="12" t="str">
        <f t="shared" si="45"/>
        <v>12/20/2017</v>
      </c>
      <c r="G2844" t="str">
        <f>VLOOKUP(A2844,inf!$D$2:$E$76,2,FALSE)</f>
        <v>Other</v>
      </c>
    </row>
    <row r="2845" spans="1:7" x14ac:dyDescent="0.25">
      <c r="A2845" t="s">
        <v>27</v>
      </c>
      <c r="B2845" s="1">
        <v>43089</v>
      </c>
      <c r="C2845" t="s">
        <v>55</v>
      </c>
      <c r="D2845" s="4">
        <v>1210.7</v>
      </c>
      <c r="E2845" s="12" t="str">
        <f>VLOOKUP(C2845,inf!$A$2:$B$7,2,FALSE)</f>
        <v>Current</v>
      </c>
      <c r="F2845" s="12" t="str">
        <f t="shared" si="45"/>
        <v>12/20/2017</v>
      </c>
      <c r="G2845" t="str">
        <f>VLOOKUP(A2845,inf!$D$2:$E$76,2,FALSE)</f>
        <v>Other</v>
      </c>
    </row>
    <row r="2846" spans="1:7" x14ac:dyDescent="0.25">
      <c r="A2846" t="s">
        <v>62</v>
      </c>
      <c r="B2846" s="1">
        <v>43089</v>
      </c>
      <c r="C2846" t="s">
        <v>58</v>
      </c>
      <c r="D2846" s="4">
        <v>229.7</v>
      </c>
      <c r="E2846" s="12" t="str">
        <f>VLOOKUP(C2846,inf!$A$2:$B$7,2,FALSE)</f>
        <v>61 to 90</v>
      </c>
      <c r="F2846" s="12" t="str">
        <f t="shared" si="45"/>
        <v>12/20/2017</v>
      </c>
      <c r="G2846" t="str">
        <f>VLOOKUP(A2846,inf!$D$2:$E$76,2,FALSE)</f>
        <v>Other</v>
      </c>
    </row>
    <row r="2847" spans="1:7" x14ac:dyDescent="0.25">
      <c r="A2847" t="s">
        <v>62</v>
      </c>
      <c r="B2847" s="1">
        <v>43089</v>
      </c>
      <c r="C2847" t="s">
        <v>59</v>
      </c>
      <c r="D2847" s="4">
        <v>241.51</v>
      </c>
      <c r="E2847" s="12" t="str">
        <f>VLOOKUP(C2847,inf!$A$2:$B$7,2,FALSE)</f>
        <v>Over 90</v>
      </c>
      <c r="F2847" s="12" t="str">
        <f t="shared" si="45"/>
        <v>12/20/2017</v>
      </c>
      <c r="G2847" t="str">
        <f>VLOOKUP(A2847,inf!$D$2:$E$76,2,FALSE)</f>
        <v>Other</v>
      </c>
    </row>
    <row r="2848" spans="1:7" x14ac:dyDescent="0.25">
      <c r="A2848" t="s">
        <v>21</v>
      </c>
      <c r="B2848" s="1">
        <v>43089</v>
      </c>
      <c r="C2848" t="s">
        <v>55</v>
      </c>
      <c r="D2848" s="4">
        <v>287.13</v>
      </c>
      <c r="E2848" s="12" t="str">
        <f>VLOOKUP(C2848,inf!$A$2:$B$7,2,FALSE)</f>
        <v>Current</v>
      </c>
      <c r="F2848" s="12" t="str">
        <f t="shared" si="45"/>
        <v>12/20/2017</v>
      </c>
      <c r="G2848" t="str">
        <f>VLOOKUP(A2848,inf!$D$2:$E$76,2,FALSE)</f>
        <v>Other</v>
      </c>
    </row>
    <row r="2849" spans="1:7" x14ac:dyDescent="0.25">
      <c r="A2849" t="s">
        <v>21</v>
      </c>
      <c r="B2849" s="1">
        <v>43089</v>
      </c>
      <c r="C2849" t="s">
        <v>57</v>
      </c>
      <c r="D2849" s="4">
        <v>172.28</v>
      </c>
      <c r="E2849" s="12" t="str">
        <f>VLOOKUP(C2849,inf!$A$2:$B$7,2,FALSE)</f>
        <v>31 to 60</v>
      </c>
      <c r="F2849" s="12" t="str">
        <f t="shared" si="45"/>
        <v>12/20/2017</v>
      </c>
      <c r="G2849" t="str">
        <f>VLOOKUP(A2849,inf!$D$2:$E$76,2,FALSE)</f>
        <v>Other</v>
      </c>
    </row>
    <row r="2850" spans="1:7" x14ac:dyDescent="0.25">
      <c r="A2850" t="s">
        <v>3</v>
      </c>
      <c r="B2850" s="1">
        <v>43089</v>
      </c>
      <c r="C2850" t="s">
        <v>55</v>
      </c>
      <c r="D2850" s="4">
        <v>1390.39</v>
      </c>
      <c r="E2850" s="12" t="str">
        <f>VLOOKUP(C2850,inf!$A$2:$B$7,2,FALSE)</f>
        <v>Current</v>
      </c>
      <c r="F2850" s="12" t="str">
        <f t="shared" si="45"/>
        <v>12/20/2017</v>
      </c>
      <c r="G2850" t="str">
        <f>VLOOKUP(A2850,inf!$D$2:$E$76,2,FALSE)</f>
        <v>Other</v>
      </c>
    </row>
    <row r="2851" spans="1:7" x14ac:dyDescent="0.25">
      <c r="A2851" t="s">
        <v>3</v>
      </c>
      <c r="B2851" s="1">
        <v>43089</v>
      </c>
      <c r="C2851" t="s">
        <v>56</v>
      </c>
      <c r="D2851" s="4">
        <v>345.82</v>
      </c>
      <c r="E2851" s="12" t="str">
        <f>VLOOKUP(C2851,inf!$A$2:$B$7,2,FALSE)</f>
        <v>Current</v>
      </c>
      <c r="F2851" s="12" t="str">
        <f t="shared" si="45"/>
        <v>12/20/2017</v>
      </c>
      <c r="G2851" t="str">
        <f>VLOOKUP(A2851,inf!$D$2:$E$76,2,FALSE)</f>
        <v>Other</v>
      </c>
    </row>
    <row r="2852" spans="1:7" x14ac:dyDescent="0.25">
      <c r="A2852" t="s">
        <v>3</v>
      </c>
      <c r="B2852" s="1">
        <v>43089</v>
      </c>
      <c r="C2852" t="s">
        <v>58</v>
      </c>
      <c r="D2852" s="4">
        <v>67.66</v>
      </c>
      <c r="E2852" s="12" t="str">
        <f>VLOOKUP(C2852,inf!$A$2:$B$7,2,FALSE)</f>
        <v>61 to 90</v>
      </c>
      <c r="F2852" s="12" t="str">
        <f t="shared" si="45"/>
        <v>12/20/2017</v>
      </c>
      <c r="G2852" t="str">
        <f>VLOOKUP(A2852,inf!$D$2:$E$76,2,FALSE)</f>
        <v>Other</v>
      </c>
    </row>
    <row r="2853" spans="1:7" x14ac:dyDescent="0.25">
      <c r="A2853" t="s">
        <v>78</v>
      </c>
      <c r="B2853" s="1">
        <v>43089</v>
      </c>
      <c r="C2853" t="s">
        <v>55</v>
      </c>
      <c r="D2853" s="4">
        <v>1202.48</v>
      </c>
      <c r="E2853" s="12" t="str">
        <f>VLOOKUP(C2853,inf!$A$2:$B$7,2,FALSE)</f>
        <v>Current</v>
      </c>
      <c r="F2853" s="12" t="str">
        <f t="shared" si="45"/>
        <v>12/20/2017</v>
      </c>
      <c r="G2853" t="str">
        <f>VLOOKUP(A2853,inf!$D$2:$E$76,2,FALSE)</f>
        <v>Other</v>
      </c>
    </row>
    <row r="2854" spans="1:7" x14ac:dyDescent="0.25">
      <c r="A2854" t="s">
        <v>78</v>
      </c>
      <c r="B2854" s="1">
        <v>43089</v>
      </c>
      <c r="C2854" t="s">
        <v>56</v>
      </c>
      <c r="D2854" s="4">
        <v>292.45999999999998</v>
      </c>
      <c r="E2854" s="12" t="str">
        <f>VLOOKUP(C2854,inf!$A$2:$B$7,2,FALSE)</f>
        <v>Current</v>
      </c>
      <c r="F2854" s="12" t="str">
        <f t="shared" si="45"/>
        <v>12/20/2017</v>
      </c>
      <c r="G2854" t="str">
        <f>VLOOKUP(A2854,inf!$D$2:$E$76,2,FALSE)</f>
        <v>Other</v>
      </c>
    </row>
    <row r="2855" spans="1:7" x14ac:dyDescent="0.25">
      <c r="A2855" t="s">
        <v>79</v>
      </c>
      <c r="B2855" s="1">
        <v>43089</v>
      </c>
      <c r="C2855" t="s">
        <v>55</v>
      </c>
      <c r="D2855" s="4">
        <v>255.81</v>
      </c>
      <c r="E2855" s="12" t="str">
        <f>VLOOKUP(C2855,inf!$A$2:$B$7,2,FALSE)</f>
        <v>Current</v>
      </c>
      <c r="F2855" s="12" t="str">
        <f t="shared" si="45"/>
        <v>12/20/2017</v>
      </c>
      <c r="G2855" t="str">
        <f>VLOOKUP(A2855,inf!$D$2:$E$76,2,FALSE)</f>
        <v>Other</v>
      </c>
    </row>
    <row r="2856" spans="1:7" x14ac:dyDescent="0.25">
      <c r="A2856" t="s">
        <v>30</v>
      </c>
      <c r="B2856" s="1">
        <v>43089</v>
      </c>
      <c r="C2856" t="s">
        <v>55</v>
      </c>
      <c r="D2856" s="4">
        <v>454.53</v>
      </c>
      <c r="E2856" s="12" t="str">
        <f>VLOOKUP(C2856,inf!$A$2:$B$7,2,FALSE)</f>
        <v>Current</v>
      </c>
      <c r="F2856" s="12" t="str">
        <f t="shared" si="45"/>
        <v>12/20/2017</v>
      </c>
      <c r="G2856" t="str">
        <f>VLOOKUP(A2856,inf!$D$2:$E$76,2,FALSE)</f>
        <v>Other</v>
      </c>
    </row>
    <row r="2857" spans="1:7" x14ac:dyDescent="0.25">
      <c r="A2857" t="s">
        <v>30</v>
      </c>
      <c r="B2857" s="1">
        <v>43089</v>
      </c>
      <c r="C2857" t="s">
        <v>56</v>
      </c>
      <c r="D2857" s="4">
        <v>114.85</v>
      </c>
      <c r="E2857" s="12" t="str">
        <f>VLOOKUP(C2857,inf!$A$2:$B$7,2,FALSE)</f>
        <v>Current</v>
      </c>
      <c r="F2857" s="12" t="str">
        <f t="shared" si="45"/>
        <v>12/20/2017</v>
      </c>
      <c r="G2857" t="str">
        <f>VLOOKUP(A2857,inf!$D$2:$E$76,2,FALSE)</f>
        <v>Other</v>
      </c>
    </row>
    <row r="2858" spans="1:7" x14ac:dyDescent="0.25">
      <c r="A2858" t="s">
        <v>30</v>
      </c>
      <c r="B2858" s="1">
        <v>43089</v>
      </c>
      <c r="C2858" t="s">
        <v>57</v>
      </c>
      <c r="D2858" s="4">
        <v>232.39</v>
      </c>
      <c r="E2858" s="12" t="str">
        <f>VLOOKUP(C2858,inf!$A$2:$B$7,2,FALSE)</f>
        <v>31 to 60</v>
      </c>
      <c r="F2858" s="12" t="str">
        <f t="shared" si="45"/>
        <v>12/20/2017</v>
      </c>
      <c r="G2858" t="str">
        <f>VLOOKUP(A2858,inf!$D$2:$E$76,2,FALSE)</f>
        <v>Other</v>
      </c>
    </row>
    <row r="2859" spans="1:7" x14ac:dyDescent="0.25">
      <c r="A2859" t="s">
        <v>12</v>
      </c>
      <c r="B2859" s="1">
        <v>43089</v>
      </c>
      <c r="C2859" t="s">
        <v>55</v>
      </c>
      <c r="D2859" s="4">
        <v>642.93000000000006</v>
      </c>
      <c r="E2859" s="12" t="str">
        <f>VLOOKUP(C2859,inf!$A$2:$B$7,2,FALSE)</f>
        <v>Current</v>
      </c>
      <c r="F2859" s="12" t="str">
        <f t="shared" si="45"/>
        <v>12/20/2017</v>
      </c>
      <c r="G2859" t="str">
        <f>VLOOKUP(A2859,inf!$D$2:$E$76,2,FALSE)</f>
        <v>Other</v>
      </c>
    </row>
    <row r="2860" spans="1:7" x14ac:dyDescent="0.25">
      <c r="A2860" t="s">
        <v>50</v>
      </c>
      <c r="B2860" s="1">
        <v>43089</v>
      </c>
      <c r="C2860" t="s">
        <v>55</v>
      </c>
      <c r="D2860" s="4">
        <v>319.83999999999997</v>
      </c>
      <c r="E2860" s="12" t="str">
        <f>VLOOKUP(C2860,inf!$A$2:$B$7,2,FALSE)</f>
        <v>Current</v>
      </c>
      <c r="F2860" s="12" t="str">
        <f t="shared" si="45"/>
        <v>12/20/2017</v>
      </c>
      <c r="G2860" t="str">
        <f>VLOOKUP(A2860,inf!$D$2:$E$76,2,FALSE)</f>
        <v>Other</v>
      </c>
    </row>
    <row r="2861" spans="1:7" x14ac:dyDescent="0.25">
      <c r="A2861" t="s">
        <v>23</v>
      </c>
      <c r="B2861" s="1">
        <v>43089</v>
      </c>
      <c r="C2861" t="s">
        <v>57</v>
      </c>
      <c r="D2861" s="4">
        <v>250.61</v>
      </c>
      <c r="E2861" s="12" t="str">
        <f>VLOOKUP(C2861,inf!$A$2:$B$7,2,FALSE)</f>
        <v>31 to 60</v>
      </c>
      <c r="F2861" s="12" t="str">
        <f t="shared" si="45"/>
        <v>12/20/2017</v>
      </c>
      <c r="G2861" t="str">
        <f>VLOOKUP(A2861,inf!$D$2:$E$76,2,FALSE)</f>
        <v>Other</v>
      </c>
    </row>
    <row r="2862" spans="1:7" x14ac:dyDescent="0.25">
      <c r="A2862" t="s">
        <v>7</v>
      </c>
      <c r="B2862" s="1">
        <v>43089</v>
      </c>
      <c r="C2862" t="s">
        <v>55</v>
      </c>
      <c r="D2862" s="4">
        <v>79251.319999999978</v>
      </c>
      <c r="E2862" s="12" t="str">
        <f>VLOOKUP(C2862,inf!$A$2:$B$7,2,FALSE)</f>
        <v>Current</v>
      </c>
      <c r="F2862" s="12" t="str">
        <f t="shared" si="45"/>
        <v>12/20/2017</v>
      </c>
      <c r="G2862" t="str">
        <f>VLOOKUP(A2862,inf!$D$2:$E$76,2,FALSE)</f>
        <v>SAFEWAY</v>
      </c>
    </row>
    <row r="2863" spans="1:7" x14ac:dyDescent="0.25">
      <c r="A2863" t="s">
        <v>7</v>
      </c>
      <c r="B2863" s="1">
        <v>43089</v>
      </c>
      <c r="C2863" t="s">
        <v>56</v>
      </c>
      <c r="D2863" s="4">
        <v>11266.92</v>
      </c>
      <c r="E2863" s="12" t="str">
        <f>VLOOKUP(C2863,inf!$A$2:$B$7,2,FALSE)</f>
        <v>Current</v>
      </c>
      <c r="F2863" s="12" t="str">
        <f t="shared" si="45"/>
        <v>12/20/2017</v>
      </c>
      <c r="G2863" t="str">
        <f>VLOOKUP(A2863,inf!$D$2:$E$76,2,FALSE)</f>
        <v>SAFEWAY</v>
      </c>
    </row>
    <row r="2864" spans="1:7" x14ac:dyDescent="0.25">
      <c r="A2864" t="s">
        <v>7</v>
      </c>
      <c r="B2864" s="1">
        <v>43089</v>
      </c>
      <c r="C2864" t="s">
        <v>57</v>
      </c>
      <c r="D2864" s="4">
        <v>7098.8099999999995</v>
      </c>
      <c r="E2864" s="12" t="str">
        <f>VLOOKUP(C2864,inf!$A$2:$B$7,2,FALSE)</f>
        <v>31 to 60</v>
      </c>
      <c r="F2864" s="12" t="str">
        <f t="shared" si="45"/>
        <v>12/20/2017</v>
      </c>
      <c r="G2864" t="str">
        <f>VLOOKUP(A2864,inf!$D$2:$E$76,2,FALSE)</f>
        <v>SAFEWAY</v>
      </c>
    </row>
    <row r="2865" spans="1:7" x14ac:dyDescent="0.25">
      <c r="A2865" t="s">
        <v>7</v>
      </c>
      <c r="B2865" s="1">
        <v>43089</v>
      </c>
      <c r="C2865" t="s">
        <v>58</v>
      </c>
      <c r="D2865" s="4">
        <v>529.05999999999995</v>
      </c>
      <c r="E2865" s="12" t="str">
        <f>VLOOKUP(C2865,inf!$A$2:$B$7,2,FALSE)</f>
        <v>61 to 90</v>
      </c>
      <c r="F2865" s="12" t="str">
        <f t="shared" si="45"/>
        <v>12/20/2017</v>
      </c>
      <c r="G2865" t="str">
        <f>VLOOKUP(A2865,inf!$D$2:$E$76,2,FALSE)</f>
        <v>SAFEWAY</v>
      </c>
    </row>
    <row r="2866" spans="1:7" x14ac:dyDescent="0.25">
      <c r="A2866" t="s">
        <v>7</v>
      </c>
      <c r="B2866" s="1">
        <v>43089</v>
      </c>
      <c r="C2866" t="s">
        <v>59</v>
      </c>
      <c r="D2866" s="4">
        <v>274.27999999999997</v>
      </c>
      <c r="E2866" s="12" t="str">
        <f>VLOOKUP(C2866,inf!$A$2:$B$7,2,FALSE)</f>
        <v>Over 90</v>
      </c>
      <c r="F2866" s="12" t="str">
        <f t="shared" si="45"/>
        <v>12/20/2017</v>
      </c>
      <c r="G2866" t="str">
        <f>VLOOKUP(A2866,inf!$D$2:$E$76,2,FALSE)</f>
        <v>SAFEWAY</v>
      </c>
    </row>
    <row r="2867" spans="1:7" x14ac:dyDescent="0.25">
      <c r="A2867" t="s">
        <v>7</v>
      </c>
      <c r="B2867" s="1">
        <v>43089</v>
      </c>
      <c r="C2867" t="s">
        <v>60</v>
      </c>
      <c r="D2867" s="4">
        <v>334.41</v>
      </c>
      <c r="E2867" s="12" t="str">
        <f>VLOOKUP(C2867,inf!$A$2:$B$7,2,FALSE)</f>
        <v>Over 90</v>
      </c>
      <c r="F2867" s="12" t="str">
        <f t="shared" si="45"/>
        <v>12/20/2017</v>
      </c>
      <c r="G2867" t="str">
        <f>VLOOKUP(A2867,inf!$D$2:$E$76,2,FALSE)</f>
        <v>SAFEWAY</v>
      </c>
    </row>
    <row r="2868" spans="1:7" x14ac:dyDescent="0.25">
      <c r="A2868" t="s">
        <v>81</v>
      </c>
      <c r="B2868" s="1">
        <v>43089</v>
      </c>
      <c r="C2868" t="s">
        <v>55</v>
      </c>
      <c r="D2868" s="4">
        <v>174.98</v>
      </c>
      <c r="E2868" s="12" t="str">
        <f>VLOOKUP(C2868,inf!$A$2:$B$7,2,FALSE)</f>
        <v>Current</v>
      </c>
      <c r="F2868" s="12" t="str">
        <f t="shared" si="45"/>
        <v>12/20/2017</v>
      </c>
      <c r="G2868" t="str">
        <f>VLOOKUP(A2868,inf!$D$2:$E$76,2,FALSE)</f>
        <v>Other</v>
      </c>
    </row>
    <row r="2869" spans="1:7" x14ac:dyDescent="0.25">
      <c r="A2869" t="s">
        <v>74</v>
      </c>
      <c r="B2869" s="1">
        <v>43089</v>
      </c>
      <c r="C2869" t="s">
        <v>58</v>
      </c>
      <c r="D2869" s="4">
        <v>742.26</v>
      </c>
      <c r="E2869" s="12" t="str">
        <f>VLOOKUP(C2869,inf!$A$2:$B$7,2,FALSE)</f>
        <v>61 to 90</v>
      </c>
      <c r="F2869" s="12" t="str">
        <f t="shared" si="45"/>
        <v>12/20/2017</v>
      </c>
      <c r="G2869" t="str">
        <f>VLOOKUP(A2869,inf!$D$2:$E$76,2,FALSE)</f>
        <v>Other</v>
      </c>
    </row>
    <row r="2870" spans="1:7" x14ac:dyDescent="0.25">
      <c r="A2870" t="s">
        <v>5</v>
      </c>
      <c r="B2870" s="1">
        <v>43089</v>
      </c>
      <c r="C2870" t="s">
        <v>55</v>
      </c>
      <c r="D2870" s="4">
        <v>8118215.6800000099</v>
      </c>
      <c r="E2870" s="12" t="str">
        <f>VLOOKUP(C2870,inf!$A$2:$B$7,2,FALSE)</f>
        <v>Current</v>
      </c>
      <c r="F2870" s="12" t="str">
        <f t="shared" si="45"/>
        <v>12/20/2017</v>
      </c>
      <c r="G2870" t="str">
        <f>VLOOKUP(A2870,inf!$D$2:$E$76,2,FALSE)</f>
        <v>SBUX</v>
      </c>
    </row>
    <row r="2871" spans="1:7" x14ac:dyDescent="0.25">
      <c r="A2871" t="s">
        <v>5</v>
      </c>
      <c r="B2871" s="1">
        <v>43089</v>
      </c>
      <c r="C2871" t="s">
        <v>56</v>
      </c>
      <c r="D2871" s="4">
        <v>73503.550000000017</v>
      </c>
      <c r="E2871" s="12" t="str">
        <f>VLOOKUP(C2871,inf!$A$2:$B$7,2,FALSE)</f>
        <v>Current</v>
      </c>
      <c r="F2871" s="12" t="str">
        <f t="shared" si="45"/>
        <v>12/20/2017</v>
      </c>
      <c r="G2871" t="str">
        <f>VLOOKUP(A2871,inf!$D$2:$E$76,2,FALSE)</f>
        <v>SBUX</v>
      </c>
    </row>
    <row r="2872" spans="1:7" x14ac:dyDescent="0.25">
      <c r="A2872" t="s">
        <v>5</v>
      </c>
      <c r="B2872" s="1">
        <v>43089</v>
      </c>
      <c r="C2872" t="s">
        <v>57</v>
      </c>
      <c r="D2872" s="4">
        <v>58053.01</v>
      </c>
      <c r="E2872" s="12" t="str">
        <f>VLOOKUP(C2872,inf!$A$2:$B$7,2,FALSE)</f>
        <v>31 to 60</v>
      </c>
      <c r="F2872" s="12" t="str">
        <f t="shared" si="45"/>
        <v>12/20/2017</v>
      </c>
      <c r="G2872" t="str">
        <f>VLOOKUP(A2872,inf!$D$2:$E$76,2,FALSE)</f>
        <v>SBUX</v>
      </c>
    </row>
    <row r="2873" spans="1:7" x14ac:dyDescent="0.25">
      <c r="A2873" t="s">
        <v>5</v>
      </c>
      <c r="B2873" s="1">
        <v>43089</v>
      </c>
      <c r="C2873" t="s">
        <v>58</v>
      </c>
      <c r="D2873" s="4">
        <v>14493.91</v>
      </c>
      <c r="E2873" s="12" t="str">
        <f>VLOOKUP(C2873,inf!$A$2:$B$7,2,FALSE)</f>
        <v>61 to 90</v>
      </c>
      <c r="F2873" s="12" t="str">
        <f t="shared" si="45"/>
        <v>12/20/2017</v>
      </c>
      <c r="G2873" t="str">
        <f>VLOOKUP(A2873,inf!$D$2:$E$76,2,FALSE)</f>
        <v>SBUX</v>
      </c>
    </row>
    <row r="2874" spans="1:7" x14ac:dyDescent="0.25">
      <c r="A2874" t="s">
        <v>5</v>
      </c>
      <c r="B2874" s="1">
        <v>43089</v>
      </c>
      <c r="C2874" t="s">
        <v>59</v>
      </c>
      <c r="D2874" s="4">
        <v>31591.299999999996</v>
      </c>
      <c r="E2874" s="12" t="str">
        <f>VLOOKUP(C2874,inf!$A$2:$B$7,2,FALSE)</f>
        <v>Over 90</v>
      </c>
      <c r="F2874" s="12" t="str">
        <f t="shared" si="45"/>
        <v>12/20/2017</v>
      </c>
      <c r="G2874" t="str">
        <f>VLOOKUP(A2874,inf!$D$2:$E$76,2,FALSE)</f>
        <v>SBUX</v>
      </c>
    </row>
    <row r="2875" spans="1:7" x14ac:dyDescent="0.25">
      <c r="A2875" t="s">
        <v>5</v>
      </c>
      <c r="B2875" s="1">
        <v>43089</v>
      </c>
      <c r="C2875" t="s">
        <v>60</v>
      </c>
      <c r="D2875" s="4">
        <v>117565.77000000003</v>
      </c>
      <c r="E2875" s="12" t="str">
        <f>VLOOKUP(C2875,inf!$A$2:$B$7,2,FALSE)</f>
        <v>Over 90</v>
      </c>
      <c r="F2875" s="12" t="str">
        <f t="shared" si="45"/>
        <v>12/20/2017</v>
      </c>
      <c r="G2875" t="str">
        <f>VLOOKUP(A2875,inf!$D$2:$E$76,2,FALSE)</f>
        <v>SBUX</v>
      </c>
    </row>
    <row r="2876" spans="1:7" x14ac:dyDescent="0.25">
      <c r="A2876" t="s">
        <v>6</v>
      </c>
      <c r="B2876" s="1">
        <v>43089</v>
      </c>
      <c r="C2876" t="s">
        <v>55</v>
      </c>
      <c r="D2876" s="4">
        <v>779625.17999999295</v>
      </c>
      <c r="E2876" s="12" t="str">
        <f>VLOOKUP(C2876,inf!$A$2:$B$7,2,FALSE)</f>
        <v>Current</v>
      </c>
      <c r="F2876" s="12" t="str">
        <f t="shared" si="45"/>
        <v>12/20/2017</v>
      </c>
      <c r="G2876" t="str">
        <f>VLOOKUP(A2876,inf!$D$2:$E$76,2,FALSE)</f>
        <v>SBUX</v>
      </c>
    </row>
    <row r="2877" spans="1:7" x14ac:dyDescent="0.25">
      <c r="A2877" t="s">
        <v>6</v>
      </c>
      <c r="B2877" s="1">
        <v>43089</v>
      </c>
      <c r="C2877" t="s">
        <v>56</v>
      </c>
      <c r="D2877" s="4">
        <v>2200.69</v>
      </c>
      <c r="E2877" s="12" t="str">
        <f>VLOOKUP(C2877,inf!$A$2:$B$7,2,FALSE)</f>
        <v>Current</v>
      </c>
      <c r="F2877" s="12" t="str">
        <f t="shared" si="45"/>
        <v>12/20/2017</v>
      </c>
      <c r="G2877" t="str">
        <f>VLOOKUP(A2877,inf!$D$2:$E$76,2,FALSE)</f>
        <v>SBUX</v>
      </c>
    </row>
    <row r="2878" spans="1:7" x14ac:dyDescent="0.25">
      <c r="A2878" t="s">
        <v>6</v>
      </c>
      <c r="B2878" s="1">
        <v>43089</v>
      </c>
      <c r="C2878" t="s">
        <v>57</v>
      </c>
      <c r="D2878" s="4">
        <v>4022.06</v>
      </c>
      <c r="E2878" s="12" t="str">
        <f>VLOOKUP(C2878,inf!$A$2:$B$7,2,FALSE)</f>
        <v>31 to 60</v>
      </c>
      <c r="F2878" s="12" t="str">
        <f t="shared" si="45"/>
        <v>12/20/2017</v>
      </c>
      <c r="G2878" t="str">
        <f>VLOOKUP(A2878,inf!$D$2:$E$76,2,FALSE)</f>
        <v>SBUX</v>
      </c>
    </row>
    <row r="2879" spans="1:7" x14ac:dyDescent="0.25">
      <c r="A2879" t="s">
        <v>6</v>
      </c>
      <c r="B2879" s="1">
        <v>43089</v>
      </c>
      <c r="C2879" t="s">
        <v>58</v>
      </c>
      <c r="D2879" s="4">
        <v>1089.77</v>
      </c>
      <c r="E2879" s="12" t="str">
        <f>VLOOKUP(C2879,inf!$A$2:$B$7,2,FALSE)</f>
        <v>61 to 90</v>
      </c>
      <c r="F2879" s="12" t="str">
        <f t="shared" si="45"/>
        <v>12/20/2017</v>
      </c>
      <c r="G2879" t="str">
        <f>VLOOKUP(A2879,inf!$D$2:$E$76,2,FALSE)</f>
        <v>SBUX</v>
      </c>
    </row>
    <row r="2880" spans="1:7" x14ac:dyDescent="0.25">
      <c r="A2880" t="s">
        <v>6</v>
      </c>
      <c r="B2880" s="1">
        <v>43089</v>
      </c>
      <c r="C2880" t="s">
        <v>59</v>
      </c>
      <c r="D2880" s="4">
        <v>4609.5499999999993</v>
      </c>
      <c r="E2880" s="12" t="str">
        <f>VLOOKUP(C2880,inf!$A$2:$B$7,2,FALSE)</f>
        <v>Over 90</v>
      </c>
      <c r="F2880" s="12" t="str">
        <f t="shared" si="45"/>
        <v>12/20/2017</v>
      </c>
      <c r="G2880" t="str">
        <f>VLOOKUP(A2880,inf!$D$2:$E$76,2,FALSE)</f>
        <v>SBUX</v>
      </c>
    </row>
    <row r="2881" spans="1:7" x14ac:dyDescent="0.25">
      <c r="A2881" t="s">
        <v>6</v>
      </c>
      <c r="B2881" s="1">
        <v>43089</v>
      </c>
      <c r="C2881" t="s">
        <v>60</v>
      </c>
      <c r="D2881" s="4">
        <v>7608.7599999999993</v>
      </c>
      <c r="E2881" s="12" t="str">
        <f>VLOOKUP(C2881,inf!$A$2:$B$7,2,FALSE)</f>
        <v>Over 90</v>
      </c>
      <c r="F2881" s="12" t="str">
        <f t="shared" si="45"/>
        <v>12/20/2017</v>
      </c>
      <c r="G2881" t="str">
        <f>VLOOKUP(A2881,inf!$D$2:$E$76,2,FALSE)</f>
        <v>SBUX</v>
      </c>
    </row>
    <row r="2882" spans="1:7" x14ac:dyDescent="0.25">
      <c r="A2882" t="s">
        <v>48</v>
      </c>
      <c r="B2882" s="1">
        <v>43089</v>
      </c>
      <c r="C2882" t="s">
        <v>55</v>
      </c>
      <c r="D2882" s="4">
        <v>302085.92000000004</v>
      </c>
      <c r="E2882" s="12" t="str">
        <f>VLOOKUP(C2882,inf!$A$2:$B$7,2,FALSE)</f>
        <v>Current</v>
      </c>
      <c r="F2882" s="12" t="str">
        <f t="shared" si="45"/>
        <v>12/20/2017</v>
      </c>
      <c r="G2882" t="str">
        <f>VLOOKUP(A2882,inf!$D$2:$E$76,2,FALSE)</f>
        <v>Target</v>
      </c>
    </row>
    <row r="2883" spans="1:7" x14ac:dyDescent="0.25">
      <c r="A2883" t="s">
        <v>48</v>
      </c>
      <c r="B2883" s="1">
        <v>43089</v>
      </c>
      <c r="C2883" t="s">
        <v>56</v>
      </c>
      <c r="D2883" s="4">
        <v>110219.16000000002</v>
      </c>
      <c r="E2883" s="12" t="str">
        <f>VLOOKUP(C2883,inf!$A$2:$B$7,2,FALSE)</f>
        <v>Current</v>
      </c>
      <c r="F2883" s="12" t="str">
        <f t="shared" ref="F2883:F2946" si="46">TEXT(B2883,"MM/DD/YYYY")</f>
        <v>12/20/2017</v>
      </c>
      <c r="G2883" t="str">
        <f>VLOOKUP(A2883,inf!$D$2:$E$76,2,FALSE)</f>
        <v>Target</v>
      </c>
    </row>
    <row r="2884" spans="1:7" x14ac:dyDescent="0.25">
      <c r="A2884" t="s">
        <v>48</v>
      </c>
      <c r="B2884" s="1">
        <v>43089</v>
      </c>
      <c r="C2884" t="s">
        <v>57</v>
      </c>
      <c r="D2884" s="4">
        <v>16534.41</v>
      </c>
      <c r="E2884" s="12" t="str">
        <f>VLOOKUP(C2884,inf!$A$2:$B$7,2,FALSE)</f>
        <v>31 to 60</v>
      </c>
      <c r="F2884" s="12" t="str">
        <f t="shared" si="46"/>
        <v>12/20/2017</v>
      </c>
      <c r="G2884" t="str">
        <f>VLOOKUP(A2884,inf!$D$2:$E$76,2,FALSE)</f>
        <v>Target</v>
      </c>
    </row>
    <row r="2885" spans="1:7" x14ac:dyDescent="0.25">
      <c r="A2885" t="s">
        <v>48</v>
      </c>
      <c r="B2885" s="1">
        <v>43089</v>
      </c>
      <c r="C2885" t="s">
        <v>58</v>
      </c>
      <c r="D2885" s="4">
        <v>4441.09</v>
      </c>
      <c r="E2885" s="12" t="str">
        <f>VLOOKUP(C2885,inf!$A$2:$B$7,2,FALSE)</f>
        <v>61 to 90</v>
      </c>
      <c r="F2885" s="12" t="str">
        <f t="shared" si="46"/>
        <v>12/20/2017</v>
      </c>
      <c r="G2885" t="str">
        <f>VLOOKUP(A2885,inf!$D$2:$E$76,2,FALSE)</f>
        <v>Target</v>
      </c>
    </row>
    <row r="2886" spans="1:7" x14ac:dyDescent="0.25">
      <c r="A2886" t="s">
        <v>48</v>
      </c>
      <c r="B2886" s="1">
        <v>43089</v>
      </c>
      <c r="C2886" t="s">
        <v>59</v>
      </c>
      <c r="D2886" s="4">
        <v>3845.7000000000003</v>
      </c>
      <c r="E2886" s="12" t="str">
        <f>VLOOKUP(C2886,inf!$A$2:$B$7,2,FALSE)</f>
        <v>Over 90</v>
      </c>
      <c r="F2886" s="12" t="str">
        <f t="shared" si="46"/>
        <v>12/20/2017</v>
      </c>
      <c r="G2886" t="str">
        <f>VLOOKUP(A2886,inf!$D$2:$E$76,2,FALSE)</f>
        <v>Target</v>
      </c>
    </row>
    <row r="2887" spans="1:7" x14ac:dyDescent="0.25">
      <c r="A2887" t="s">
        <v>48</v>
      </c>
      <c r="B2887" s="1">
        <v>43089</v>
      </c>
      <c r="C2887" t="s">
        <v>60</v>
      </c>
      <c r="D2887" s="4">
        <v>610.22</v>
      </c>
      <c r="E2887" s="12" t="str">
        <f>VLOOKUP(C2887,inf!$A$2:$B$7,2,FALSE)</f>
        <v>Over 90</v>
      </c>
      <c r="F2887" s="12" t="str">
        <f t="shared" si="46"/>
        <v>12/20/2017</v>
      </c>
      <c r="G2887" t="str">
        <f>VLOOKUP(A2887,inf!$D$2:$E$76,2,FALSE)</f>
        <v>Target</v>
      </c>
    </row>
    <row r="2888" spans="1:7" x14ac:dyDescent="0.25">
      <c r="A2888" t="s">
        <v>8</v>
      </c>
      <c r="B2888" s="1">
        <v>43089</v>
      </c>
      <c r="C2888" t="s">
        <v>55</v>
      </c>
      <c r="D2888" s="4">
        <v>423002.72999999963</v>
      </c>
      <c r="E2888" s="12" t="str">
        <f>VLOOKUP(C2888,inf!$A$2:$B$7,2,FALSE)</f>
        <v>Current</v>
      </c>
      <c r="F2888" s="12" t="str">
        <f t="shared" si="46"/>
        <v>12/20/2017</v>
      </c>
      <c r="G2888" t="str">
        <f>VLOOKUP(A2888,inf!$D$2:$E$76,2,FALSE)</f>
        <v>Target</v>
      </c>
    </row>
    <row r="2889" spans="1:7" x14ac:dyDescent="0.25">
      <c r="A2889" t="s">
        <v>8</v>
      </c>
      <c r="B2889" s="1">
        <v>43089</v>
      </c>
      <c r="C2889" t="s">
        <v>56</v>
      </c>
      <c r="D2889" s="4">
        <v>98884.410000000018</v>
      </c>
      <c r="E2889" s="12" t="str">
        <f>VLOOKUP(C2889,inf!$A$2:$B$7,2,FALSE)</f>
        <v>Current</v>
      </c>
      <c r="F2889" s="12" t="str">
        <f t="shared" si="46"/>
        <v>12/20/2017</v>
      </c>
      <c r="G2889" t="str">
        <f>VLOOKUP(A2889,inf!$D$2:$E$76,2,FALSE)</f>
        <v>Target</v>
      </c>
    </row>
    <row r="2890" spans="1:7" x14ac:dyDescent="0.25">
      <c r="A2890" t="s">
        <v>8</v>
      </c>
      <c r="B2890" s="1">
        <v>43089</v>
      </c>
      <c r="C2890" t="s">
        <v>57</v>
      </c>
      <c r="D2890" s="4">
        <v>20754.47</v>
      </c>
      <c r="E2890" s="12" t="str">
        <f>VLOOKUP(C2890,inf!$A$2:$B$7,2,FALSE)</f>
        <v>31 to 60</v>
      </c>
      <c r="F2890" s="12" t="str">
        <f t="shared" si="46"/>
        <v>12/20/2017</v>
      </c>
      <c r="G2890" t="str">
        <f>VLOOKUP(A2890,inf!$D$2:$E$76,2,FALSE)</f>
        <v>Target</v>
      </c>
    </row>
    <row r="2891" spans="1:7" x14ac:dyDescent="0.25">
      <c r="A2891" t="s">
        <v>8</v>
      </c>
      <c r="B2891" s="1">
        <v>43089</v>
      </c>
      <c r="C2891" t="s">
        <v>58</v>
      </c>
      <c r="D2891" s="4">
        <v>11022.47</v>
      </c>
      <c r="E2891" s="12" t="str">
        <f>VLOOKUP(C2891,inf!$A$2:$B$7,2,FALSE)</f>
        <v>61 to 90</v>
      </c>
      <c r="F2891" s="12" t="str">
        <f t="shared" si="46"/>
        <v>12/20/2017</v>
      </c>
      <c r="G2891" t="str">
        <f>VLOOKUP(A2891,inf!$D$2:$E$76,2,FALSE)</f>
        <v>Target</v>
      </c>
    </row>
    <row r="2892" spans="1:7" x14ac:dyDescent="0.25">
      <c r="A2892" t="s">
        <v>8</v>
      </c>
      <c r="B2892" s="1">
        <v>43089</v>
      </c>
      <c r="C2892" t="s">
        <v>59</v>
      </c>
      <c r="D2892" s="4">
        <v>2205.27</v>
      </c>
      <c r="E2892" s="12" t="str">
        <f>VLOOKUP(C2892,inf!$A$2:$B$7,2,FALSE)</f>
        <v>Over 90</v>
      </c>
      <c r="F2892" s="12" t="str">
        <f t="shared" si="46"/>
        <v>12/20/2017</v>
      </c>
      <c r="G2892" t="str">
        <f>VLOOKUP(A2892,inf!$D$2:$E$76,2,FALSE)</f>
        <v>Target</v>
      </c>
    </row>
    <row r="2893" spans="1:7" x14ac:dyDescent="0.25">
      <c r="A2893" t="s">
        <v>8</v>
      </c>
      <c r="B2893" s="1">
        <v>43089</v>
      </c>
      <c r="C2893" t="s">
        <v>60</v>
      </c>
      <c r="D2893" s="4">
        <v>16763.010000000002</v>
      </c>
      <c r="E2893" s="12" t="str">
        <f>VLOOKUP(C2893,inf!$A$2:$B$7,2,FALSE)</f>
        <v>Over 90</v>
      </c>
      <c r="F2893" s="12" t="str">
        <f t="shared" si="46"/>
        <v>12/20/2017</v>
      </c>
      <c r="G2893" t="str">
        <f>VLOOKUP(A2893,inf!$D$2:$E$76,2,FALSE)</f>
        <v>Target</v>
      </c>
    </row>
    <row r="2894" spans="1:7" x14ac:dyDescent="0.25">
      <c r="A2894" t="s">
        <v>54</v>
      </c>
      <c r="B2894" s="1">
        <v>43089</v>
      </c>
      <c r="C2894" t="s">
        <v>55</v>
      </c>
      <c r="D2894" s="4">
        <v>114.85</v>
      </c>
      <c r="E2894" s="12" t="str">
        <f>VLOOKUP(C2894,inf!$A$2:$B$7,2,FALSE)</f>
        <v>Current</v>
      </c>
      <c r="F2894" s="12" t="str">
        <f t="shared" si="46"/>
        <v>12/20/2017</v>
      </c>
      <c r="G2894" t="str">
        <f>VLOOKUP(A2894,inf!$D$2:$E$76,2,FALSE)</f>
        <v>Other</v>
      </c>
    </row>
    <row r="2895" spans="1:7" x14ac:dyDescent="0.25">
      <c r="A2895" t="s">
        <v>54</v>
      </c>
      <c r="B2895" s="1">
        <v>43089</v>
      </c>
      <c r="C2895" t="s">
        <v>58</v>
      </c>
      <c r="D2895" s="4">
        <v>122.72</v>
      </c>
      <c r="E2895" s="12" t="str">
        <f>VLOOKUP(C2895,inf!$A$2:$B$7,2,FALSE)</f>
        <v>61 to 90</v>
      </c>
      <c r="F2895" s="12" t="str">
        <f t="shared" si="46"/>
        <v>12/20/2017</v>
      </c>
      <c r="G2895" t="str">
        <f>VLOOKUP(A2895,inf!$D$2:$E$76,2,FALSE)</f>
        <v>Other</v>
      </c>
    </row>
    <row r="2896" spans="1:7" x14ac:dyDescent="0.25">
      <c r="A2896" t="s">
        <v>54</v>
      </c>
      <c r="B2896" s="1">
        <v>43089</v>
      </c>
      <c r="C2896" t="s">
        <v>59</v>
      </c>
      <c r="D2896" s="4">
        <v>122.72</v>
      </c>
      <c r="E2896" s="12" t="str">
        <f>VLOOKUP(C2896,inf!$A$2:$B$7,2,FALSE)</f>
        <v>Over 90</v>
      </c>
      <c r="F2896" s="12" t="str">
        <f t="shared" si="46"/>
        <v>12/20/2017</v>
      </c>
      <c r="G2896" t="str">
        <f>VLOOKUP(A2896,inf!$D$2:$E$76,2,FALSE)</f>
        <v>Other</v>
      </c>
    </row>
    <row r="2897" spans="1:7" x14ac:dyDescent="0.25">
      <c r="A2897" t="s">
        <v>28</v>
      </c>
      <c r="B2897" s="1">
        <v>43089</v>
      </c>
      <c r="C2897" t="s">
        <v>55</v>
      </c>
      <c r="D2897" s="4">
        <v>3372.9500000000003</v>
      </c>
      <c r="E2897" s="12" t="str">
        <f>VLOOKUP(C2897,inf!$A$2:$B$7,2,FALSE)</f>
        <v>Current</v>
      </c>
      <c r="F2897" s="12" t="str">
        <f t="shared" si="46"/>
        <v>12/20/2017</v>
      </c>
      <c r="G2897" t="str">
        <f>VLOOKUP(A2897,inf!$D$2:$E$76,2,FALSE)</f>
        <v>Other</v>
      </c>
    </row>
    <row r="2898" spans="1:7" x14ac:dyDescent="0.25">
      <c r="A2898" t="s">
        <v>28</v>
      </c>
      <c r="B2898" s="1">
        <v>43089</v>
      </c>
      <c r="C2898" t="s">
        <v>56</v>
      </c>
      <c r="D2898" s="4">
        <v>5104.41</v>
      </c>
      <c r="E2898" s="12" t="str">
        <f>VLOOKUP(C2898,inf!$A$2:$B$7,2,FALSE)</f>
        <v>Current</v>
      </c>
      <c r="F2898" s="12" t="str">
        <f t="shared" si="46"/>
        <v>12/20/2017</v>
      </c>
      <c r="G2898" t="str">
        <f>VLOOKUP(A2898,inf!$D$2:$E$76,2,FALSE)</f>
        <v>Other</v>
      </c>
    </row>
    <row r="2899" spans="1:7" x14ac:dyDescent="0.25">
      <c r="A2899" t="s">
        <v>28</v>
      </c>
      <c r="B2899" s="1">
        <v>43089</v>
      </c>
      <c r="C2899" t="s">
        <v>57</v>
      </c>
      <c r="D2899" s="4">
        <v>273.14</v>
      </c>
      <c r="E2899" s="12" t="str">
        <f>VLOOKUP(C2899,inf!$A$2:$B$7,2,FALSE)</f>
        <v>31 to 60</v>
      </c>
      <c r="F2899" s="12" t="str">
        <f t="shared" si="46"/>
        <v>12/20/2017</v>
      </c>
      <c r="G2899" t="str">
        <f>VLOOKUP(A2899,inf!$D$2:$E$76,2,FALSE)</f>
        <v>Other</v>
      </c>
    </row>
    <row r="2900" spans="1:7" x14ac:dyDescent="0.25">
      <c r="A2900" t="s">
        <v>15</v>
      </c>
      <c r="B2900" s="1">
        <v>43089</v>
      </c>
      <c r="C2900" t="s">
        <v>56</v>
      </c>
      <c r="D2900" s="4">
        <v>317.29000000000002</v>
      </c>
      <c r="E2900" s="12" t="str">
        <f>VLOOKUP(C2900,inf!$A$2:$B$7,2,FALSE)</f>
        <v>Current</v>
      </c>
      <c r="F2900" s="12" t="str">
        <f t="shared" si="46"/>
        <v>12/20/2017</v>
      </c>
      <c r="G2900" t="str">
        <f>VLOOKUP(A2900,inf!$D$2:$E$76,2,FALSE)</f>
        <v>Other</v>
      </c>
    </row>
    <row r="2901" spans="1:7" x14ac:dyDescent="0.25">
      <c r="A2901" t="s">
        <v>15</v>
      </c>
      <c r="B2901" s="1">
        <v>43089</v>
      </c>
      <c r="C2901" t="s">
        <v>57</v>
      </c>
      <c r="D2901" s="4">
        <v>362.26</v>
      </c>
      <c r="E2901" s="12" t="str">
        <f>VLOOKUP(C2901,inf!$A$2:$B$7,2,FALSE)</f>
        <v>31 to 60</v>
      </c>
      <c r="F2901" s="12" t="str">
        <f t="shared" si="46"/>
        <v>12/20/2017</v>
      </c>
      <c r="G2901" t="str">
        <f>VLOOKUP(A2901,inf!$D$2:$E$76,2,FALSE)</f>
        <v>Other</v>
      </c>
    </row>
    <row r="2902" spans="1:7" x14ac:dyDescent="0.25">
      <c r="A2902" t="s">
        <v>15</v>
      </c>
      <c r="B2902" s="1">
        <v>43089</v>
      </c>
      <c r="C2902" t="s">
        <v>60</v>
      </c>
      <c r="D2902" s="4">
        <v>291.60000000000002</v>
      </c>
      <c r="E2902" s="12" t="str">
        <f>VLOOKUP(C2902,inf!$A$2:$B$7,2,FALSE)</f>
        <v>Over 90</v>
      </c>
      <c r="F2902" s="12" t="str">
        <f t="shared" si="46"/>
        <v>12/20/2017</v>
      </c>
      <c r="G2902" t="str">
        <f>VLOOKUP(A2902,inf!$D$2:$E$76,2,FALSE)</f>
        <v>Other</v>
      </c>
    </row>
    <row r="2903" spans="1:7" x14ac:dyDescent="0.25">
      <c r="A2903" t="s">
        <v>22</v>
      </c>
      <c r="B2903" s="1">
        <v>43110</v>
      </c>
      <c r="C2903" t="s">
        <v>55</v>
      </c>
      <c r="D2903">
        <v>586.51</v>
      </c>
      <c r="E2903" s="12" t="str">
        <f>VLOOKUP(C2903,inf!$A$2:$B$7,2,FALSE)</f>
        <v>Current</v>
      </c>
      <c r="F2903" s="12" t="str">
        <f t="shared" si="46"/>
        <v>01/10/2018</v>
      </c>
      <c r="G2903" t="str">
        <f>VLOOKUP(A2903,inf!$D$2:$E$76,2,FALSE)</f>
        <v>Other</v>
      </c>
    </row>
    <row r="2904" spans="1:7" x14ac:dyDescent="0.25">
      <c r="A2904" t="s">
        <v>22</v>
      </c>
      <c r="B2904" s="1">
        <v>43110</v>
      </c>
      <c r="C2904" t="s">
        <v>56</v>
      </c>
      <c r="D2904">
        <v>114.85</v>
      </c>
      <c r="E2904" s="12" t="str">
        <f>VLOOKUP(C2904,inf!$A$2:$B$7,2,FALSE)</f>
        <v>Current</v>
      </c>
      <c r="F2904" s="12" t="str">
        <f t="shared" si="46"/>
        <v>01/10/2018</v>
      </c>
      <c r="G2904" t="str">
        <f>VLOOKUP(A2904,inf!$D$2:$E$76,2,FALSE)</f>
        <v>Other</v>
      </c>
    </row>
    <row r="2905" spans="1:7" x14ac:dyDescent="0.25">
      <c r="A2905" t="s">
        <v>80</v>
      </c>
      <c r="B2905" s="1">
        <v>43110</v>
      </c>
      <c r="C2905" t="s">
        <v>55</v>
      </c>
      <c r="D2905">
        <v>262.01</v>
      </c>
      <c r="E2905" s="12" t="str">
        <f>VLOOKUP(C2905,inf!$A$2:$B$7,2,FALSE)</f>
        <v>Current</v>
      </c>
      <c r="F2905" s="12" t="str">
        <f t="shared" si="46"/>
        <v>01/10/2018</v>
      </c>
      <c r="G2905" t="str">
        <f>VLOOKUP(A2905,inf!$D$2:$E$76,2,FALSE)</f>
        <v>Other</v>
      </c>
    </row>
    <row r="2906" spans="1:7" x14ac:dyDescent="0.25">
      <c r="A2906" t="s">
        <v>4</v>
      </c>
      <c r="B2906" s="1">
        <v>43110</v>
      </c>
      <c r="C2906" t="s">
        <v>55</v>
      </c>
      <c r="D2906">
        <v>8312.4900000000016</v>
      </c>
      <c r="E2906" s="12" t="str">
        <f>VLOOKUP(C2906,inf!$A$2:$B$7,2,FALSE)</f>
        <v>Current</v>
      </c>
      <c r="F2906" s="12" t="str">
        <f t="shared" si="46"/>
        <v>01/10/2018</v>
      </c>
      <c r="G2906" t="str">
        <f>VLOOKUP(A2906,inf!$D$2:$E$76,2,FALSE)</f>
        <v>Other</v>
      </c>
    </row>
    <row r="2907" spans="1:7" x14ac:dyDescent="0.25">
      <c r="A2907" t="s">
        <v>4</v>
      </c>
      <c r="B2907" s="1">
        <v>43110</v>
      </c>
      <c r="C2907" t="s">
        <v>56</v>
      </c>
      <c r="D2907">
        <v>543.82000000000005</v>
      </c>
      <c r="E2907" s="12" t="str">
        <f>VLOOKUP(C2907,inf!$A$2:$B$7,2,FALSE)</f>
        <v>Current</v>
      </c>
      <c r="F2907" s="12" t="str">
        <f t="shared" si="46"/>
        <v>01/10/2018</v>
      </c>
      <c r="G2907" t="str">
        <f>VLOOKUP(A2907,inf!$D$2:$E$76,2,FALSE)</f>
        <v>Other</v>
      </c>
    </row>
    <row r="2908" spans="1:7" x14ac:dyDescent="0.25">
      <c r="A2908" t="s">
        <v>4</v>
      </c>
      <c r="B2908" s="1">
        <v>43110</v>
      </c>
      <c r="C2908" t="s">
        <v>57</v>
      </c>
      <c r="D2908">
        <v>52.5</v>
      </c>
      <c r="E2908" s="12" t="str">
        <f>VLOOKUP(C2908,inf!$A$2:$B$7,2,FALSE)</f>
        <v>31 to 60</v>
      </c>
      <c r="F2908" s="12" t="str">
        <f t="shared" si="46"/>
        <v>01/10/2018</v>
      </c>
      <c r="G2908" t="str">
        <f>VLOOKUP(A2908,inf!$D$2:$E$76,2,FALSE)</f>
        <v>Other</v>
      </c>
    </row>
    <row r="2909" spans="1:7" x14ac:dyDescent="0.25">
      <c r="A2909" t="s">
        <v>4</v>
      </c>
      <c r="B2909" s="1">
        <v>43110</v>
      </c>
      <c r="C2909" t="s">
        <v>58</v>
      </c>
      <c r="D2909">
        <v>526.84</v>
      </c>
      <c r="E2909" s="12" t="str">
        <f>VLOOKUP(C2909,inf!$A$2:$B$7,2,FALSE)</f>
        <v>61 to 90</v>
      </c>
      <c r="F2909" s="12" t="str">
        <f t="shared" si="46"/>
        <v>01/10/2018</v>
      </c>
      <c r="G2909" t="str">
        <f>VLOOKUP(A2909,inf!$D$2:$E$76,2,FALSE)</f>
        <v>Other</v>
      </c>
    </row>
    <row r="2910" spans="1:7" x14ac:dyDescent="0.25">
      <c r="A2910" t="s">
        <v>77</v>
      </c>
      <c r="B2910" s="1">
        <v>43110</v>
      </c>
      <c r="C2910" t="s">
        <v>56</v>
      </c>
      <c r="D2910">
        <v>834.05</v>
      </c>
      <c r="E2910" s="12" t="str">
        <f>VLOOKUP(C2910,inf!$A$2:$B$7,2,FALSE)</f>
        <v>Current</v>
      </c>
      <c r="F2910" s="12" t="str">
        <f t="shared" si="46"/>
        <v>01/10/2018</v>
      </c>
      <c r="G2910" t="str">
        <f>VLOOKUP(A2910,inf!$D$2:$E$76,2,FALSE)</f>
        <v>Other</v>
      </c>
    </row>
    <row r="2911" spans="1:7" x14ac:dyDescent="0.25">
      <c r="A2911" t="s">
        <v>11</v>
      </c>
      <c r="B2911" s="1">
        <v>43110</v>
      </c>
      <c r="C2911" t="s">
        <v>55</v>
      </c>
      <c r="D2911">
        <v>331.6</v>
      </c>
      <c r="E2911" s="12" t="str">
        <f>VLOOKUP(C2911,inf!$A$2:$B$7,2,FALSE)</f>
        <v>Current</v>
      </c>
      <c r="F2911" s="12" t="str">
        <f t="shared" si="46"/>
        <v>01/10/2018</v>
      </c>
      <c r="G2911" t="str">
        <f>VLOOKUP(A2911,inf!$D$2:$E$76,2,FALSE)</f>
        <v>Other</v>
      </c>
    </row>
    <row r="2912" spans="1:7" x14ac:dyDescent="0.25">
      <c r="A2912" t="s">
        <v>25</v>
      </c>
      <c r="B2912" s="1">
        <v>43110</v>
      </c>
      <c r="C2912" t="s">
        <v>55</v>
      </c>
      <c r="D2912">
        <v>2397.85</v>
      </c>
      <c r="E2912" s="12" t="str">
        <f>VLOOKUP(C2912,inf!$A$2:$B$7,2,FALSE)</f>
        <v>Current</v>
      </c>
      <c r="F2912" s="12" t="str">
        <f t="shared" si="46"/>
        <v>01/10/2018</v>
      </c>
      <c r="G2912" t="str">
        <f>VLOOKUP(A2912,inf!$D$2:$E$76,2,FALSE)</f>
        <v>Other</v>
      </c>
    </row>
    <row r="2913" spans="1:7" x14ac:dyDescent="0.25">
      <c r="A2913" t="s">
        <v>31</v>
      </c>
      <c r="B2913" s="1">
        <v>43110</v>
      </c>
      <c r="C2913" t="s">
        <v>60</v>
      </c>
      <c r="D2913">
        <v>153.15</v>
      </c>
      <c r="E2913" s="12" t="str">
        <f>VLOOKUP(C2913,inf!$A$2:$B$7,2,FALSE)</f>
        <v>Over 90</v>
      </c>
      <c r="F2913" s="12" t="str">
        <f t="shared" si="46"/>
        <v>01/10/2018</v>
      </c>
      <c r="G2913" t="str">
        <f>VLOOKUP(A2913,inf!$D$2:$E$76,2,FALSE)</f>
        <v>Other</v>
      </c>
    </row>
    <row r="2914" spans="1:7" x14ac:dyDescent="0.25">
      <c r="A2914" t="s">
        <v>24</v>
      </c>
      <c r="B2914" s="1">
        <v>43110</v>
      </c>
      <c r="C2914" t="s">
        <v>55</v>
      </c>
      <c r="D2914">
        <v>1581.63</v>
      </c>
      <c r="E2914" s="12" t="str">
        <f>VLOOKUP(C2914,inf!$A$2:$B$7,2,FALSE)</f>
        <v>Current</v>
      </c>
      <c r="F2914" s="12" t="str">
        <f t="shared" si="46"/>
        <v>01/10/2018</v>
      </c>
      <c r="G2914" t="str">
        <f>VLOOKUP(A2914,inf!$D$2:$E$76,2,FALSE)</f>
        <v>Other</v>
      </c>
    </row>
    <row r="2915" spans="1:7" x14ac:dyDescent="0.25">
      <c r="A2915" t="s">
        <v>18</v>
      </c>
      <c r="B2915" s="1">
        <v>43110</v>
      </c>
      <c r="C2915" t="s">
        <v>55</v>
      </c>
      <c r="D2915">
        <v>114.85</v>
      </c>
      <c r="E2915" s="12" t="str">
        <f>VLOOKUP(C2915,inf!$A$2:$B$7,2,FALSE)</f>
        <v>Current</v>
      </c>
      <c r="F2915" s="12" t="str">
        <f t="shared" si="46"/>
        <v>01/10/2018</v>
      </c>
      <c r="G2915" t="str">
        <f>VLOOKUP(A2915,inf!$D$2:$E$76,2,FALSE)</f>
        <v>Other</v>
      </c>
    </row>
    <row r="2916" spans="1:7" x14ac:dyDescent="0.25">
      <c r="A2916" t="s">
        <v>27</v>
      </c>
      <c r="B2916" s="1">
        <v>43110</v>
      </c>
      <c r="C2916" t="s">
        <v>55</v>
      </c>
      <c r="D2916">
        <v>370.21999999999997</v>
      </c>
      <c r="E2916" s="12" t="str">
        <f>VLOOKUP(C2916,inf!$A$2:$B$7,2,FALSE)</f>
        <v>Current</v>
      </c>
      <c r="F2916" s="12" t="str">
        <f t="shared" si="46"/>
        <v>01/10/2018</v>
      </c>
      <c r="G2916" t="str">
        <f>VLOOKUP(A2916,inf!$D$2:$E$76,2,FALSE)</f>
        <v>Other</v>
      </c>
    </row>
    <row r="2917" spans="1:7" x14ac:dyDescent="0.25">
      <c r="A2917" t="s">
        <v>62</v>
      </c>
      <c r="B2917" s="1">
        <v>43110</v>
      </c>
      <c r="C2917" t="s">
        <v>55</v>
      </c>
      <c r="D2917">
        <v>206.72</v>
      </c>
      <c r="E2917" s="12" t="str">
        <f>VLOOKUP(C2917,inf!$A$2:$B$7,2,FALSE)</f>
        <v>Current</v>
      </c>
      <c r="F2917" s="12" t="str">
        <f t="shared" si="46"/>
        <v>01/10/2018</v>
      </c>
      <c r="G2917" t="str">
        <f>VLOOKUP(A2917,inf!$D$2:$E$76,2,FALSE)</f>
        <v>Other</v>
      </c>
    </row>
    <row r="2918" spans="1:7" x14ac:dyDescent="0.25">
      <c r="A2918" t="s">
        <v>62</v>
      </c>
      <c r="B2918" s="1">
        <v>43110</v>
      </c>
      <c r="C2918" t="s">
        <v>59</v>
      </c>
      <c r="D2918">
        <v>229.7</v>
      </c>
      <c r="E2918" s="12" t="str">
        <f>VLOOKUP(C2918,inf!$A$2:$B$7,2,FALSE)</f>
        <v>Over 90</v>
      </c>
      <c r="F2918" s="12" t="str">
        <f t="shared" si="46"/>
        <v>01/10/2018</v>
      </c>
      <c r="G2918" t="str">
        <f>VLOOKUP(A2918,inf!$D$2:$E$76,2,FALSE)</f>
        <v>Other</v>
      </c>
    </row>
    <row r="2919" spans="1:7" x14ac:dyDescent="0.25">
      <c r="A2919" t="s">
        <v>62</v>
      </c>
      <c r="B2919" s="1">
        <v>43110</v>
      </c>
      <c r="C2919" t="s">
        <v>60</v>
      </c>
      <c r="D2919">
        <v>241.51</v>
      </c>
      <c r="E2919" s="12" t="str">
        <f>VLOOKUP(C2919,inf!$A$2:$B$7,2,FALSE)</f>
        <v>Over 90</v>
      </c>
      <c r="F2919" s="12" t="str">
        <f t="shared" si="46"/>
        <v>01/10/2018</v>
      </c>
      <c r="G2919" t="str">
        <f>VLOOKUP(A2919,inf!$D$2:$E$76,2,FALSE)</f>
        <v>Other</v>
      </c>
    </row>
    <row r="2920" spans="1:7" x14ac:dyDescent="0.25">
      <c r="A2920" t="s">
        <v>82</v>
      </c>
      <c r="B2920" s="1">
        <v>43110</v>
      </c>
      <c r="C2920" t="s">
        <v>55</v>
      </c>
      <c r="D2920">
        <v>114.85</v>
      </c>
      <c r="E2920" s="12" t="str">
        <f>VLOOKUP(C2920,inf!$A$2:$B$7,2,FALSE)</f>
        <v>Current</v>
      </c>
      <c r="F2920" s="12" t="str">
        <f t="shared" si="46"/>
        <v>01/10/2018</v>
      </c>
      <c r="G2920" t="str">
        <f>VLOOKUP(A2920,inf!$D$2:$E$76,2,FALSE)</f>
        <v>Other</v>
      </c>
    </row>
    <row r="2921" spans="1:7" x14ac:dyDescent="0.25">
      <c r="A2921" t="s">
        <v>53</v>
      </c>
      <c r="B2921" s="1">
        <v>43110</v>
      </c>
      <c r="C2921" t="s">
        <v>55</v>
      </c>
      <c r="D2921">
        <v>867.34999999999991</v>
      </c>
      <c r="E2921" s="12" t="str">
        <f>VLOOKUP(C2921,inf!$A$2:$B$7,2,FALSE)</f>
        <v>Current</v>
      </c>
      <c r="F2921" s="12" t="str">
        <f t="shared" si="46"/>
        <v>01/10/2018</v>
      </c>
      <c r="G2921" t="str">
        <f>VLOOKUP(A2921,inf!$D$2:$E$76,2,FALSE)</f>
        <v>Other</v>
      </c>
    </row>
    <row r="2922" spans="1:7" x14ac:dyDescent="0.25">
      <c r="A2922" t="s">
        <v>3</v>
      </c>
      <c r="B2922" s="1">
        <v>43110</v>
      </c>
      <c r="C2922" t="s">
        <v>55</v>
      </c>
      <c r="D2922">
        <v>701.9799999999999</v>
      </c>
      <c r="E2922" s="12" t="str">
        <f>VLOOKUP(C2922,inf!$A$2:$B$7,2,FALSE)</f>
        <v>Current</v>
      </c>
      <c r="F2922" s="12" t="str">
        <f t="shared" si="46"/>
        <v>01/10/2018</v>
      </c>
      <c r="G2922" t="str">
        <f>VLOOKUP(A2922,inf!$D$2:$E$76,2,FALSE)</f>
        <v>Other</v>
      </c>
    </row>
    <row r="2923" spans="1:7" x14ac:dyDescent="0.25">
      <c r="A2923" t="s">
        <v>3</v>
      </c>
      <c r="B2923" s="1">
        <v>43110</v>
      </c>
      <c r="C2923" t="s">
        <v>56</v>
      </c>
      <c r="D2923">
        <v>62.5</v>
      </c>
      <c r="E2923" s="12" t="str">
        <f>VLOOKUP(C2923,inf!$A$2:$B$7,2,FALSE)</f>
        <v>Current</v>
      </c>
      <c r="F2923" s="12" t="str">
        <f t="shared" si="46"/>
        <v>01/10/2018</v>
      </c>
      <c r="G2923" t="str">
        <f>VLOOKUP(A2923,inf!$D$2:$E$76,2,FALSE)</f>
        <v>Other</v>
      </c>
    </row>
    <row r="2924" spans="1:7" x14ac:dyDescent="0.25">
      <c r="A2924" t="s">
        <v>3</v>
      </c>
      <c r="B2924" s="1">
        <v>43110</v>
      </c>
      <c r="C2924" t="s">
        <v>57</v>
      </c>
      <c r="D2924">
        <v>345.82</v>
      </c>
      <c r="E2924" s="12" t="str">
        <f>VLOOKUP(C2924,inf!$A$2:$B$7,2,FALSE)</f>
        <v>31 to 60</v>
      </c>
      <c r="F2924" s="12" t="str">
        <f t="shared" si="46"/>
        <v>01/10/2018</v>
      </c>
      <c r="G2924" t="str">
        <f>VLOOKUP(A2924,inf!$D$2:$E$76,2,FALSE)</f>
        <v>Other</v>
      </c>
    </row>
    <row r="2925" spans="1:7" x14ac:dyDescent="0.25">
      <c r="A2925" t="s">
        <v>78</v>
      </c>
      <c r="B2925" s="1">
        <v>43110</v>
      </c>
      <c r="C2925" t="s">
        <v>55</v>
      </c>
      <c r="D2925">
        <v>1463.36</v>
      </c>
      <c r="E2925" s="12" t="str">
        <f>VLOOKUP(C2925,inf!$A$2:$B$7,2,FALSE)</f>
        <v>Current</v>
      </c>
      <c r="F2925" s="12" t="str">
        <f t="shared" si="46"/>
        <v>01/10/2018</v>
      </c>
      <c r="G2925" t="str">
        <f>VLOOKUP(A2925,inf!$D$2:$E$76,2,FALSE)</f>
        <v>Other</v>
      </c>
    </row>
    <row r="2926" spans="1:7" x14ac:dyDescent="0.25">
      <c r="A2926" t="s">
        <v>78</v>
      </c>
      <c r="B2926" s="1">
        <v>43110</v>
      </c>
      <c r="C2926" t="s">
        <v>56</v>
      </c>
      <c r="D2926">
        <v>312.61</v>
      </c>
      <c r="E2926" s="12" t="str">
        <f>VLOOKUP(C2926,inf!$A$2:$B$7,2,FALSE)</f>
        <v>Current</v>
      </c>
      <c r="F2926" s="12" t="str">
        <f t="shared" si="46"/>
        <v>01/10/2018</v>
      </c>
      <c r="G2926" t="str">
        <f>VLOOKUP(A2926,inf!$D$2:$E$76,2,FALSE)</f>
        <v>Other</v>
      </c>
    </row>
    <row r="2927" spans="1:7" x14ac:dyDescent="0.25">
      <c r="A2927" t="s">
        <v>78</v>
      </c>
      <c r="B2927" s="1">
        <v>43110</v>
      </c>
      <c r="C2927" t="s">
        <v>57</v>
      </c>
      <c r="D2927">
        <v>292.45999999999998</v>
      </c>
      <c r="E2927" s="12" t="str">
        <f>VLOOKUP(C2927,inf!$A$2:$B$7,2,FALSE)</f>
        <v>31 to 60</v>
      </c>
      <c r="F2927" s="12" t="str">
        <f t="shared" si="46"/>
        <v>01/10/2018</v>
      </c>
      <c r="G2927" t="str">
        <f>VLOOKUP(A2927,inf!$D$2:$E$76,2,FALSE)</f>
        <v>Other</v>
      </c>
    </row>
    <row r="2928" spans="1:7" x14ac:dyDescent="0.25">
      <c r="A2928" t="s">
        <v>30</v>
      </c>
      <c r="B2928" s="1">
        <v>43110</v>
      </c>
      <c r="C2928" t="s">
        <v>55</v>
      </c>
      <c r="D2928">
        <v>3183.32</v>
      </c>
      <c r="E2928" s="12" t="str">
        <f>VLOOKUP(C2928,inf!$A$2:$B$7,2,FALSE)</f>
        <v>Current</v>
      </c>
      <c r="F2928" s="12" t="str">
        <f t="shared" si="46"/>
        <v>01/10/2018</v>
      </c>
      <c r="G2928" t="str">
        <f>VLOOKUP(A2928,inf!$D$2:$E$76,2,FALSE)</f>
        <v>Other</v>
      </c>
    </row>
    <row r="2929" spans="1:7" x14ac:dyDescent="0.25">
      <c r="A2929" t="s">
        <v>30</v>
      </c>
      <c r="B2929" s="1">
        <v>43110</v>
      </c>
      <c r="C2929" t="s">
        <v>56</v>
      </c>
      <c r="D2929">
        <v>454.53</v>
      </c>
      <c r="E2929" s="12" t="str">
        <f>VLOOKUP(C2929,inf!$A$2:$B$7,2,FALSE)</f>
        <v>Current</v>
      </c>
      <c r="F2929" s="12" t="str">
        <f t="shared" si="46"/>
        <v>01/10/2018</v>
      </c>
      <c r="G2929" t="str">
        <f>VLOOKUP(A2929,inf!$D$2:$E$76,2,FALSE)</f>
        <v>Other</v>
      </c>
    </row>
    <row r="2930" spans="1:7" x14ac:dyDescent="0.25">
      <c r="A2930" t="s">
        <v>30</v>
      </c>
      <c r="B2930" s="1">
        <v>43110</v>
      </c>
      <c r="C2930" t="s">
        <v>57</v>
      </c>
      <c r="D2930">
        <v>114.85</v>
      </c>
      <c r="E2930" s="12" t="str">
        <f>VLOOKUP(C2930,inf!$A$2:$B$7,2,FALSE)</f>
        <v>31 to 60</v>
      </c>
      <c r="F2930" s="12" t="str">
        <f t="shared" si="46"/>
        <v>01/10/2018</v>
      </c>
      <c r="G2930" t="str">
        <f>VLOOKUP(A2930,inf!$D$2:$E$76,2,FALSE)</f>
        <v>Other</v>
      </c>
    </row>
    <row r="2931" spans="1:7" x14ac:dyDescent="0.25">
      <c r="A2931" t="s">
        <v>30</v>
      </c>
      <c r="B2931" s="1">
        <v>43110</v>
      </c>
      <c r="C2931" t="s">
        <v>58</v>
      </c>
      <c r="D2931">
        <v>232.39</v>
      </c>
      <c r="E2931" s="12" t="str">
        <f>VLOOKUP(C2931,inf!$A$2:$B$7,2,FALSE)</f>
        <v>61 to 90</v>
      </c>
      <c r="F2931" s="12" t="str">
        <f t="shared" si="46"/>
        <v>01/10/2018</v>
      </c>
      <c r="G2931" t="str">
        <f>VLOOKUP(A2931,inf!$D$2:$E$76,2,FALSE)</f>
        <v>Other</v>
      </c>
    </row>
    <row r="2932" spans="1:7" x14ac:dyDescent="0.25">
      <c r="A2932" t="s">
        <v>12</v>
      </c>
      <c r="B2932" s="1">
        <v>43110</v>
      </c>
      <c r="C2932" t="s">
        <v>55</v>
      </c>
      <c r="D2932">
        <v>632.85</v>
      </c>
      <c r="E2932" s="12" t="str">
        <f>VLOOKUP(C2932,inf!$A$2:$B$7,2,FALSE)</f>
        <v>Current</v>
      </c>
      <c r="F2932" s="12" t="str">
        <f t="shared" si="46"/>
        <v>01/10/2018</v>
      </c>
      <c r="G2932" t="str">
        <f>VLOOKUP(A2932,inf!$D$2:$E$76,2,FALSE)</f>
        <v>Other</v>
      </c>
    </row>
    <row r="2933" spans="1:7" x14ac:dyDescent="0.25">
      <c r="A2933" t="s">
        <v>50</v>
      </c>
      <c r="B2933" s="1">
        <v>43110</v>
      </c>
      <c r="C2933" t="s">
        <v>55</v>
      </c>
      <c r="D2933">
        <v>319.83999999999997</v>
      </c>
      <c r="E2933" s="12" t="str">
        <f>VLOOKUP(C2933,inf!$A$2:$B$7,2,FALSE)</f>
        <v>Current</v>
      </c>
      <c r="F2933" s="12" t="str">
        <f t="shared" si="46"/>
        <v>01/10/2018</v>
      </c>
      <c r="G2933" t="str">
        <f>VLOOKUP(A2933,inf!$D$2:$E$76,2,FALSE)</f>
        <v>Other</v>
      </c>
    </row>
    <row r="2934" spans="1:7" x14ac:dyDescent="0.25">
      <c r="A2934" t="s">
        <v>23</v>
      </c>
      <c r="B2934" s="1">
        <v>43110</v>
      </c>
      <c r="C2934" t="s">
        <v>57</v>
      </c>
      <c r="D2934">
        <v>250.61</v>
      </c>
      <c r="E2934" s="12" t="str">
        <f>VLOOKUP(C2934,inf!$A$2:$B$7,2,FALSE)</f>
        <v>31 to 60</v>
      </c>
      <c r="F2934" s="12" t="str">
        <f t="shared" si="46"/>
        <v>01/10/2018</v>
      </c>
      <c r="G2934" t="str">
        <f>VLOOKUP(A2934,inf!$D$2:$E$76,2,FALSE)</f>
        <v>Other</v>
      </c>
    </row>
    <row r="2935" spans="1:7" x14ac:dyDescent="0.25">
      <c r="A2935" t="s">
        <v>7</v>
      </c>
      <c r="B2935" s="1">
        <v>43110</v>
      </c>
      <c r="C2935" t="s">
        <v>55</v>
      </c>
      <c r="D2935">
        <v>95063.25</v>
      </c>
      <c r="E2935" s="12" t="str">
        <f>VLOOKUP(C2935,inf!$A$2:$B$7,2,FALSE)</f>
        <v>Current</v>
      </c>
      <c r="F2935" s="12" t="str">
        <f t="shared" si="46"/>
        <v>01/10/2018</v>
      </c>
      <c r="G2935" t="str">
        <f>VLOOKUP(A2935,inf!$D$2:$E$76,2,FALSE)</f>
        <v>SAFEWAY</v>
      </c>
    </row>
    <row r="2936" spans="1:7" x14ac:dyDescent="0.25">
      <c r="A2936" t="s">
        <v>7</v>
      </c>
      <c r="B2936" s="1">
        <v>43110</v>
      </c>
      <c r="C2936" t="s">
        <v>56</v>
      </c>
      <c r="D2936">
        <v>20342.419999999998</v>
      </c>
      <c r="E2936" s="12" t="str">
        <f>VLOOKUP(C2936,inf!$A$2:$B$7,2,FALSE)</f>
        <v>Current</v>
      </c>
      <c r="F2936" s="12" t="str">
        <f t="shared" si="46"/>
        <v>01/10/2018</v>
      </c>
      <c r="G2936" t="str">
        <f>VLOOKUP(A2936,inf!$D$2:$E$76,2,FALSE)</f>
        <v>SAFEWAY</v>
      </c>
    </row>
    <row r="2937" spans="1:7" x14ac:dyDescent="0.25">
      <c r="A2937" t="s">
        <v>7</v>
      </c>
      <c r="B2937" s="1">
        <v>43110</v>
      </c>
      <c r="C2937" t="s">
        <v>57</v>
      </c>
      <c r="D2937">
        <v>11595.43</v>
      </c>
      <c r="E2937" s="12" t="str">
        <f>VLOOKUP(C2937,inf!$A$2:$B$7,2,FALSE)</f>
        <v>31 to 60</v>
      </c>
      <c r="F2937" s="12" t="str">
        <f t="shared" si="46"/>
        <v>01/10/2018</v>
      </c>
      <c r="G2937" t="str">
        <f>VLOOKUP(A2937,inf!$D$2:$E$76,2,FALSE)</f>
        <v>SAFEWAY</v>
      </c>
    </row>
    <row r="2938" spans="1:7" x14ac:dyDescent="0.25">
      <c r="A2938" t="s">
        <v>7</v>
      </c>
      <c r="B2938" s="1">
        <v>43110</v>
      </c>
      <c r="C2938" t="s">
        <v>58</v>
      </c>
      <c r="D2938">
        <v>1500.53</v>
      </c>
      <c r="E2938" s="12" t="str">
        <f>VLOOKUP(C2938,inf!$A$2:$B$7,2,FALSE)</f>
        <v>61 to 90</v>
      </c>
      <c r="F2938" s="12" t="str">
        <f t="shared" si="46"/>
        <v>01/10/2018</v>
      </c>
      <c r="G2938" t="str">
        <f>VLOOKUP(A2938,inf!$D$2:$E$76,2,FALSE)</f>
        <v>SAFEWAY</v>
      </c>
    </row>
    <row r="2939" spans="1:7" x14ac:dyDescent="0.25">
      <c r="A2939" t="s">
        <v>7</v>
      </c>
      <c r="B2939" s="1">
        <v>43110</v>
      </c>
      <c r="C2939" t="s">
        <v>59</v>
      </c>
      <c r="D2939">
        <v>803.33999999999992</v>
      </c>
      <c r="E2939" s="12" t="str">
        <f>VLOOKUP(C2939,inf!$A$2:$B$7,2,FALSE)</f>
        <v>Over 90</v>
      </c>
      <c r="F2939" s="12" t="str">
        <f t="shared" si="46"/>
        <v>01/10/2018</v>
      </c>
      <c r="G2939" t="str">
        <f>VLOOKUP(A2939,inf!$D$2:$E$76,2,FALSE)</f>
        <v>SAFEWAY</v>
      </c>
    </row>
    <row r="2940" spans="1:7" x14ac:dyDescent="0.25">
      <c r="A2940" t="s">
        <v>7</v>
      </c>
      <c r="B2940" s="1">
        <v>43110</v>
      </c>
      <c r="C2940" t="s">
        <v>60</v>
      </c>
      <c r="D2940">
        <v>334.41</v>
      </c>
      <c r="E2940" s="12" t="str">
        <f>VLOOKUP(C2940,inf!$A$2:$B$7,2,FALSE)</f>
        <v>Over 90</v>
      </c>
      <c r="F2940" s="12" t="str">
        <f t="shared" si="46"/>
        <v>01/10/2018</v>
      </c>
      <c r="G2940" t="str">
        <f>VLOOKUP(A2940,inf!$D$2:$E$76,2,FALSE)</f>
        <v>SAFEWAY</v>
      </c>
    </row>
    <row r="2941" spans="1:7" x14ac:dyDescent="0.25">
      <c r="A2941" t="s">
        <v>81</v>
      </c>
      <c r="B2941" s="1">
        <v>43110</v>
      </c>
      <c r="C2941" t="s">
        <v>55</v>
      </c>
      <c r="D2941">
        <v>174.98</v>
      </c>
      <c r="E2941" s="12" t="str">
        <f>VLOOKUP(C2941,inf!$A$2:$B$7,2,FALSE)</f>
        <v>Current</v>
      </c>
      <c r="F2941" s="12" t="str">
        <f t="shared" si="46"/>
        <v>01/10/2018</v>
      </c>
      <c r="G2941" t="str">
        <f>VLOOKUP(A2941,inf!$D$2:$E$76,2,FALSE)</f>
        <v>Other</v>
      </c>
    </row>
    <row r="2942" spans="1:7" x14ac:dyDescent="0.25">
      <c r="A2942" t="s">
        <v>74</v>
      </c>
      <c r="B2942" s="1">
        <v>43110</v>
      </c>
      <c r="C2942" t="s">
        <v>59</v>
      </c>
      <c r="D2942">
        <v>742.26</v>
      </c>
      <c r="E2942" s="12" t="str">
        <f>VLOOKUP(C2942,inf!$A$2:$B$7,2,FALSE)</f>
        <v>Over 90</v>
      </c>
      <c r="F2942" s="12" t="str">
        <f t="shared" si="46"/>
        <v>01/10/2018</v>
      </c>
      <c r="G2942" t="str">
        <f>VLOOKUP(A2942,inf!$D$2:$E$76,2,FALSE)</f>
        <v>Other</v>
      </c>
    </row>
    <row r="2943" spans="1:7" x14ac:dyDescent="0.25">
      <c r="A2943" t="s">
        <v>5</v>
      </c>
      <c r="B2943" s="1">
        <v>43110</v>
      </c>
      <c r="C2943" t="s">
        <v>55</v>
      </c>
      <c r="D2943">
        <v>7821333.3499999382</v>
      </c>
      <c r="E2943" s="12" t="str">
        <f>VLOOKUP(C2943,inf!$A$2:$B$7,2,FALSE)</f>
        <v>Current</v>
      </c>
      <c r="F2943" s="12" t="str">
        <f t="shared" si="46"/>
        <v>01/10/2018</v>
      </c>
      <c r="G2943" t="str">
        <f>VLOOKUP(A2943,inf!$D$2:$E$76,2,FALSE)</f>
        <v>SBUX</v>
      </c>
    </row>
    <row r="2944" spans="1:7" x14ac:dyDescent="0.25">
      <c r="A2944" t="s">
        <v>5</v>
      </c>
      <c r="B2944" s="1">
        <v>43110</v>
      </c>
      <c r="C2944" t="s">
        <v>56</v>
      </c>
      <c r="D2944">
        <v>50184.629999999968</v>
      </c>
      <c r="E2944" s="12" t="str">
        <f>VLOOKUP(C2944,inf!$A$2:$B$7,2,FALSE)</f>
        <v>Current</v>
      </c>
      <c r="F2944" s="12" t="str">
        <f t="shared" si="46"/>
        <v>01/10/2018</v>
      </c>
      <c r="G2944" t="str">
        <f>VLOOKUP(A2944,inf!$D$2:$E$76,2,FALSE)</f>
        <v>SBUX</v>
      </c>
    </row>
    <row r="2945" spans="1:7" x14ac:dyDescent="0.25">
      <c r="A2945" t="s">
        <v>5</v>
      </c>
      <c r="B2945" s="1">
        <v>43110</v>
      </c>
      <c r="C2945" t="s">
        <v>57</v>
      </c>
      <c r="D2945">
        <v>87504.86</v>
      </c>
      <c r="E2945" s="12" t="str">
        <f>VLOOKUP(C2945,inf!$A$2:$B$7,2,FALSE)</f>
        <v>31 to 60</v>
      </c>
      <c r="F2945" s="12" t="str">
        <f t="shared" si="46"/>
        <v>01/10/2018</v>
      </c>
      <c r="G2945" t="str">
        <f>VLOOKUP(A2945,inf!$D$2:$E$76,2,FALSE)</f>
        <v>SBUX</v>
      </c>
    </row>
    <row r="2946" spans="1:7" x14ac:dyDescent="0.25">
      <c r="A2946" t="s">
        <v>5</v>
      </c>
      <c r="B2946" s="1">
        <v>43110</v>
      </c>
      <c r="C2946" t="s">
        <v>58</v>
      </c>
      <c r="D2946">
        <v>20952.28999999999</v>
      </c>
      <c r="E2946" s="12" t="str">
        <f>VLOOKUP(C2946,inf!$A$2:$B$7,2,FALSE)</f>
        <v>61 to 90</v>
      </c>
      <c r="F2946" s="12" t="str">
        <f t="shared" si="46"/>
        <v>01/10/2018</v>
      </c>
      <c r="G2946" t="str">
        <f>VLOOKUP(A2946,inf!$D$2:$E$76,2,FALSE)</f>
        <v>SBUX</v>
      </c>
    </row>
    <row r="2947" spans="1:7" x14ac:dyDescent="0.25">
      <c r="A2947" t="s">
        <v>5</v>
      </c>
      <c r="B2947" s="1">
        <v>43110</v>
      </c>
      <c r="C2947" t="s">
        <v>59</v>
      </c>
      <c r="D2947">
        <v>18538.920000000002</v>
      </c>
      <c r="E2947" s="12" t="str">
        <f>VLOOKUP(C2947,inf!$A$2:$B$7,2,FALSE)</f>
        <v>Over 90</v>
      </c>
      <c r="F2947" s="12" t="str">
        <f t="shared" ref="F2947:F3010" si="47">TEXT(B2947,"MM/DD/YYYY")</f>
        <v>01/10/2018</v>
      </c>
      <c r="G2947" t="str">
        <f>VLOOKUP(A2947,inf!$D$2:$E$76,2,FALSE)</f>
        <v>SBUX</v>
      </c>
    </row>
    <row r="2948" spans="1:7" x14ac:dyDescent="0.25">
      <c r="A2948" t="s">
        <v>5</v>
      </c>
      <c r="B2948" s="1">
        <v>43110</v>
      </c>
      <c r="C2948" t="s">
        <v>60</v>
      </c>
      <c r="D2948">
        <v>138208.56000000008</v>
      </c>
      <c r="E2948" s="12" t="str">
        <f>VLOOKUP(C2948,inf!$A$2:$B$7,2,FALSE)</f>
        <v>Over 90</v>
      </c>
      <c r="F2948" s="12" t="str">
        <f t="shared" si="47"/>
        <v>01/10/2018</v>
      </c>
      <c r="G2948" t="str">
        <f>VLOOKUP(A2948,inf!$D$2:$E$76,2,FALSE)</f>
        <v>SBUX</v>
      </c>
    </row>
    <row r="2949" spans="1:7" x14ac:dyDescent="0.25">
      <c r="A2949" t="s">
        <v>6</v>
      </c>
      <c r="B2949" s="1">
        <v>43110</v>
      </c>
      <c r="C2949" t="s">
        <v>55</v>
      </c>
      <c r="D2949">
        <v>727167.43999999063</v>
      </c>
      <c r="E2949" s="12" t="str">
        <f>VLOOKUP(C2949,inf!$A$2:$B$7,2,FALSE)</f>
        <v>Current</v>
      </c>
      <c r="F2949" s="12" t="str">
        <f t="shared" si="47"/>
        <v>01/10/2018</v>
      </c>
      <c r="G2949" t="str">
        <f>VLOOKUP(A2949,inf!$D$2:$E$76,2,FALSE)</f>
        <v>SBUX</v>
      </c>
    </row>
    <row r="2950" spans="1:7" x14ac:dyDescent="0.25">
      <c r="A2950" t="s">
        <v>6</v>
      </c>
      <c r="B2950" s="1">
        <v>43110</v>
      </c>
      <c r="C2950" t="s">
        <v>56</v>
      </c>
      <c r="D2950">
        <v>4436.7199999999993</v>
      </c>
      <c r="E2950" s="12" t="str">
        <f>VLOOKUP(C2950,inf!$A$2:$B$7,2,FALSE)</f>
        <v>Current</v>
      </c>
      <c r="F2950" s="12" t="str">
        <f t="shared" si="47"/>
        <v>01/10/2018</v>
      </c>
      <c r="G2950" t="str">
        <f>VLOOKUP(A2950,inf!$D$2:$E$76,2,FALSE)</f>
        <v>SBUX</v>
      </c>
    </row>
    <row r="2951" spans="1:7" x14ac:dyDescent="0.25">
      <c r="A2951" t="s">
        <v>6</v>
      </c>
      <c r="B2951" s="1">
        <v>43110</v>
      </c>
      <c r="C2951" t="s">
        <v>57</v>
      </c>
      <c r="D2951">
        <v>683.93</v>
      </c>
      <c r="E2951" s="12" t="str">
        <f>VLOOKUP(C2951,inf!$A$2:$B$7,2,FALSE)</f>
        <v>31 to 60</v>
      </c>
      <c r="F2951" s="12" t="str">
        <f t="shared" si="47"/>
        <v>01/10/2018</v>
      </c>
      <c r="G2951" t="str">
        <f>VLOOKUP(A2951,inf!$D$2:$E$76,2,FALSE)</f>
        <v>SBUX</v>
      </c>
    </row>
    <row r="2952" spans="1:7" x14ac:dyDescent="0.25">
      <c r="A2952" t="s">
        <v>6</v>
      </c>
      <c r="B2952" s="1">
        <v>43110</v>
      </c>
      <c r="C2952" t="s">
        <v>58</v>
      </c>
      <c r="D2952">
        <v>1566.3700000000001</v>
      </c>
      <c r="E2952" s="12" t="str">
        <f>VLOOKUP(C2952,inf!$A$2:$B$7,2,FALSE)</f>
        <v>61 to 90</v>
      </c>
      <c r="F2952" s="12" t="str">
        <f t="shared" si="47"/>
        <v>01/10/2018</v>
      </c>
      <c r="G2952" t="str">
        <f>VLOOKUP(A2952,inf!$D$2:$E$76,2,FALSE)</f>
        <v>SBUX</v>
      </c>
    </row>
    <row r="2953" spans="1:7" x14ac:dyDescent="0.25">
      <c r="A2953" t="s">
        <v>6</v>
      </c>
      <c r="B2953" s="1">
        <v>43110</v>
      </c>
      <c r="C2953" t="s">
        <v>59</v>
      </c>
      <c r="D2953">
        <v>1344.33</v>
      </c>
      <c r="E2953" s="12" t="str">
        <f>VLOOKUP(C2953,inf!$A$2:$B$7,2,FALSE)</f>
        <v>Over 90</v>
      </c>
      <c r="F2953" s="12" t="str">
        <f t="shared" si="47"/>
        <v>01/10/2018</v>
      </c>
      <c r="G2953" t="str">
        <f>VLOOKUP(A2953,inf!$D$2:$E$76,2,FALSE)</f>
        <v>SBUX</v>
      </c>
    </row>
    <row r="2954" spans="1:7" x14ac:dyDescent="0.25">
      <c r="A2954" t="s">
        <v>6</v>
      </c>
      <c r="B2954" s="1">
        <v>43110</v>
      </c>
      <c r="C2954" t="s">
        <v>60</v>
      </c>
      <c r="D2954">
        <v>10445.73</v>
      </c>
      <c r="E2954" s="12" t="str">
        <f>VLOOKUP(C2954,inf!$A$2:$B$7,2,FALSE)</f>
        <v>Over 90</v>
      </c>
      <c r="F2954" s="12" t="str">
        <f t="shared" si="47"/>
        <v>01/10/2018</v>
      </c>
      <c r="G2954" t="str">
        <f>VLOOKUP(A2954,inf!$D$2:$E$76,2,FALSE)</f>
        <v>SBUX</v>
      </c>
    </row>
    <row r="2955" spans="1:7" x14ac:dyDescent="0.25">
      <c r="A2955" t="s">
        <v>48</v>
      </c>
      <c r="B2955" s="1">
        <v>43110</v>
      </c>
      <c r="C2955" t="s">
        <v>55</v>
      </c>
      <c r="D2955">
        <v>412773.95000000007</v>
      </c>
      <c r="E2955" s="12" t="str">
        <f>VLOOKUP(C2955,inf!$A$2:$B$7,2,FALSE)</f>
        <v>Current</v>
      </c>
      <c r="F2955" s="12" t="str">
        <f t="shared" si="47"/>
        <v>01/10/2018</v>
      </c>
      <c r="G2955" t="str">
        <f>VLOOKUP(A2955,inf!$D$2:$E$76,2,FALSE)</f>
        <v>Target</v>
      </c>
    </row>
    <row r="2956" spans="1:7" x14ac:dyDescent="0.25">
      <c r="A2956" t="s">
        <v>48</v>
      </c>
      <c r="B2956" s="1">
        <v>43110</v>
      </c>
      <c r="C2956" t="s">
        <v>56</v>
      </c>
      <c r="D2956">
        <v>85827.550000000017</v>
      </c>
      <c r="E2956" s="12" t="str">
        <f>VLOOKUP(C2956,inf!$A$2:$B$7,2,FALSE)</f>
        <v>Current</v>
      </c>
      <c r="F2956" s="12" t="str">
        <f t="shared" si="47"/>
        <v>01/10/2018</v>
      </c>
      <c r="G2956" t="str">
        <f>VLOOKUP(A2956,inf!$D$2:$E$76,2,FALSE)</f>
        <v>Target</v>
      </c>
    </row>
    <row r="2957" spans="1:7" x14ac:dyDescent="0.25">
      <c r="A2957" t="s">
        <v>48</v>
      </c>
      <c r="B2957" s="1">
        <v>43110</v>
      </c>
      <c r="C2957" t="s">
        <v>57</v>
      </c>
      <c r="D2957">
        <v>23159.43</v>
      </c>
      <c r="E2957" s="12" t="str">
        <f>VLOOKUP(C2957,inf!$A$2:$B$7,2,FALSE)</f>
        <v>31 to 60</v>
      </c>
      <c r="F2957" s="12" t="str">
        <f t="shared" si="47"/>
        <v>01/10/2018</v>
      </c>
      <c r="G2957" t="str">
        <f>VLOOKUP(A2957,inf!$D$2:$E$76,2,FALSE)</f>
        <v>Target</v>
      </c>
    </row>
    <row r="2958" spans="1:7" x14ac:dyDescent="0.25">
      <c r="A2958" t="s">
        <v>48</v>
      </c>
      <c r="B2958" s="1">
        <v>43110</v>
      </c>
      <c r="C2958" t="s">
        <v>58</v>
      </c>
      <c r="D2958">
        <v>3913.29</v>
      </c>
      <c r="E2958" s="12" t="str">
        <f>VLOOKUP(C2958,inf!$A$2:$B$7,2,FALSE)</f>
        <v>61 to 90</v>
      </c>
      <c r="F2958" s="12" t="str">
        <f t="shared" si="47"/>
        <v>01/10/2018</v>
      </c>
      <c r="G2958" t="str">
        <f>VLOOKUP(A2958,inf!$D$2:$E$76,2,FALSE)</f>
        <v>Target</v>
      </c>
    </row>
    <row r="2959" spans="1:7" x14ac:dyDescent="0.25">
      <c r="A2959" t="s">
        <v>48</v>
      </c>
      <c r="B2959" s="1">
        <v>43110</v>
      </c>
      <c r="C2959" t="s">
        <v>59</v>
      </c>
      <c r="D2959">
        <v>1359.97</v>
      </c>
      <c r="E2959" s="12" t="str">
        <f>VLOOKUP(C2959,inf!$A$2:$B$7,2,FALSE)</f>
        <v>Over 90</v>
      </c>
      <c r="F2959" s="12" t="str">
        <f t="shared" si="47"/>
        <v>01/10/2018</v>
      </c>
      <c r="G2959" t="str">
        <f>VLOOKUP(A2959,inf!$D$2:$E$76,2,FALSE)</f>
        <v>Target</v>
      </c>
    </row>
    <row r="2960" spans="1:7" x14ac:dyDescent="0.25">
      <c r="A2960" t="s">
        <v>48</v>
      </c>
      <c r="B2960" s="1">
        <v>43110</v>
      </c>
      <c r="C2960" t="s">
        <v>60</v>
      </c>
      <c r="D2960">
        <v>2577.3100000000004</v>
      </c>
      <c r="E2960" s="12" t="str">
        <f>VLOOKUP(C2960,inf!$A$2:$B$7,2,FALSE)</f>
        <v>Over 90</v>
      </c>
      <c r="F2960" s="12" t="str">
        <f t="shared" si="47"/>
        <v>01/10/2018</v>
      </c>
      <c r="G2960" t="str">
        <f>VLOOKUP(A2960,inf!$D$2:$E$76,2,FALSE)</f>
        <v>Target</v>
      </c>
    </row>
    <row r="2961" spans="1:7" x14ac:dyDescent="0.25">
      <c r="A2961" t="s">
        <v>8</v>
      </c>
      <c r="B2961" s="1">
        <v>43110</v>
      </c>
      <c r="C2961" t="s">
        <v>55</v>
      </c>
      <c r="D2961">
        <v>441446.10999999807</v>
      </c>
      <c r="E2961" s="12" t="str">
        <f>VLOOKUP(C2961,inf!$A$2:$B$7,2,FALSE)</f>
        <v>Current</v>
      </c>
      <c r="F2961" s="12" t="str">
        <f t="shared" si="47"/>
        <v>01/10/2018</v>
      </c>
      <c r="G2961" t="str">
        <f>VLOOKUP(A2961,inf!$D$2:$E$76,2,FALSE)</f>
        <v>Target</v>
      </c>
    </row>
    <row r="2962" spans="1:7" x14ac:dyDescent="0.25">
      <c r="A2962" t="s">
        <v>8</v>
      </c>
      <c r="B2962" s="1">
        <v>43110</v>
      </c>
      <c r="C2962" t="s">
        <v>56</v>
      </c>
      <c r="D2962">
        <v>46740.229999999996</v>
      </c>
      <c r="E2962" s="12" t="str">
        <f>VLOOKUP(C2962,inf!$A$2:$B$7,2,FALSE)</f>
        <v>Current</v>
      </c>
      <c r="F2962" s="12" t="str">
        <f t="shared" si="47"/>
        <v>01/10/2018</v>
      </c>
      <c r="G2962" t="str">
        <f>VLOOKUP(A2962,inf!$D$2:$E$76,2,FALSE)</f>
        <v>Target</v>
      </c>
    </row>
    <row r="2963" spans="1:7" x14ac:dyDescent="0.25">
      <c r="A2963" t="s">
        <v>8</v>
      </c>
      <c r="B2963" s="1">
        <v>43110</v>
      </c>
      <c r="C2963" t="s">
        <v>57</v>
      </c>
      <c r="D2963">
        <v>64284.809999999983</v>
      </c>
      <c r="E2963" s="12" t="str">
        <f>VLOOKUP(C2963,inf!$A$2:$B$7,2,FALSE)</f>
        <v>31 to 60</v>
      </c>
      <c r="F2963" s="12" t="str">
        <f t="shared" si="47"/>
        <v>01/10/2018</v>
      </c>
      <c r="G2963" t="str">
        <f>VLOOKUP(A2963,inf!$D$2:$E$76,2,FALSE)</f>
        <v>Target</v>
      </c>
    </row>
    <row r="2964" spans="1:7" x14ac:dyDescent="0.25">
      <c r="A2964" t="s">
        <v>8</v>
      </c>
      <c r="B2964" s="1">
        <v>43110</v>
      </c>
      <c r="C2964" t="s">
        <v>58</v>
      </c>
      <c r="D2964">
        <v>9785.44</v>
      </c>
      <c r="E2964" s="12" t="str">
        <f>VLOOKUP(C2964,inf!$A$2:$B$7,2,FALSE)</f>
        <v>61 to 90</v>
      </c>
      <c r="F2964" s="12" t="str">
        <f t="shared" si="47"/>
        <v>01/10/2018</v>
      </c>
      <c r="G2964" t="str">
        <f>VLOOKUP(A2964,inf!$D$2:$E$76,2,FALSE)</f>
        <v>Target</v>
      </c>
    </row>
    <row r="2965" spans="1:7" x14ac:dyDescent="0.25">
      <c r="A2965" t="s">
        <v>8</v>
      </c>
      <c r="B2965" s="1">
        <v>43110</v>
      </c>
      <c r="C2965" t="s">
        <v>59</v>
      </c>
      <c r="D2965">
        <v>6341.08</v>
      </c>
      <c r="E2965" s="12" t="str">
        <f>VLOOKUP(C2965,inf!$A$2:$B$7,2,FALSE)</f>
        <v>Over 90</v>
      </c>
      <c r="F2965" s="12" t="str">
        <f t="shared" si="47"/>
        <v>01/10/2018</v>
      </c>
      <c r="G2965" t="str">
        <f>VLOOKUP(A2965,inf!$D$2:$E$76,2,FALSE)</f>
        <v>Target</v>
      </c>
    </row>
    <row r="2966" spans="1:7" x14ac:dyDescent="0.25">
      <c r="A2966" t="s">
        <v>8</v>
      </c>
      <c r="B2966" s="1">
        <v>43110</v>
      </c>
      <c r="C2966" t="s">
        <v>60</v>
      </c>
      <c r="D2966">
        <v>16469.71</v>
      </c>
      <c r="E2966" s="12" t="str">
        <f>VLOOKUP(C2966,inf!$A$2:$B$7,2,FALSE)</f>
        <v>Over 90</v>
      </c>
      <c r="F2966" s="12" t="str">
        <f t="shared" si="47"/>
        <v>01/10/2018</v>
      </c>
      <c r="G2966" t="str">
        <f>VLOOKUP(A2966,inf!$D$2:$E$76,2,FALSE)</f>
        <v>Target</v>
      </c>
    </row>
    <row r="2967" spans="1:7" x14ac:dyDescent="0.25">
      <c r="A2967" t="s">
        <v>54</v>
      </c>
      <c r="B2967" s="1">
        <v>43110</v>
      </c>
      <c r="C2967" t="s">
        <v>55</v>
      </c>
      <c r="D2967">
        <v>497.05</v>
      </c>
      <c r="E2967" s="12" t="str">
        <f>VLOOKUP(C2967,inf!$A$2:$B$7,2,FALSE)</f>
        <v>Current</v>
      </c>
      <c r="F2967" s="12" t="str">
        <f t="shared" si="47"/>
        <v>01/10/2018</v>
      </c>
      <c r="G2967" t="str">
        <f>VLOOKUP(A2967,inf!$D$2:$E$76,2,FALSE)</f>
        <v>Other</v>
      </c>
    </row>
    <row r="2968" spans="1:7" x14ac:dyDescent="0.25">
      <c r="A2968" t="s">
        <v>54</v>
      </c>
      <c r="B2968" s="1">
        <v>43110</v>
      </c>
      <c r="C2968" t="s">
        <v>59</v>
      </c>
      <c r="D2968">
        <v>122.72</v>
      </c>
      <c r="E2968" s="12" t="str">
        <f>VLOOKUP(C2968,inf!$A$2:$B$7,2,FALSE)</f>
        <v>Over 90</v>
      </c>
      <c r="F2968" s="12" t="str">
        <f t="shared" si="47"/>
        <v>01/10/2018</v>
      </c>
      <c r="G2968" t="str">
        <f>VLOOKUP(A2968,inf!$D$2:$E$76,2,FALSE)</f>
        <v>Other</v>
      </c>
    </row>
    <row r="2969" spans="1:7" x14ac:dyDescent="0.25">
      <c r="A2969" t="s">
        <v>54</v>
      </c>
      <c r="B2969" s="1">
        <v>43110</v>
      </c>
      <c r="C2969" t="s">
        <v>60</v>
      </c>
      <c r="D2969">
        <v>122.72</v>
      </c>
      <c r="E2969" s="12" t="str">
        <f>VLOOKUP(C2969,inf!$A$2:$B$7,2,FALSE)</f>
        <v>Over 90</v>
      </c>
      <c r="F2969" s="12" t="str">
        <f t="shared" si="47"/>
        <v>01/10/2018</v>
      </c>
      <c r="G2969" t="str">
        <f>VLOOKUP(A2969,inf!$D$2:$E$76,2,FALSE)</f>
        <v>Other</v>
      </c>
    </row>
    <row r="2970" spans="1:7" x14ac:dyDescent="0.25">
      <c r="A2970" t="s">
        <v>28</v>
      </c>
      <c r="B2970" s="1">
        <v>43110</v>
      </c>
      <c r="C2970" t="s">
        <v>55</v>
      </c>
      <c r="D2970">
        <v>2641.5</v>
      </c>
      <c r="E2970" s="12" t="str">
        <f>VLOOKUP(C2970,inf!$A$2:$B$7,2,FALSE)</f>
        <v>Current</v>
      </c>
      <c r="F2970" s="12" t="str">
        <f t="shared" si="47"/>
        <v>01/10/2018</v>
      </c>
      <c r="G2970" t="str">
        <f>VLOOKUP(A2970,inf!$D$2:$E$76,2,FALSE)</f>
        <v>Other</v>
      </c>
    </row>
    <row r="2971" spans="1:7" x14ac:dyDescent="0.25">
      <c r="A2971" t="s">
        <v>28</v>
      </c>
      <c r="B2971" s="1">
        <v>43110</v>
      </c>
      <c r="C2971" t="s">
        <v>56</v>
      </c>
      <c r="D2971">
        <v>5117.1900000000005</v>
      </c>
      <c r="E2971" s="12" t="str">
        <f>VLOOKUP(C2971,inf!$A$2:$B$7,2,FALSE)</f>
        <v>Current</v>
      </c>
      <c r="F2971" s="12" t="str">
        <f t="shared" si="47"/>
        <v>01/10/2018</v>
      </c>
      <c r="G2971" t="str">
        <f>VLOOKUP(A2971,inf!$D$2:$E$76,2,FALSE)</f>
        <v>Other</v>
      </c>
    </row>
    <row r="2972" spans="1:7" x14ac:dyDescent="0.25">
      <c r="A2972" t="s">
        <v>28</v>
      </c>
      <c r="B2972" s="1">
        <v>43110</v>
      </c>
      <c r="C2972" t="s">
        <v>57</v>
      </c>
      <c r="D2972">
        <v>3545.3999999999996</v>
      </c>
      <c r="E2972" s="12" t="str">
        <f>VLOOKUP(C2972,inf!$A$2:$B$7,2,FALSE)</f>
        <v>31 to 60</v>
      </c>
      <c r="F2972" s="12" t="str">
        <f t="shared" si="47"/>
        <v>01/10/2018</v>
      </c>
      <c r="G2972" t="str">
        <f>VLOOKUP(A2972,inf!$D$2:$E$76,2,FALSE)</f>
        <v>Other</v>
      </c>
    </row>
    <row r="2973" spans="1:7" x14ac:dyDescent="0.25">
      <c r="A2973" t="s">
        <v>15</v>
      </c>
      <c r="B2973" s="1">
        <v>43110</v>
      </c>
      <c r="C2973" t="s">
        <v>60</v>
      </c>
      <c r="D2973">
        <v>291.60000000000002</v>
      </c>
      <c r="E2973" s="12" t="str">
        <f>VLOOKUP(C2973,inf!$A$2:$B$7,2,FALSE)</f>
        <v>Over 90</v>
      </c>
      <c r="F2973" s="12" t="str">
        <f t="shared" si="47"/>
        <v>01/10/2018</v>
      </c>
      <c r="G2973" t="str">
        <f>VLOOKUP(A2973,inf!$D$2:$E$76,2,FALSE)</f>
        <v>Other</v>
      </c>
    </row>
    <row r="2974" spans="1:7" x14ac:dyDescent="0.25">
      <c r="A2974" t="s">
        <v>22</v>
      </c>
      <c r="B2974" s="1">
        <v>43103</v>
      </c>
      <c r="C2974" t="s">
        <v>55</v>
      </c>
      <c r="D2974">
        <v>471.65999999999997</v>
      </c>
      <c r="E2974" s="12" t="str">
        <f>VLOOKUP(C2974,inf!$A$2:$B$7,2,FALSE)</f>
        <v>Current</v>
      </c>
      <c r="F2974" s="12" t="str">
        <f t="shared" si="47"/>
        <v>01/03/2018</v>
      </c>
      <c r="G2974" t="str">
        <f>VLOOKUP(A2974,inf!$D$2:$E$76,2,FALSE)</f>
        <v>Other</v>
      </c>
    </row>
    <row r="2975" spans="1:7" x14ac:dyDescent="0.25">
      <c r="A2975" t="s">
        <v>22</v>
      </c>
      <c r="B2975" s="1">
        <v>43103</v>
      </c>
      <c r="C2975" t="s">
        <v>56</v>
      </c>
      <c r="D2975">
        <v>114.85</v>
      </c>
      <c r="E2975" s="12" t="str">
        <f>VLOOKUP(C2975,inf!$A$2:$B$7,2,FALSE)</f>
        <v>Current</v>
      </c>
      <c r="F2975" s="12" t="str">
        <f t="shared" si="47"/>
        <v>01/03/2018</v>
      </c>
      <c r="G2975" t="str">
        <f>VLOOKUP(A2975,inf!$D$2:$E$76,2,FALSE)</f>
        <v>Other</v>
      </c>
    </row>
    <row r="2976" spans="1:7" x14ac:dyDescent="0.25">
      <c r="A2976" t="s">
        <v>80</v>
      </c>
      <c r="B2976" s="1">
        <v>43103</v>
      </c>
      <c r="C2976" t="s">
        <v>55</v>
      </c>
      <c r="D2976">
        <v>262.01</v>
      </c>
      <c r="E2976" s="12" t="str">
        <f>VLOOKUP(C2976,inf!$A$2:$B$7,2,FALSE)</f>
        <v>Current</v>
      </c>
      <c r="F2976" s="12" t="str">
        <f t="shared" si="47"/>
        <v>01/03/2018</v>
      </c>
      <c r="G2976" t="str">
        <f>VLOOKUP(A2976,inf!$D$2:$E$76,2,FALSE)</f>
        <v>Other</v>
      </c>
    </row>
    <row r="2977" spans="1:7" x14ac:dyDescent="0.25">
      <c r="A2977" t="s">
        <v>4</v>
      </c>
      <c r="B2977" s="1">
        <v>43103</v>
      </c>
      <c r="C2977" t="s">
        <v>55</v>
      </c>
      <c r="D2977">
        <v>7809.93</v>
      </c>
      <c r="E2977" s="12" t="str">
        <f>VLOOKUP(C2977,inf!$A$2:$B$7,2,FALSE)</f>
        <v>Current</v>
      </c>
      <c r="F2977" s="12" t="str">
        <f t="shared" si="47"/>
        <v>01/03/2018</v>
      </c>
      <c r="G2977" t="str">
        <f>VLOOKUP(A2977,inf!$D$2:$E$76,2,FALSE)</f>
        <v>Other</v>
      </c>
    </row>
    <row r="2978" spans="1:7" x14ac:dyDescent="0.25">
      <c r="A2978" t="s">
        <v>4</v>
      </c>
      <c r="B2978" s="1">
        <v>43103</v>
      </c>
      <c r="C2978" t="s">
        <v>56</v>
      </c>
      <c r="D2978">
        <v>2395.8000000000002</v>
      </c>
      <c r="E2978" s="12" t="str">
        <f>VLOOKUP(C2978,inf!$A$2:$B$7,2,FALSE)</f>
        <v>Current</v>
      </c>
      <c r="F2978" s="12" t="str">
        <f t="shared" si="47"/>
        <v>01/03/2018</v>
      </c>
      <c r="G2978" t="str">
        <f>VLOOKUP(A2978,inf!$D$2:$E$76,2,FALSE)</f>
        <v>Other</v>
      </c>
    </row>
    <row r="2979" spans="1:7" x14ac:dyDescent="0.25">
      <c r="A2979" t="s">
        <v>4</v>
      </c>
      <c r="B2979" s="1">
        <v>43103</v>
      </c>
      <c r="C2979" t="s">
        <v>57</v>
      </c>
      <c r="D2979">
        <v>226.84</v>
      </c>
      <c r="E2979" s="12" t="str">
        <f>VLOOKUP(C2979,inf!$A$2:$B$7,2,FALSE)</f>
        <v>31 to 60</v>
      </c>
      <c r="F2979" s="12" t="str">
        <f t="shared" si="47"/>
        <v>01/03/2018</v>
      </c>
      <c r="G2979" t="str">
        <f>VLOOKUP(A2979,inf!$D$2:$E$76,2,FALSE)</f>
        <v>Other</v>
      </c>
    </row>
    <row r="2980" spans="1:7" x14ac:dyDescent="0.25">
      <c r="A2980" t="s">
        <v>4</v>
      </c>
      <c r="B2980" s="1">
        <v>43103</v>
      </c>
      <c r="C2980" t="s">
        <v>58</v>
      </c>
      <c r="D2980">
        <v>300</v>
      </c>
      <c r="E2980" s="12" t="str">
        <f>VLOOKUP(C2980,inf!$A$2:$B$7,2,FALSE)</f>
        <v>61 to 90</v>
      </c>
      <c r="F2980" s="12" t="str">
        <f t="shared" si="47"/>
        <v>01/03/2018</v>
      </c>
      <c r="G2980" t="str">
        <f>VLOOKUP(A2980,inf!$D$2:$E$76,2,FALSE)</f>
        <v>Other</v>
      </c>
    </row>
    <row r="2981" spans="1:7" x14ac:dyDescent="0.25">
      <c r="A2981" t="s">
        <v>77</v>
      </c>
      <c r="B2981" s="1">
        <v>43103</v>
      </c>
      <c r="C2981" t="s">
        <v>55</v>
      </c>
      <c r="D2981">
        <v>834.05</v>
      </c>
      <c r="E2981" s="12" t="str">
        <f>VLOOKUP(C2981,inf!$A$2:$B$7,2,FALSE)</f>
        <v>Current</v>
      </c>
      <c r="F2981" s="12" t="str">
        <f t="shared" si="47"/>
        <v>01/03/2018</v>
      </c>
      <c r="G2981" t="str">
        <f>VLOOKUP(A2981,inf!$D$2:$E$76,2,FALSE)</f>
        <v>Other</v>
      </c>
    </row>
    <row r="2982" spans="1:7" x14ac:dyDescent="0.25">
      <c r="A2982" t="s">
        <v>11</v>
      </c>
      <c r="B2982" s="1">
        <v>43103</v>
      </c>
      <c r="C2982" t="s">
        <v>55</v>
      </c>
      <c r="D2982">
        <v>331.6</v>
      </c>
      <c r="E2982" s="12" t="str">
        <f>VLOOKUP(C2982,inf!$A$2:$B$7,2,FALSE)</f>
        <v>Current</v>
      </c>
      <c r="F2982" s="12" t="str">
        <f t="shared" si="47"/>
        <v>01/03/2018</v>
      </c>
      <c r="G2982" t="str">
        <f>VLOOKUP(A2982,inf!$D$2:$E$76,2,FALSE)</f>
        <v>Other</v>
      </c>
    </row>
    <row r="2983" spans="1:7" x14ac:dyDescent="0.25">
      <c r="A2983" t="s">
        <v>25</v>
      </c>
      <c r="B2983" s="1">
        <v>43103</v>
      </c>
      <c r="C2983" t="s">
        <v>55</v>
      </c>
      <c r="D2983">
        <v>2397.85</v>
      </c>
      <c r="E2983" s="12" t="str">
        <f>VLOOKUP(C2983,inf!$A$2:$B$7,2,FALSE)</f>
        <v>Current</v>
      </c>
      <c r="F2983" s="12" t="str">
        <f t="shared" si="47"/>
        <v>01/03/2018</v>
      </c>
      <c r="G2983" t="str">
        <f>VLOOKUP(A2983,inf!$D$2:$E$76,2,FALSE)</f>
        <v>Other</v>
      </c>
    </row>
    <row r="2984" spans="1:7" x14ac:dyDescent="0.25">
      <c r="A2984" t="s">
        <v>31</v>
      </c>
      <c r="B2984" s="1">
        <v>43103</v>
      </c>
      <c r="C2984" t="s">
        <v>60</v>
      </c>
      <c r="D2984">
        <v>153.15</v>
      </c>
      <c r="E2984" s="12" t="str">
        <f>VLOOKUP(C2984,inf!$A$2:$B$7,2,FALSE)</f>
        <v>Over 90</v>
      </c>
      <c r="F2984" s="12" t="str">
        <f t="shared" si="47"/>
        <v>01/03/2018</v>
      </c>
      <c r="G2984" t="str">
        <f>VLOOKUP(A2984,inf!$D$2:$E$76,2,FALSE)</f>
        <v>Other</v>
      </c>
    </row>
    <row r="2985" spans="1:7" x14ac:dyDescent="0.25">
      <c r="A2985" t="s">
        <v>24</v>
      </c>
      <c r="B2985" s="1">
        <v>43103</v>
      </c>
      <c r="C2985" t="s">
        <v>55</v>
      </c>
      <c r="D2985">
        <v>984.63</v>
      </c>
      <c r="E2985" s="12" t="str">
        <f>VLOOKUP(C2985,inf!$A$2:$B$7,2,FALSE)</f>
        <v>Current</v>
      </c>
      <c r="F2985" s="12" t="str">
        <f t="shared" si="47"/>
        <v>01/03/2018</v>
      </c>
      <c r="G2985" t="str">
        <f>VLOOKUP(A2985,inf!$D$2:$E$76,2,FALSE)</f>
        <v>Other</v>
      </c>
    </row>
    <row r="2986" spans="1:7" x14ac:dyDescent="0.25">
      <c r="A2986" t="s">
        <v>18</v>
      </c>
      <c r="B2986" s="1">
        <v>43103</v>
      </c>
      <c r="C2986" t="s">
        <v>55</v>
      </c>
      <c r="D2986">
        <v>114.85</v>
      </c>
      <c r="E2986" s="12" t="str">
        <f>VLOOKUP(C2986,inf!$A$2:$B$7,2,FALSE)</f>
        <v>Current</v>
      </c>
      <c r="F2986" s="12" t="str">
        <f t="shared" si="47"/>
        <v>01/03/2018</v>
      </c>
      <c r="G2986" t="str">
        <f>VLOOKUP(A2986,inf!$D$2:$E$76,2,FALSE)</f>
        <v>Other</v>
      </c>
    </row>
    <row r="2987" spans="1:7" x14ac:dyDescent="0.25">
      <c r="A2987" t="s">
        <v>27</v>
      </c>
      <c r="B2987" s="1">
        <v>43103</v>
      </c>
      <c r="C2987" t="s">
        <v>55</v>
      </c>
      <c r="D2987">
        <v>307.95</v>
      </c>
      <c r="E2987" s="12" t="str">
        <f>VLOOKUP(C2987,inf!$A$2:$B$7,2,FALSE)</f>
        <v>Current</v>
      </c>
      <c r="F2987" s="12" t="str">
        <f t="shared" si="47"/>
        <v>01/03/2018</v>
      </c>
      <c r="G2987" t="str">
        <f>VLOOKUP(A2987,inf!$D$2:$E$76,2,FALSE)</f>
        <v>Other</v>
      </c>
    </row>
    <row r="2988" spans="1:7" x14ac:dyDescent="0.25">
      <c r="A2988" t="s">
        <v>62</v>
      </c>
      <c r="B2988" s="1">
        <v>43103</v>
      </c>
      <c r="C2988" t="s">
        <v>55</v>
      </c>
      <c r="D2988">
        <v>206.72</v>
      </c>
      <c r="E2988" s="12" t="str">
        <f>VLOOKUP(C2988,inf!$A$2:$B$7,2,FALSE)</f>
        <v>Current</v>
      </c>
      <c r="F2988" s="12" t="str">
        <f t="shared" si="47"/>
        <v>01/03/2018</v>
      </c>
      <c r="G2988" t="str">
        <f>VLOOKUP(A2988,inf!$D$2:$E$76,2,FALSE)</f>
        <v>Other</v>
      </c>
    </row>
    <row r="2989" spans="1:7" x14ac:dyDescent="0.25">
      <c r="A2989" t="s">
        <v>62</v>
      </c>
      <c r="B2989" s="1">
        <v>43103</v>
      </c>
      <c r="C2989" t="s">
        <v>58</v>
      </c>
      <c r="D2989">
        <v>229.7</v>
      </c>
      <c r="E2989" s="12" t="str">
        <f>VLOOKUP(C2989,inf!$A$2:$B$7,2,FALSE)</f>
        <v>61 to 90</v>
      </c>
      <c r="F2989" s="12" t="str">
        <f t="shared" si="47"/>
        <v>01/03/2018</v>
      </c>
      <c r="G2989" t="str">
        <f>VLOOKUP(A2989,inf!$D$2:$E$76,2,FALSE)</f>
        <v>Other</v>
      </c>
    </row>
    <row r="2990" spans="1:7" x14ac:dyDescent="0.25">
      <c r="A2990" t="s">
        <v>62</v>
      </c>
      <c r="B2990" s="1">
        <v>43103</v>
      </c>
      <c r="C2990" t="s">
        <v>59</v>
      </c>
      <c r="D2990">
        <v>241.51</v>
      </c>
      <c r="E2990" s="12" t="str">
        <f>VLOOKUP(C2990,inf!$A$2:$B$7,2,FALSE)</f>
        <v>Over 90</v>
      </c>
      <c r="F2990" s="12" t="str">
        <f t="shared" si="47"/>
        <v>01/03/2018</v>
      </c>
      <c r="G2990" t="str">
        <f>VLOOKUP(A2990,inf!$D$2:$E$76,2,FALSE)</f>
        <v>Other</v>
      </c>
    </row>
    <row r="2991" spans="1:7" x14ac:dyDescent="0.25">
      <c r="A2991" t="s">
        <v>21</v>
      </c>
      <c r="B2991" s="1">
        <v>43103</v>
      </c>
      <c r="C2991" t="s">
        <v>56</v>
      </c>
      <c r="D2991">
        <v>287.13</v>
      </c>
      <c r="E2991" s="12" t="str">
        <f>VLOOKUP(C2991,inf!$A$2:$B$7,2,FALSE)</f>
        <v>Current</v>
      </c>
      <c r="F2991" s="12" t="str">
        <f t="shared" si="47"/>
        <v>01/03/2018</v>
      </c>
      <c r="G2991" t="str">
        <f>VLOOKUP(A2991,inf!$D$2:$E$76,2,FALSE)</f>
        <v>Other</v>
      </c>
    </row>
    <row r="2992" spans="1:7" x14ac:dyDescent="0.25">
      <c r="A2992" t="s">
        <v>21</v>
      </c>
      <c r="B2992" s="1">
        <v>43103</v>
      </c>
      <c r="C2992" t="s">
        <v>57</v>
      </c>
      <c r="D2992">
        <v>172.28</v>
      </c>
      <c r="E2992" s="12" t="str">
        <f>VLOOKUP(C2992,inf!$A$2:$B$7,2,FALSE)</f>
        <v>31 to 60</v>
      </c>
      <c r="F2992" s="12" t="str">
        <f t="shared" si="47"/>
        <v>01/03/2018</v>
      </c>
      <c r="G2992" t="str">
        <f>VLOOKUP(A2992,inf!$D$2:$E$76,2,FALSE)</f>
        <v>Other</v>
      </c>
    </row>
    <row r="2993" spans="1:7" x14ac:dyDescent="0.25">
      <c r="A2993" t="s">
        <v>53</v>
      </c>
      <c r="B2993" s="1">
        <v>43103</v>
      </c>
      <c r="C2993" t="s">
        <v>55</v>
      </c>
      <c r="D2993">
        <v>729.31999999999994</v>
      </c>
      <c r="E2993" s="12" t="str">
        <f>VLOOKUP(C2993,inf!$A$2:$B$7,2,FALSE)</f>
        <v>Current</v>
      </c>
      <c r="F2993" s="12" t="str">
        <f t="shared" si="47"/>
        <v>01/03/2018</v>
      </c>
      <c r="G2993" t="str">
        <f>VLOOKUP(A2993,inf!$D$2:$E$76,2,FALSE)</f>
        <v>Other</v>
      </c>
    </row>
    <row r="2994" spans="1:7" x14ac:dyDescent="0.25">
      <c r="A2994" t="s">
        <v>3</v>
      </c>
      <c r="B2994" s="1">
        <v>43103</v>
      </c>
      <c r="C2994" t="s">
        <v>55</v>
      </c>
      <c r="D2994">
        <v>523.66999999999996</v>
      </c>
      <c r="E2994" s="12" t="str">
        <f>VLOOKUP(C2994,inf!$A$2:$B$7,2,FALSE)</f>
        <v>Current</v>
      </c>
      <c r="F2994" s="12" t="str">
        <f t="shared" si="47"/>
        <v>01/03/2018</v>
      </c>
      <c r="G2994" t="str">
        <f>VLOOKUP(A2994,inf!$D$2:$E$76,2,FALSE)</f>
        <v>Other</v>
      </c>
    </row>
    <row r="2995" spans="1:7" x14ac:dyDescent="0.25">
      <c r="A2995" t="s">
        <v>3</v>
      </c>
      <c r="B2995" s="1">
        <v>43103</v>
      </c>
      <c r="C2995" t="s">
        <v>56</v>
      </c>
      <c r="D2995">
        <v>572.46</v>
      </c>
      <c r="E2995" s="12" t="str">
        <f>VLOOKUP(C2995,inf!$A$2:$B$7,2,FALSE)</f>
        <v>Current</v>
      </c>
      <c r="F2995" s="12" t="str">
        <f t="shared" si="47"/>
        <v>01/03/2018</v>
      </c>
      <c r="G2995" t="str">
        <f>VLOOKUP(A2995,inf!$D$2:$E$76,2,FALSE)</f>
        <v>Other</v>
      </c>
    </row>
    <row r="2996" spans="1:7" x14ac:dyDescent="0.25">
      <c r="A2996" t="s">
        <v>78</v>
      </c>
      <c r="B2996" s="1">
        <v>43103</v>
      </c>
      <c r="C2996" t="s">
        <v>55</v>
      </c>
      <c r="D2996">
        <v>1463.3600000000001</v>
      </c>
      <c r="E2996" s="12" t="str">
        <f>VLOOKUP(C2996,inf!$A$2:$B$7,2,FALSE)</f>
        <v>Current</v>
      </c>
      <c r="F2996" s="12" t="str">
        <f t="shared" si="47"/>
        <v>01/03/2018</v>
      </c>
      <c r="G2996" t="str">
        <f>VLOOKUP(A2996,inf!$D$2:$E$76,2,FALSE)</f>
        <v>Other</v>
      </c>
    </row>
    <row r="2997" spans="1:7" x14ac:dyDescent="0.25">
      <c r="A2997" t="s">
        <v>78</v>
      </c>
      <c r="B2997" s="1">
        <v>43103</v>
      </c>
      <c r="C2997" t="s">
        <v>56</v>
      </c>
      <c r="D2997">
        <v>312.61</v>
      </c>
      <c r="E2997" s="12" t="str">
        <f>VLOOKUP(C2997,inf!$A$2:$B$7,2,FALSE)</f>
        <v>Current</v>
      </c>
      <c r="F2997" s="12" t="str">
        <f t="shared" si="47"/>
        <v>01/03/2018</v>
      </c>
      <c r="G2997" t="str">
        <f>VLOOKUP(A2997,inf!$D$2:$E$76,2,FALSE)</f>
        <v>Other</v>
      </c>
    </row>
    <row r="2998" spans="1:7" x14ac:dyDescent="0.25">
      <c r="A2998" t="s">
        <v>78</v>
      </c>
      <c r="B2998" s="1">
        <v>43103</v>
      </c>
      <c r="C2998" t="s">
        <v>57</v>
      </c>
      <c r="D2998">
        <v>292.45999999999998</v>
      </c>
      <c r="E2998" s="12" t="str">
        <f>VLOOKUP(C2998,inf!$A$2:$B$7,2,FALSE)</f>
        <v>31 to 60</v>
      </c>
      <c r="F2998" s="12" t="str">
        <f t="shared" si="47"/>
        <v>01/03/2018</v>
      </c>
      <c r="G2998" t="str">
        <f>VLOOKUP(A2998,inf!$D$2:$E$76,2,FALSE)</f>
        <v>Other</v>
      </c>
    </row>
    <row r="2999" spans="1:7" x14ac:dyDescent="0.25">
      <c r="A2999" t="s">
        <v>30</v>
      </c>
      <c r="B2999" s="1">
        <v>43103</v>
      </c>
      <c r="C2999" t="s">
        <v>55</v>
      </c>
      <c r="D2999">
        <v>1715.99</v>
      </c>
      <c r="E2999" s="12" t="str">
        <f>VLOOKUP(C2999,inf!$A$2:$B$7,2,FALSE)</f>
        <v>Current</v>
      </c>
      <c r="F2999" s="12" t="str">
        <f t="shared" si="47"/>
        <v>01/03/2018</v>
      </c>
      <c r="G2999" t="str">
        <f>VLOOKUP(A2999,inf!$D$2:$E$76,2,FALSE)</f>
        <v>Other</v>
      </c>
    </row>
    <row r="3000" spans="1:7" x14ac:dyDescent="0.25">
      <c r="A3000" t="s">
        <v>30</v>
      </c>
      <c r="B3000" s="1">
        <v>43103</v>
      </c>
      <c r="C3000" t="s">
        <v>56</v>
      </c>
      <c r="D3000">
        <v>114.85</v>
      </c>
      <c r="E3000" s="12" t="str">
        <f>VLOOKUP(C3000,inf!$A$2:$B$7,2,FALSE)</f>
        <v>Current</v>
      </c>
      <c r="F3000" s="12" t="str">
        <f t="shared" si="47"/>
        <v>01/03/2018</v>
      </c>
      <c r="G3000" t="str">
        <f>VLOOKUP(A3000,inf!$D$2:$E$76,2,FALSE)</f>
        <v>Other</v>
      </c>
    </row>
    <row r="3001" spans="1:7" x14ac:dyDescent="0.25">
      <c r="A3001" t="s">
        <v>30</v>
      </c>
      <c r="B3001" s="1">
        <v>43103</v>
      </c>
      <c r="C3001" t="s">
        <v>57</v>
      </c>
      <c r="D3001">
        <v>232.39</v>
      </c>
      <c r="E3001" s="12" t="str">
        <f>VLOOKUP(C3001,inf!$A$2:$B$7,2,FALSE)</f>
        <v>31 to 60</v>
      </c>
      <c r="F3001" s="12" t="str">
        <f t="shared" si="47"/>
        <v>01/03/2018</v>
      </c>
      <c r="G3001" t="str">
        <f>VLOOKUP(A3001,inf!$D$2:$E$76,2,FALSE)</f>
        <v>Other</v>
      </c>
    </row>
    <row r="3002" spans="1:7" x14ac:dyDescent="0.25">
      <c r="A3002" t="s">
        <v>12</v>
      </c>
      <c r="B3002" s="1">
        <v>43103</v>
      </c>
      <c r="C3002" t="s">
        <v>55</v>
      </c>
      <c r="D3002">
        <v>632.85</v>
      </c>
      <c r="E3002" s="12" t="str">
        <f>VLOOKUP(C3002,inf!$A$2:$B$7,2,FALSE)</f>
        <v>Current</v>
      </c>
      <c r="F3002" s="12" t="str">
        <f t="shared" si="47"/>
        <v>01/03/2018</v>
      </c>
      <c r="G3002" t="str">
        <f>VLOOKUP(A3002,inf!$D$2:$E$76,2,FALSE)</f>
        <v>Other</v>
      </c>
    </row>
    <row r="3003" spans="1:7" x14ac:dyDescent="0.25">
      <c r="A3003" t="s">
        <v>50</v>
      </c>
      <c r="B3003" s="1">
        <v>43103</v>
      </c>
      <c r="C3003" t="s">
        <v>55</v>
      </c>
      <c r="D3003">
        <v>319.83999999999997</v>
      </c>
      <c r="E3003" s="12" t="str">
        <f>VLOOKUP(C3003,inf!$A$2:$B$7,2,FALSE)</f>
        <v>Current</v>
      </c>
      <c r="F3003" s="12" t="str">
        <f t="shared" si="47"/>
        <v>01/03/2018</v>
      </c>
      <c r="G3003" t="str">
        <f>VLOOKUP(A3003,inf!$D$2:$E$76,2,FALSE)</f>
        <v>Other</v>
      </c>
    </row>
    <row r="3004" spans="1:7" x14ac:dyDescent="0.25">
      <c r="A3004" t="s">
        <v>23</v>
      </c>
      <c r="B3004" s="1">
        <v>43103</v>
      </c>
      <c r="C3004" t="s">
        <v>57</v>
      </c>
      <c r="D3004">
        <v>250.61</v>
      </c>
      <c r="E3004" s="12" t="str">
        <f>VLOOKUP(C3004,inf!$A$2:$B$7,2,FALSE)</f>
        <v>31 to 60</v>
      </c>
      <c r="F3004" s="12" t="str">
        <f t="shared" si="47"/>
        <v>01/03/2018</v>
      </c>
      <c r="G3004" t="str">
        <f>VLOOKUP(A3004,inf!$D$2:$E$76,2,FALSE)</f>
        <v>Other</v>
      </c>
    </row>
    <row r="3005" spans="1:7" x14ac:dyDescent="0.25">
      <c r="A3005" t="s">
        <v>7</v>
      </c>
      <c r="B3005" s="1">
        <v>43103</v>
      </c>
      <c r="C3005" t="s">
        <v>55</v>
      </c>
      <c r="D3005">
        <v>98704.449999999924</v>
      </c>
      <c r="E3005" s="12" t="str">
        <f>VLOOKUP(C3005,inf!$A$2:$B$7,2,FALSE)</f>
        <v>Current</v>
      </c>
      <c r="F3005" s="12" t="str">
        <f t="shared" si="47"/>
        <v>01/03/2018</v>
      </c>
      <c r="G3005" t="str">
        <f>VLOOKUP(A3005,inf!$D$2:$E$76,2,FALSE)</f>
        <v>SAFEWAY</v>
      </c>
    </row>
    <row r="3006" spans="1:7" x14ac:dyDescent="0.25">
      <c r="A3006" t="s">
        <v>7</v>
      </c>
      <c r="B3006" s="1">
        <v>43103</v>
      </c>
      <c r="C3006" t="s">
        <v>56</v>
      </c>
      <c r="D3006">
        <v>24347.450000000004</v>
      </c>
      <c r="E3006" s="12" t="str">
        <f>VLOOKUP(C3006,inf!$A$2:$B$7,2,FALSE)</f>
        <v>Current</v>
      </c>
      <c r="F3006" s="12" t="str">
        <f t="shared" si="47"/>
        <v>01/03/2018</v>
      </c>
      <c r="G3006" t="str">
        <f>VLOOKUP(A3006,inf!$D$2:$E$76,2,FALSE)</f>
        <v>SAFEWAY</v>
      </c>
    </row>
    <row r="3007" spans="1:7" x14ac:dyDescent="0.25">
      <c r="A3007" t="s">
        <v>7</v>
      </c>
      <c r="B3007" s="1">
        <v>43103</v>
      </c>
      <c r="C3007" t="s">
        <v>57</v>
      </c>
      <c r="D3007">
        <v>12067.089999999998</v>
      </c>
      <c r="E3007" s="12" t="str">
        <f>VLOOKUP(C3007,inf!$A$2:$B$7,2,FALSE)</f>
        <v>31 to 60</v>
      </c>
      <c r="F3007" s="12" t="str">
        <f t="shared" si="47"/>
        <v>01/03/2018</v>
      </c>
      <c r="G3007" t="str">
        <f>VLOOKUP(A3007,inf!$D$2:$E$76,2,FALSE)</f>
        <v>SAFEWAY</v>
      </c>
    </row>
    <row r="3008" spans="1:7" x14ac:dyDescent="0.25">
      <c r="A3008" t="s">
        <v>7</v>
      </c>
      <c r="B3008" s="1">
        <v>43103</v>
      </c>
      <c r="C3008" t="s">
        <v>58</v>
      </c>
      <c r="D3008">
        <v>180.82</v>
      </c>
      <c r="E3008" s="12" t="str">
        <f>VLOOKUP(C3008,inf!$A$2:$B$7,2,FALSE)</f>
        <v>61 to 90</v>
      </c>
      <c r="F3008" s="12" t="str">
        <f t="shared" si="47"/>
        <v>01/03/2018</v>
      </c>
      <c r="G3008" t="str">
        <f>VLOOKUP(A3008,inf!$D$2:$E$76,2,FALSE)</f>
        <v>SAFEWAY</v>
      </c>
    </row>
    <row r="3009" spans="1:7" x14ac:dyDescent="0.25">
      <c r="A3009" t="s">
        <v>7</v>
      </c>
      <c r="B3009" s="1">
        <v>43103</v>
      </c>
      <c r="C3009" t="s">
        <v>59</v>
      </c>
      <c r="D3009">
        <v>803.33999999999992</v>
      </c>
      <c r="E3009" s="12" t="str">
        <f>VLOOKUP(C3009,inf!$A$2:$B$7,2,FALSE)</f>
        <v>Over 90</v>
      </c>
      <c r="F3009" s="12" t="str">
        <f t="shared" si="47"/>
        <v>01/03/2018</v>
      </c>
      <c r="G3009" t="str">
        <f>VLOOKUP(A3009,inf!$D$2:$E$76,2,FALSE)</f>
        <v>SAFEWAY</v>
      </c>
    </row>
    <row r="3010" spans="1:7" x14ac:dyDescent="0.25">
      <c r="A3010" t="s">
        <v>7</v>
      </c>
      <c r="B3010" s="1">
        <v>43103</v>
      </c>
      <c r="C3010" t="s">
        <v>60</v>
      </c>
      <c r="D3010">
        <v>334.41</v>
      </c>
      <c r="E3010" s="12" t="str">
        <f>VLOOKUP(C3010,inf!$A$2:$B$7,2,FALSE)</f>
        <v>Over 90</v>
      </c>
      <c r="F3010" s="12" t="str">
        <f t="shared" si="47"/>
        <v>01/03/2018</v>
      </c>
      <c r="G3010" t="str">
        <f>VLOOKUP(A3010,inf!$D$2:$E$76,2,FALSE)</f>
        <v>SAFEWAY</v>
      </c>
    </row>
    <row r="3011" spans="1:7" x14ac:dyDescent="0.25">
      <c r="A3011" t="s">
        <v>81</v>
      </c>
      <c r="B3011" s="1">
        <v>43103</v>
      </c>
      <c r="C3011" t="s">
        <v>55</v>
      </c>
      <c r="D3011">
        <v>174.98</v>
      </c>
      <c r="E3011" s="12" t="str">
        <f>VLOOKUP(C3011,inf!$A$2:$B$7,2,FALSE)</f>
        <v>Current</v>
      </c>
      <c r="F3011" s="12" t="str">
        <f t="shared" ref="F3011:F3074" si="48">TEXT(B3011,"MM/DD/YYYY")</f>
        <v>01/03/2018</v>
      </c>
      <c r="G3011" t="str">
        <f>VLOOKUP(A3011,inf!$D$2:$E$76,2,FALSE)</f>
        <v>Other</v>
      </c>
    </row>
    <row r="3012" spans="1:7" x14ac:dyDescent="0.25">
      <c r="A3012" t="s">
        <v>74</v>
      </c>
      <c r="B3012" s="1">
        <v>43103</v>
      </c>
      <c r="C3012" t="s">
        <v>59</v>
      </c>
      <c r="D3012">
        <v>742.26</v>
      </c>
      <c r="E3012" s="12" t="str">
        <f>VLOOKUP(C3012,inf!$A$2:$B$7,2,FALSE)</f>
        <v>Over 90</v>
      </c>
      <c r="F3012" s="12" t="str">
        <f t="shared" si="48"/>
        <v>01/03/2018</v>
      </c>
      <c r="G3012" t="str">
        <f>VLOOKUP(A3012,inf!$D$2:$E$76,2,FALSE)</f>
        <v>Other</v>
      </c>
    </row>
    <row r="3013" spans="1:7" x14ac:dyDescent="0.25">
      <c r="A3013" t="s">
        <v>5</v>
      </c>
      <c r="B3013" s="1">
        <v>43103</v>
      </c>
      <c r="C3013" t="s">
        <v>55</v>
      </c>
      <c r="D3013">
        <v>7565310.5599999223</v>
      </c>
      <c r="E3013" s="12" t="str">
        <f>VLOOKUP(C3013,inf!$A$2:$B$7,2,FALSE)</f>
        <v>Current</v>
      </c>
      <c r="F3013" s="12" t="str">
        <f t="shared" si="48"/>
        <v>01/03/2018</v>
      </c>
      <c r="G3013" t="str">
        <f>VLOOKUP(A3013,inf!$D$2:$E$76,2,FALSE)</f>
        <v>SBUX</v>
      </c>
    </row>
    <row r="3014" spans="1:7" x14ac:dyDescent="0.25">
      <c r="A3014" t="s">
        <v>5</v>
      </c>
      <c r="B3014" s="1">
        <v>43103</v>
      </c>
      <c r="C3014" t="s">
        <v>56</v>
      </c>
      <c r="D3014">
        <v>77855.280000000028</v>
      </c>
      <c r="E3014" s="12" t="str">
        <f>VLOOKUP(C3014,inf!$A$2:$B$7,2,FALSE)</f>
        <v>Current</v>
      </c>
      <c r="F3014" s="12" t="str">
        <f t="shared" si="48"/>
        <v>01/03/2018</v>
      </c>
      <c r="G3014" t="str">
        <f>VLOOKUP(A3014,inf!$D$2:$E$76,2,FALSE)</f>
        <v>SBUX</v>
      </c>
    </row>
    <row r="3015" spans="1:7" x14ac:dyDescent="0.25">
      <c r="A3015" t="s">
        <v>5</v>
      </c>
      <c r="B3015" s="1">
        <v>43103</v>
      </c>
      <c r="C3015" t="s">
        <v>57</v>
      </c>
      <c r="D3015">
        <v>65900.810000000012</v>
      </c>
      <c r="E3015" s="12" t="str">
        <f>VLOOKUP(C3015,inf!$A$2:$B$7,2,FALSE)</f>
        <v>31 to 60</v>
      </c>
      <c r="F3015" s="12" t="str">
        <f t="shared" si="48"/>
        <v>01/03/2018</v>
      </c>
      <c r="G3015" t="str">
        <f>VLOOKUP(A3015,inf!$D$2:$E$76,2,FALSE)</f>
        <v>SBUX</v>
      </c>
    </row>
    <row r="3016" spans="1:7" x14ac:dyDescent="0.25">
      <c r="A3016" t="s">
        <v>5</v>
      </c>
      <c r="B3016" s="1">
        <v>43103</v>
      </c>
      <c r="C3016" t="s">
        <v>58</v>
      </c>
      <c r="D3016">
        <v>18156.66</v>
      </c>
      <c r="E3016" s="12" t="str">
        <f>VLOOKUP(C3016,inf!$A$2:$B$7,2,FALSE)</f>
        <v>61 to 90</v>
      </c>
      <c r="F3016" s="12" t="str">
        <f t="shared" si="48"/>
        <v>01/03/2018</v>
      </c>
      <c r="G3016" t="str">
        <f>VLOOKUP(A3016,inf!$D$2:$E$76,2,FALSE)</f>
        <v>SBUX</v>
      </c>
    </row>
    <row r="3017" spans="1:7" x14ac:dyDescent="0.25">
      <c r="A3017" t="s">
        <v>5</v>
      </c>
      <c r="B3017" s="1">
        <v>43103</v>
      </c>
      <c r="C3017" t="s">
        <v>59</v>
      </c>
      <c r="D3017">
        <v>8429.5600000000013</v>
      </c>
      <c r="E3017" s="12" t="str">
        <f>VLOOKUP(C3017,inf!$A$2:$B$7,2,FALSE)</f>
        <v>Over 90</v>
      </c>
      <c r="F3017" s="12" t="str">
        <f t="shared" si="48"/>
        <v>01/03/2018</v>
      </c>
      <c r="G3017" t="str">
        <f>VLOOKUP(A3017,inf!$D$2:$E$76,2,FALSE)</f>
        <v>SBUX</v>
      </c>
    </row>
    <row r="3018" spans="1:7" x14ac:dyDescent="0.25">
      <c r="A3018" t="s">
        <v>5</v>
      </c>
      <c r="B3018" s="1">
        <v>43103</v>
      </c>
      <c r="C3018" t="s">
        <v>60</v>
      </c>
      <c r="D3018">
        <v>137434.08000000007</v>
      </c>
      <c r="E3018" s="12" t="str">
        <f>VLOOKUP(C3018,inf!$A$2:$B$7,2,FALSE)</f>
        <v>Over 90</v>
      </c>
      <c r="F3018" s="12" t="str">
        <f t="shared" si="48"/>
        <v>01/03/2018</v>
      </c>
      <c r="G3018" t="str">
        <f>VLOOKUP(A3018,inf!$D$2:$E$76,2,FALSE)</f>
        <v>SBUX</v>
      </c>
    </row>
    <row r="3019" spans="1:7" x14ac:dyDescent="0.25">
      <c r="A3019" t="s">
        <v>6</v>
      </c>
      <c r="B3019" s="1">
        <v>43103</v>
      </c>
      <c r="C3019" t="s">
        <v>55</v>
      </c>
      <c r="D3019">
        <v>721911.37999999372</v>
      </c>
      <c r="E3019" s="12" t="str">
        <f>VLOOKUP(C3019,inf!$A$2:$B$7,2,FALSE)</f>
        <v>Current</v>
      </c>
      <c r="F3019" s="12" t="str">
        <f t="shared" si="48"/>
        <v>01/03/2018</v>
      </c>
      <c r="G3019" t="str">
        <f>VLOOKUP(A3019,inf!$D$2:$E$76,2,FALSE)</f>
        <v>SBUX</v>
      </c>
    </row>
    <row r="3020" spans="1:7" x14ac:dyDescent="0.25">
      <c r="A3020" t="s">
        <v>6</v>
      </c>
      <c r="B3020" s="1">
        <v>43103</v>
      </c>
      <c r="C3020" t="s">
        <v>56</v>
      </c>
      <c r="D3020">
        <v>3080.08</v>
      </c>
      <c r="E3020" s="12" t="str">
        <f>VLOOKUP(C3020,inf!$A$2:$B$7,2,FALSE)</f>
        <v>Current</v>
      </c>
      <c r="F3020" s="12" t="str">
        <f t="shared" si="48"/>
        <v>01/03/2018</v>
      </c>
      <c r="G3020" t="str">
        <f>VLOOKUP(A3020,inf!$D$2:$E$76,2,FALSE)</f>
        <v>SBUX</v>
      </c>
    </row>
    <row r="3021" spans="1:7" x14ac:dyDescent="0.25">
      <c r="A3021" t="s">
        <v>6</v>
      </c>
      <c r="B3021" s="1">
        <v>43103</v>
      </c>
      <c r="C3021" t="s">
        <v>57</v>
      </c>
      <c r="D3021">
        <v>603.47000000000014</v>
      </c>
      <c r="E3021" s="12" t="str">
        <f>VLOOKUP(C3021,inf!$A$2:$B$7,2,FALSE)</f>
        <v>31 to 60</v>
      </c>
      <c r="F3021" s="12" t="str">
        <f t="shared" si="48"/>
        <v>01/03/2018</v>
      </c>
      <c r="G3021" t="str">
        <f>VLOOKUP(A3021,inf!$D$2:$E$76,2,FALSE)</f>
        <v>SBUX</v>
      </c>
    </row>
    <row r="3022" spans="1:7" x14ac:dyDescent="0.25">
      <c r="A3022" t="s">
        <v>6</v>
      </c>
      <c r="B3022" s="1">
        <v>43103</v>
      </c>
      <c r="C3022" t="s">
        <v>58</v>
      </c>
      <c r="D3022">
        <v>2207.2700000000004</v>
      </c>
      <c r="E3022" s="12" t="str">
        <f>VLOOKUP(C3022,inf!$A$2:$B$7,2,FALSE)</f>
        <v>61 to 90</v>
      </c>
      <c r="F3022" s="12" t="str">
        <f t="shared" si="48"/>
        <v>01/03/2018</v>
      </c>
      <c r="G3022" t="str">
        <f>VLOOKUP(A3022,inf!$D$2:$E$76,2,FALSE)</f>
        <v>SBUX</v>
      </c>
    </row>
    <row r="3023" spans="1:7" x14ac:dyDescent="0.25">
      <c r="A3023" t="s">
        <v>6</v>
      </c>
      <c r="B3023" s="1">
        <v>43103</v>
      </c>
      <c r="C3023" t="s">
        <v>59</v>
      </c>
      <c r="D3023">
        <v>1174.94</v>
      </c>
      <c r="E3023" s="12" t="str">
        <f>VLOOKUP(C3023,inf!$A$2:$B$7,2,FALSE)</f>
        <v>Over 90</v>
      </c>
      <c r="F3023" s="12" t="str">
        <f t="shared" si="48"/>
        <v>01/03/2018</v>
      </c>
      <c r="G3023" t="str">
        <f>VLOOKUP(A3023,inf!$D$2:$E$76,2,FALSE)</f>
        <v>SBUX</v>
      </c>
    </row>
    <row r="3024" spans="1:7" x14ac:dyDescent="0.25">
      <c r="A3024" t="s">
        <v>6</v>
      </c>
      <c r="B3024" s="1">
        <v>43103</v>
      </c>
      <c r="C3024" t="s">
        <v>60</v>
      </c>
      <c r="D3024">
        <v>9667.73</v>
      </c>
      <c r="E3024" s="12" t="str">
        <f>VLOOKUP(C3024,inf!$A$2:$B$7,2,FALSE)</f>
        <v>Over 90</v>
      </c>
      <c r="F3024" s="12" t="str">
        <f t="shared" si="48"/>
        <v>01/03/2018</v>
      </c>
      <c r="G3024" t="str">
        <f>VLOOKUP(A3024,inf!$D$2:$E$76,2,FALSE)</f>
        <v>SBUX</v>
      </c>
    </row>
    <row r="3025" spans="1:7" x14ac:dyDescent="0.25">
      <c r="A3025" t="s">
        <v>48</v>
      </c>
      <c r="B3025" s="1">
        <v>43103</v>
      </c>
      <c r="C3025" t="s">
        <v>55</v>
      </c>
      <c r="D3025">
        <v>348833.62</v>
      </c>
      <c r="E3025" s="12" t="str">
        <f>VLOOKUP(C3025,inf!$A$2:$B$7,2,FALSE)</f>
        <v>Current</v>
      </c>
      <c r="F3025" s="12" t="str">
        <f t="shared" si="48"/>
        <v>01/03/2018</v>
      </c>
      <c r="G3025" t="str">
        <f>VLOOKUP(A3025,inf!$D$2:$E$76,2,FALSE)</f>
        <v>Target</v>
      </c>
    </row>
    <row r="3026" spans="1:7" x14ac:dyDescent="0.25">
      <c r="A3026" t="s">
        <v>48</v>
      </c>
      <c r="B3026" s="1">
        <v>43103</v>
      </c>
      <c r="C3026" t="s">
        <v>56</v>
      </c>
      <c r="D3026">
        <v>113997.08999999998</v>
      </c>
      <c r="E3026" s="12" t="str">
        <f>VLOOKUP(C3026,inf!$A$2:$B$7,2,FALSE)</f>
        <v>Current</v>
      </c>
      <c r="F3026" s="12" t="str">
        <f t="shared" si="48"/>
        <v>01/03/2018</v>
      </c>
      <c r="G3026" t="str">
        <f>VLOOKUP(A3026,inf!$D$2:$E$76,2,FALSE)</f>
        <v>Target</v>
      </c>
    </row>
    <row r="3027" spans="1:7" x14ac:dyDescent="0.25">
      <c r="A3027" t="s">
        <v>48</v>
      </c>
      <c r="B3027" s="1">
        <v>43103</v>
      </c>
      <c r="C3027" t="s">
        <v>57</v>
      </c>
      <c r="D3027">
        <v>30762.3</v>
      </c>
      <c r="E3027" s="12" t="str">
        <f>VLOOKUP(C3027,inf!$A$2:$B$7,2,FALSE)</f>
        <v>31 to 60</v>
      </c>
      <c r="F3027" s="12" t="str">
        <f t="shared" si="48"/>
        <v>01/03/2018</v>
      </c>
      <c r="G3027" t="str">
        <f>VLOOKUP(A3027,inf!$D$2:$E$76,2,FALSE)</f>
        <v>Target</v>
      </c>
    </row>
    <row r="3028" spans="1:7" x14ac:dyDescent="0.25">
      <c r="A3028" t="s">
        <v>48</v>
      </c>
      <c r="B3028" s="1">
        <v>43103</v>
      </c>
      <c r="C3028" t="s">
        <v>58</v>
      </c>
      <c r="D3028">
        <v>2101.85</v>
      </c>
      <c r="E3028" s="12" t="str">
        <f>VLOOKUP(C3028,inf!$A$2:$B$7,2,FALSE)</f>
        <v>61 to 90</v>
      </c>
      <c r="F3028" s="12" t="str">
        <f t="shared" si="48"/>
        <v>01/03/2018</v>
      </c>
      <c r="G3028" t="str">
        <f>VLOOKUP(A3028,inf!$D$2:$E$76,2,FALSE)</f>
        <v>Target</v>
      </c>
    </row>
    <row r="3029" spans="1:7" x14ac:dyDescent="0.25">
      <c r="A3029" t="s">
        <v>48</v>
      </c>
      <c r="B3029" s="1">
        <v>43103</v>
      </c>
      <c r="C3029" t="s">
        <v>59</v>
      </c>
      <c r="D3029">
        <v>3142.46</v>
      </c>
      <c r="E3029" s="12" t="str">
        <f>VLOOKUP(C3029,inf!$A$2:$B$7,2,FALSE)</f>
        <v>Over 90</v>
      </c>
      <c r="F3029" s="12" t="str">
        <f t="shared" si="48"/>
        <v>01/03/2018</v>
      </c>
      <c r="G3029" t="str">
        <f>VLOOKUP(A3029,inf!$D$2:$E$76,2,FALSE)</f>
        <v>Target</v>
      </c>
    </row>
    <row r="3030" spans="1:7" x14ac:dyDescent="0.25">
      <c r="A3030" t="s">
        <v>48</v>
      </c>
      <c r="B3030" s="1">
        <v>43103</v>
      </c>
      <c r="C3030" t="s">
        <v>60</v>
      </c>
      <c r="D3030">
        <v>1038.5700000000002</v>
      </c>
      <c r="E3030" s="12" t="str">
        <f>VLOOKUP(C3030,inf!$A$2:$B$7,2,FALSE)</f>
        <v>Over 90</v>
      </c>
      <c r="F3030" s="12" t="str">
        <f t="shared" si="48"/>
        <v>01/03/2018</v>
      </c>
      <c r="G3030" t="str">
        <f>VLOOKUP(A3030,inf!$D$2:$E$76,2,FALSE)</f>
        <v>Target</v>
      </c>
    </row>
    <row r="3031" spans="1:7" x14ac:dyDescent="0.25">
      <c r="A3031" t="s">
        <v>8</v>
      </c>
      <c r="B3031" s="1">
        <v>43103</v>
      </c>
      <c r="C3031" t="s">
        <v>55</v>
      </c>
      <c r="D3031">
        <v>457326.87999999954</v>
      </c>
      <c r="E3031" s="12" t="str">
        <f>VLOOKUP(C3031,inf!$A$2:$B$7,2,FALSE)</f>
        <v>Current</v>
      </c>
      <c r="F3031" s="12" t="str">
        <f t="shared" si="48"/>
        <v>01/03/2018</v>
      </c>
      <c r="G3031" t="str">
        <f>VLOOKUP(A3031,inf!$D$2:$E$76,2,FALSE)</f>
        <v>Target</v>
      </c>
    </row>
    <row r="3032" spans="1:7" x14ac:dyDescent="0.25">
      <c r="A3032" t="s">
        <v>8</v>
      </c>
      <c r="B3032" s="1">
        <v>43103</v>
      </c>
      <c r="C3032" t="s">
        <v>56</v>
      </c>
      <c r="D3032">
        <v>75341.73000000001</v>
      </c>
      <c r="E3032" s="12" t="str">
        <f>VLOOKUP(C3032,inf!$A$2:$B$7,2,FALSE)</f>
        <v>Current</v>
      </c>
      <c r="F3032" s="12" t="str">
        <f t="shared" si="48"/>
        <v>01/03/2018</v>
      </c>
      <c r="G3032" t="str">
        <f>VLOOKUP(A3032,inf!$D$2:$E$76,2,FALSE)</f>
        <v>Target</v>
      </c>
    </row>
    <row r="3033" spans="1:7" x14ac:dyDescent="0.25">
      <c r="A3033" t="s">
        <v>8</v>
      </c>
      <c r="B3033" s="1">
        <v>43103</v>
      </c>
      <c r="C3033" t="s">
        <v>57</v>
      </c>
      <c r="D3033">
        <v>51402.49</v>
      </c>
      <c r="E3033" s="12" t="str">
        <f>VLOOKUP(C3033,inf!$A$2:$B$7,2,FALSE)</f>
        <v>31 to 60</v>
      </c>
      <c r="F3033" s="12" t="str">
        <f t="shared" si="48"/>
        <v>01/03/2018</v>
      </c>
      <c r="G3033" t="str">
        <f>VLOOKUP(A3033,inf!$D$2:$E$76,2,FALSE)</f>
        <v>Target</v>
      </c>
    </row>
    <row r="3034" spans="1:7" x14ac:dyDescent="0.25">
      <c r="A3034" t="s">
        <v>8</v>
      </c>
      <c r="B3034" s="1">
        <v>43103</v>
      </c>
      <c r="C3034" t="s">
        <v>58</v>
      </c>
      <c r="D3034">
        <v>10025.800000000001</v>
      </c>
      <c r="E3034" s="12" t="str">
        <f>VLOOKUP(C3034,inf!$A$2:$B$7,2,FALSE)</f>
        <v>61 to 90</v>
      </c>
      <c r="F3034" s="12" t="str">
        <f t="shared" si="48"/>
        <v>01/03/2018</v>
      </c>
      <c r="G3034" t="str">
        <f>VLOOKUP(A3034,inf!$D$2:$E$76,2,FALSE)</f>
        <v>Target</v>
      </c>
    </row>
    <row r="3035" spans="1:7" x14ac:dyDescent="0.25">
      <c r="A3035" t="s">
        <v>8</v>
      </c>
      <c r="B3035" s="1">
        <v>43103</v>
      </c>
      <c r="C3035" t="s">
        <v>59</v>
      </c>
      <c r="D3035">
        <v>6408.4599999999991</v>
      </c>
      <c r="E3035" s="12" t="str">
        <f>VLOOKUP(C3035,inf!$A$2:$B$7,2,FALSE)</f>
        <v>Over 90</v>
      </c>
      <c r="F3035" s="12" t="str">
        <f t="shared" si="48"/>
        <v>01/03/2018</v>
      </c>
      <c r="G3035" t="str">
        <f>VLOOKUP(A3035,inf!$D$2:$E$76,2,FALSE)</f>
        <v>Target</v>
      </c>
    </row>
    <row r="3036" spans="1:7" x14ac:dyDescent="0.25">
      <c r="A3036" t="s">
        <v>8</v>
      </c>
      <c r="B3036" s="1">
        <v>43103</v>
      </c>
      <c r="C3036" t="s">
        <v>60</v>
      </c>
      <c r="D3036">
        <v>17587.189999999999</v>
      </c>
      <c r="E3036" s="12" t="str">
        <f>VLOOKUP(C3036,inf!$A$2:$B$7,2,FALSE)</f>
        <v>Over 90</v>
      </c>
      <c r="F3036" s="12" t="str">
        <f t="shared" si="48"/>
        <v>01/03/2018</v>
      </c>
      <c r="G3036" t="str">
        <f>VLOOKUP(A3036,inf!$D$2:$E$76,2,FALSE)</f>
        <v>Target</v>
      </c>
    </row>
    <row r="3037" spans="1:7" x14ac:dyDescent="0.25">
      <c r="A3037" t="s">
        <v>54</v>
      </c>
      <c r="B3037" s="1">
        <v>43103</v>
      </c>
      <c r="C3037" t="s">
        <v>59</v>
      </c>
      <c r="D3037">
        <v>245.44</v>
      </c>
      <c r="E3037" s="12" t="str">
        <f>VLOOKUP(C3037,inf!$A$2:$B$7,2,FALSE)</f>
        <v>Over 90</v>
      </c>
      <c r="F3037" s="12" t="str">
        <f t="shared" si="48"/>
        <v>01/03/2018</v>
      </c>
      <c r="G3037" t="str">
        <f>VLOOKUP(A3037,inf!$D$2:$E$76,2,FALSE)</f>
        <v>Other</v>
      </c>
    </row>
    <row r="3038" spans="1:7" x14ac:dyDescent="0.25">
      <c r="A3038" t="s">
        <v>28</v>
      </c>
      <c r="B3038" s="1">
        <v>43103</v>
      </c>
      <c r="C3038" t="s">
        <v>55</v>
      </c>
      <c r="D3038">
        <v>5926.5400000000009</v>
      </c>
      <c r="E3038" s="12" t="str">
        <f>VLOOKUP(C3038,inf!$A$2:$B$7,2,FALSE)</f>
        <v>Current</v>
      </c>
      <c r="F3038" s="12" t="str">
        <f t="shared" si="48"/>
        <v>01/03/2018</v>
      </c>
      <c r="G3038" t="str">
        <f>VLOOKUP(A3038,inf!$D$2:$E$76,2,FALSE)</f>
        <v>Other</v>
      </c>
    </row>
    <row r="3039" spans="1:7" x14ac:dyDescent="0.25">
      <c r="A3039" t="s">
        <v>28</v>
      </c>
      <c r="B3039" s="1">
        <v>43103</v>
      </c>
      <c r="C3039" t="s">
        <v>56</v>
      </c>
      <c r="D3039">
        <v>4970.3899999999994</v>
      </c>
      <c r="E3039" s="12" t="str">
        <f>VLOOKUP(C3039,inf!$A$2:$B$7,2,FALSE)</f>
        <v>Current</v>
      </c>
      <c r="F3039" s="12" t="str">
        <f t="shared" si="48"/>
        <v>01/03/2018</v>
      </c>
      <c r="G3039" t="str">
        <f>VLOOKUP(A3039,inf!$D$2:$E$76,2,FALSE)</f>
        <v>Other</v>
      </c>
    </row>
    <row r="3040" spans="1:7" x14ac:dyDescent="0.25">
      <c r="A3040" t="s">
        <v>28</v>
      </c>
      <c r="B3040" s="1">
        <v>43103</v>
      </c>
      <c r="C3040" t="s">
        <v>57</v>
      </c>
      <c r="D3040">
        <v>407.15999999999997</v>
      </c>
      <c r="E3040" s="12" t="str">
        <f>VLOOKUP(C3040,inf!$A$2:$B$7,2,FALSE)</f>
        <v>31 to 60</v>
      </c>
      <c r="F3040" s="12" t="str">
        <f t="shared" si="48"/>
        <v>01/03/2018</v>
      </c>
      <c r="G3040" t="str">
        <f>VLOOKUP(A3040,inf!$D$2:$E$76,2,FALSE)</f>
        <v>Other</v>
      </c>
    </row>
    <row r="3041" spans="1:7" x14ac:dyDescent="0.25">
      <c r="A3041" t="s">
        <v>15</v>
      </c>
      <c r="B3041" s="1">
        <v>43103</v>
      </c>
      <c r="C3041" t="s">
        <v>60</v>
      </c>
      <c r="D3041">
        <v>291.60000000000002</v>
      </c>
      <c r="E3041" s="12" t="str">
        <f>VLOOKUP(C3041,inf!$A$2:$B$7,2,FALSE)</f>
        <v>Over 90</v>
      </c>
      <c r="F3041" s="12" t="str">
        <f t="shared" si="48"/>
        <v>01/03/2018</v>
      </c>
      <c r="G3041" t="str">
        <f>VLOOKUP(A3041,inf!$D$2:$E$76,2,FALSE)</f>
        <v>Other</v>
      </c>
    </row>
    <row r="3042" spans="1:7" x14ac:dyDescent="0.25">
      <c r="A3042" t="s">
        <v>22</v>
      </c>
      <c r="B3042" s="1">
        <v>43096</v>
      </c>
      <c r="C3042" t="s">
        <v>55</v>
      </c>
      <c r="D3042" s="4">
        <v>586.51</v>
      </c>
      <c r="E3042" s="12" t="str">
        <f>VLOOKUP(C3042,inf!$A$2:$B$7,2,FALSE)</f>
        <v>Current</v>
      </c>
      <c r="F3042" s="12" t="str">
        <f t="shared" si="48"/>
        <v>12/27/2017</v>
      </c>
      <c r="G3042" t="str">
        <f>VLOOKUP(A3042,inf!$D$2:$E$76,2,FALSE)</f>
        <v>Other</v>
      </c>
    </row>
    <row r="3043" spans="1:7" x14ac:dyDescent="0.25">
      <c r="A3043" t="s">
        <v>80</v>
      </c>
      <c r="B3043" s="1">
        <v>43096</v>
      </c>
      <c r="C3043" t="s">
        <v>55</v>
      </c>
      <c r="D3043" s="4">
        <v>262.01</v>
      </c>
      <c r="E3043" s="12" t="str">
        <f>VLOOKUP(C3043,inf!$A$2:$B$7,2,FALSE)</f>
        <v>Current</v>
      </c>
      <c r="F3043" s="12" t="str">
        <f t="shared" si="48"/>
        <v>12/27/2017</v>
      </c>
      <c r="G3043" t="str">
        <f>VLOOKUP(A3043,inf!$D$2:$E$76,2,FALSE)</f>
        <v>Other</v>
      </c>
    </row>
    <row r="3044" spans="1:7" x14ac:dyDescent="0.25">
      <c r="A3044" t="s">
        <v>4</v>
      </c>
      <c r="B3044" s="1">
        <v>43096</v>
      </c>
      <c r="C3044" t="s">
        <v>55</v>
      </c>
      <c r="D3044" s="4">
        <v>4637.42</v>
      </c>
      <c r="E3044" s="12" t="str">
        <f>VLOOKUP(C3044,inf!$A$2:$B$7,2,FALSE)</f>
        <v>Current</v>
      </c>
      <c r="F3044" s="12" t="str">
        <f t="shared" si="48"/>
        <v>12/27/2017</v>
      </c>
      <c r="G3044" t="str">
        <f>VLOOKUP(A3044,inf!$D$2:$E$76,2,FALSE)</f>
        <v>Other</v>
      </c>
    </row>
    <row r="3045" spans="1:7" x14ac:dyDescent="0.25">
      <c r="A3045" t="s">
        <v>4</v>
      </c>
      <c r="B3045" s="1">
        <v>43096</v>
      </c>
      <c r="C3045" t="s">
        <v>56</v>
      </c>
      <c r="D3045" s="4">
        <v>3780.55</v>
      </c>
      <c r="E3045" s="12" t="str">
        <f>VLOOKUP(C3045,inf!$A$2:$B$7,2,FALSE)</f>
        <v>Current</v>
      </c>
      <c r="F3045" s="12" t="str">
        <f t="shared" si="48"/>
        <v>12/27/2017</v>
      </c>
      <c r="G3045" t="str">
        <f>VLOOKUP(A3045,inf!$D$2:$E$76,2,FALSE)</f>
        <v>Other</v>
      </c>
    </row>
    <row r="3046" spans="1:7" x14ac:dyDescent="0.25">
      <c r="A3046" t="s">
        <v>4</v>
      </c>
      <c r="B3046" s="1">
        <v>43096</v>
      </c>
      <c r="C3046" t="s">
        <v>57</v>
      </c>
      <c r="D3046" s="4">
        <v>526.84</v>
      </c>
      <c r="E3046" s="12" t="str">
        <f>VLOOKUP(C3046,inf!$A$2:$B$7,2,FALSE)</f>
        <v>31 to 60</v>
      </c>
      <c r="F3046" s="12" t="str">
        <f t="shared" si="48"/>
        <v>12/27/2017</v>
      </c>
      <c r="G3046" t="str">
        <f>VLOOKUP(A3046,inf!$D$2:$E$76,2,FALSE)</f>
        <v>Other</v>
      </c>
    </row>
    <row r="3047" spans="1:7" x14ac:dyDescent="0.25">
      <c r="A3047" t="s">
        <v>77</v>
      </c>
      <c r="B3047" s="1">
        <v>43096</v>
      </c>
      <c r="C3047" t="s">
        <v>55</v>
      </c>
      <c r="D3047" s="4">
        <v>834.05</v>
      </c>
      <c r="E3047" s="12" t="str">
        <f>VLOOKUP(C3047,inf!$A$2:$B$7,2,FALSE)</f>
        <v>Current</v>
      </c>
      <c r="F3047" s="12" t="str">
        <f t="shared" si="48"/>
        <v>12/27/2017</v>
      </c>
      <c r="G3047" t="str">
        <f>VLOOKUP(A3047,inf!$D$2:$E$76,2,FALSE)</f>
        <v>Other</v>
      </c>
    </row>
    <row r="3048" spans="1:7" x14ac:dyDescent="0.25">
      <c r="A3048" t="s">
        <v>11</v>
      </c>
      <c r="B3048" s="1">
        <v>43096</v>
      </c>
      <c r="C3048" t="s">
        <v>55</v>
      </c>
      <c r="D3048" s="4">
        <v>331.6</v>
      </c>
      <c r="E3048" s="12" t="str">
        <f>VLOOKUP(C3048,inf!$A$2:$B$7,2,FALSE)</f>
        <v>Current</v>
      </c>
      <c r="F3048" s="12" t="str">
        <f t="shared" si="48"/>
        <v>12/27/2017</v>
      </c>
      <c r="G3048" t="str">
        <f>VLOOKUP(A3048,inf!$D$2:$E$76,2,FALSE)</f>
        <v>Other</v>
      </c>
    </row>
    <row r="3049" spans="1:7" x14ac:dyDescent="0.25">
      <c r="A3049" t="s">
        <v>25</v>
      </c>
      <c r="B3049" s="1">
        <v>43096</v>
      </c>
      <c r="C3049" t="s">
        <v>55</v>
      </c>
      <c r="D3049" s="4">
        <v>2397.85</v>
      </c>
      <c r="E3049" s="12" t="str">
        <f>VLOOKUP(C3049,inf!$A$2:$B$7,2,FALSE)</f>
        <v>Current</v>
      </c>
      <c r="F3049" s="12" t="str">
        <f t="shared" si="48"/>
        <v>12/27/2017</v>
      </c>
      <c r="G3049" t="str">
        <f>VLOOKUP(A3049,inf!$D$2:$E$76,2,FALSE)</f>
        <v>Other</v>
      </c>
    </row>
    <row r="3050" spans="1:7" x14ac:dyDescent="0.25">
      <c r="A3050" t="s">
        <v>31</v>
      </c>
      <c r="B3050" s="1">
        <v>43096</v>
      </c>
      <c r="C3050" t="s">
        <v>58</v>
      </c>
      <c r="D3050" s="4">
        <v>539.82999999999993</v>
      </c>
      <c r="E3050" s="12" t="str">
        <f>VLOOKUP(C3050,inf!$A$2:$B$7,2,FALSE)</f>
        <v>61 to 90</v>
      </c>
      <c r="F3050" s="12" t="str">
        <f t="shared" si="48"/>
        <v>12/27/2017</v>
      </c>
      <c r="G3050" t="str">
        <f>VLOOKUP(A3050,inf!$D$2:$E$76,2,FALSE)</f>
        <v>Other</v>
      </c>
    </row>
    <row r="3051" spans="1:7" x14ac:dyDescent="0.25">
      <c r="A3051" t="s">
        <v>31</v>
      </c>
      <c r="B3051" s="1">
        <v>43096</v>
      </c>
      <c r="C3051" t="s">
        <v>59</v>
      </c>
      <c r="D3051" s="4">
        <v>296.71000000000004</v>
      </c>
      <c r="E3051" s="12" t="str">
        <f>VLOOKUP(C3051,inf!$A$2:$B$7,2,FALSE)</f>
        <v>Over 90</v>
      </c>
      <c r="F3051" s="12" t="str">
        <f t="shared" si="48"/>
        <v>12/27/2017</v>
      </c>
      <c r="G3051" t="str">
        <f>VLOOKUP(A3051,inf!$D$2:$E$76,2,FALSE)</f>
        <v>Other</v>
      </c>
    </row>
    <row r="3052" spans="1:7" x14ac:dyDescent="0.25">
      <c r="A3052" t="s">
        <v>24</v>
      </c>
      <c r="B3052" s="1">
        <v>43096</v>
      </c>
      <c r="C3052" t="s">
        <v>55</v>
      </c>
      <c r="D3052" s="4">
        <v>229.7</v>
      </c>
      <c r="E3052" s="12" t="str">
        <f>VLOOKUP(C3052,inf!$A$2:$B$7,2,FALSE)</f>
        <v>Current</v>
      </c>
      <c r="F3052" s="12" t="str">
        <f t="shared" si="48"/>
        <v>12/27/2017</v>
      </c>
      <c r="G3052" t="str">
        <f>VLOOKUP(A3052,inf!$D$2:$E$76,2,FALSE)</f>
        <v>Other</v>
      </c>
    </row>
    <row r="3053" spans="1:7" x14ac:dyDescent="0.25">
      <c r="A3053" t="s">
        <v>27</v>
      </c>
      <c r="B3053" s="1">
        <v>43096</v>
      </c>
      <c r="C3053" t="s">
        <v>55</v>
      </c>
      <c r="D3053" s="4">
        <v>1210.7</v>
      </c>
      <c r="E3053" s="12" t="str">
        <f>VLOOKUP(C3053,inf!$A$2:$B$7,2,FALSE)</f>
        <v>Current</v>
      </c>
      <c r="F3053" s="12" t="str">
        <f t="shared" si="48"/>
        <v>12/27/2017</v>
      </c>
      <c r="G3053" t="str">
        <f>VLOOKUP(A3053,inf!$D$2:$E$76,2,FALSE)</f>
        <v>Other</v>
      </c>
    </row>
    <row r="3054" spans="1:7" x14ac:dyDescent="0.25">
      <c r="A3054" t="s">
        <v>62</v>
      </c>
      <c r="B3054" s="1">
        <v>43096</v>
      </c>
      <c r="C3054" t="s">
        <v>58</v>
      </c>
      <c r="D3054" s="4">
        <v>229.7</v>
      </c>
      <c r="E3054" s="12" t="str">
        <f>VLOOKUP(C3054,inf!$A$2:$B$7,2,FALSE)</f>
        <v>61 to 90</v>
      </c>
      <c r="F3054" s="12" t="str">
        <f t="shared" si="48"/>
        <v>12/27/2017</v>
      </c>
      <c r="G3054" t="str">
        <f>VLOOKUP(A3054,inf!$D$2:$E$76,2,FALSE)</f>
        <v>Other</v>
      </c>
    </row>
    <row r="3055" spans="1:7" x14ac:dyDescent="0.25">
      <c r="A3055" t="s">
        <v>62</v>
      </c>
      <c r="B3055" s="1">
        <v>43096</v>
      </c>
      <c r="C3055" t="s">
        <v>59</v>
      </c>
      <c r="D3055" s="4">
        <v>241.51</v>
      </c>
      <c r="E3055" s="12" t="str">
        <f>VLOOKUP(C3055,inf!$A$2:$B$7,2,FALSE)</f>
        <v>Over 90</v>
      </c>
      <c r="F3055" s="12" t="str">
        <f t="shared" si="48"/>
        <v>12/27/2017</v>
      </c>
      <c r="G3055" t="str">
        <f>VLOOKUP(A3055,inf!$D$2:$E$76,2,FALSE)</f>
        <v>Other</v>
      </c>
    </row>
    <row r="3056" spans="1:7" x14ac:dyDescent="0.25">
      <c r="A3056" t="s">
        <v>21</v>
      </c>
      <c r="B3056" s="1">
        <v>43096</v>
      </c>
      <c r="C3056" t="s">
        <v>55</v>
      </c>
      <c r="D3056" s="4">
        <v>287.13</v>
      </c>
      <c r="E3056" s="12" t="str">
        <f>VLOOKUP(C3056,inf!$A$2:$B$7,2,FALSE)</f>
        <v>Current</v>
      </c>
      <c r="F3056" s="12" t="str">
        <f t="shared" si="48"/>
        <v>12/27/2017</v>
      </c>
      <c r="G3056" t="str">
        <f>VLOOKUP(A3056,inf!$D$2:$E$76,2,FALSE)</f>
        <v>Other</v>
      </c>
    </row>
    <row r="3057" spans="1:7" x14ac:dyDescent="0.25">
      <c r="A3057" t="s">
        <v>21</v>
      </c>
      <c r="B3057" s="1">
        <v>43096</v>
      </c>
      <c r="C3057" t="s">
        <v>57</v>
      </c>
      <c r="D3057" s="4">
        <v>172.28</v>
      </c>
      <c r="E3057" s="12" t="str">
        <f>VLOOKUP(C3057,inf!$A$2:$B$7,2,FALSE)</f>
        <v>31 to 60</v>
      </c>
      <c r="F3057" s="12" t="str">
        <f t="shared" si="48"/>
        <v>12/27/2017</v>
      </c>
      <c r="G3057" t="str">
        <f>VLOOKUP(A3057,inf!$D$2:$E$76,2,FALSE)</f>
        <v>Other</v>
      </c>
    </row>
    <row r="3058" spans="1:7" x14ac:dyDescent="0.25">
      <c r="A3058" t="s">
        <v>3</v>
      </c>
      <c r="B3058" s="1">
        <v>43096</v>
      </c>
      <c r="C3058" t="s">
        <v>55</v>
      </c>
      <c r="D3058" s="4">
        <v>1390.39</v>
      </c>
      <c r="E3058" s="12" t="str">
        <f>VLOOKUP(C3058,inf!$A$2:$B$7,2,FALSE)</f>
        <v>Current</v>
      </c>
      <c r="F3058" s="12" t="str">
        <f t="shared" si="48"/>
        <v>12/27/2017</v>
      </c>
      <c r="G3058" t="str">
        <f>VLOOKUP(A3058,inf!$D$2:$E$76,2,FALSE)</f>
        <v>Other</v>
      </c>
    </row>
    <row r="3059" spans="1:7" x14ac:dyDescent="0.25">
      <c r="A3059" t="s">
        <v>3</v>
      </c>
      <c r="B3059" s="1">
        <v>43096</v>
      </c>
      <c r="C3059" t="s">
        <v>56</v>
      </c>
      <c r="D3059" s="4">
        <v>345.82</v>
      </c>
      <c r="E3059" s="12" t="str">
        <f>VLOOKUP(C3059,inf!$A$2:$B$7,2,FALSE)</f>
        <v>Current</v>
      </c>
      <c r="F3059" s="12" t="str">
        <f t="shared" si="48"/>
        <v>12/27/2017</v>
      </c>
      <c r="G3059" t="str">
        <f>VLOOKUP(A3059,inf!$D$2:$E$76,2,FALSE)</f>
        <v>Other</v>
      </c>
    </row>
    <row r="3060" spans="1:7" x14ac:dyDescent="0.25">
      <c r="A3060" t="s">
        <v>3</v>
      </c>
      <c r="B3060" s="1">
        <v>43096</v>
      </c>
      <c r="C3060" t="s">
        <v>58</v>
      </c>
      <c r="D3060" s="4">
        <v>67.66</v>
      </c>
      <c r="E3060" s="12" t="str">
        <f>VLOOKUP(C3060,inf!$A$2:$B$7,2,FALSE)</f>
        <v>61 to 90</v>
      </c>
      <c r="F3060" s="12" t="str">
        <f t="shared" si="48"/>
        <v>12/27/2017</v>
      </c>
      <c r="G3060" t="str">
        <f>VLOOKUP(A3060,inf!$D$2:$E$76,2,FALSE)</f>
        <v>Other</v>
      </c>
    </row>
    <row r="3061" spans="1:7" x14ac:dyDescent="0.25">
      <c r="A3061" t="s">
        <v>78</v>
      </c>
      <c r="B3061" s="1">
        <v>43096</v>
      </c>
      <c r="C3061" t="s">
        <v>55</v>
      </c>
      <c r="D3061" s="4">
        <v>1202.48</v>
      </c>
      <c r="E3061" s="12" t="str">
        <f>VLOOKUP(C3061,inf!$A$2:$B$7,2,FALSE)</f>
        <v>Current</v>
      </c>
      <c r="F3061" s="12" t="str">
        <f t="shared" si="48"/>
        <v>12/27/2017</v>
      </c>
      <c r="G3061" t="str">
        <f>VLOOKUP(A3061,inf!$D$2:$E$76,2,FALSE)</f>
        <v>Other</v>
      </c>
    </row>
    <row r="3062" spans="1:7" x14ac:dyDescent="0.25">
      <c r="A3062" t="s">
        <v>78</v>
      </c>
      <c r="B3062" s="1">
        <v>43096</v>
      </c>
      <c r="C3062" t="s">
        <v>56</v>
      </c>
      <c r="D3062" s="4">
        <v>292.45999999999998</v>
      </c>
      <c r="E3062" s="12" t="str">
        <f>VLOOKUP(C3062,inf!$A$2:$B$7,2,FALSE)</f>
        <v>Current</v>
      </c>
      <c r="F3062" s="12" t="str">
        <f t="shared" si="48"/>
        <v>12/27/2017</v>
      </c>
      <c r="G3062" t="str">
        <f>VLOOKUP(A3062,inf!$D$2:$E$76,2,FALSE)</f>
        <v>Other</v>
      </c>
    </row>
    <row r="3063" spans="1:7" x14ac:dyDescent="0.25">
      <c r="A3063" t="s">
        <v>79</v>
      </c>
      <c r="B3063" s="1">
        <v>43096</v>
      </c>
      <c r="C3063" t="s">
        <v>55</v>
      </c>
      <c r="D3063" s="4">
        <v>255.81</v>
      </c>
      <c r="E3063" s="12" t="str">
        <f>VLOOKUP(C3063,inf!$A$2:$B$7,2,FALSE)</f>
        <v>Current</v>
      </c>
      <c r="F3063" s="12" t="str">
        <f t="shared" si="48"/>
        <v>12/27/2017</v>
      </c>
      <c r="G3063" t="str">
        <f>VLOOKUP(A3063,inf!$D$2:$E$76,2,FALSE)</f>
        <v>Other</v>
      </c>
    </row>
    <row r="3064" spans="1:7" x14ac:dyDescent="0.25">
      <c r="A3064" t="s">
        <v>30</v>
      </c>
      <c r="B3064" s="1">
        <v>43096</v>
      </c>
      <c r="C3064" t="s">
        <v>55</v>
      </c>
      <c r="D3064" s="4">
        <v>454.53</v>
      </c>
      <c r="E3064" s="12" t="str">
        <f>VLOOKUP(C3064,inf!$A$2:$B$7,2,FALSE)</f>
        <v>Current</v>
      </c>
      <c r="F3064" s="12" t="str">
        <f t="shared" si="48"/>
        <v>12/27/2017</v>
      </c>
      <c r="G3064" t="str">
        <f>VLOOKUP(A3064,inf!$D$2:$E$76,2,FALSE)</f>
        <v>Other</v>
      </c>
    </row>
    <row r="3065" spans="1:7" x14ac:dyDescent="0.25">
      <c r="A3065" t="s">
        <v>30</v>
      </c>
      <c r="B3065" s="1">
        <v>43096</v>
      </c>
      <c r="C3065" t="s">
        <v>56</v>
      </c>
      <c r="D3065" s="4">
        <v>114.85</v>
      </c>
      <c r="E3065" s="12" t="str">
        <f>VLOOKUP(C3065,inf!$A$2:$B$7,2,FALSE)</f>
        <v>Current</v>
      </c>
      <c r="F3065" s="12" t="str">
        <f t="shared" si="48"/>
        <v>12/27/2017</v>
      </c>
      <c r="G3065" t="str">
        <f>VLOOKUP(A3065,inf!$D$2:$E$76,2,FALSE)</f>
        <v>Other</v>
      </c>
    </row>
    <row r="3066" spans="1:7" x14ac:dyDescent="0.25">
      <c r="A3066" t="s">
        <v>30</v>
      </c>
      <c r="B3066" s="1">
        <v>43096</v>
      </c>
      <c r="C3066" t="s">
        <v>57</v>
      </c>
      <c r="D3066" s="4">
        <v>232.39</v>
      </c>
      <c r="E3066" s="12" t="str">
        <f>VLOOKUP(C3066,inf!$A$2:$B$7,2,FALSE)</f>
        <v>31 to 60</v>
      </c>
      <c r="F3066" s="12" t="str">
        <f t="shared" si="48"/>
        <v>12/27/2017</v>
      </c>
      <c r="G3066" t="str">
        <f>VLOOKUP(A3066,inf!$D$2:$E$76,2,FALSE)</f>
        <v>Other</v>
      </c>
    </row>
    <row r="3067" spans="1:7" x14ac:dyDescent="0.25">
      <c r="A3067" t="s">
        <v>12</v>
      </c>
      <c r="B3067" s="1">
        <v>43096</v>
      </c>
      <c r="C3067" t="s">
        <v>55</v>
      </c>
      <c r="D3067" s="4">
        <v>642.93000000000006</v>
      </c>
      <c r="E3067" s="12" t="str">
        <f>VLOOKUP(C3067,inf!$A$2:$B$7,2,FALSE)</f>
        <v>Current</v>
      </c>
      <c r="F3067" s="12" t="str">
        <f t="shared" si="48"/>
        <v>12/27/2017</v>
      </c>
      <c r="G3067" t="str">
        <f>VLOOKUP(A3067,inf!$D$2:$E$76,2,FALSE)</f>
        <v>Other</v>
      </c>
    </row>
    <row r="3068" spans="1:7" x14ac:dyDescent="0.25">
      <c r="A3068" t="s">
        <v>50</v>
      </c>
      <c r="B3068" s="1">
        <v>43096</v>
      </c>
      <c r="C3068" t="s">
        <v>55</v>
      </c>
      <c r="D3068" s="4">
        <v>319.83999999999997</v>
      </c>
      <c r="E3068" s="12" t="str">
        <f>VLOOKUP(C3068,inf!$A$2:$B$7,2,FALSE)</f>
        <v>Current</v>
      </c>
      <c r="F3068" s="12" t="str">
        <f t="shared" si="48"/>
        <v>12/27/2017</v>
      </c>
      <c r="G3068" t="str">
        <f>VLOOKUP(A3068,inf!$D$2:$E$76,2,FALSE)</f>
        <v>Other</v>
      </c>
    </row>
    <row r="3069" spans="1:7" x14ac:dyDescent="0.25">
      <c r="A3069" t="s">
        <v>23</v>
      </c>
      <c r="B3069" s="1">
        <v>43096</v>
      </c>
      <c r="C3069" t="s">
        <v>57</v>
      </c>
      <c r="D3069" s="4">
        <v>250.61</v>
      </c>
      <c r="E3069" s="12" t="str">
        <f>VLOOKUP(C3069,inf!$A$2:$B$7,2,FALSE)</f>
        <v>31 to 60</v>
      </c>
      <c r="F3069" s="12" t="str">
        <f t="shared" si="48"/>
        <v>12/27/2017</v>
      </c>
      <c r="G3069" t="str">
        <f>VLOOKUP(A3069,inf!$D$2:$E$76,2,FALSE)</f>
        <v>Other</v>
      </c>
    </row>
    <row r="3070" spans="1:7" x14ac:dyDescent="0.25">
      <c r="A3070" t="s">
        <v>7</v>
      </c>
      <c r="B3070" s="1">
        <v>43096</v>
      </c>
      <c r="C3070" t="s">
        <v>55</v>
      </c>
      <c r="D3070" s="4">
        <v>79251.319999999978</v>
      </c>
      <c r="E3070" s="12" t="str">
        <f>VLOOKUP(C3070,inf!$A$2:$B$7,2,FALSE)</f>
        <v>Current</v>
      </c>
      <c r="F3070" s="12" t="str">
        <f t="shared" si="48"/>
        <v>12/27/2017</v>
      </c>
      <c r="G3070" t="str">
        <f>VLOOKUP(A3070,inf!$D$2:$E$76,2,FALSE)</f>
        <v>SAFEWAY</v>
      </c>
    </row>
    <row r="3071" spans="1:7" x14ac:dyDescent="0.25">
      <c r="A3071" t="s">
        <v>7</v>
      </c>
      <c r="B3071" s="1">
        <v>43096</v>
      </c>
      <c r="C3071" t="s">
        <v>56</v>
      </c>
      <c r="D3071" s="4">
        <v>11266.92</v>
      </c>
      <c r="E3071" s="12" t="str">
        <f>VLOOKUP(C3071,inf!$A$2:$B$7,2,FALSE)</f>
        <v>Current</v>
      </c>
      <c r="F3071" s="12" t="str">
        <f t="shared" si="48"/>
        <v>12/27/2017</v>
      </c>
      <c r="G3071" t="str">
        <f>VLOOKUP(A3071,inf!$D$2:$E$76,2,FALSE)</f>
        <v>SAFEWAY</v>
      </c>
    </row>
    <row r="3072" spans="1:7" x14ac:dyDescent="0.25">
      <c r="A3072" t="s">
        <v>7</v>
      </c>
      <c r="B3072" s="1">
        <v>43096</v>
      </c>
      <c r="C3072" t="s">
        <v>57</v>
      </c>
      <c r="D3072" s="4">
        <v>7098.8099999999995</v>
      </c>
      <c r="E3072" s="12" t="str">
        <f>VLOOKUP(C3072,inf!$A$2:$B$7,2,FALSE)</f>
        <v>31 to 60</v>
      </c>
      <c r="F3072" s="12" t="str">
        <f t="shared" si="48"/>
        <v>12/27/2017</v>
      </c>
      <c r="G3072" t="str">
        <f>VLOOKUP(A3072,inf!$D$2:$E$76,2,FALSE)</f>
        <v>SAFEWAY</v>
      </c>
    </row>
    <row r="3073" spans="1:7" x14ac:dyDescent="0.25">
      <c r="A3073" t="s">
        <v>7</v>
      </c>
      <c r="B3073" s="1">
        <v>43096</v>
      </c>
      <c r="C3073" t="s">
        <v>58</v>
      </c>
      <c r="D3073" s="4">
        <v>529.05999999999995</v>
      </c>
      <c r="E3073" s="12" t="str">
        <f>VLOOKUP(C3073,inf!$A$2:$B$7,2,FALSE)</f>
        <v>61 to 90</v>
      </c>
      <c r="F3073" s="12" t="str">
        <f t="shared" si="48"/>
        <v>12/27/2017</v>
      </c>
      <c r="G3073" t="str">
        <f>VLOOKUP(A3073,inf!$D$2:$E$76,2,FALSE)</f>
        <v>SAFEWAY</v>
      </c>
    </row>
    <row r="3074" spans="1:7" x14ac:dyDescent="0.25">
      <c r="A3074" t="s">
        <v>7</v>
      </c>
      <c r="B3074" s="1">
        <v>43096</v>
      </c>
      <c r="C3074" t="s">
        <v>59</v>
      </c>
      <c r="D3074" s="4">
        <v>274.27999999999997</v>
      </c>
      <c r="E3074" s="12" t="str">
        <f>VLOOKUP(C3074,inf!$A$2:$B$7,2,FALSE)</f>
        <v>Over 90</v>
      </c>
      <c r="F3074" s="12" t="str">
        <f t="shared" si="48"/>
        <v>12/27/2017</v>
      </c>
      <c r="G3074" t="str">
        <f>VLOOKUP(A3074,inf!$D$2:$E$76,2,FALSE)</f>
        <v>SAFEWAY</v>
      </c>
    </row>
    <row r="3075" spans="1:7" x14ac:dyDescent="0.25">
      <c r="A3075" t="s">
        <v>7</v>
      </c>
      <c r="B3075" s="1">
        <v>43096</v>
      </c>
      <c r="C3075" t="s">
        <v>60</v>
      </c>
      <c r="D3075" s="4">
        <v>334.41</v>
      </c>
      <c r="E3075" s="12" t="str">
        <f>VLOOKUP(C3075,inf!$A$2:$B$7,2,FALSE)</f>
        <v>Over 90</v>
      </c>
      <c r="F3075" s="12" t="str">
        <f t="shared" ref="F3075:F3138" si="49">TEXT(B3075,"MM/DD/YYYY")</f>
        <v>12/27/2017</v>
      </c>
      <c r="G3075" t="str">
        <f>VLOOKUP(A3075,inf!$D$2:$E$76,2,FALSE)</f>
        <v>SAFEWAY</v>
      </c>
    </row>
    <row r="3076" spans="1:7" x14ac:dyDescent="0.25">
      <c r="A3076" t="s">
        <v>81</v>
      </c>
      <c r="B3076" s="1">
        <v>43096</v>
      </c>
      <c r="C3076" t="s">
        <v>55</v>
      </c>
      <c r="D3076" s="4">
        <v>174.98</v>
      </c>
      <c r="E3076" s="12" t="str">
        <f>VLOOKUP(C3076,inf!$A$2:$B$7,2,FALSE)</f>
        <v>Current</v>
      </c>
      <c r="F3076" s="12" t="str">
        <f t="shared" si="49"/>
        <v>12/27/2017</v>
      </c>
      <c r="G3076" t="str">
        <f>VLOOKUP(A3076,inf!$D$2:$E$76,2,FALSE)</f>
        <v>Other</v>
      </c>
    </row>
    <row r="3077" spans="1:7" x14ac:dyDescent="0.25">
      <c r="A3077" t="s">
        <v>74</v>
      </c>
      <c r="B3077" s="1">
        <v>43096</v>
      </c>
      <c r="C3077" t="s">
        <v>58</v>
      </c>
      <c r="D3077" s="4">
        <v>742.26</v>
      </c>
      <c r="E3077" s="12" t="str">
        <f>VLOOKUP(C3077,inf!$A$2:$B$7,2,FALSE)</f>
        <v>61 to 90</v>
      </c>
      <c r="F3077" s="12" t="str">
        <f t="shared" si="49"/>
        <v>12/27/2017</v>
      </c>
      <c r="G3077" t="str">
        <f>VLOOKUP(A3077,inf!$D$2:$E$76,2,FALSE)</f>
        <v>Other</v>
      </c>
    </row>
    <row r="3078" spans="1:7" x14ac:dyDescent="0.25">
      <c r="A3078" t="s">
        <v>5</v>
      </c>
      <c r="B3078" s="1">
        <v>43096</v>
      </c>
      <c r="C3078" t="s">
        <v>55</v>
      </c>
      <c r="D3078" s="4">
        <v>8118215.6800000099</v>
      </c>
      <c r="E3078" s="12" t="str">
        <f>VLOOKUP(C3078,inf!$A$2:$B$7,2,FALSE)</f>
        <v>Current</v>
      </c>
      <c r="F3078" s="12" t="str">
        <f t="shared" si="49"/>
        <v>12/27/2017</v>
      </c>
      <c r="G3078" t="str">
        <f>VLOOKUP(A3078,inf!$D$2:$E$76,2,FALSE)</f>
        <v>SBUX</v>
      </c>
    </row>
    <row r="3079" spans="1:7" x14ac:dyDescent="0.25">
      <c r="A3079" t="s">
        <v>5</v>
      </c>
      <c r="B3079" s="1">
        <v>43096</v>
      </c>
      <c r="C3079" t="s">
        <v>56</v>
      </c>
      <c r="D3079" s="4">
        <v>73503.550000000017</v>
      </c>
      <c r="E3079" s="12" t="str">
        <f>VLOOKUP(C3079,inf!$A$2:$B$7,2,FALSE)</f>
        <v>Current</v>
      </c>
      <c r="F3079" s="12" t="str">
        <f t="shared" si="49"/>
        <v>12/27/2017</v>
      </c>
      <c r="G3079" t="str">
        <f>VLOOKUP(A3079,inf!$D$2:$E$76,2,FALSE)</f>
        <v>SBUX</v>
      </c>
    </row>
    <row r="3080" spans="1:7" x14ac:dyDescent="0.25">
      <c r="A3080" t="s">
        <v>5</v>
      </c>
      <c r="B3080" s="1">
        <v>43096</v>
      </c>
      <c r="C3080" t="s">
        <v>57</v>
      </c>
      <c r="D3080" s="4">
        <v>58053.01</v>
      </c>
      <c r="E3080" s="12" t="str">
        <f>VLOOKUP(C3080,inf!$A$2:$B$7,2,FALSE)</f>
        <v>31 to 60</v>
      </c>
      <c r="F3080" s="12" t="str">
        <f t="shared" si="49"/>
        <v>12/27/2017</v>
      </c>
      <c r="G3080" t="str">
        <f>VLOOKUP(A3080,inf!$D$2:$E$76,2,FALSE)</f>
        <v>SBUX</v>
      </c>
    </row>
    <row r="3081" spans="1:7" x14ac:dyDescent="0.25">
      <c r="A3081" t="s">
        <v>5</v>
      </c>
      <c r="B3081" s="1">
        <v>43096</v>
      </c>
      <c r="C3081" t="s">
        <v>58</v>
      </c>
      <c r="D3081" s="4">
        <v>14493.91</v>
      </c>
      <c r="E3081" s="12" t="str">
        <f>VLOOKUP(C3081,inf!$A$2:$B$7,2,FALSE)</f>
        <v>61 to 90</v>
      </c>
      <c r="F3081" s="12" t="str">
        <f t="shared" si="49"/>
        <v>12/27/2017</v>
      </c>
      <c r="G3081" t="str">
        <f>VLOOKUP(A3081,inf!$D$2:$E$76,2,FALSE)</f>
        <v>SBUX</v>
      </c>
    </row>
    <row r="3082" spans="1:7" x14ac:dyDescent="0.25">
      <c r="A3082" t="s">
        <v>5</v>
      </c>
      <c r="B3082" s="1">
        <v>43096</v>
      </c>
      <c r="C3082" t="s">
        <v>59</v>
      </c>
      <c r="D3082" s="4">
        <v>31591.299999999996</v>
      </c>
      <c r="E3082" s="12" t="str">
        <f>VLOOKUP(C3082,inf!$A$2:$B$7,2,FALSE)</f>
        <v>Over 90</v>
      </c>
      <c r="F3082" s="12" t="str">
        <f t="shared" si="49"/>
        <v>12/27/2017</v>
      </c>
      <c r="G3082" t="str">
        <f>VLOOKUP(A3082,inf!$D$2:$E$76,2,FALSE)</f>
        <v>SBUX</v>
      </c>
    </row>
    <row r="3083" spans="1:7" x14ac:dyDescent="0.25">
      <c r="A3083" t="s">
        <v>5</v>
      </c>
      <c r="B3083" s="1">
        <v>43096</v>
      </c>
      <c r="C3083" t="s">
        <v>60</v>
      </c>
      <c r="D3083" s="4">
        <v>117565.77000000003</v>
      </c>
      <c r="E3083" s="12" t="str">
        <f>VLOOKUP(C3083,inf!$A$2:$B$7,2,FALSE)</f>
        <v>Over 90</v>
      </c>
      <c r="F3083" s="12" t="str">
        <f t="shared" si="49"/>
        <v>12/27/2017</v>
      </c>
      <c r="G3083" t="str">
        <f>VLOOKUP(A3083,inf!$D$2:$E$76,2,FALSE)</f>
        <v>SBUX</v>
      </c>
    </row>
    <row r="3084" spans="1:7" x14ac:dyDescent="0.25">
      <c r="A3084" t="s">
        <v>6</v>
      </c>
      <c r="B3084" s="1">
        <v>43096</v>
      </c>
      <c r="C3084" t="s">
        <v>55</v>
      </c>
      <c r="D3084" s="4">
        <v>779625.17999999295</v>
      </c>
      <c r="E3084" s="12" t="str">
        <f>VLOOKUP(C3084,inf!$A$2:$B$7,2,FALSE)</f>
        <v>Current</v>
      </c>
      <c r="F3084" s="12" t="str">
        <f t="shared" si="49"/>
        <v>12/27/2017</v>
      </c>
      <c r="G3084" t="str">
        <f>VLOOKUP(A3084,inf!$D$2:$E$76,2,FALSE)</f>
        <v>SBUX</v>
      </c>
    </row>
    <row r="3085" spans="1:7" x14ac:dyDescent="0.25">
      <c r="A3085" t="s">
        <v>6</v>
      </c>
      <c r="B3085" s="1">
        <v>43096</v>
      </c>
      <c r="C3085" t="s">
        <v>56</v>
      </c>
      <c r="D3085" s="4">
        <v>2200.69</v>
      </c>
      <c r="E3085" s="12" t="str">
        <f>VLOOKUP(C3085,inf!$A$2:$B$7,2,FALSE)</f>
        <v>Current</v>
      </c>
      <c r="F3085" s="12" t="str">
        <f t="shared" si="49"/>
        <v>12/27/2017</v>
      </c>
      <c r="G3085" t="str">
        <f>VLOOKUP(A3085,inf!$D$2:$E$76,2,FALSE)</f>
        <v>SBUX</v>
      </c>
    </row>
    <row r="3086" spans="1:7" x14ac:dyDescent="0.25">
      <c r="A3086" t="s">
        <v>6</v>
      </c>
      <c r="B3086" s="1">
        <v>43096</v>
      </c>
      <c r="C3086" t="s">
        <v>57</v>
      </c>
      <c r="D3086" s="4">
        <v>4022.06</v>
      </c>
      <c r="E3086" s="12" t="str">
        <f>VLOOKUP(C3086,inf!$A$2:$B$7,2,FALSE)</f>
        <v>31 to 60</v>
      </c>
      <c r="F3086" s="12" t="str">
        <f t="shared" si="49"/>
        <v>12/27/2017</v>
      </c>
      <c r="G3086" t="str">
        <f>VLOOKUP(A3086,inf!$D$2:$E$76,2,FALSE)</f>
        <v>SBUX</v>
      </c>
    </row>
    <row r="3087" spans="1:7" x14ac:dyDescent="0.25">
      <c r="A3087" t="s">
        <v>6</v>
      </c>
      <c r="B3087" s="1">
        <v>43096</v>
      </c>
      <c r="C3087" t="s">
        <v>58</v>
      </c>
      <c r="D3087" s="4">
        <v>1089.77</v>
      </c>
      <c r="E3087" s="12" t="str">
        <f>VLOOKUP(C3087,inf!$A$2:$B$7,2,FALSE)</f>
        <v>61 to 90</v>
      </c>
      <c r="F3087" s="12" t="str">
        <f t="shared" si="49"/>
        <v>12/27/2017</v>
      </c>
      <c r="G3087" t="str">
        <f>VLOOKUP(A3087,inf!$D$2:$E$76,2,FALSE)</f>
        <v>SBUX</v>
      </c>
    </row>
    <row r="3088" spans="1:7" x14ac:dyDescent="0.25">
      <c r="A3088" t="s">
        <v>6</v>
      </c>
      <c r="B3088" s="1">
        <v>43096</v>
      </c>
      <c r="C3088" t="s">
        <v>59</v>
      </c>
      <c r="D3088" s="4">
        <v>4609.5499999999993</v>
      </c>
      <c r="E3088" s="12" t="str">
        <f>VLOOKUP(C3088,inf!$A$2:$B$7,2,FALSE)</f>
        <v>Over 90</v>
      </c>
      <c r="F3088" s="12" t="str">
        <f t="shared" si="49"/>
        <v>12/27/2017</v>
      </c>
      <c r="G3088" t="str">
        <f>VLOOKUP(A3088,inf!$D$2:$E$76,2,FALSE)</f>
        <v>SBUX</v>
      </c>
    </row>
    <row r="3089" spans="1:7" x14ac:dyDescent="0.25">
      <c r="A3089" t="s">
        <v>6</v>
      </c>
      <c r="B3089" s="1">
        <v>43096</v>
      </c>
      <c r="C3089" t="s">
        <v>60</v>
      </c>
      <c r="D3089" s="4">
        <v>7608.7599999999993</v>
      </c>
      <c r="E3089" s="12" t="str">
        <f>VLOOKUP(C3089,inf!$A$2:$B$7,2,FALSE)</f>
        <v>Over 90</v>
      </c>
      <c r="F3089" s="12" t="str">
        <f t="shared" si="49"/>
        <v>12/27/2017</v>
      </c>
      <c r="G3089" t="str">
        <f>VLOOKUP(A3089,inf!$D$2:$E$76,2,FALSE)</f>
        <v>SBUX</v>
      </c>
    </row>
    <row r="3090" spans="1:7" x14ac:dyDescent="0.25">
      <c r="A3090" t="s">
        <v>48</v>
      </c>
      <c r="B3090" s="1">
        <v>43096</v>
      </c>
      <c r="C3090" t="s">
        <v>55</v>
      </c>
      <c r="D3090" s="4">
        <v>302085.92000000004</v>
      </c>
      <c r="E3090" s="12" t="str">
        <f>VLOOKUP(C3090,inf!$A$2:$B$7,2,FALSE)</f>
        <v>Current</v>
      </c>
      <c r="F3090" s="12" t="str">
        <f t="shared" si="49"/>
        <v>12/27/2017</v>
      </c>
      <c r="G3090" t="str">
        <f>VLOOKUP(A3090,inf!$D$2:$E$76,2,FALSE)</f>
        <v>Target</v>
      </c>
    </row>
    <row r="3091" spans="1:7" x14ac:dyDescent="0.25">
      <c r="A3091" t="s">
        <v>48</v>
      </c>
      <c r="B3091" s="1">
        <v>43096</v>
      </c>
      <c r="C3091" t="s">
        <v>56</v>
      </c>
      <c r="D3091" s="4">
        <v>110219.16000000002</v>
      </c>
      <c r="E3091" s="12" t="str">
        <f>VLOOKUP(C3091,inf!$A$2:$B$7,2,FALSE)</f>
        <v>Current</v>
      </c>
      <c r="F3091" s="12" t="str">
        <f t="shared" si="49"/>
        <v>12/27/2017</v>
      </c>
      <c r="G3091" t="str">
        <f>VLOOKUP(A3091,inf!$D$2:$E$76,2,FALSE)</f>
        <v>Target</v>
      </c>
    </row>
    <row r="3092" spans="1:7" x14ac:dyDescent="0.25">
      <c r="A3092" t="s">
        <v>48</v>
      </c>
      <c r="B3092" s="1">
        <v>43096</v>
      </c>
      <c r="C3092" t="s">
        <v>57</v>
      </c>
      <c r="D3092" s="4">
        <v>16534.41</v>
      </c>
      <c r="E3092" s="12" t="str">
        <f>VLOOKUP(C3092,inf!$A$2:$B$7,2,FALSE)</f>
        <v>31 to 60</v>
      </c>
      <c r="F3092" s="12" t="str">
        <f t="shared" si="49"/>
        <v>12/27/2017</v>
      </c>
      <c r="G3092" t="str">
        <f>VLOOKUP(A3092,inf!$D$2:$E$76,2,FALSE)</f>
        <v>Target</v>
      </c>
    </row>
    <row r="3093" spans="1:7" x14ac:dyDescent="0.25">
      <c r="A3093" t="s">
        <v>48</v>
      </c>
      <c r="B3093" s="1">
        <v>43096</v>
      </c>
      <c r="C3093" t="s">
        <v>58</v>
      </c>
      <c r="D3093" s="4">
        <v>4441.09</v>
      </c>
      <c r="E3093" s="12" t="str">
        <f>VLOOKUP(C3093,inf!$A$2:$B$7,2,FALSE)</f>
        <v>61 to 90</v>
      </c>
      <c r="F3093" s="12" t="str">
        <f t="shared" si="49"/>
        <v>12/27/2017</v>
      </c>
      <c r="G3093" t="str">
        <f>VLOOKUP(A3093,inf!$D$2:$E$76,2,FALSE)</f>
        <v>Target</v>
      </c>
    </row>
    <row r="3094" spans="1:7" x14ac:dyDescent="0.25">
      <c r="A3094" t="s">
        <v>48</v>
      </c>
      <c r="B3094" s="1">
        <v>43096</v>
      </c>
      <c r="C3094" t="s">
        <v>59</v>
      </c>
      <c r="D3094" s="4">
        <v>3845.7000000000003</v>
      </c>
      <c r="E3094" s="12" t="str">
        <f>VLOOKUP(C3094,inf!$A$2:$B$7,2,FALSE)</f>
        <v>Over 90</v>
      </c>
      <c r="F3094" s="12" t="str">
        <f t="shared" si="49"/>
        <v>12/27/2017</v>
      </c>
      <c r="G3094" t="str">
        <f>VLOOKUP(A3094,inf!$D$2:$E$76,2,FALSE)</f>
        <v>Target</v>
      </c>
    </row>
    <row r="3095" spans="1:7" x14ac:dyDescent="0.25">
      <c r="A3095" t="s">
        <v>48</v>
      </c>
      <c r="B3095" s="1">
        <v>43096</v>
      </c>
      <c r="C3095" t="s">
        <v>60</v>
      </c>
      <c r="D3095" s="4">
        <v>610.22</v>
      </c>
      <c r="E3095" s="12" t="str">
        <f>VLOOKUP(C3095,inf!$A$2:$B$7,2,FALSE)</f>
        <v>Over 90</v>
      </c>
      <c r="F3095" s="12" t="str">
        <f t="shared" si="49"/>
        <v>12/27/2017</v>
      </c>
      <c r="G3095" t="str">
        <f>VLOOKUP(A3095,inf!$D$2:$E$76,2,FALSE)</f>
        <v>Target</v>
      </c>
    </row>
    <row r="3096" spans="1:7" x14ac:dyDescent="0.25">
      <c r="A3096" t="s">
        <v>8</v>
      </c>
      <c r="B3096" s="1">
        <v>43096</v>
      </c>
      <c r="C3096" t="s">
        <v>55</v>
      </c>
      <c r="D3096" s="4">
        <v>423002.72999999963</v>
      </c>
      <c r="E3096" s="12" t="str">
        <f>VLOOKUP(C3096,inf!$A$2:$B$7,2,FALSE)</f>
        <v>Current</v>
      </c>
      <c r="F3096" s="12" t="str">
        <f t="shared" si="49"/>
        <v>12/27/2017</v>
      </c>
      <c r="G3096" t="str">
        <f>VLOOKUP(A3096,inf!$D$2:$E$76,2,FALSE)</f>
        <v>Target</v>
      </c>
    </row>
    <row r="3097" spans="1:7" x14ac:dyDescent="0.25">
      <c r="A3097" t="s">
        <v>8</v>
      </c>
      <c r="B3097" s="1">
        <v>43096</v>
      </c>
      <c r="C3097" t="s">
        <v>56</v>
      </c>
      <c r="D3097" s="4">
        <v>98884.410000000018</v>
      </c>
      <c r="E3097" s="12" t="str">
        <f>VLOOKUP(C3097,inf!$A$2:$B$7,2,FALSE)</f>
        <v>Current</v>
      </c>
      <c r="F3097" s="12" t="str">
        <f t="shared" si="49"/>
        <v>12/27/2017</v>
      </c>
      <c r="G3097" t="str">
        <f>VLOOKUP(A3097,inf!$D$2:$E$76,2,FALSE)</f>
        <v>Target</v>
      </c>
    </row>
    <row r="3098" spans="1:7" x14ac:dyDescent="0.25">
      <c r="A3098" t="s">
        <v>8</v>
      </c>
      <c r="B3098" s="1">
        <v>43096</v>
      </c>
      <c r="C3098" t="s">
        <v>57</v>
      </c>
      <c r="D3098" s="4">
        <v>20754.47</v>
      </c>
      <c r="E3098" s="12" t="str">
        <f>VLOOKUP(C3098,inf!$A$2:$B$7,2,FALSE)</f>
        <v>31 to 60</v>
      </c>
      <c r="F3098" s="12" t="str">
        <f t="shared" si="49"/>
        <v>12/27/2017</v>
      </c>
      <c r="G3098" t="str">
        <f>VLOOKUP(A3098,inf!$D$2:$E$76,2,FALSE)</f>
        <v>Target</v>
      </c>
    </row>
    <row r="3099" spans="1:7" x14ac:dyDescent="0.25">
      <c r="A3099" t="s">
        <v>8</v>
      </c>
      <c r="B3099" s="1">
        <v>43096</v>
      </c>
      <c r="C3099" t="s">
        <v>58</v>
      </c>
      <c r="D3099" s="4">
        <v>11022.47</v>
      </c>
      <c r="E3099" s="12" t="str">
        <f>VLOOKUP(C3099,inf!$A$2:$B$7,2,FALSE)</f>
        <v>61 to 90</v>
      </c>
      <c r="F3099" s="12" t="str">
        <f t="shared" si="49"/>
        <v>12/27/2017</v>
      </c>
      <c r="G3099" t="str">
        <f>VLOOKUP(A3099,inf!$D$2:$E$76,2,FALSE)</f>
        <v>Target</v>
      </c>
    </row>
    <row r="3100" spans="1:7" x14ac:dyDescent="0.25">
      <c r="A3100" t="s">
        <v>8</v>
      </c>
      <c r="B3100" s="1">
        <v>43096</v>
      </c>
      <c r="C3100" t="s">
        <v>59</v>
      </c>
      <c r="D3100" s="4">
        <v>2205.27</v>
      </c>
      <c r="E3100" s="12" t="str">
        <f>VLOOKUP(C3100,inf!$A$2:$B$7,2,FALSE)</f>
        <v>Over 90</v>
      </c>
      <c r="F3100" s="12" t="str">
        <f t="shared" si="49"/>
        <v>12/27/2017</v>
      </c>
      <c r="G3100" t="str">
        <f>VLOOKUP(A3100,inf!$D$2:$E$76,2,FALSE)</f>
        <v>Target</v>
      </c>
    </row>
    <row r="3101" spans="1:7" x14ac:dyDescent="0.25">
      <c r="A3101" t="s">
        <v>8</v>
      </c>
      <c r="B3101" s="1">
        <v>43096</v>
      </c>
      <c r="C3101" t="s">
        <v>60</v>
      </c>
      <c r="D3101" s="4">
        <v>16763.010000000002</v>
      </c>
      <c r="E3101" s="12" t="str">
        <f>VLOOKUP(C3101,inf!$A$2:$B$7,2,FALSE)</f>
        <v>Over 90</v>
      </c>
      <c r="F3101" s="12" t="str">
        <f t="shared" si="49"/>
        <v>12/27/2017</v>
      </c>
      <c r="G3101" t="str">
        <f>VLOOKUP(A3101,inf!$D$2:$E$76,2,FALSE)</f>
        <v>Target</v>
      </c>
    </row>
    <row r="3102" spans="1:7" x14ac:dyDescent="0.25">
      <c r="A3102" t="s">
        <v>54</v>
      </c>
      <c r="B3102" s="1">
        <v>43096</v>
      </c>
      <c r="C3102" t="s">
        <v>55</v>
      </c>
      <c r="D3102" s="4">
        <v>114.85</v>
      </c>
      <c r="E3102" s="12" t="str">
        <f>VLOOKUP(C3102,inf!$A$2:$B$7,2,FALSE)</f>
        <v>Current</v>
      </c>
      <c r="F3102" s="12" t="str">
        <f t="shared" si="49"/>
        <v>12/27/2017</v>
      </c>
      <c r="G3102" t="str">
        <f>VLOOKUP(A3102,inf!$D$2:$E$76,2,FALSE)</f>
        <v>Other</v>
      </c>
    </row>
    <row r="3103" spans="1:7" x14ac:dyDescent="0.25">
      <c r="A3103" t="s">
        <v>54</v>
      </c>
      <c r="B3103" s="1">
        <v>43096</v>
      </c>
      <c r="C3103" t="s">
        <v>58</v>
      </c>
      <c r="D3103" s="4">
        <v>122.72</v>
      </c>
      <c r="E3103" s="12" t="str">
        <f>VLOOKUP(C3103,inf!$A$2:$B$7,2,FALSE)</f>
        <v>61 to 90</v>
      </c>
      <c r="F3103" s="12" t="str">
        <f t="shared" si="49"/>
        <v>12/27/2017</v>
      </c>
      <c r="G3103" t="str">
        <f>VLOOKUP(A3103,inf!$D$2:$E$76,2,FALSE)</f>
        <v>Other</v>
      </c>
    </row>
    <row r="3104" spans="1:7" x14ac:dyDescent="0.25">
      <c r="A3104" t="s">
        <v>54</v>
      </c>
      <c r="B3104" s="1">
        <v>43096</v>
      </c>
      <c r="C3104" t="s">
        <v>59</v>
      </c>
      <c r="D3104" s="4">
        <v>122.72</v>
      </c>
      <c r="E3104" s="12" t="str">
        <f>VLOOKUP(C3104,inf!$A$2:$B$7,2,FALSE)</f>
        <v>Over 90</v>
      </c>
      <c r="F3104" s="12" t="str">
        <f t="shared" si="49"/>
        <v>12/27/2017</v>
      </c>
      <c r="G3104" t="str">
        <f>VLOOKUP(A3104,inf!$D$2:$E$76,2,FALSE)</f>
        <v>Other</v>
      </c>
    </row>
    <row r="3105" spans="1:7" x14ac:dyDescent="0.25">
      <c r="A3105" t="s">
        <v>28</v>
      </c>
      <c r="B3105" s="1">
        <v>43096</v>
      </c>
      <c r="C3105" t="s">
        <v>55</v>
      </c>
      <c r="D3105" s="4">
        <v>3372.9500000000003</v>
      </c>
      <c r="E3105" s="12" t="str">
        <f>VLOOKUP(C3105,inf!$A$2:$B$7,2,FALSE)</f>
        <v>Current</v>
      </c>
      <c r="F3105" s="12" t="str">
        <f t="shared" si="49"/>
        <v>12/27/2017</v>
      </c>
      <c r="G3105" t="str">
        <f>VLOOKUP(A3105,inf!$D$2:$E$76,2,FALSE)</f>
        <v>Other</v>
      </c>
    </row>
    <row r="3106" spans="1:7" x14ac:dyDescent="0.25">
      <c r="A3106" t="s">
        <v>28</v>
      </c>
      <c r="B3106" s="1">
        <v>43096</v>
      </c>
      <c r="C3106" t="s">
        <v>56</v>
      </c>
      <c r="D3106" s="4">
        <v>5104.41</v>
      </c>
      <c r="E3106" s="12" t="str">
        <f>VLOOKUP(C3106,inf!$A$2:$B$7,2,FALSE)</f>
        <v>Current</v>
      </c>
      <c r="F3106" s="12" t="str">
        <f t="shared" si="49"/>
        <v>12/27/2017</v>
      </c>
      <c r="G3106" t="str">
        <f>VLOOKUP(A3106,inf!$D$2:$E$76,2,FALSE)</f>
        <v>Other</v>
      </c>
    </row>
    <row r="3107" spans="1:7" x14ac:dyDescent="0.25">
      <c r="A3107" t="s">
        <v>28</v>
      </c>
      <c r="B3107" s="1">
        <v>43096</v>
      </c>
      <c r="C3107" t="s">
        <v>57</v>
      </c>
      <c r="D3107" s="4">
        <v>273.14</v>
      </c>
      <c r="E3107" s="12" t="str">
        <f>VLOOKUP(C3107,inf!$A$2:$B$7,2,FALSE)</f>
        <v>31 to 60</v>
      </c>
      <c r="F3107" s="12" t="str">
        <f t="shared" si="49"/>
        <v>12/27/2017</v>
      </c>
      <c r="G3107" t="str">
        <f>VLOOKUP(A3107,inf!$D$2:$E$76,2,FALSE)</f>
        <v>Other</v>
      </c>
    </row>
    <row r="3108" spans="1:7" x14ac:dyDescent="0.25">
      <c r="A3108" t="s">
        <v>15</v>
      </c>
      <c r="B3108" s="1">
        <v>43096</v>
      </c>
      <c r="C3108" t="s">
        <v>56</v>
      </c>
      <c r="D3108" s="4">
        <v>317.29000000000002</v>
      </c>
      <c r="E3108" s="12" t="str">
        <f>VLOOKUP(C3108,inf!$A$2:$B$7,2,FALSE)</f>
        <v>Current</v>
      </c>
      <c r="F3108" s="12" t="str">
        <f t="shared" si="49"/>
        <v>12/27/2017</v>
      </c>
      <c r="G3108" t="str">
        <f>VLOOKUP(A3108,inf!$D$2:$E$76,2,FALSE)</f>
        <v>Other</v>
      </c>
    </row>
    <row r="3109" spans="1:7" x14ac:dyDescent="0.25">
      <c r="A3109" t="s">
        <v>15</v>
      </c>
      <c r="B3109" s="1">
        <v>43096</v>
      </c>
      <c r="C3109" t="s">
        <v>57</v>
      </c>
      <c r="D3109" s="4">
        <v>362.26</v>
      </c>
      <c r="E3109" s="12" t="str">
        <f>VLOOKUP(C3109,inf!$A$2:$B$7,2,FALSE)</f>
        <v>31 to 60</v>
      </c>
      <c r="F3109" s="12" t="str">
        <f t="shared" si="49"/>
        <v>12/27/2017</v>
      </c>
      <c r="G3109" t="str">
        <f>VLOOKUP(A3109,inf!$D$2:$E$76,2,FALSE)</f>
        <v>Other</v>
      </c>
    </row>
    <row r="3110" spans="1:7" x14ac:dyDescent="0.25">
      <c r="A3110" t="s">
        <v>15</v>
      </c>
      <c r="B3110" s="1">
        <v>43096</v>
      </c>
      <c r="C3110" t="s">
        <v>60</v>
      </c>
      <c r="D3110" s="4">
        <v>291.60000000000002</v>
      </c>
      <c r="E3110" s="12" t="str">
        <f>VLOOKUP(C3110,inf!$A$2:$B$7,2,FALSE)</f>
        <v>Over 90</v>
      </c>
      <c r="F3110" s="12" t="str">
        <f t="shared" si="49"/>
        <v>12/27/2017</v>
      </c>
      <c r="G3110" t="str">
        <f>VLOOKUP(A3110,inf!$D$2:$E$76,2,FALSE)</f>
        <v>Other</v>
      </c>
    </row>
    <row r="3111" spans="1:7" x14ac:dyDescent="0.25">
      <c r="A3111" t="s">
        <v>22</v>
      </c>
      <c r="B3111" s="1">
        <v>43131</v>
      </c>
      <c r="C3111" t="s">
        <v>55</v>
      </c>
      <c r="D3111">
        <v>471.65999999999997</v>
      </c>
      <c r="E3111" s="12" t="str">
        <f>VLOOKUP(C3111,inf!$A$2:$B$7,2,FALSE)</f>
        <v>Current</v>
      </c>
      <c r="F3111" s="12" t="str">
        <f t="shared" si="49"/>
        <v>01/31/2018</v>
      </c>
      <c r="G3111" t="str">
        <f>VLOOKUP(A3111,inf!$D$2:$E$76,2,FALSE)</f>
        <v>Other</v>
      </c>
    </row>
    <row r="3112" spans="1:7" x14ac:dyDescent="0.25">
      <c r="A3112" t="s">
        <v>22</v>
      </c>
      <c r="B3112" s="1">
        <v>43131</v>
      </c>
      <c r="C3112" t="s">
        <v>56</v>
      </c>
      <c r="D3112">
        <v>114.85</v>
      </c>
      <c r="E3112" s="12" t="str">
        <f>VLOOKUP(C3112,inf!$A$2:$B$7,2,FALSE)</f>
        <v>Current</v>
      </c>
      <c r="F3112" s="12" t="str">
        <f t="shared" si="49"/>
        <v>01/31/2018</v>
      </c>
      <c r="G3112" t="str">
        <f>VLOOKUP(A3112,inf!$D$2:$E$76,2,FALSE)</f>
        <v>Other</v>
      </c>
    </row>
    <row r="3113" spans="1:7" x14ac:dyDescent="0.25">
      <c r="A3113" t="s">
        <v>22</v>
      </c>
      <c r="B3113" s="1">
        <v>43131</v>
      </c>
      <c r="C3113" t="s">
        <v>57</v>
      </c>
      <c r="D3113">
        <v>114.85</v>
      </c>
      <c r="E3113" s="12" t="str">
        <f>VLOOKUP(C3113,inf!$A$2:$B$7,2,FALSE)</f>
        <v>31 to 60</v>
      </c>
      <c r="F3113" s="12" t="str">
        <f t="shared" si="49"/>
        <v>01/31/2018</v>
      </c>
      <c r="G3113" t="str">
        <f>VLOOKUP(A3113,inf!$D$2:$E$76,2,FALSE)</f>
        <v>Other</v>
      </c>
    </row>
    <row r="3114" spans="1:7" x14ac:dyDescent="0.25">
      <c r="A3114" t="s">
        <v>80</v>
      </c>
      <c r="B3114" s="1">
        <v>43131</v>
      </c>
      <c r="C3114" t="s">
        <v>56</v>
      </c>
      <c r="D3114">
        <v>262.01</v>
      </c>
      <c r="E3114" s="12" t="str">
        <f>VLOOKUP(C3114,inf!$A$2:$B$7,2,FALSE)</f>
        <v>Current</v>
      </c>
      <c r="F3114" s="12" t="str">
        <f t="shared" si="49"/>
        <v>01/31/2018</v>
      </c>
      <c r="G3114" t="str">
        <f>VLOOKUP(A3114,inf!$D$2:$E$76,2,FALSE)</f>
        <v>Other</v>
      </c>
    </row>
    <row r="3115" spans="1:7" x14ac:dyDescent="0.25">
      <c r="A3115" t="s">
        <v>4</v>
      </c>
      <c r="B3115" s="1">
        <v>43131</v>
      </c>
      <c r="C3115" t="s">
        <v>55</v>
      </c>
      <c r="D3115">
        <v>5720.53</v>
      </c>
      <c r="E3115" s="12" t="str">
        <f>VLOOKUP(C3115,inf!$A$2:$B$7,2,FALSE)</f>
        <v>Current</v>
      </c>
      <c r="F3115" s="12" t="str">
        <f t="shared" si="49"/>
        <v>01/31/2018</v>
      </c>
      <c r="G3115" t="str">
        <f>VLOOKUP(A3115,inf!$D$2:$E$76,2,FALSE)</f>
        <v>Other</v>
      </c>
    </row>
    <row r="3116" spans="1:7" x14ac:dyDescent="0.25">
      <c r="A3116" t="s">
        <v>4</v>
      </c>
      <c r="B3116" s="1">
        <v>43131</v>
      </c>
      <c r="C3116" t="s">
        <v>56</v>
      </c>
      <c r="D3116">
        <v>2865.4300000000003</v>
      </c>
      <c r="E3116" s="12" t="str">
        <f>VLOOKUP(C3116,inf!$A$2:$B$7,2,FALSE)</f>
        <v>Current</v>
      </c>
      <c r="F3116" s="12" t="str">
        <f t="shared" si="49"/>
        <v>01/31/2018</v>
      </c>
      <c r="G3116" t="str">
        <f>VLOOKUP(A3116,inf!$D$2:$E$76,2,FALSE)</f>
        <v>Other</v>
      </c>
    </row>
    <row r="3117" spans="1:7" x14ac:dyDescent="0.25">
      <c r="A3117" t="s">
        <v>4</v>
      </c>
      <c r="B3117" s="1">
        <v>43131</v>
      </c>
      <c r="C3117" t="s">
        <v>57</v>
      </c>
      <c r="D3117">
        <v>373.12</v>
      </c>
      <c r="E3117" s="12" t="str">
        <f>VLOOKUP(C3117,inf!$A$2:$B$7,2,FALSE)</f>
        <v>31 to 60</v>
      </c>
      <c r="F3117" s="12" t="str">
        <f t="shared" si="49"/>
        <v>01/31/2018</v>
      </c>
      <c r="G3117" t="str">
        <f>VLOOKUP(A3117,inf!$D$2:$E$76,2,FALSE)</f>
        <v>Other</v>
      </c>
    </row>
    <row r="3118" spans="1:7" x14ac:dyDescent="0.25">
      <c r="A3118" t="s">
        <v>4</v>
      </c>
      <c r="B3118" s="1">
        <v>43131</v>
      </c>
      <c r="C3118" t="s">
        <v>58</v>
      </c>
      <c r="D3118">
        <v>579.34</v>
      </c>
      <c r="E3118" s="12" t="str">
        <f>VLOOKUP(C3118,inf!$A$2:$B$7,2,FALSE)</f>
        <v>61 to 90</v>
      </c>
      <c r="F3118" s="12" t="str">
        <f t="shared" si="49"/>
        <v>01/31/2018</v>
      </c>
      <c r="G3118" t="str">
        <f>VLOOKUP(A3118,inf!$D$2:$E$76,2,FALSE)</f>
        <v>Other</v>
      </c>
    </row>
    <row r="3119" spans="1:7" x14ac:dyDescent="0.25">
      <c r="A3119" t="s">
        <v>77</v>
      </c>
      <c r="B3119" s="1">
        <v>43131</v>
      </c>
      <c r="C3119" t="s">
        <v>56</v>
      </c>
      <c r="D3119">
        <v>834.05</v>
      </c>
      <c r="E3119" s="12" t="str">
        <f>VLOOKUP(C3119,inf!$A$2:$B$7,2,FALSE)</f>
        <v>Current</v>
      </c>
      <c r="F3119" s="12" t="str">
        <f t="shared" si="49"/>
        <v>01/31/2018</v>
      </c>
      <c r="G3119" t="str">
        <f>VLOOKUP(A3119,inf!$D$2:$E$76,2,FALSE)</f>
        <v>Other</v>
      </c>
    </row>
    <row r="3120" spans="1:7" x14ac:dyDescent="0.25">
      <c r="A3120" t="s">
        <v>11</v>
      </c>
      <c r="B3120" s="1">
        <v>43131</v>
      </c>
      <c r="C3120" t="s">
        <v>56</v>
      </c>
      <c r="D3120">
        <v>331.6</v>
      </c>
      <c r="E3120" s="12" t="str">
        <f>VLOOKUP(C3120,inf!$A$2:$B$7,2,FALSE)</f>
        <v>Current</v>
      </c>
      <c r="F3120" s="12" t="str">
        <f t="shared" si="49"/>
        <v>01/31/2018</v>
      </c>
      <c r="G3120" t="str">
        <f>VLOOKUP(A3120,inf!$D$2:$E$76,2,FALSE)</f>
        <v>Other</v>
      </c>
    </row>
    <row r="3121" spans="1:7" x14ac:dyDescent="0.25">
      <c r="A3121" t="s">
        <v>31</v>
      </c>
      <c r="B3121" s="1">
        <v>43131</v>
      </c>
      <c r="C3121" t="s">
        <v>60</v>
      </c>
      <c r="D3121">
        <v>153.15</v>
      </c>
      <c r="E3121" s="12" t="str">
        <f>VLOOKUP(C3121,inf!$A$2:$B$7,2,FALSE)</f>
        <v>Over 90</v>
      </c>
      <c r="F3121" s="12" t="str">
        <f t="shared" si="49"/>
        <v>01/31/2018</v>
      </c>
      <c r="G3121" t="str">
        <f>VLOOKUP(A3121,inf!$D$2:$E$76,2,FALSE)</f>
        <v>Other</v>
      </c>
    </row>
    <row r="3122" spans="1:7" x14ac:dyDescent="0.25">
      <c r="A3122" t="s">
        <v>24</v>
      </c>
      <c r="B3122" s="1">
        <v>43131</v>
      </c>
      <c r="C3122" t="s">
        <v>55</v>
      </c>
      <c r="D3122">
        <v>597</v>
      </c>
      <c r="E3122" s="12" t="str">
        <f>VLOOKUP(C3122,inf!$A$2:$B$7,2,FALSE)</f>
        <v>Current</v>
      </c>
      <c r="F3122" s="12" t="str">
        <f t="shared" si="49"/>
        <v>01/31/2018</v>
      </c>
      <c r="G3122" t="str">
        <f>VLOOKUP(A3122,inf!$D$2:$E$76,2,FALSE)</f>
        <v>Other</v>
      </c>
    </row>
    <row r="3123" spans="1:7" x14ac:dyDescent="0.25">
      <c r="A3123" t="s">
        <v>65</v>
      </c>
      <c r="B3123" s="1">
        <v>43131</v>
      </c>
      <c r="C3123" t="s">
        <v>55</v>
      </c>
      <c r="D3123">
        <v>187.5</v>
      </c>
      <c r="E3123" s="12" t="str">
        <f>VLOOKUP(C3123,inf!$A$2:$B$7,2,FALSE)</f>
        <v>Current</v>
      </c>
      <c r="F3123" s="12" t="str">
        <f t="shared" si="49"/>
        <v>01/31/2018</v>
      </c>
      <c r="G3123" t="str">
        <f>VLOOKUP(A3123,inf!$D$2:$E$76,2,FALSE)</f>
        <v>Other</v>
      </c>
    </row>
    <row r="3124" spans="1:7" x14ac:dyDescent="0.25">
      <c r="A3124" t="s">
        <v>82</v>
      </c>
      <c r="B3124" s="1">
        <v>43131</v>
      </c>
      <c r="C3124" t="s">
        <v>55</v>
      </c>
      <c r="D3124">
        <v>238.64</v>
      </c>
      <c r="E3124" s="12" t="str">
        <f>VLOOKUP(C3124,inf!$A$2:$B$7,2,FALSE)</f>
        <v>Current</v>
      </c>
      <c r="F3124" s="12" t="str">
        <f t="shared" si="49"/>
        <v>01/31/2018</v>
      </c>
      <c r="G3124" t="str">
        <f>VLOOKUP(A3124,inf!$D$2:$E$76,2,FALSE)</f>
        <v>Other</v>
      </c>
    </row>
    <row r="3125" spans="1:7" x14ac:dyDescent="0.25">
      <c r="A3125" t="s">
        <v>53</v>
      </c>
      <c r="B3125" s="1">
        <v>43131</v>
      </c>
      <c r="C3125" t="s">
        <v>55</v>
      </c>
      <c r="D3125">
        <v>261.52</v>
      </c>
      <c r="E3125" s="12" t="str">
        <f>VLOOKUP(C3125,inf!$A$2:$B$7,2,FALSE)</f>
        <v>Current</v>
      </c>
      <c r="F3125" s="12" t="str">
        <f t="shared" si="49"/>
        <v>01/31/2018</v>
      </c>
      <c r="G3125" t="str">
        <f>VLOOKUP(A3125,inf!$D$2:$E$76,2,FALSE)</f>
        <v>Other</v>
      </c>
    </row>
    <row r="3126" spans="1:7" x14ac:dyDescent="0.25">
      <c r="A3126" t="s">
        <v>53</v>
      </c>
      <c r="B3126" s="1">
        <v>43131</v>
      </c>
      <c r="C3126" t="s">
        <v>56</v>
      </c>
      <c r="D3126">
        <v>605.82999999999993</v>
      </c>
      <c r="E3126" s="12" t="str">
        <f>VLOOKUP(C3126,inf!$A$2:$B$7,2,FALSE)</f>
        <v>Current</v>
      </c>
      <c r="F3126" s="12" t="str">
        <f t="shared" si="49"/>
        <v>01/31/2018</v>
      </c>
      <c r="G3126" t="str">
        <f>VLOOKUP(A3126,inf!$D$2:$E$76,2,FALSE)</f>
        <v>Other</v>
      </c>
    </row>
    <row r="3127" spans="1:7" x14ac:dyDescent="0.25">
      <c r="A3127" t="s">
        <v>3</v>
      </c>
      <c r="B3127" s="1">
        <v>43131</v>
      </c>
      <c r="C3127" t="s">
        <v>55</v>
      </c>
      <c r="D3127">
        <v>690.4899999999999</v>
      </c>
      <c r="E3127" s="12" t="str">
        <f>VLOOKUP(C3127,inf!$A$2:$B$7,2,FALSE)</f>
        <v>Current</v>
      </c>
      <c r="F3127" s="12" t="str">
        <f t="shared" si="49"/>
        <v>01/31/2018</v>
      </c>
      <c r="G3127" t="str">
        <f>VLOOKUP(A3127,inf!$D$2:$E$76,2,FALSE)</f>
        <v>Other</v>
      </c>
    </row>
    <row r="3128" spans="1:7" x14ac:dyDescent="0.25">
      <c r="A3128" t="s">
        <v>3</v>
      </c>
      <c r="B3128" s="1">
        <v>43131</v>
      </c>
      <c r="C3128" t="s">
        <v>56</v>
      </c>
      <c r="D3128">
        <v>62.5</v>
      </c>
      <c r="E3128" s="12" t="str">
        <f>VLOOKUP(C3128,inf!$A$2:$B$7,2,FALSE)</f>
        <v>Current</v>
      </c>
      <c r="F3128" s="12" t="str">
        <f t="shared" si="49"/>
        <v>01/31/2018</v>
      </c>
      <c r="G3128" t="str">
        <f>VLOOKUP(A3128,inf!$D$2:$E$76,2,FALSE)</f>
        <v>Other</v>
      </c>
    </row>
    <row r="3129" spans="1:7" x14ac:dyDescent="0.25">
      <c r="A3129" t="s">
        <v>3</v>
      </c>
      <c r="B3129" s="1">
        <v>43131</v>
      </c>
      <c r="C3129" t="s">
        <v>57</v>
      </c>
      <c r="D3129">
        <v>345.82</v>
      </c>
      <c r="E3129" s="12" t="str">
        <f>VLOOKUP(C3129,inf!$A$2:$B$7,2,FALSE)</f>
        <v>31 to 60</v>
      </c>
      <c r="F3129" s="12" t="str">
        <f t="shared" si="49"/>
        <v>01/31/2018</v>
      </c>
      <c r="G3129" t="str">
        <f>VLOOKUP(A3129,inf!$D$2:$E$76,2,FALSE)</f>
        <v>Other</v>
      </c>
    </row>
    <row r="3130" spans="1:7" x14ac:dyDescent="0.25">
      <c r="A3130" t="s">
        <v>78</v>
      </c>
      <c r="B3130" s="1">
        <v>43131</v>
      </c>
      <c r="C3130" t="s">
        <v>55</v>
      </c>
      <c r="D3130">
        <v>792.31999999999994</v>
      </c>
      <c r="E3130" s="12" t="str">
        <f>VLOOKUP(C3130,inf!$A$2:$B$7,2,FALSE)</f>
        <v>Current</v>
      </c>
      <c r="F3130" s="12" t="str">
        <f t="shared" si="49"/>
        <v>01/31/2018</v>
      </c>
      <c r="G3130" t="str">
        <f>VLOOKUP(A3130,inf!$D$2:$E$76,2,FALSE)</f>
        <v>Other</v>
      </c>
    </row>
    <row r="3131" spans="1:7" x14ac:dyDescent="0.25">
      <c r="A3131" t="s">
        <v>78</v>
      </c>
      <c r="B3131" s="1">
        <v>43131</v>
      </c>
      <c r="C3131" t="s">
        <v>56</v>
      </c>
      <c r="D3131">
        <v>671.04</v>
      </c>
      <c r="E3131" s="12" t="str">
        <f>VLOOKUP(C3131,inf!$A$2:$B$7,2,FALSE)</f>
        <v>Current</v>
      </c>
      <c r="F3131" s="12" t="str">
        <f t="shared" si="49"/>
        <v>01/31/2018</v>
      </c>
      <c r="G3131" t="str">
        <f>VLOOKUP(A3131,inf!$D$2:$E$76,2,FALSE)</f>
        <v>Other</v>
      </c>
    </row>
    <row r="3132" spans="1:7" x14ac:dyDescent="0.25">
      <c r="A3132" t="s">
        <v>78</v>
      </c>
      <c r="B3132" s="1">
        <v>43131</v>
      </c>
      <c r="C3132" t="s">
        <v>57</v>
      </c>
      <c r="D3132">
        <v>312.61</v>
      </c>
      <c r="E3132" s="12" t="str">
        <f>VLOOKUP(C3132,inf!$A$2:$B$7,2,FALSE)</f>
        <v>31 to 60</v>
      </c>
      <c r="F3132" s="12" t="str">
        <f t="shared" si="49"/>
        <v>01/31/2018</v>
      </c>
      <c r="G3132" t="str">
        <f>VLOOKUP(A3132,inf!$D$2:$E$76,2,FALSE)</f>
        <v>Other</v>
      </c>
    </row>
    <row r="3133" spans="1:7" x14ac:dyDescent="0.25">
      <c r="A3133" t="s">
        <v>78</v>
      </c>
      <c r="B3133" s="1">
        <v>43131</v>
      </c>
      <c r="C3133" t="s">
        <v>58</v>
      </c>
      <c r="D3133">
        <v>292.45999999999998</v>
      </c>
      <c r="E3133" s="12" t="str">
        <f>VLOOKUP(C3133,inf!$A$2:$B$7,2,FALSE)</f>
        <v>61 to 90</v>
      </c>
      <c r="F3133" s="12" t="str">
        <f t="shared" si="49"/>
        <v>01/31/2018</v>
      </c>
      <c r="G3133" t="str">
        <f>VLOOKUP(A3133,inf!$D$2:$E$76,2,FALSE)</f>
        <v>Other</v>
      </c>
    </row>
    <row r="3134" spans="1:7" x14ac:dyDescent="0.25">
      <c r="A3134" t="s">
        <v>30</v>
      </c>
      <c r="B3134" s="1">
        <v>43131</v>
      </c>
      <c r="C3134" t="s">
        <v>55</v>
      </c>
      <c r="D3134">
        <v>3465.66</v>
      </c>
      <c r="E3134" s="12" t="str">
        <f>VLOOKUP(C3134,inf!$A$2:$B$7,2,FALSE)</f>
        <v>Current</v>
      </c>
      <c r="F3134" s="12" t="str">
        <f t="shared" si="49"/>
        <v>01/31/2018</v>
      </c>
      <c r="G3134" t="str">
        <f>VLOOKUP(A3134,inf!$D$2:$E$76,2,FALSE)</f>
        <v>Other</v>
      </c>
    </row>
    <row r="3135" spans="1:7" x14ac:dyDescent="0.25">
      <c r="A3135" t="s">
        <v>30</v>
      </c>
      <c r="B3135" s="1">
        <v>43131</v>
      </c>
      <c r="C3135" t="s">
        <v>57</v>
      </c>
      <c r="D3135">
        <v>114.85</v>
      </c>
      <c r="E3135" s="12" t="str">
        <f>VLOOKUP(C3135,inf!$A$2:$B$7,2,FALSE)</f>
        <v>31 to 60</v>
      </c>
      <c r="F3135" s="12" t="str">
        <f t="shared" si="49"/>
        <v>01/31/2018</v>
      </c>
      <c r="G3135" t="str">
        <f>VLOOKUP(A3135,inf!$D$2:$E$76,2,FALSE)</f>
        <v>Other</v>
      </c>
    </row>
    <row r="3136" spans="1:7" x14ac:dyDescent="0.25">
      <c r="A3136" t="s">
        <v>12</v>
      </c>
      <c r="B3136" s="1">
        <v>43131</v>
      </c>
      <c r="C3136" t="s">
        <v>55</v>
      </c>
      <c r="D3136">
        <v>1167.2</v>
      </c>
      <c r="E3136" s="12" t="str">
        <f>VLOOKUP(C3136,inf!$A$2:$B$7,2,FALSE)</f>
        <v>Current</v>
      </c>
      <c r="F3136" s="12" t="str">
        <f t="shared" si="49"/>
        <v>01/31/2018</v>
      </c>
      <c r="G3136" t="str">
        <f>VLOOKUP(A3136,inf!$D$2:$E$76,2,FALSE)</f>
        <v>Other</v>
      </c>
    </row>
    <row r="3137" spans="1:7" x14ac:dyDescent="0.25">
      <c r="A3137" t="s">
        <v>12</v>
      </c>
      <c r="B3137" s="1">
        <v>43131</v>
      </c>
      <c r="C3137" t="s">
        <v>56</v>
      </c>
      <c r="D3137">
        <v>123.71</v>
      </c>
      <c r="E3137" s="12" t="str">
        <f>VLOOKUP(C3137,inf!$A$2:$B$7,2,FALSE)</f>
        <v>Current</v>
      </c>
      <c r="F3137" s="12" t="str">
        <f t="shared" si="49"/>
        <v>01/31/2018</v>
      </c>
      <c r="G3137" t="str">
        <f>VLOOKUP(A3137,inf!$D$2:$E$76,2,FALSE)</f>
        <v>Other</v>
      </c>
    </row>
    <row r="3138" spans="1:7" x14ac:dyDescent="0.25">
      <c r="A3138" t="s">
        <v>83</v>
      </c>
      <c r="B3138" s="1">
        <v>43131</v>
      </c>
      <c r="C3138" t="s">
        <v>55</v>
      </c>
      <c r="D3138">
        <v>2437.46</v>
      </c>
      <c r="E3138" s="12" t="str">
        <f>VLOOKUP(C3138,inf!$A$2:$B$7,2,FALSE)</f>
        <v>Current</v>
      </c>
      <c r="F3138" s="12" t="str">
        <f t="shared" si="49"/>
        <v>01/31/2018</v>
      </c>
      <c r="G3138" t="str">
        <f>VLOOKUP(A3138,inf!$D$2:$E$76,2,FALSE)</f>
        <v>Other</v>
      </c>
    </row>
    <row r="3139" spans="1:7" x14ac:dyDescent="0.25">
      <c r="A3139" t="s">
        <v>7</v>
      </c>
      <c r="B3139" s="1">
        <v>43131</v>
      </c>
      <c r="C3139" t="s">
        <v>55</v>
      </c>
      <c r="D3139">
        <v>102135.50999999995</v>
      </c>
      <c r="E3139" s="12" t="str">
        <f>VLOOKUP(C3139,inf!$A$2:$B$7,2,FALSE)</f>
        <v>Current</v>
      </c>
      <c r="F3139" s="12" t="str">
        <f t="shared" ref="F3139:F3202" si="50">TEXT(B3139,"MM/DD/YYYY")</f>
        <v>01/31/2018</v>
      </c>
      <c r="G3139" t="str">
        <f>VLOOKUP(A3139,inf!$D$2:$E$76,2,FALSE)</f>
        <v>SAFEWAY</v>
      </c>
    </row>
    <row r="3140" spans="1:7" x14ac:dyDescent="0.25">
      <c r="A3140" t="s">
        <v>7</v>
      </c>
      <c r="B3140" s="1">
        <v>43131</v>
      </c>
      <c r="C3140" t="s">
        <v>56</v>
      </c>
      <c r="D3140">
        <v>31523.56</v>
      </c>
      <c r="E3140" s="12" t="str">
        <f>VLOOKUP(C3140,inf!$A$2:$B$7,2,FALSE)</f>
        <v>Current</v>
      </c>
      <c r="F3140" s="12" t="str">
        <f t="shared" si="50"/>
        <v>01/31/2018</v>
      </c>
      <c r="G3140" t="str">
        <f>VLOOKUP(A3140,inf!$D$2:$E$76,2,FALSE)</f>
        <v>SAFEWAY</v>
      </c>
    </row>
    <row r="3141" spans="1:7" x14ac:dyDescent="0.25">
      <c r="A3141" t="s">
        <v>7</v>
      </c>
      <c r="B3141" s="1">
        <v>43131</v>
      </c>
      <c r="C3141" t="s">
        <v>57</v>
      </c>
      <c r="D3141">
        <v>5474.98</v>
      </c>
      <c r="E3141" s="12" t="str">
        <f>VLOOKUP(C3141,inf!$A$2:$B$7,2,FALSE)</f>
        <v>31 to 60</v>
      </c>
      <c r="F3141" s="12" t="str">
        <f t="shared" si="50"/>
        <v>01/31/2018</v>
      </c>
      <c r="G3141" t="str">
        <f>VLOOKUP(A3141,inf!$D$2:$E$76,2,FALSE)</f>
        <v>SAFEWAY</v>
      </c>
    </row>
    <row r="3142" spans="1:7" x14ac:dyDescent="0.25">
      <c r="A3142" t="s">
        <v>7</v>
      </c>
      <c r="B3142" s="1">
        <v>43131</v>
      </c>
      <c r="C3142" t="s">
        <v>58</v>
      </c>
      <c r="D3142">
        <v>6830.35</v>
      </c>
      <c r="E3142" s="12" t="str">
        <f>VLOOKUP(C3142,inf!$A$2:$B$7,2,FALSE)</f>
        <v>61 to 90</v>
      </c>
      <c r="F3142" s="12" t="str">
        <f t="shared" si="50"/>
        <v>01/31/2018</v>
      </c>
      <c r="G3142" t="str">
        <f>VLOOKUP(A3142,inf!$D$2:$E$76,2,FALSE)</f>
        <v>SAFEWAY</v>
      </c>
    </row>
    <row r="3143" spans="1:7" x14ac:dyDescent="0.25">
      <c r="A3143" t="s">
        <v>7</v>
      </c>
      <c r="B3143" s="1">
        <v>43131</v>
      </c>
      <c r="C3143" t="s">
        <v>59</v>
      </c>
      <c r="D3143">
        <v>146.78</v>
      </c>
      <c r="E3143" s="12" t="str">
        <f>VLOOKUP(C3143,inf!$A$2:$B$7,2,FALSE)</f>
        <v>Over 90</v>
      </c>
      <c r="F3143" s="12" t="str">
        <f t="shared" si="50"/>
        <v>01/31/2018</v>
      </c>
      <c r="G3143" t="str">
        <f>VLOOKUP(A3143,inf!$D$2:$E$76,2,FALSE)</f>
        <v>SAFEWAY</v>
      </c>
    </row>
    <row r="3144" spans="1:7" x14ac:dyDescent="0.25">
      <c r="A3144" t="s">
        <v>7</v>
      </c>
      <c r="B3144" s="1">
        <v>43131</v>
      </c>
      <c r="C3144" t="s">
        <v>60</v>
      </c>
      <c r="D3144">
        <v>1137.75</v>
      </c>
      <c r="E3144" s="12" t="str">
        <f>VLOOKUP(C3144,inf!$A$2:$B$7,2,FALSE)</f>
        <v>Over 90</v>
      </c>
      <c r="F3144" s="12" t="str">
        <f t="shared" si="50"/>
        <v>01/31/2018</v>
      </c>
      <c r="G3144" t="str">
        <f>VLOOKUP(A3144,inf!$D$2:$E$76,2,FALSE)</f>
        <v>SAFEWAY</v>
      </c>
    </row>
    <row r="3145" spans="1:7" x14ac:dyDescent="0.25">
      <c r="A3145" t="s">
        <v>81</v>
      </c>
      <c r="B3145" s="1">
        <v>43131</v>
      </c>
      <c r="C3145" t="s">
        <v>55</v>
      </c>
      <c r="D3145">
        <v>255.25</v>
      </c>
      <c r="E3145" s="12" t="str">
        <f>VLOOKUP(C3145,inf!$A$2:$B$7,2,FALSE)</f>
        <v>Current</v>
      </c>
      <c r="F3145" s="12" t="str">
        <f t="shared" si="50"/>
        <v>01/31/2018</v>
      </c>
      <c r="G3145" t="str">
        <f>VLOOKUP(A3145,inf!$D$2:$E$76,2,FALSE)</f>
        <v>Other</v>
      </c>
    </row>
    <row r="3146" spans="1:7" x14ac:dyDescent="0.25">
      <c r="A3146" t="s">
        <v>81</v>
      </c>
      <c r="B3146" s="1">
        <v>43131</v>
      </c>
      <c r="C3146" t="s">
        <v>56</v>
      </c>
      <c r="D3146">
        <v>174.98</v>
      </c>
      <c r="E3146" s="12" t="str">
        <f>VLOOKUP(C3146,inf!$A$2:$B$7,2,FALSE)</f>
        <v>Current</v>
      </c>
      <c r="F3146" s="12" t="str">
        <f t="shared" si="50"/>
        <v>01/31/2018</v>
      </c>
      <c r="G3146" t="str">
        <f>VLOOKUP(A3146,inf!$D$2:$E$76,2,FALSE)</f>
        <v>Other</v>
      </c>
    </row>
    <row r="3147" spans="1:7" x14ac:dyDescent="0.25">
      <c r="A3147" t="s">
        <v>74</v>
      </c>
      <c r="B3147" s="1">
        <v>43131</v>
      </c>
      <c r="C3147" t="s">
        <v>60</v>
      </c>
      <c r="D3147">
        <v>742.26</v>
      </c>
      <c r="E3147" s="12" t="str">
        <f>VLOOKUP(C3147,inf!$A$2:$B$7,2,FALSE)</f>
        <v>Over 90</v>
      </c>
      <c r="F3147" s="12" t="str">
        <f t="shared" si="50"/>
        <v>01/31/2018</v>
      </c>
      <c r="G3147" t="str">
        <f>VLOOKUP(A3147,inf!$D$2:$E$76,2,FALSE)</f>
        <v>Other</v>
      </c>
    </row>
    <row r="3148" spans="1:7" x14ac:dyDescent="0.25">
      <c r="A3148" t="s">
        <v>5</v>
      </c>
      <c r="B3148" s="1">
        <v>43131</v>
      </c>
      <c r="C3148" t="s">
        <v>55</v>
      </c>
      <c r="D3148">
        <v>5897295.400000032</v>
      </c>
      <c r="E3148" s="12" t="str">
        <f>VLOOKUP(C3148,inf!$A$2:$B$7,2,FALSE)</f>
        <v>Current</v>
      </c>
      <c r="F3148" s="12" t="str">
        <f t="shared" si="50"/>
        <v>01/31/2018</v>
      </c>
      <c r="G3148" t="str">
        <f>VLOOKUP(A3148,inf!$D$2:$E$76,2,FALSE)</f>
        <v>SBUX</v>
      </c>
    </row>
    <row r="3149" spans="1:7" x14ac:dyDescent="0.25">
      <c r="A3149" t="s">
        <v>5</v>
      </c>
      <c r="B3149" s="1">
        <v>43131</v>
      </c>
      <c r="C3149" t="s">
        <v>56</v>
      </c>
      <c r="D3149">
        <v>75704.160000000003</v>
      </c>
      <c r="E3149" s="12" t="str">
        <f>VLOOKUP(C3149,inf!$A$2:$B$7,2,FALSE)</f>
        <v>Current</v>
      </c>
      <c r="F3149" s="12" t="str">
        <f t="shared" si="50"/>
        <v>01/31/2018</v>
      </c>
      <c r="G3149" t="str">
        <f>VLOOKUP(A3149,inf!$D$2:$E$76,2,FALSE)</f>
        <v>SBUX</v>
      </c>
    </row>
    <row r="3150" spans="1:7" x14ac:dyDescent="0.25">
      <c r="A3150" t="s">
        <v>5</v>
      </c>
      <c r="B3150" s="1">
        <v>43131</v>
      </c>
      <c r="C3150" t="s">
        <v>57</v>
      </c>
      <c r="D3150">
        <v>59859.820000000022</v>
      </c>
      <c r="E3150" s="12" t="str">
        <f>VLOOKUP(C3150,inf!$A$2:$B$7,2,FALSE)</f>
        <v>31 to 60</v>
      </c>
      <c r="F3150" s="12" t="str">
        <f t="shared" si="50"/>
        <v>01/31/2018</v>
      </c>
      <c r="G3150" t="str">
        <f>VLOOKUP(A3150,inf!$D$2:$E$76,2,FALSE)</f>
        <v>SBUX</v>
      </c>
    </row>
    <row r="3151" spans="1:7" x14ac:dyDescent="0.25">
      <c r="A3151" t="s">
        <v>5</v>
      </c>
      <c r="B3151" s="1">
        <v>43131</v>
      </c>
      <c r="C3151" t="s">
        <v>58</v>
      </c>
      <c r="D3151">
        <v>47736.87999999999</v>
      </c>
      <c r="E3151" s="12" t="str">
        <f>VLOOKUP(C3151,inf!$A$2:$B$7,2,FALSE)</f>
        <v>61 to 90</v>
      </c>
      <c r="F3151" s="12" t="str">
        <f t="shared" si="50"/>
        <v>01/31/2018</v>
      </c>
      <c r="G3151" t="str">
        <f>VLOOKUP(A3151,inf!$D$2:$E$76,2,FALSE)</f>
        <v>SBUX</v>
      </c>
    </row>
    <row r="3152" spans="1:7" x14ac:dyDescent="0.25">
      <c r="A3152" t="s">
        <v>5</v>
      </c>
      <c r="B3152" s="1">
        <v>43131</v>
      </c>
      <c r="C3152" t="s">
        <v>59</v>
      </c>
      <c r="D3152">
        <v>16906.640000000003</v>
      </c>
      <c r="E3152" s="12" t="str">
        <f>VLOOKUP(C3152,inf!$A$2:$B$7,2,FALSE)</f>
        <v>Over 90</v>
      </c>
      <c r="F3152" s="12" t="str">
        <f t="shared" si="50"/>
        <v>01/31/2018</v>
      </c>
      <c r="G3152" t="str">
        <f>VLOOKUP(A3152,inf!$D$2:$E$76,2,FALSE)</f>
        <v>SBUX</v>
      </c>
    </row>
    <row r="3153" spans="1:7" x14ac:dyDescent="0.25">
      <c r="A3153" t="s">
        <v>5</v>
      </c>
      <c r="B3153" s="1">
        <v>43131</v>
      </c>
      <c r="C3153" t="s">
        <v>60</v>
      </c>
      <c r="D3153">
        <v>133872.48999999993</v>
      </c>
      <c r="E3153" s="12" t="str">
        <f>VLOOKUP(C3153,inf!$A$2:$B$7,2,FALSE)</f>
        <v>Over 90</v>
      </c>
      <c r="F3153" s="12" t="str">
        <f t="shared" si="50"/>
        <v>01/31/2018</v>
      </c>
      <c r="G3153" t="str">
        <f>VLOOKUP(A3153,inf!$D$2:$E$76,2,FALSE)</f>
        <v>SBUX</v>
      </c>
    </row>
    <row r="3154" spans="1:7" x14ac:dyDescent="0.25">
      <c r="A3154" t="s">
        <v>6</v>
      </c>
      <c r="B3154" s="1">
        <v>43131</v>
      </c>
      <c r="C3154" t="s">
        <v>55</v>
      </c>
      <c r="D3154">
        <v>577329.17999999691</v>
      </c>
      <c r="E3154" s="12" t="str">
        <f>VLOOKUP(C3154,inf!$A$2:$B$7,2,FALSE)</f>
        <v>Current</v>
      </c>
      <c r="F3154" s="12" t="str">
        <f t="shared" si="50"/>
        <v>01/31/2018</v>
      </c>
      <c r="G3154" t="str">
        <f>VLOOKUP(A3154,inf!$D$2:$E$76,2,FALSE)</f>
        <v>SBUX</v>
      </c>
    </row>
    <row r="3155" spans="1:7" x14ac:dyDescent="0.25">
      <c r="A3155" t="s">
        <v>6</v>
      </c>
      <c r="B3155" s="1">
        <v>43131</v>
      </c>
      <c r="C3155" t="s">
        <v>56</v>
      </c>
      <c r="D3155">
        <v>3403.2699999999991</v>
      </c>
      <c r="E3155" s="12" t="str">
        <f>VLOOKUP(C3155,inf!$A$2:$B$7,2,FALSE)</f>
        <v>Current</v>
      </c>
      <c r="F3155" s="12" t="str">
        <f t="shared" si="50"/>
        <v>01/31/2018</v>
      </c>
      <c r="G3155" t="str">
        <f>VLOOKUP(A3155,inf!$D$2:$E$76,2,FALSE)</f>
        <v>SBUX</v>
      </c>
    </row>
    <row r="3156" spans="1:7" x14ac:dyDescent="0.25">
      <c r="A3156" t="s">
        <v>6</v>
      </c>
      <c r="B3156" s="1">
        <v>43131</v>
      </c>
      <c r="C3156" t="s">
        <v>57</v>
      </c>
      <c r="D3156">
        <v>2101.5099999999998</v>
      </c>
      <c r="E3156" s="12" t="str">
        <f>VLOOKUP(C3156,inf!$A$2:$B$7,2,FALSE)</f>
        <v>31 to 60</v>
      </c>
      <c r="F3156" s="12" t="str">
        <f t="shared" si="50"/>
        <v>01/31/2018</v>
      </c>
      <c r="G3156" t="str">
        <f>VLOOKUP(A3156,inf!$D$2:$E$76,2,FALSE)</f>
        <v>SBUX</v>
      </c>
    </row>
    <row r="3157" spans="1:7" x14ac:dyDescent="0.25">
      <c r="A3157" t="s">
        <v>6</v>
      </c>
      <c r="B3157" s="1">
        <v>43131</v>
      </c>
      <c r="C3157" t="s">
        <v>58</v>
      </c>
      <c r="D3157">
        <v>603.47000000000014</v>
      </c>
      <c r="E3157" s="12" t="str">
        <f>VLOOKUP(C3157,inf!$A$2:$B$7,2,FALSE)</f>
        <v>61 to 90</v>
      </c>
      <c r="F3157" s="12" t="str">
        <f t="shared" si="50"/>
        <v>01/31/2018</v>
      </c>
      <c r="G3157" t="str">
        <f>VLOOKUP(A3157,inf!$D$2:$E$76,2,FALSE)</f>
        <v>SBUX</v>
      </c>
    </row>
    <row r="3158" spans="1:7" x14ac:dyDescent="0.25">
      <c r="A3158" t="s">
        <v>6</v>
      </c>
      <c r="B3158" s="1">
        <v>43131</v>
      </c>
      <c r="C3158" t="s">
        <v>59</v>
      </c>
      <c r="D3158">
        <v>2207.2700000000004</v>
      </c>
      <c r="E3158" s="12" t="str">
        <f>VLOOKUP(C3158,inf!$A$2:$B$7,2,FALSE)</f>
        <v>Over 90</v>
      </c>
      <c r="F3158" s="12" t="str">
        <f t="shared" si="50"/>
        <v>01/31/2018</v>
      </c>
      <c r="G3158" t="str">
        <f>VLOOKUP(A3158,inf!$D$2:$E$76,2,FALSE)</f>
        <v>SBUX</v>
      </c>
    </row>
    <row r="3159" spans="1:7" x14ac:dyDescent="0.25">
      <c r="A3159" t="s">
        <v>6</v>
      </c>
      <c r="B3159" s="1">
        <v>43131</v>
      </c>
      <c r="C3159" t="s">
        <v>60</v>
      </c>
      <c r="D3159">
        <v>10842.67</v>
      </c>
      <c r="E3159" s="12" t="str">
        <f>VLOOKUP(C3159,inf!$A$2:$B$7,2,FALSE)</f>
        <v>Over 90</v>
      </c>
      <c r="F3159" s="12" t="str">
        <f t="shared" si="50"/>
        <v>01/31/2018</v>
      </c>
      <c r="G3159" t="str">
        <f>VLOOKUP(A3159,inf!$D$2:$E$76,2,FALSE)</f>
        <v>SBUX</v>
      </c>
    </row>
    <row r="3160" spans="1:7" x14ac:dyDescent="0.25">
      <c r="A3160" t="s">
        <v>48</v>
      </c>
      <c r="B3160" s="1">
        <v>43131</v>
      </c>
      <c r="C3160" t="s">
        <v>55</v>
      </c>
      <c r="D3160">
        <v>503640.75000000012</v>
      </c>
      <c r="E3160" s="12" t="str">
        <f>VLOOKUP(C3160,inf!$A$2:$B$7,2,FALSE)</f>
        <v>Current</v>
      </c>
      <c r="F3160" s="12" t="str">
        <f t="shared" si="50"/>
        <v>01/31/2018</v>
      </c>
      <c r="G3160" t="str">
        <f>VLOOKUP(A3160,inf!$D$2:$E$76,2,FALSE)</f>
        <v>Target</v>
      </c>
    </row>
    <row r="3161" spans="1:7" x14ac:dyDescent="0.25">
      <c r="A3161" t="s">
        <v>48</v>
      </c>
      <c r="B3161" s="1">
        <v>43131</v>
      </c>
      <c r="C3161" t="s">
        <v>56</v>
      </c>
      <c r="D3161">
        <v>24339.48</v>
      </c>
      <c r="E3161" s="12" t="str">
        <f>VLOOKUP(C3161,inf!$A$2:$B$7,2,FALSE)</f>
        <v>Current</v>
      </c>
      <c r="F3161" s="12" t="str">
        <f t="shared" si="50"/>
        <v>01/31/2018</v>
      </c>
      <c r="G3161" t="str">
        <f>VLOOKUP(A3161,inf!$D$2:$E$76,2,FALSE)</f>
        <v>Target</v>
      </c>
    </row>
    <row r="3162" spans="1:7" x14ac:dyDescent="0.25">
      <c r="A3162" t="s">
        <v>48</v>
      </c>
      <c r="B3162" s="1">
        <v>43131</v>
      </c>
      <c r="C3162" t="s">
        <v>57</v>
      </c>
      <c r="D3162">
        <v>20379.320000000003</v>
      </c>
      <c r="E3162" s="12" t="str">
        <f>VLOOKUP(C3162,inf!$A$2:$B$7,2,FALSE)</f>
        <v>31 to 60</v>
      </c>
      <c r="F3162" s="12" t="str">
        <f t="shared" si="50"/>
        <v>01/31/2018</v>
      </c>
      <c r="G3162" t="str">
        <f>VLOOKUP(A3162,inf!$D$2:$E$76,2,FALSE)</f>
        <v>Target</v>
      </c>
    </row>
    <row r="3163" spans="1:7" x14ac:dyDescent="0.25">
      <c r="A3163" t="s">
        <v>48</v>
      </c>
      <c r="B3163" s="1">
        <v>43131</v>
      </c>
      <c r="C3163" t="s">
        <v>58</v>
      </c>
      <c r="D3163">
        <v>9534.5500000000011</v>
      </c>
      <c r="E3163" s="12" t="str">
        <f>VLOOKUP(C3163,inf!$A$2:$B$7,2,FALSE)</f>
        <v>61 to 90</v>
      </c>
      <c r="F3163" s="12" t="str">
        <f t="shared" si="50"/>
        <v>01/31/2018</v>
      </c>
      <c r="G3163" t="str">
        <f>VLOOKUP(A3163,inf!$D$2:$E$76,2,FALSE)</f>
        <v>Target</v>
      </c>
    </row>
    <row r="3164" spans="1:7" x14ac:dyDescent="0.25">
      <c r="A3164" t="s">
        <v>48</v>
      </c>
      <c r="B3164" s="1">
        <v>43131</v>
      </c>
      <c r="C3164" t="s">
        <v>59</v>
      </c>
      <c r="D3164">
        <v>1858.71</v>
      </c>
      <c r="E3164" s="12" t="str">
        <f>VLOOKUP(C3164,inf!$A$2:$B$7,2,FALSE)</f>
        <v>Over 90</v>
      </c>
      <c r="F3164" s="12" t="str">
        <f t="shared" si="50"/>
        <v>01/31/2018</v>
      </c>
      <c r="G3164" t="str">
        <f>VLOOKUP(A3164,inf!$D$2:$E$76,2,FALSE)</f>
        <v>Target</v>
      </c>
    </row>
    <row r="3165" spans="1:7" x14ac:dyDescent="0.25">
      <c r="A3165" t="s">
        <v>48</v>
      </c>
      <c r="B3165" s="1">
        <v>43131</v>
      </c>
      <c r="C3165" t="s">
        <v>60</v>
      </c>
      <c r="D3165">
        <v>2958.4200000000005</v>
      </c>
      <c r="E3165" s="12" t="str">
        <f>VLOOKUP(C3165,inf!$A$2:$B$7,2,FALSE)</f>
        <v>Over 90</v>
      </c>
      <c r="F3165" s="12" t="str">
        <f t="shared" si="50"/>
        <v>01/31/2018</v>
      </c>
      <c r="G3165" t="str">
        <f>VLOOKUP(A3165,inf!$D$2:$E$76,2,FALSE)</f>
        <v>Target</v>
      </c>
    </row>
    <row r="3166" spans="1:7" x14ac:dyDescent="0.25">
      <c r="A3166" t="s">
        <v>8</v>
      </c>
      <c r="B3166" s="1">
        <v>43131</v>
      </c>
      <c r="C3166" t="s">
        <v>55</v>
      </c>
      <c r="D3166">
        <v>530938.52999999921</v>
      </c>
      <c r="E3166" s="12" t="str">
        <f>VLOOKUP(C3166,inf!$A$2:$B$7,2,FALSE)</f>
        <v>Current</v>
      </c>
      <c r="F3166" s="12" t="str">
        <f t="shared" si="50"/>
        <v>01/31/2018</v>
      </c>
      <c r="G3166" t="str">
        <f>VLOOKUP(A3166,inf!$D$2:$E$76,2,FALSE)</f>
        <v>Target</v>
      </c>
    </row>
    <row r="3167" spans="1:7" x14ac:dyDescent="0.25">
      <c r="A3167" t="s">
        <v>8</v>
      </c>
      <c r="B3167" s="1">
        <v>43131</v>
      </c>
      <c r="C3167" t="s">
        <v>56</v>
      </c>
      <c r="D3167">
        <v>19470.010000000002</v>
      </c>
      <c r="E3167" s="12" t="str">
        <f>VLOOKUP(C3167,inf!$A$2:$B$7,2,FALSE)</f>
        <v>Current</v>
      </c>
      <c r="F3167" s="12" t="str">
        <f t="shared" si="50"/>
        <v>01/31/2018</v>
      </c>
      <c r="G3167" t="str">
        <f>VLOOKUP(A3167,inf!$D$2:$E$76,2,FALSE)</f>
        <v>Target</v>
      </c>
    </row>
    <row r="3168" spans="1:7" x14ac:dyDescent="0.25">
      <c r="A3168" t="s">
        <v>8</v>
      </c>
      <c r="B3168" s="1">
        <v>43131</v>
      </c>
      <c r="C3168" t="s">
        <v>57</v>
      </c>
      <c r="D3168">
        <v>17298.170000000002</v>
      </c>
      <c r="E3168" s="12" t="str">
        <f>VLOOKUP(C3168,inf!$A$2:$B$7,2,FALSE)</f>
        <v>31 to 60</v>
      </c>
      <c r="F3168" s="12" t="str">
        <f t="shared" si="50"/>
        <v>01/31/2018</v>
      </c>
      <c r="G3168" t="str">
        <f>VLOOKUP(A3168,inf!$D$2:$E$76,2,FALSE)</f>
        <v>Target</v>
      </c>
    </row>
    <row r="3169" spans="1:7" x14ac:dyDescent="0.25">
      <c r="A3169" t="s">
        <v>8</v>
      </c>
      <c r="B3169" s="1">
        <v>43131</v>
      </c>
      <c r="C3169" t="s">
        <v>58</v>
      </c>
      <c r="D3169">
        <v>14782.270000000002</v>
      </c>
      <c r="E3169" s="12" t="str">
        <f>VLOOKUP(C3169,inf!$A$2:$B$7,2,FALSE)</f>
        <v>61 to 90</v>
      </c>
      <c r="F3169" s="12" t="str">
        <f t="shared" si="50"/>
        <v>01/31/2018</v>
      </c>
      <c r="G3169" t="str">
        <f>VLOOKUP(A3169,inf!$D$2:$E$76,2,FALSE)</f>
        <v>Target</v>
      </c>
    </row>
    <row r="3170" spans="1:7" x14ac:dyDescent="0.25">
      <c r="A3170" t="s">
        <v>8</v>
      </c>
      <c r="B3170" s="1">
        <v>43131</v>
      </c>
      <c r="C3170" t="s">
        <v>59</v>
      </c>
      <c r="D3170">
        <v>8672.130000000001</v>
      </c>
      <c r="E3170" s="12" t="str">
        <f>VLOOKUP(C3170,inf!$A$2:$B$7,2,FALSE)</f>
        <v>Over 90</v>
      </c>
      <c r="F3170" s="12" t="str">
        <f t="shared" si="50"/>
        <v>01/31/2018</v>
      </c>
      <c r="G3170" t="str">
        <f>VLOOKUP(A3170,inf!$D$2:$E$76,2,FALSE)</f>
        <v>Target</v>
      </c>
    </row>
    <row r="3171" spans="1:7" x14ac:dyDescent="0.25">
      <c r="A3171" t="s">
        <v>8</v>
      </c>
      <c r="B3171" s="1">
        <v>43131</v>
      </c>
      <c r="C3171" t="s">
        <v>60</v>
      </c>
      <c r="D3171">
        <v>15303.460000000001</v>
      </c>
      <c r="E3171" s="12" t="str">
        <f>VLOOKUP(C3171,inf!$A$2:$B$7,2,FALSE)</f>
        <v>Over 90</v>
      </c>
      <c r="F3171" s="12" t="str">
        <f t="shared" si="50"/>
        <v>01/31/2018</v>
      </c>
      <c r="G3171" t="str">
        <f>VLOOKUP(A3171,inf!$D$2:$E$76,2,FALSE)</f>
        <v>Target</v>
      </c>
    </row>
    <row r="3172" spans="1:7" x14ac:dyDescent="0.25">
      <c r="A3172" t="s">
        <v>54</v>
      </c>
      <c r="B3172" s="1">
        <v>43131</v>
      </c>
      <c r="C3172" t="s">
        <v>55</v>
      </c>
      <c r="D3172">
        <v>497.05</v>
      </c>
      <c r="E3172" s="12" t="str">
        <f>VLOOKUP(C3172,inf!$A$2:$B$7,2,FALSE)</f>
        <v>Current</v>
      </c>
      <c r="F3172" s="12" t="str">
        <f t="shared" si="50"/>
        <v>01/31/2018</v>
      </c>
      <c r="G3172" t="str">
        <f>VLOOKUP(A3172,inf!$D$2:$E$76,2,FALSE)</f>
        <v>Other</v>
      </c>
    </row>
    <row r="3173" spans="1:7" x14ac:dyDescent="0.25">
      <c r="A3173" t="s">
        <v>54</v>
      </c>
      <c r="B3173" s="1">
        <v>43131</v>
      </c>
      <c r="C3173" t="s">
        <v>60</v>
      </c>
      <c r="D3173">
        <v>245.44</v>
      </c>
      <c r="E3173" s="12" t="str">
        <f>VLOOKUP(C3173,inf!$A$2:$B$7,2,FALSE)</f>
        <v>Over 90</v>
      </c>
      <c r="F3173" s="12" t="str">
        <f t="shared" si="50"/>
        <v>01/31/2018</v>
      </c>
      <c r="G3173" t="str">
        <f>VLOOKUP(A3173,inf!$D$2:$E$76,2,FALSE)</f>
        <v>Other</v>
      </c>
    </row>
    <row r="3174" spans="1:7" x14ac:dyDescent="0.25">
      <c r="A3174" t="s">
        <v>28</v>
      </c>
      <c r="B3174" s="1">
        <v>43131</v>
      </c>
      <c r="C3174" t="s">
        <v>55</v>
      </c>
      <c r="D3174">
        <v>5183.8500000000004</v>
      </c>
      <c r="E3174" s="12" t="str">
        <f>VLOOKUP(C3174,inf!$A$2:$B$7,2,FALSE)</f>
        <v>Current</v>
      </c>
      <c r="F3174" s="12" t="str">
        <f t="shared" si="50"/>
        <v>01/31/2018</v>
      </c>
      <c r="G3174" t="str">
        <f>VLOOKUP(A3174,inf!$D$2:$E$76,2,FALSE)</f>
        <v>Other</v>
      </c>
    </row>
    <row r="3175" spans="1:7" x14ac:dyDescent="0.25">
      <c r="A3175" t="s">
        <v>15</v>
      </c>
      <c r="B3175" s="1">
        <v>43131</v>
      </c>
      <c r="C3175" t="s">
        <v>60</v>
      </c>
      <c r="D3175">
        <v>291.60000000000002</v>
      </c>
      <c r="E3175" s="12" t="str">
        <f>VLOOKUP(C3175,inf!$A$2:$B$7,2,FALSE)</f>
        <v>Over 90</v>
      </c>
      <c r="F3175" s="12" t="str">
        <f t="shared" si="50"/>
        <v>01/31/2018</v>
      </c>
      <c r="G3175" t="str">
        <f>VLOOKUP(A3175,inf!$D$2:$E$76,2,FALSE)</f>
        <v>Other</v>
      </c>
    </row>
    <row r="3176" spans="1:7" x14ac:dyDescent="0.25">
      <c r="A3176" t="s">
        <v>22</v>
      </c>
      <c r="B3176" s="1">
        <v>43124</v>
      </c>
      <c r="C3176" t="s">
        <v>55</v>
      </c>
      <c r="D3176">
        <v>471.65999999999997</v>
      </c>
      <c r="E3176" s="12" t="str">
        <f>VLOOKUP(C3176,inf!$A$2:$B$7,2,FALSE)</f>
        <v>Current</v>
      </c>
      <c r="F3176" s="12" t="str">
        <f t="shared" si="50"/>
        <v>01/24/2018</v>
      </c>
      <c r="G3176" t="str">
        <f>VLOOKUP(A3176,inf!$D$2:$E$76,2,FALSE)</f>
        <v>Other</v>
      </c>
    </row>
    <row r="3177" spans="1:7" x14ac:dyDescent="0.25">
      <c r="A3177" t="s">
        <v>22</v>
      </c>
      <c r="B3177" s="1">
        <v>43124</v>
      </c>
      <c r="C3177" t="s">
        <v>56</v>
      </c>
      <c r="D3177">
        <v>229.7</v>
      </c>
      <c r="E3177" s="12" t="str">
        <f>VLOOKUP(C3177,inf!$A$2:$B$7,2,FALSE)</f>
        <v>Current</v>
      </c>
      <c r="F3177" s="12" t="str">
        <f t="shared" si="50"/>
        <v>01/24/2018</v>
      </c>
      <c r="G3177" t="str">
        <f>VLOOKUP(A3177,inf!$D$2:$E$76,2,FALSE)</f>
        <v>Other</v>
      </c>
    </row>
    <row r="3178" spans="1:7" x14ac:dyDescent="0.25">
      <c r="A3178" t="s">
        <v>80</v>
      </c>
      <c r="B3178" s="1">
        <v>43124</v>
      </c>
      <c r="C3178" t="s">
        <v>56</v>
      </c>
      <c r="D3178">
        <v>262.01</v>
      </c>
      <c r="E3178" s="12" t="str">
        <f>VLOOKUP(C3178,inf!$A$2:$B$7,2,FALSE)</f>
        <v>Current</v>
      </c>
      <c r="F3178" s="12" t="str">
        <f t="shared" si="50"/>
        <v>01/24/2018</v>
      </c>
      <c r="G3178" t="str">
        <f>VLOOKUP(A3178,inf!$D$2:$E$76,2,FALSE)</f>
        <v>Other</v>
      </c>
    </row>
    <row r="3179" spans="1:7" x14ac:dyDescent="0.25">
      <c r="A3179" t="s">
        <v>4</v>
      </c>
      <c r="B3179" s="1">
        <v>43124</v>
      </c>
      <c r="C3179" t="s">
        <v>55</v>
      </c>
      <c r="D3179">
        <v>8738.5999999999985</v>
      </c>
      <c r="E3179" s="12" t="str">
        <f>VLOOKUP(C3179,inf!$A$2:$B$7,2,FALSE)</f>
        <v>Current</v>
      </c>
      <c r="F3179" s="12" t="str">
        <f t="shared" si="50"/>
        <v>01/24/2018</v>
      </c>
      <c r="G3179" t="str">
        <f>VLOOKUP(A3179,inf!$D$2:$E$76,2,FALSE)</f>
        <v>Other</v>
      </c>
    </row>
    <row r="3180" spans="1:7" x14ac:dyDescent="0.25">
      <c r="A3180" t="s">
        <v>4</v>
      </c>
      <c r="B3180" s="1">
        <v>43124</v>
      </c>
      <c r="C3180" t="s">
        <v>56</v>
      </c>
      <c r="D3180">
        <v>4323.0000000000009</v>
      </c>
      <c r="E3180" s="12" t="str">
        <f>VLOOKUP(C3180,inf!$A$2:$B$7,2,FALSE)</f>
        <v>Current</v>
      </c>
      <c r="F3180" s="12" t="str">
        <f t="shared" si="50"/>
        <v>01/24/2018</v>
      </c>
      <c r="G3180" t="str">
        <f>VLOOKUP(A3180,inf!$D$2:$E$76,2,FALSE)</f>
        <v>Other</v>
      </c>
    </row>
    <row r="3181" spans="1:7" x14ac:dyDescent="0.25">
      <c r="A3181" t="s">
        <v>4</v>
      </c>
      <c r="B3181" s="1">
        <v>43124</v>
      </c>
      <c r="C3181" t="s">
        <v>57</v>
      </c>
      <c r="D3181">
        <v>425.62</v>
      </c>
      <c r="E3181" s="12" t="str">
        <f>VLOOKUP(C3181,inf!$A$2:$B$7,2,FALSE)</f>
        <v>31 to 60</v>
      </c>
      <c r="F3181" s="12" t="str">
        <f t="shared" si="50"/>
        <v>01/24/2018</v>
      </c>
      <c r="G3181" t="str">
        <f>VLOOKUP(A3181,inf!$D$2:$E$76,2,FALSE)</f>
        <v>Other</v>
      </c>
    </row>
    <row r="3182" spans="1:7" x14ac:dyDescent="0.25">
      <c r="A3182" t="s">
        <v>4</v>
      </c>
      <c r="B3182" s="1">
        <v>43124</v>
      </c>
      <c r="C3182" t="s">
        <v>58</v>
      </c>
      <c r="D3182">
        <v>526.84</v>
      </c>
      <c r="E3182" s="12" t="str">
        <f>VLOOKUP(C3182,inf!$A$2:$B$7,2,FALSE)</f>
        <v>61 to 90</v>
      </c>
      <c r="F3182" s="12" t="str">
        <f t="shared" si="50"/>
        <v>01/24/2018</v>
      </c>
      <c r="G3182" t="str">
        <f>VLOOKUP(A3182,inf!$D$2:$E$76,2,FALSE)</f>
        <v>Other</v>
      </c>
    </row>
    <row r="3183" spans="1:7" x14ac:dyDescent="0.25">
      <c r="A3183" t="s">
        <v>77</v>
      </c>
      <c r="B3183" s="1">
        <v>43124</v>
      </c>
      <c r="C3183" t="s">
        <v>56</v>
      </c>
      <c r="D3183">
        <v>834.05</v>
      </c>
      <c r="E3183" s="12" t="str">
        <f>VLOOKUP(C3183,inf!$A$2:$B$7,2,FALSE)</f>
        <v>Current</v>
      </c>
      <c r="F3183" s="12" t="str">
        <f t="shared" si="50"/>
        <v>01/24/2018</v>
      </c>
      <c r="G3183" t="str">
        <f>VLOOKUP(A3183,inf!$D$2:$E$76,2,FALSE)</f>
        <v>Other</v>
      </c>
    </row>
    <row r="3184" spans="1:7" x14ac:dyDescent="0.25">
      <c r="A3184" t="s">
        <v>11</v>
      </c>
      <c r="B3184" s="1">
        <v>43124</v>
      </c>
      <c r="C3184" t="s">
        <v>56</v>
      </c>
      <c r="D3184">
        <v>331.6</v>
      </c>
      <c r="E3184" s="12" t="str">
        <f>VLOOKUP(C3184,inf!$A$2:$B$7,2,FALSE)</f>
        <v>Current</v>
      </c>
      <c r="F3184" s="12" t="str">
        <f t="shared" si="50"/>
        <v>01/24/2018</v>
      </c>
      <c r="G3184" t="str">
        <f>VLOOKUP(A3184,inf!$D$2:$E$76,2,FALSE)</f>
        <v>Other</v>
      </c>
    </row>
    <row r="3185" spans="1:7" x14ac:dyDescent="0.25">
      <c r="A3185" t="s">
        <v>25</v>
      </c>
      <c r="B3185" s="1">
        <v>43124</v>
      </c>
      <c r="C3185" t="s">
        <v>55</v>
      </c>
      <c r="D3185">
        <v>2397.85</v>
      </c>
      <c r="E3185" s="12" t="str">
        <f>VLOOKUP(C3185,inf!$A$2:$B$7,2,FALSE)</f>
        <v>Current</v>
      </c>
      <c r="F3185" s="12" t="str">
        <f t="shared" si="50"/>
        <v>01/24/2018</v>
      </c>
      <c r="G3185" t="str">
        <f>VLOOKUP(A3185,inf!$D$2:$E$76,2,FALSE)</f>
        <v>Other</v>
      </c>
    </row>
    <row r="3186" spans="1:7" x14ac:dyDescent="0.25">
      <c r="A3186" t="s">
        <v>31</v>
      </c>
      <c r="B3186" s="1">
        <v>43124</v>
      </c>
      <c r="C3186" t="s">
        <v>60</v>
      </c>
      <c r="D3186">
        <v>153.15</v>
      </c>
      <c r="E3186" s="12" t="str">
        <f>VLOOKUP(C3186,inf!$A$2:$B$7,2,FALSE)</f>
        <v>Over 90</v>
      </c>
      <c r="F3186" s="12" t="str">
        <f t="shared" si="50"/>
        <v>01/24/2018</v>
      </c>
      <c r="G3186" t="str">
        <f>VLOOKUP(A3186,inf!$D$2:$E$76,2,FALSE)</f>
        <v>Other</v>
      </c>
    </row>
    <row r="3187" spans="1:7" x14ac:dyDescent="0.25">
      <c r="A3187" t="s">
        <v>24</v>
      </c>
      <c r="B3187" s="1">
        <v>43124</v>
      </c>
      <c r="C3187" t="s">
        <v>55</v>
      </c>
      <c r="D3187">
        <v>1581.63</v>
      </c>
      <c r="E3187" s="12" t="str">
        <f>VLOOKUP(C3187,inf!$A$2:$B$7,2,FALSE)</f>
        <v>Current</v>
      </c>
      <c r="F3187" s="12" t="str">
        <f t="shared" si="50"/>
        <v>01/24/2018</v>
      </c>
      <c r="G3187" t="str">
        <f>VLOOKUP(A3187,inf!$D$2:$E$76,2,FALSE)</f>
        <v>Other</v>
      </c>
    </row>
    <row r="3188" spans="1:7" x14ac:dyDescent="0.25">
      <c r="A3188" t="s">
        <v>82</v>
      </c>
      <c r="B3188" s="1">
        <v>43124</v>
      </c>
      <c r="C3188" t="s">
        <v>55</v>
      </c>
      <c r="D3188">
        <v>238.64</v>
      </c>
      <c r="E3188" s="12" t="str">
        <f>VLOOKUP(C3188,inf!$A$2:$B$7,2,FALSE)</f>
        <v>Current</v>
      </c>
      <c r="F3188" s="12" t="str">
        <f t="shared" si="50"/>
        <v>01/24/2018</v>
      </c>
      <c r="G3188" t="str">
        <f>VLOOKUP(A3188,inf!$D$2:$E$76,2,FALSE)</f>
        <v>Other</v>
      </c>
    </row>
    <row r="3189" spans="1:7" x14ac:dyDescent="0.25">
      <c r="A3189" t="s">
        <v>53</v>
      </c>
      <c r="B3189" s="1">
        <v>43124</v>
      </c>
      <c r="C3189" t="s">
        <v>55</v>
      </c>
      <c r="D3189">
        <v>261.52</v>
      </c>
      <c r="E3189" s="12" t="str">
        <f>VLOOKUP(C3189,inf!$A$2:$B$7,2,FALSE)</f>
        <v>Current</v>
      </c>
      <c r="F3189" s="12" t="str">
        <f t="shared" si="50"/>
        <v>01/24/2018</v>
      </c>
      <c r="G3189" t="str">
        <f>VLOOKUP(A3189,inf!$D$2:$E$76,2,FALSE)</f>
        <v>Other</v>
      </c>
    </row>
    <row r="3190" spans="1:7" x14ac:dyDescent="0.25">
      <c r="A3190" t="s">
        <v>53</v>
      </c>
      <c r="B3190" s="1">
        <v>43124</v>
      </c>
      <c r="C3190" t="s">
        <v>56</v>
      </c>
      <c r="D3190">
        <v>605.82999999999993</v>
      </c>
      <c r="E3190" s="12" t="str">
        <f>VLOOKUP(C3190,inf!$A$2:$B$7,2,FALSE)</f>
        <v>Current</v>
      </c>
      <c r="F3190" s="12" t="str">
        <f t="shared" si="50"/>
        <v>01/24/2018</v>
      </c>
      <c r="G3190" t="str">
        <f>VLOOKUP(A3190,inf!$D$2:$E$76,2,FALSE)</f>
        <v>Other</v>
      </c>
    </row>
    <row r="3191" spans="1:7" x14ac:dyDescent="0.25">
      <c r="A3191" t="s">
        <v>3</v>
      </c>
      <c r="B3191" s="1">
        <v>43124</v>
      </c>
      <c r="C3191" t="s">
        <v>55</v>
      </c>
      <c r="D3191">
        <v>560.32999999999993</v>
      </c>
      <c r="E3191" s="12" t="str">
        <f>VLOOKUP(C3191,inf!$A$2:$B$7,2,FALSE)</f>
        <v>Current</v>
      </c>
      <c r="F3191" s="12" t="str">
        <f t="shared" si="50"/>
        <v>01/24/2018</v>
      </c>
      <c r="G3191" t="str">
        <f>VLOOKUP(A3191,inf!$D$2:$E$76,2,FALSE)</f>
        <v>Other</v>
      </c>
    </row>
    <row r="3192" spans="1:7" x14ac:dyDescent="0.25">
      <c r="A3192" t="s">
        <v>3</v>
      </c>
      <c r="B3192" s="1">
        <v>43124</v>
      </c>
      <c r="C3192" t="s">
        <v>56</v>
      </c>
      <c r="D3192">
        <v>62.5</v>
      </c>
      <c r="E3192" s="12" t="str">
        <f>VLOOKUP(C3192,inf!$A$2:$B$7,2,FALSE)</f>
        <v>Current</v>
      </c>
      <c r="F3192" s="12" t="str">
        <f t="shared" si="50"/>
        <v>01/24/2018</v>
      </c>
      <c r="G3192" t="str">
        <f>VLOOKUP(A3192,inf!$D$2:$E$76,2,FALSE)</f>
        <v>Other</v>
      </c>
    </row>
    <row r="3193" spans="1:7" x14ac:dyDescent="0.25">
      <c r="A3193" t="s">
        <v>3</v>
      </c>
      <c r="B3193" s="1">
        <v>43124</v>
      </c>
      <c r="C3193" t="s">
        <v>57</v>
      </c>
      <c r="D3193">
        <v>345.82</v>
      </c>
      <c r="E3193" s="12" t="str">
        <f>VLOOKUP(C3193,inf!$A$2:$B$7,2,FALSE)</f>
        <v>31 to 60</v>
      </c>
      <c r="F3193" s="12" t="str">
        <f t="shared" si="50"/>
        <v>01/24/2018</v>
      </c>
      <c r="G3193" t="str">
        <f>VLOOKUP(A3193,inf!$D$2:$E$76,2,FALSE)</f>
        <v>Other</v>
      </c>
    </row>
    <row r="3194" spans="1:7" x14ac:dyDescent="0.25">
      <c r="A3194" t="s">
        <v>78</v>
      </c>
      <c r="B3194" s="1">
        <v>43124</v>
      </c>
      <c r="C3194" t="s">
        <v>55</v>
      </c>
      <c r="D3194">
        <v>792.31999999999994</v>
      </c>
      <c r="E3194" s="12" t="str">
        <f>VLOOKUP(C3194,inf!$A$2:$B$7,2,FALSE)</f>
        <v>Current</v>
      </c>
      <c r="F3194" s="12" t="str">
        <f t="shared" si="50"/>
        <v>01/24/2018</v>
      </c>
      <c r="G3194" t="str">
        <f>VLOOKUP(A3194,inf!$D$2:$E$76,2,FALSE)</f>
        <v>Other</v>
      </c>
    </row>
    <row r="3195" spans="1:7" x14ac:dyDescent="0.25">
      <c r="A3195" t="s">
        <v>78</v>
      </c>
      <c r="B3195" s="1">
        <v>43124</v>
      </c>
      <c r="C3195" t="s">
        <v>56</v>
      </c>
      <c r="D3195">
        <v>671.04</v>
      </c>
      <c r="E3195" s="12" t="str">
        <f>VLOOKUP(C3195,inf!$A$2:$B$7,2,FALSE)</f>
        <v>Current</v>
      </c>
      <c r="F3195" s="12" t="str">
        <f t="shared" si="50"/>
        <v>01/24/2018</v>
      </c>
      <c r="G3195" t="str">
        <f>VLOOKUP(A3195,inf!$D$2:$E$76,2,FALSE)</f>
        <v>Other</v>
      </c>
    </row>
    <row r="3196" spans="1:7" x14ac:dyDescent="0.25">
      <c r="A3196" t="s">
        <v>78</v>
      </c>
      <c r="B3196" s="1">
        <v>43124</v>
      </c>
      <c r="C3196" t="s">
        <v>57</v>
      </c>
      <c r="D3196">
        <v>312.61</v>
      </c>
      <c r="E3196" s="12" t="str">
        <f>VLOOKUP(C3196,inf!$A$2:$B$7,2,FALSE)</f>
        <v>31 to 60</v>
      </c>
      <c r="F3196" s="12" t="str">
        <f t="shared" si="50"/>
        <v>01/24/2018</v>
      </c>
      <c r="G3196" t="str">
        <f>VLOOKUP(A3196,inf!$D$2:$E$76,2,FALSE)</f>
        <v>Other</v>
      </c>
    </row>
    <row r="3197" spans="1:7" x14ac:dyDescent="0.25">
      <c r="A3197" t="s">
        <v>78</v>
      </c>
      <c r="B3197" s="1">
        <v>43124</v>
      </c>
      <c r="C3197" t="s">
        <v>58</v>
      </c>
      <c r="D3197">
        <v>292.45999999999998</v>
      </c>
      <c r="E3197" s="12" t="str">
        <f>VLOOKUP(C3197,inf!$A$2:$B$7,2,FALSE)</f>
        <v>61 to 90</v>
      </c>
      <c r="F3197" s="12" t="str">
        <f t="shared" si="50"/>
        <v>01/24/2018</v>
      </c>
      <c r="G3197" t="str">
        <f>VLOOKUP(A3197,inf!$D$2:$E$76,2,FALSE)</f>
        <v>Other</v>
      </c>
    </row>
    <row r="3198" spans="1:7" x14ac:dyDescent="0.25">
      <c r="A3198" t="s">
        <v>30</v>
      </c>
      <c r="B3198" s="1">
        <v>43124</v>
      </c>
      <c r="C3198" t="s">
        <v>55</v>
      </c>
      <c r="D3198">
        <v>3465.66</v>
      </c>
      <c r="E3198" s="12" t="str">
        <f>VLOOKUP(C3198,inf!$A$2:$B$7,2,FALSE)</f>
        <v>Current</v>
      </c>
      <c r="F3198" s="12" t="str">
        <f t="shared" si="50"/>
        <v>01/24/2018</v>
      </c>
      <c r="G3198" t="str">
        <f>VLOOKUP(A3198,inf!$D$2:$E$76,2,FALSE)</f>
        <v>Other</v>
      </c>
    </row>
    <row r="3199" spans="1:7" x14ac:dyDescent="0.25">
      <c r="A3199" t="s">
        <v>30</v>
      </c>
      <c r="B3199" s="1">
        <v>43124</v>
      </c>
      <c r="C3199" t="s">
        <v>57</v>
      </c>
      <c r="D3199">
        <v>114.85</v>
      </c>
      <c r="E3199" s="12" t="str">
        <f>VLOOKUP(C3199,inf!$A$2:$B$7,2,FALSE)</f>
        <v>31 to 60</v>
      </c>
      <c r="F3199" s="12" t="str">
        <f t="shared" si="50"/>
        <v>01/24/2018</v>
      </c>
      <c r="G3199" t="str">
        <f>VLOOKUP(A3199,inf!$D$2:$E$76,2,FALSE)</f>
        <v>Other</v>
      </c>
    </row>
    <row r="3200" spans="1:7" x14ac:dyDescent="0.25">
      <c r="A3200" t="s">
        <v>12</v>
      </c>
      <c r="B3200" s="1">
        <v>43124</v>
      </c>
      <c r="C3200" t="s">
        <v>55</v>
      </c>
      <c r="D3200">
        <v>929.74</v>
      </c>
      <c r="E3200" s="12" t="str">
        <f>VLOOKUP(C3200,inf!$A$2:$B$7,2,FALSE)</f>
        <v>Current</v>
      </c>
      <c r="F3200" s="12" t="str">
        <f t="shared" si="50"/>
        <v>01/24/2018</v>
      </c>
      <c r="G3200" t="str">
        <f>VLOOKUP(A3200,inf!$D$2:$E$76,2,FALSE)</f>
        <v>Other</v>
      </c>
    </row>
    <row r="3201" spans="1:7" x14ac:dyDescent="0.25">
      <c r="A3201" t="s">
        <v>12</v>
      </c>
      <c r="B3201" s="1">
        <v>43124</v>
      </c>
      <c r="C3201" t="s">
        <v>56</v>
      </c>
      <c r="D3201">
        <v>123.71</v>
      </c>
      <c r="E3201" s="12" t="str">
        <f>VLOOKUP(C3201,inf!$A$2:$B$7,2,FALSE)</f>
        <v>Current</v>
      </c>
      <c r="F3201" s="12" t="str">
        <f t="shared" si="50"/>
        <v>01/24/2018</v>
      </c>
      <c r="G3201" t="str">
        <f>VLOOKUP(A3201,inf!$D$2:$E$76,2,FALSE)</f>
        <v>Other</v>
      </c>
    </row>
    <row r="3202" spans="1:7" x14ac:dyDescent="0.25">
      <c r="A3202" t="s">
        <v>23</v>
      </c>
      <c r="B3202" s="1">
        <v>43124</v>
      </c>
      <c r="C3202" t="s">
        <v>58</v>
      </c>
      <c r="D3202">
        <v>250.61</v>
      </c>
      <c r="E3202" s="12" t="str">
        <f>VLOOKUP(C3202,inf!$A$2:$B$7,2,FALSE)</f>
        <v>61 to 90</v>
      </c>
      <c r="F3202" s="12" t="str">
        <f t="shared" si="50"/>
        <v>01/24/2018</v>
      </c>
      <c r="G3202" t="str">
        <f>VLOOKUP(A3202,inf!$D$2:$E$76,2,FALSE)</f>
        <v>Other</v>
      </c>
    </row>
    <row r="3203" spans="1:7" x14ac:dyDescent="0.25">
      <c r="A3203" t="s">
        <v>83</v>
      </c>
      <c r="B3203" s="1">
        <v>43124</v>
      </c>
      <c r="C3203" t="s">
        <v>55</v>
      </c>
      <c r="D3203">
        <v>2437.46</v>
      </c>
      <c r="E3203" s="12" t="str">
        <f>VLOOKUP(C3203,inf!$A$2:$B$7,2,FALSE)</f>
        <v>Current</v>
      </c>
      <c r="F3203" s="12" t="str">
        <f t="shared" ref="F3203:F3266" si="51">TEXT(B3203,"MM/DD/YYYY")</f>
        <v>01/24/2018</v>
      </c>
      <c r="G3203" t="str">
        <f>VLOOKUP(A3203,inf!$D$2:$E$76,2,FALSE)</f>
        <v>Other</v>
      </c>
    </row>
    <row r="3204" spans="1:7" x14ac:dyDescent="0.25">
      <c r="A3204" t="s">
        <v>7</v>
      </c>
      <c r="B3204" s="1">
        <v>43124</v>
      </c>
      <c r="C3204" t="s">
        <v>55</v>
      </c>
      <c r="D3204">
        <v>113522.65999999995</v>
      </c>
      <c r="E3204" s="12" t="str">
        <f>VLOOKUP(C3204,inf!$A$2:$B$7,2,FALSE)</f>
        <v>Current</v>
      </c>
      <c r="F3204" s="12" t="str">
        <f t="shared" si="51"/>
        <v>01/24/2018</v>
      </c>
      <c r="G3204" t="str">
        <f>VLOOKUP(A3204,inf!$D$2:$E$76,2,FALSE)</f>
        <v>SAFEWAY</v>
      </c>
    </row>
    <row r="3205" spans="1:7" x14ac:dyDescent="0.25">
      <c r="A3205" t="s">
        <v>7</v>
      </c>
      <c r="B3205" s="1">
        <v>43124</v>
      </c>
      <c r="C3205" t="s">
        <v>56</v>
      </c>
      <c r="D3205">
        <v>10624.400000000001</v>
      </c>
      <c r="E3205" s="12" t="str">
        <f>VLOOKUP(C3205,inf!$A$2:$B$7,2,FALSE)</f>
        <v>Current</v>
      </c>
      <c r="F3205" s="12" t="str">
        <f t="shared" si="51"/>
        <v>01/24/2018</v>
      </c>
      <c r="G3205" t="str">
        <f>VLOOKUP(A3205,inf!$D$2:$E$76,2,FALSE)</f>
        <v>SAFEWAY</v>
      </c>
    </row>
    <row r="3206" spans="1:7" x14ac:dyDescent="0.25">
      <c r="A3206" t="s">
        <v>7</v>
      </c>
      <c r="B3206" s="1">
        <v>43124</v>
      </c>
      <c r="C3206" t="s">
        <v>57</v>
      </c>
      <c r="D3206">
        <v>10332.09</v>
      </c>
      <c r="E3206" s="12" t="str">
        <f>VLOOKUP(C3206,inf!$A$2:$B$7,2,FALSE)</f>
        <v>31 to 60</v>
      </c>
      <c r="F3206" s="12" t="str">
        <f t="shared" si="51"/>
        <v>01/24/2018</v>
      </c>
      <c r="G3206" t="str">
        <f>VLOOKUP(A3206,inf!$D$2:$E$76,2,FALSE)</f>
        <v>SAFEWAY</v>
      </c>
    </row>
    <row r="3207" spans="1:7" x14ac:dyDescent="0.25">
      <c r="A3207" t="s">
        <v>7</v>
      </c>
      <c r="B3207" s="1">
        <v>43124</v>
      </c>
      <c r="C3207" t="s">
        <v>58</v>
      </c>
      <c r="D3207">
        <v>5555.2999999999993</v>
      </c>
      <c r="E3207" s="12" t="str">
        <f>VLOOKUP(C3207,inf!$A$2:$B$7,2,FALSE)</f>
        <v>61 to 90</v>
      </c>
      <c r="F3207" s="12" t="str">
        <f t="shared" si="51"/>
        <v>01/24/2018</v>
      </c>
      <c r="G3207" t="str">
        <f>VLOOKUP(A3207,inf!$D$2:$E$76,2,FALSE)</f>
        <v>SAFEWAY</v>
      </c>
    </row>
    <row r="3208" spans="1:7" x14ac:dyDescent="0.25">
      <c r="A3208" t="s">
        <v>7</v>
      </c>
      <c r="B3208" s="1">
        <v>43124</v>
      </c>
      <c r="C3208" t="s">
        <v>60</v>
      </c>
      <c r="D3208">
        <v>1137.75</v>
      </c>
      <c r="E3208" s="12" t="str">
        <f>VLOOKUP(C3208,inf!$A$2:$B$7,2,FALSE)</f>
        <v>Over 90</v>
      </c>
      <c r="F3208" s="12" t="str">
        <f t="shared" si="51"/>
        <v>01/24/2018</v>
      </c>
      <c r="G3208" t="str">
        <f>VLOOKUP(A3208,inf!$D$2:$E$76,2,FALSE)</f>
        <v>SAFEWAY</v>
      </c>
    </row>
    <row r="3209" spans="1:7" x14ac:dyDescent="0.25">
      <c r="A3209" t="s">
        <v>81</v>
      </c>
      <c r="B3209" s="1">
        <v>43124</v>
      </c>
      <c r="C3209" t="s">
        <v>56</v>
      </c>
      <c r="D3209">
        <v>174.98</v>
      </c>
      <c r="E3209" s="12" t="str">
        <f>VLOOKUP(C3209,inf!$A$2:$B$7,2,FALSE)</f>
        <v>Current</v>
      </c>
      <c r="F3209" s="12" t="str">
        <f t="shared" si="51"/>
        <v>01/24/2018</v>
      </c>
      <c r="G3209" t="str">
        <f>VLOOKUP(A3209,inf!$D$2:$E$76,2,FALSE)</f>
        <v>Other</v>
      </c>
    </row>
    <row r="3210" spans="1:7" x14ac:dyDescent="0.25">
      <c r="A3210" t="s">
        <v>74</v>
      </c>
      <c r="B3210" s="1">
        <v>43124</v>
      </c>
      <c r="C3210" t="s">
        <v>59</v>
      </c>
      <c r="D3210">
        <v>742.26</v>
      </c>
      <c r="E3210" s="12" t="str">
        <f>VLOOKUP(C3210,inf!$A$2:$B$7,2,FALSE)</f>
        <v>Over 90</v>
      </c>
      <c r="F3210" s="12" t="str">
        <f t="shared" si="51"/>
        <v>01/24/2018</v>
      </c>
      <c r="G3210" t="str">
        <f>VLOOKUP(A3210,inf!$D$2:$E$76,2,FALSE)</f>
        <v>Other</v>
      </c>
    </row>
    <row r="3211" spans="1:7" x14ac:dyDescent="0.25">
      <c r="A3211" t="s">
        <v>5</v>
      </c>
      <c r="B3211" s="1">
        <v>43124</v>
      </c>
      <c r="C3211" t="s">
        <v>55</v>
      </c>
      <c r="D3211">
        <v>7189273.31999991</v>
      </c>
      <c r="E3211" s="12" t="str">
        <f>VLOOKUP(C3211,inf!$A$2:$B$7,2,FALSE)</f>
        <v>Current</v>
      </c>
      <c r="F3211" s="12" t="str">
        <f t="shared" si="51"/>
        <v>01/24/2018</v>
      </c>
      <c r="G3211" t="str">
        <f>VLOOKUP(A3211,inf!$D$2:$E$76,2,FALSE)</f>
        <v>SBUX</v>
      </c>
    </row>
    <row r="3212" spans="1:7" x14ac:dyDescent="0.25">
      <c r="A3212" t="s">
        <v>5</v>
      </c>
      <c r="B3212" s="1">
        <v>43124</v>
      </c>
      <c r="C3212" t="s">
        <v>56</v>
      </c>
      <c r="D3212">
        <v>79263.120000000024</v>
      </c>
      <c r="E3212" s="12" t="str">
        <f>VLOOKUP(C3212,inf!$A$2:$B$7,2,FALSE)</f>
        <v>Current</v>
      </c>
      <c r="F3212" s="12" t="str">
        <f t="shared" si="51"/>
        <v>01/24/2018</v>
      </c>
      <c r="G3212" t="str">
        <f>VLOOKUP(A3212,inf!$D$2:$E$76,2,FALSE)</f>
        <v>SBUX</v>
      </c>
    </row>
    <row r="3213" spans="1:7" x14ac:dyDescent="0.25">
      <c r="A3213" t="s">
        <v>5</v>
      </c>
      <c r="B3213" s="1">
        <v>43124</v>
      </c>
      <c r="C3213" t="s">
        <v>57</v>
      </c>
      <c r="D3213">
        <v>51745.810000000005</v>
      </c>
      <c r="E3213" s="12" t="str">
        <f>VLOOKUP(C3213,inf!$A$2:$B$7,2,FALSE)</f>
        <v>31 to 60</v>
      </c>
      <c r="F3213" s="12" t="str">
        <f t="shared" si="51"/>
        <v>01/24/2018</v>
      </c>
      <c r="G3213" t="str">
        <f>VLOOKUP(A3213,inf!$D$2:$E$76,2,FALSE)</f>
        <v>SBUX</v>
      </c>
    </row>
    <row r="3214" spans="1:7" x14ac:dyDescent="0.25">
      <c r="A3214" t="s">
        <v>5</v>
      </c>
      <c r="B3214" s="1">
        <v>43124</v>
      </c>
      <c r="C3214" t="s">
        <v>58</v>
      </c>
      <c r="D3214">
        <v>47867.899999999987</v>
      </c>
      <c r="E3214" s="12" t="str">
        <f>VLOOKUP(C3214,inf!$A$2:$B$7,2,FALSE)</f>
        <v>61 to 90</v>
      </c>
      <c r="F3214" s="12" t="str">
        <f t="shared" si="51"/>
        <v>01/24/2018</v>
      </c>
      <c r="G3214" t="str">
        <f>VLOOKUP(A3214,inf!$D$2:$E$76,2,FALSE)</f>
        <v>SBUX</v>
      </c>
    </row>
    <row r="3215" spans="1:7" x14ac:dyDescent="0.25">
      <c r="A3215" t="s">
        <v>5</v>
      </c>
      <c r="B3215" s="1">
        <v>43124</v>
      </c>
      <c r="C3215" t="s">
        <v>59</v>
      </c>
      <c r="D3215">
        <v>16449.420000000002</v>
      </c>
      <c r="E3215" s="12" t="str">
        <f>VLOOKUP(C3215,inf!$A$2:$B$7,2,FALSE)</f>
        <v>Over 90</v>
      </c>
      <c r="F3215" s="12" t="str">
        <f t="shared" si="51"/>
        <v>01/24/2018</v>
      </c>
      <c r="G3215" t="str">
        <f>VLOOKUP(A3215,inf!$D$2:$E$76,2,FALSE)</f>
        <v>SBUX</v>
      </c>
    </row>
    <row r="3216" spans="1:7" x14ac:dyDescent="0.25">
      <c r="A3216" t="s">
        <v>5</v>
      </c>
      <c r="B3216" s="1">
        <v>43124</v>
      </c>
      <c r="C3216" t="s">
        <v>60</v>
      </c>
      <c r="D3216">
        <v>134195.2399999999</v>
      </c>
      <c r="E3216" s="12" t="str">
        <f>VLOOKUP(C3216,inf!$A$2:$B$7,2,FALSE)</f>
        <v>Over 90</v>
      </c>
      <c r="F3216" s="12" t="str">
        <f t="shared" si="51"/>
        <v>01/24/2018</v>
      </c>
      <c r="G3216" t="str">
        <f>VLOOKUP(A3216,inf!$D$2:$E$76,2,FALSE)</f>
        <v>SBUX</v>
      </c>
    </row>
    <row r="3217" spans="1:7" x14ac:dyDescent="0.25">
      <c r="A3217" t="s">
        <v>6</v>
      </c>
      <c r="B3217" s="1">
        <v>43124</v>
      </c>
      <c r="C3217" t="s">
        <v>55</v>
      </c>
      <c r="D3217">
        <v>651647.51999999559</v>
      </c>
      <c r="E3217" s="12" t="str">
        <f>VLOOKUP(C3217,inf!$A$2:$B$7,2,FALSE)</f>
        <v>Current</v>
      </c>
      <c r="F3217" s="12" t="str">
        <f t="shared" si="51"/>
        <v>01/24/2018</v>
      </c>
      <c r="G3217" t="str">
        <f>VLOOKUP(A3217,inf!$D$2:$E$76,2,FALSE)</f>
        <v>SBUX</v>
      </c>
    </row>
    <row r="3218" spans="1:7" x14ac:dyDescent="0.25">
      <c r="A3218" t="s">
        <v>6</v>
      </c>
      <c r="B3218" s="1">
        <v>43124</v>
      </c>
      <c r="C3218" t="s">
        <v>56</v>
      </c>
      <c r="D3218">
        <v>5989.9399999999978</v>
      </c>
      <c r="E3218" s="12" t="str">
        <f>VLOOKUP(C3218,inf!$A$2:$B$7,2,FALSE)</f>
        <v>Current</v>
      </c>
      <c r="F3218" s="12" t="str">
        <f t="shared" si="51"/>
        <v>01/24/2018</v>
      </c>
      <c r="G3218" t="str">
        <f>VLOOKUP(A3218,inf!$D$2:$E$76,2,FALSE)</f>
        <v>SBUX</v>
      </c>
    </row>
    <row r="3219" spans="1:7" x14ac:dyDescent="0.25">
      <c r="A3219" t="s">
        <v>6</v>
      </c>
      <c r="B3219" s="1">
        <v>43124</v>
      </c>
      <c r="C3219" t="s">
        <v>57</v>
      </c>
      <c r="D3219">
        <v>1563.3799999999997</v>
      </c>
      <c r="E3219" s="12" t="str">
        <f>VLOOKUP(C3219,inf!$A$2:$B$7,2,FALSE)</f>
        <v>31 to 60</v>
      </c>
      <c r="F3219" s="12" t="str">
        <f t="shared" si="51"/>
        <v>01/24/2018</v>
      </c>
      <c r="G3219" t="str">
        <f>VLOOKUP(A3219,inf!$D$2:$E$76,2,FALSE)</f>
        <v>SBUX</v>
      </c>
    </row>
    <row r="3220" spans="1:7" x14ac:dyDescent="0.25">
      <c r="A3220" t="s">
        <v>6</v>
      </c>
      <c r="B3220" s="1">
        <v>43124</v>
      </c>
      <c r="C3220" t="s">
        <v>58</v>
      </c>
      <c r="D3220">
        <v>1701.48</v>
      </c>
      <c r="E3220" s="12" t="str">
        <f>VLOOKUP(C3220,inf!$A$2:$B$7,2,FALSE)</f>
        <v>61 to 90</v>
      </c>
      <c r="F3220" s="12" t="str">
        <f t="shared" si="51"/>
        <v>01/24/2018</v>
      </c>
      <c r="G3220" t="str">
        <f>VLOOKUP(A3220,inf!$D$2:$E$76,2,FALSE)</f>
        <v>SBUX</v>
      </c>
    </row>
    <row r="3221" spans="1:7" x14ac:dyDescent="0.25">
      <c r="A3221" t="s">
        <v>6</v>
      </c>
      <c r="B3221" s="1">
        <v>43124</v>
      </c>
      <c r="C3221" t="s">
        <v>59</v>
      </c>
      <c r="D3221">
        <v>1211.81</v>
      </c>
      <c r="E3221" s="12" t="str">
        <f>VLOOKUP(C3221,inf!$A$2:$B$7,2,FALSE)</f>
        <v>Over 90</v>
      </c>
      <c r="F3221" s="12" t="str">
        <f t="shared" si="51"/>
        <v>01/24/2018</v>
      </c>
      <c r="G3221" t="str">
        <f>VLOOKUP(A3221,inf!$D$2:$E$76,2,FALSE)</f>
        <v>SBUX</v>
      </c>
    </row>
    <row r="3222" spans="1:7" x14ac:dyDescent="0.25">
      <c r="A3222" t="s">
        <v>6</v>
      </c>
      <c r="B3222" s="1">
        <v>43124</v>
      </c>
      <c r="C3222" t="s">
        <v>60</v>
      </c>
      <c r="D3222">
        <v>10700.29</v>
      </c>
      <c r="E3222" s="12" t="str">
        <f>VLOOKUP(C3222,inf!$A$2:$B$7,2,FALSE)</f>
        <v>Over 90</v>
      </c>
      <c r="F3222" s="12" t="str">
        <f t="shared" si="51"/>
        <v>01/24/2018</v>
      </c>
      <c r="G3222" t="str">
        <f>VLOOKUP(A3222,inf!$D$2:$E$76,2,FALSE)</f>
        <v>SBUX</v>
      </c>
    </row>
    <row r="3223" spans="1:7" x14ac:dyDescent="0.25">
      <c r="A3223" t="s">
        <v>48</v>
      </c>
      <c r="B3223" s="1">
        <v>43124</v>
      </c>
      <c r="C3223" t="s">
        <v>55</v>
      </c>
      <c r="D3223">
        <v>508914.41000000021</v>
      </c>
      <c r="E3223" s="12" t="str">
        <f>VLOOKUP(C3223,inf!$A$2:$B$7,2,FALSE)</f>
        <v>Current</v>
      </c>
      <c r="F3223" s="12" t="str">
        <f t="shared" si="51"/>
        <v>01/24/2018</v>
      </c>
      <c r="G3223" t="str">
        <f>VLOOKUP(A3223,inf!$D$2:$E$76,2,FALSE)</f>
        <v>Target</v>
      </c>
    </row>
    <row r="3224" spans="1:7" x14ac:dyDescent="0.25">
      <c r="A3224" t="s">
        <v>48</v>
      </c>
      <c r="B3224" s="1">
        <v>43124</v>
      </c>
      <c r="C3224" t="s">
        <v>56</v>
      </c>
      <c r="D3224">
        <v>28757.94</v>
      </c>
      <c r="E3224" s="12" t="str">
        <f>VLOOKUP(C3224,inf!$A$2:$B$7,2,FALSE)</f>
        <v>Current</v>
      </c>
      <c r="F3224" s="12" t="str">
        <f t="shared" si="51"/>
        <v>01/24/2018</v>
      </c>
      <c r="G3224" t="str">
        <f>VLOOKUP(A3224,inf!$D$2:$E$76,2,FALSE)</f>
        <v>Target</v>
      </c>
    </row>
    <row r="3225" spans="1:7" x14ac:dyDescent="0.25">
      <c r="A3225" t="s">
        <v>48</v>
      </c>
      <c r="B3225" s="1">
        <v>43124</v>
      </c>
      <c r="C3225" t="s">
        <v>57</v>
      </c>
      <c r="D3225">
        <v>27229.010000000013</v>
      </c>
      <c r="E3225" s="12" t="str">
        <f>VLOOKUP(C3225,inf!$A$2:$B$7,2,FALSE)</f>
        <v>31 to 60</v>
      </c>
      <c r="F3225" s="12" t="str">
        <f t="shared" si="51"/>
        <v>01/24/2018</v>
      </c>
      <c r="G3225" t="str">
        <f>VLOOKUP(A3225,inf!$D$2:$E$76,2,FALSE)</f>
        <v>Target</v>
      </c>
    </row>
    <row r="3226" spans="1:7" x14ac:dyDescent="0.25">
      <c r="A3226" t="s">
        <v>48</v>
      </c>
      <c r="B3226" s="1">
        <v>43124</v>
      </c>
      <c r="C3226" t="s">
        <v>58</v>
      </c>
      <c r="D3226">
        <v>3735.1000000000004</v>
      </c>
      <c r="E3226" s="12" t="str">
        <f>VLOOKUP(C3226,inf!$A$2:$B$7,2,FALSE)</f>
        <v>61 to 90</v>
      </c>
      <c r="F3226" s="12" t="str">
        <f t="shared" si="51"/>
        <v>01/24/2018</v>
      </c>
      <c r="G3226" t="str">
        <f>VLOOKUP(A3226,inf!$D$2:$E$76,2,FALSE)</f>
        <v>Target</v>
      </c>
    </row>
    <row r="3227" spans="1:7" x14ac:dyDescent="0.25">
      <c r="A3227" t="s">
        <v>48</v>
      </c>
      <c r="B3227" s="1">
        <v>43124</v>
      </c>
      <c r="C3227" t="s">
        <v>59</v>
      </c>
      <c r="D3227">
        <v>1444.08</v>
      </c>
      <c r="E3227" s="12" t="str">
        <f>VLOOKUP(C3227,inf!$A$2:$B$7,2,FALSE)</f>
        <v>Over 90</v>
      </c>
      <c r="F3227" s="12" t="str">
        <f t="shared" si="51"/>
        <v>01/24/2018</v>
      </c>
      <c r="G3227" t="str">
        <f>VLOOKUP(A3227,inf!$D$2:$E$76,2,FALSE)</f>
        <v>Target</v>
      </c>
    </row>
    <row r="3228" spans="1:7" x14ac:dyDescent="0.25">
      <c r="A3228" t="s">
        <v>48</v>
      </c>
      <c r="B3228" s="1">
        <v>43124</v>
      </c>
      <c r="C3228" t="s">
        <v>60</v>
      </c>
      <c r="D3228">
        <v>2958.4200000000005</v>
      </c>
      <c r="E3228" s="12" t="str">
        <f>VLOOKUP(C3228,inf!$A$2:$B$7,2,FALSE)</f>
        <v>Over 90</v>
      </c>
      <c r="F3228" s="12" t="str">
        <f t="shared" si="51"/>
        <v>01/24/2018</v>
      </c>
      <c r="G3228" t="str">
        <f>VLOOKUP(A3228,inf!$D$2:$E$76,2,FALSE)</f>
        <v>Target</v>
      </c>
    </row>
    <row r="3229" spans="1:7" x14ac:dyDescent="0.25">
      <c r="A3229" t="s">
        <v>8</v>
      </c>
      <c r="B3229" s="1">
        <v>43124</v>
      </c>
      <c r="C3229" t="s">
        <v>55</v>
      </c>
      <c r="D3229">
        <v>532092.58999999892</v>
      </c>
      <c r="E3229" s="12" t="str">
        <f>VLOOKUP(C3229,inf!$A$2:$B$7,2,FALSE)</f>
        <v>Current</v>
      </c>
      <c r="F3229" s="12" t="str">
        <f t="shared" si="51"/>
        <v>01/24/2018</v>
      </c>
      <c r="G3229" t="str">
        <f>VLOOKUP(A3229,inf!$D$2:$E$76,2,FALSE)</f>
        <v>Target</v>
      </c>
    </row>
    <row r="3230" spans="1:7" x14ac:dyDescent="0.25">
      <c r="A3230" t="s">
        <v>8</v>
      </c>
      <c r="B3230" s="1">
        <v>43124</v>
      </c>
      <c r="C3230" t="s">
        <v>56</v>
      </c>
      <c r="D3230">
        <v>10443.940000000002</v>
      </c>
      <c r="E3230" s="12" t="str">
        <f>VLOOKUP(C3230,inf!$A$2:$B$7,2,FALSE)</f>
        <v>Current</v>
      </c>
      <c r="F3230" s="12" t="str">
        <f t="shared" si="51"/>
        <v>01/24/2018</v>
      </c>
      <c r="G3230" t="str">
        <f>VLOOKUP(A3230,inf!$D$2:$E$76,2,FALSE)</f>
        <v>Target</v>
      </c>
    </row>
    <row r="3231" spans="1:7" x14ac:dyDescent="0.25">
      <c r="A3231" t="s">
        <v>8</v>
      </c>
      <c r="B3231" s="1">
        <v>43124</v>
      </c>
      <c r="C3231" t="s">
        <v>57</v>
      </c>
      <c r="D3231">
        <v>40398.619999999995</v>
      </c>
      <c r="E3231" s="12" t="str">
        <f>VLOOKUP(C3231,inf!$A$2:$B$7,2,FALSE)</f>
        <v>31 to 60</v>
      </c>
      <c r="F3231" s="12" t="str">
        <f t="shared" si="51"/>
        <v>01/24/2018</v>
      </c>
      <c r="G3231" t="str">
        <f>VLOOKUP(A3231,inf!$D$2:$E$76,2,FALSE)</f>
        <v>Target</v>
      </c>
    </row>
    <row r="3232" spans="1:7" x14ac:dyDescent="0.25">
      <c r="A3232" t="s">
        <v>8</v>
      </c>
      <c r="B3232" s="1">
        <v>43124</v>
      </c>
      <c r="C3232" t="s">
        <v>58</v>
      </c>
      <c r="D3232">
        <v>11078.63</v>
      </c>
      <c r="E3232" s="12" t="str">
        <f>VLOOKUP(C3232,inf!$A$2:$B$7,2,FALSE)</f>
        <v>61 to 90</v>
      </c>
      <c r="F3232" s="12" t="str">
        <f t="shared" si="51"/>
        <v>01/24/2018</v>
      </c>
      <c r="G3232" t="str">
        <f>VLOOKUP(A3232,inf!$D$2:$E$76,2,FALSE)</f>
        <v>Target</v>
      </c>
    </row>
    <row r="3233" spans="1:7" x14ac:dyDescent="0.25">
      <c r="A3233" t="s">
        <v>8</v>
      </c>
      <c r="B3233" s="1">
        <v>43124</v>
      </c>
      <c r="C3233" t="s">
        <v>59</v>
      </c>
      <c r="D3233">
        <v>5297.9699999999993</v>
      </c>
      <c r="E3233" s="12" t="str">
        <f>VLOOKUP(C3233,inf!$A$2:$B$7,2,FALSE)</f>
        <v>Over 90</v>
      </c>
      <c r="F3233" s="12" t="str">
        <f t="shared" si="51"/>
        <v>01/24/2018</v>
      </c>
      <c r="G3233" t="str">
        <f>VLOOKUP(A3233,inf!$D$2:$E$76,2,FALSE)</f>
        <v>Target</v>
      </c>
    </row>
    <row r="3234" spans="1:7" x14ac:dyDescent="0.25">
      <c r="A3234" t="s">
        <v>8</v>
      </c>
      <c r="B3234" s="1">
        <v>43124</v>
      </c>
      <c r="C3234" t="s">
        <v>60</v>
      </c>
      <c r="D3234">
        <v>14507.67</v>
      </c>
      <c r="E3234" s="12" t="str">
        <f>VLOOKUP(C3234,inf!$A$2:$B$7,2,FALSE)</f>
        <v>Over 90</v>
      </c>
      <c r="F3234" s="12" t="str">
        <f t="shared" si="51"/>
        <v>01/24/2018</v>
      </c>
      <c r="G3234" t="str">
        <f>VLOOKUP(A3234,inf!$D$2:$E$76,2,FALSE)</f>
        <v>Target</v>
      </c>
    </row>
    <row r="3235" spans="1:7" x14ac:dyDescent="0.25">
      <c r="A3235" t="s">
        <v>54</v>
      </c>
      <c r="B3235" s="1">
        <v>43124</v>
      </c>
      <c r="C3235" t="s">
        <v>55</v>
      </c>
      <c r="D3235">
        <v>497.05</v>
      </c>
      <c r="E3235" s="12" t="str">
        <f>VLOOKUP(C3235,inf!$A$2:$B$7,2,FALSE)</f>
        <v>Current</v>
      </c>
      <c r="F3235" s="12" t="str">
        <f t="shared" si="51"/>
        <v>01/24/2018</v>
      </c>
      <c r="G3235" t="str">
        <f>VLOOKUP(A3235,inf!$D$2:$E$76,2,FALSE)</f>
        <v>Other</v>
      </c>
    </row>
    <row r="3236" spans="1:7" x14ac:dyDescent="0.25">
      <c r="A3236" t="s">
        <v>54</v>
      </c>
      <c r="B3236" s="1">
        <v>43124</v>
      </c>
      <c r="C3236" t="s">
        <v>59</v>
      </c>
      <c r="D3236">
        <v>122.72</v>
      </c>
      <c r="E3236" s="12" t="str">
        <f>VLOOKUP(C3236,inf!$A$2:$B$7,2,FALSE)</f>
        <v>Over 90</v>
      </c>
      <c r="F3236" s="12" t="str">
        <f t="shared" si="51"/>
        <v>01/24/2018</v>
      </c>
      <c r="G3236" t="str">
        <f>VLOOKUP(A3236,inf!$D$2:$E$76,2,FALSE)</f>
        <v>Other</v>
      </c>
    </row>
    <row r="3237" spans="1:7" x14ac:dyDescent="0.25">
      <c r="A3237" t="s">
        <v>54</v>
      </c>
      <c r="B3237" s="1">
        <v>43124</v>
      </c>
      <c r="C3237" t="s">
        <v>60</v>
      </c>
      <c r="D3237">
        <v>122.72</v>
      </c>
      <c r="E3237" s="12" t="str">
        <f>VLOOKUP(C3237,inf!$A$2:$B$7,2,FALSE)</f>
        <v>Over 90</v>
      </c>
      <c r="F3237" s="12" t="str">
        <f t="shared" si="51"/>
        <v>01/24/2018</v>
      </c>
      <c r="G3237" t="str">
        <f>VLOOKUP(A3237,inf!$D$2:$E$76,2,FALSE)</f>
        <v>Other</v>
      </c>
    </row>
    <row r="3238" spans="1:7" x14ac:dyDescent="0.25">
      <c r="A3238" t="s">
        <v>28</v>
      </c>
      <c r="B3238" s="1">
        <v>43124</v>
      </c>
      <c r="C3238" t="s">
        <v>55</v>
      </c>
      <c r="D3238">
        <v>3735.6099999999997</v>
      </c>
      <c r="E3238" s="12" t="str">
        <f>VLOOKUP(C3238,inf!$A$2:$B$7,2,FALSE)</f>
        <v>Current</v>
      </c>
      <c r="F3238" s="12" t="str">
        <f t="shared" si="51"/>
        <v>01/24/2018</v>
      </c>
      <c r="G3238" t="str">
        <f>VLOOKUP(A3238,inf!$D$2:$E$76,2,FALSE)</f>
        <v>Other</v>
      </c>
    </row>
    <row r="3239" spans="1:7" x14ac:dyDescent="0.25">
      <c r="A3239" t="s">
        <v>15</v>
      </c>
      <c r="B3239" s="1">
        <v>43124</v>
      </c>
      <c r="C3239" t="s">
        <v>60</v>
      </c>
      <c r="D3239">
        <v>291.60000000000002</v>
      </c>
      <c r="E3239" s="12" t="str">
        <f>VLOOKUP(C3239,inf!$A$2:$B$7,2,FALSE)</f>
        <v>Over 90</v>
      </c>
      <c r="F3239" s="12" t="str">
        <f t="shared" si="51"/>
        <v>01/24/2018</v>
      </c>
      <c r="G3239" t="str">
        <f>VLOOKUP(A3239,inf!$D$2:$E$76,2,FALSE)</f>
        <v>Other</v>
      </c>
    </row>
    <row r="3240" spans="1:7" x14ac:dyDescent="0.25">
      <c r="A3240" t="s">
        <v>22</v>
      </c>
      <c r="B3240" s="1">
        <v>43117</v>
      </c>
      <c r="C3240" t="s">
        <v>55</v>
      </c>
      <c r="D3240">
        <v>586.51</v>
      </c>
      <c r="E3240" s="12" t="str">
        <f>VLOOKUP(C3240,inf!$A$2:$B$7,2,FALSE)</f>
        <v>Current</v>
      </c>
      <c r="F3240" s="12" t="str">
        <f t="shared" si="51"/>
        <v>01/17/2018</v>
      </c>
      <c r="G3240" t="str">
        <f>VLOOKUP(A3240,inf!$D$2:$E$76,2,FALSE)</f>
        <v>Other</v>
      </c>
    </row>
    <row r="3241" spans="1:7" x14ac:dyDescent="0.25">
      <c r="A3241" t="s">
        <v>22</v>
      </c>
      <c r="B3241" s="1">
        <v>43117</v>
      </c>
      <c r="C3241" t="s">
        <v>56</v>
      </c>
      <c r="D3241">
        <v>114.85</v>
      </c>
      <c r="E3241" s="12" t="str">
        <f>VLOOKUP(C3241,inf!$A$2:$B$7,2,FALSE)</f>
        <v>Current</v>
      </c>
      <c r="F3241" s="12" t="str">
        <f t="shared" si="51"/>
        <v>01/17/2018</v>
      </c>
      <c r="G3241" t="str">
        <f>VLOOKUP(A3241,inf!$D$2:$E$76,2,FALSE)</f>
        <v>Other</v>
      </c>
    </row>
    <row r="3242" spans="1:7" x14ac:dyDescent="0.25">
      <c r="A3242" t="s">
        <v>80</v>
      </c>
      <c r="B3242" s="1">
        <v>43117</v>
      </c>
      <c r="C3242" t="s">
        <v>55</v>
      </c>
      <c r="D3242">
        <v>262.01</v>
      </c>
      <c r="E3242" s="12" t="str">
        <f>VLOOKUP(C3242,inf!$A$2:$B$7,2,FALSE)</f>
        <v>Current</v>
      </c>
      <c r="F3242" s="12" t="str">
        <f t="shared" si="51"/>
        <v>01/17/2018</v>
      </c>
      <c r="G3242" t="str">
        <f>VLOOKUP(A3242,inf!$D$2:$E$76,2,FALSE)</f>
        <v>Other</v>
      </c>
    </row>
    <row r="3243" spans="1:7" x14ac:dyDescent="0.25">
      <c r="A3243" t="s">
        <v>4</v>
      </c>
      <c r="B3243" s="1">
        <v>43117</v>
      </c>
      <c r="C3243" t="s">
        <v>55</v>
      </c>
      <c r="D3243">
        <v>9606.510000000002</v>
      </c>
      <c r="E3243" s="12" t="str">
        <f>VLOOKUP(C3243,inf!$A$2:$B$7,2,FALSE)</f>
        <v>Current</v>
      </c>
      <c r="F3243" s="12" t="str">
        <f t="shared" si="51"/>
        <v>01/17/2018</v>
      </c>
      <c r="G3243" t="str">
        <f>VLOOKUP(A3243,inf!$D$2:$E$76,2,FALSE)</f>
        <v>Other</v>
      </c>
    </row>
    <row r="3244" spans="1:7" x14ac:dyDescent="0.25">
      <c r="A3244" t="s">
        <v>4</v>
      </c>
      <c r="B3244" s="1">
        <v>43117</v>
      </c>
      <c r="C3244" t="s">
        <v>56</v>
      </c>
      <c r="D3244">
        <v>2944.08</v>
      </c>
      <c r="E3244" s="12" t="str">
        <f>VLOOKUP(C3244,inf!$A$2:$B$7,2,FALSE)</f>
        <v>Current</v>
      </c>
      <c r="F3244" s="12" t="str">
        <f t="shared" si="51"/>
        <v>01/17/2018</v>
      </c>
      <c r="G3244" t="str">
        <f>VLOOKUP(A3244,inf!$D$2:$E$76,2,FALSE)</f>
        <v>Other</v>
      </c>
    </row>
    <row r="3245" spans="1:7" x14ac:dyDescent="0.25">
      <c r="A3245" t="s">
        <v>4</v>
      </c>
      <c r="B3245" s="1">
        <v>43117</v>
      </c>
      <c r="C3245" t="s">
        <v>57</v>
      </c>
      <c r="D3245">
        <v>425.62</v>
      </c>
      <c r="E3245" s="12" t="str">
        <f>VLOOKUP(C3245,inf!$A$2:$B$7,2,FALSE)</f>
        <v>31 to 60</v>
      </c>
      <c r="F3245" s="12" t="str">
        <f t="shared" si="51"/>
        <v>01/17/2018</v>
      </c>
      <c r="G3245" t="str">
        <f>VLOOKUP(A3245,inf!$D$2:$E$76,2,FALSE)</f>
        <v>Other</v>
      </c>
    </row>
    <row r="3246" spans="1:7" x14ac:dyDescent="0.25">
      <c r="A3246" t="s">
        <v>4</v>
      </c>
      <c r="B3246" s="1">
        <v>43117</v>
      </c>
      <c r="C3246" t="s">
        <v>58</v>
      </c>
      <c r="D3246">
        <v>526.84</v>
      </c>
      <c r="E3246" s="12" t="str">
        <f>VLOOKUP(C3246,inf!$A$2:$B$7,2,FALSE)</f>
        <v>61 to 90</v>
      </c>
      <c r="F3246" s="12" t="str">
        <f t="shared" si="51"/>
        <v>01/17/2018</v>
      </c>
      <c r="G3246" t="str">
        <f>VLOOKUP(A3246,inf!$D$2:$E$76,2,FALSE)</f>
        <v>Other</v>
      </c>
    </row>
    <row r="3247" spans="1:7" x14ac:dyDescent="0.25">
      <c r="A3247" t="s">
        <v>77</v>
      </c>
      <c r="B3247" s="1">
        <v>43117</v>
      </c>
      <c r="C3247" t="s">
        <v>56</v>
      </c>
      <c r="D3247">
        <v>834.05</v>
      </c>
      <c r="E3247" s="12" t="str">
        <f>VLOOKUP(C3247,inf!$A$2:$B$7,2,FALSE)</f>
        <v>Current</v>
      </c>
      <c r="F3247" s="12" t="str">
        <f t="shared" si="51"/>
        <v>01/17/2018</v>
      </c>
      <c r="G3247" t="str">
        <f>VLOOKUP(A3247,inf!$D$2:$E$76,2,FALSE)</f>
        <v>Other</v>
      </c>
    </row>
    <row r="3248" spans="1:7" x14ac:dyDescent="0.25">
      <c r="A3248" t="s">
        <v>11</v>
      </c>
      <c r="B3248" s="1">
        <v>43117</v>
      </c>
      <c r="C3248" t="s">
        <v>55</v>
      </c>
      <c r="D3248">
        <v>331.6</v>
      </c>
      <c r="E3248" s="12" t="str">
        <f>VLOOKUP(C3248,inf!$A$2:$B$7,2,FALSE)</f>
        <v>Current</v>
      </c>
      <c r="F3248" s="12" t="str">
        <f t="shared" si="51"/>
        <v>01/17/2018</v>
      </c>
      <c r="G3248" t="str">
        <f>VLOOKUP(A3248,inf!$D$2:$E$76,2,FALSE)</f>
        <v>Other</v>
      </c>
    </row>
    <row r="3249" spans="1:7" x14ac:dyDescent="0.25">
      <c r="A3249" t="s">
        <v>25</v>
      </c>
      <c r="B3249" s="1">
        <v>43117</v>
      </c>
      <c r="C3249" t="s">
        <v>55</v>
      </c>
      <c r="D3249">
        <v>2397.85</v>
      </c>
      <c r="E3249" s="12" t="str">
        <f>VLOOKUP(C3249,inf!$A$2:$B$7,2,FALSE)</f>
        <v>Current</v>
      </c>
      <c r="F3249" s="12" t="str">
        <f t="shared" si="51"/>
        <v>01/17/2018</v>
      </c>
      <c r="G3249" t="str">
        <f>VLOOKUP(A3249,inf!$D$2:$E$76,2,FALSE)</f>
        <v>Other</v>
      </c>
    </row>
    <row r="3250" spans="1:7" x14ac:dyDescent="0.25">
      <c r="A3250" t="s">
        <v>31</v>
      </c>
      <c r="B3250" s="1">
        <v>43117</v>
      </c>
      <c r="C3250" t="s">
        <v>60</v>
      </c>
      <c r="D3250">
        <v>153.15</v>
      </c>
      <c r="E3250" s="12" t="str">
        <f>VLOOKUP(C3250,inf!$A$2:$B$7,2,FALSE)</f>
        <v>Over 90</v>
      </c>
      <c r="F3250" s="12" t="str">
        <f t="shared" si="51"/>
        <v>01/17/2018</v>
      </c>
      <c r="G3250" t="str">
        <f>VLOOKUP(A3250,inf!$D$2:$E$76,2,FALSE)</f>
        <v>Other</v>
      </c>
    </row>
    <row r="3251" spans="1:7" x14ac:dyDescent="0.25">
      <c r="A3251" t="s">
        <v>24</v>
      </c>
      <c r="B3251" s="1">
        <v>43117</v>
      </c>
      <c r="C3251" t="s">
        <v>55</v>
      </c>
      <c r="D3251">
        <v>1581.63</v>
      </c>
      <c r="E3251" s="12" t="str">
        <f>VLOOKUP(C3251,inf!$A$2:$B$7,2,FALSE)</f>
        <v>Current</v>
      </c>
      <c r="F3251" s="12" t="str">
        <f t="shared" si="51"/>
        <v>01/17/2018</v>
      </c>
      <c r="G3251" t="str">
        <f>VLOOKUP(A3251,inf!$D$2:$E$76,2,FALSE)</f>
        <v>Other</v>
      </c>
    </row>
    <row r="3252" spans="1:7" x14ac:dyDescent="0.25">
      <c r="A3252" t="s">
        <v>27</v>
      </c>
      <c r="B3252" s="1">
        <v>43117</v>
      </c>
      <c r="C3252" t="s">
        <v>55</v>
      </c>
      <c r="D3252">
        <v>245.92</v>
      </c>
      <c r="E3252" s="12" t="str">
        <f>VLOOKUP(C3252,inf!$A$2:$B$7,2,FALSE)</f>
        <v>Current</v>
      </c>
      <c r="F3252" s="12" t="str">
        <f t="shared" si="51"/>
        <v>01/17/2018</v>
      </c>
      <c r="G3252" t="str">
        <f>VLOOKUP(A3252,inf!$D$2:$E$76,2,FALSE)</f>
        <v>Other</v>
      </c>
    </row>
    <row r="3253" spans="1:7" x14ac:dyDescent="0.25">
      <c r="A3253" t="s">
        <v>62</v>
      </c>
      <c r="B3253" s="1">
        <v>43117</v>
      </c>
      <c r="C3253" t="s">
        <v>55</v>
      </c>
      <c r="D3253">
        <v>206.72</v>
      </c>
      <c r="E3253" s="12" t="str">
        <f>VLOOKUP(C3253,inf!$A$2:$B$7,2,FALSE)</f>
        <v>Current</v>
      </c>
      <c r="F3253" s="12" t="str">
        <f t="shared" si="51"/>
        <v>01/17/2018</v>
      </c>
      <c r="G3253" t="str">
        <f>VLOOKUP(A3253,inf!$D$2:$E$76,2,FALSE)</f>
        <v>Other</v>
      </c>
    </row>
    <row r="3254" spans="1:7" x14ac:dyDescent="0.25">
      <c r="A3254" t="s">
        <v>62</v>
      </c>
      <c r="B3254" s="1">
        <v>43117</v>
      </c>
      <c r="C3254" t="s">
        <v>59</v>
      </c>
      <c r="D3254">
        <v>229.7</v>
      </c>
      <c r="E3254" s="12" t="str">
        <f>VLOOKUP(C3254,inf!$A$2:$B$7,2,FALSE)</f>
        <v>Over 90</v>
      </c>
      <c r="F3254" s="12" t="str">
        <f t="shared" si="51"/>
        <v>01/17/2018</v>
      </c>
      <c r="G3254" t="str">
        <f>VLOOKUP(A3254,inf!$D$2:$E$76,2,FALSE)</f>
        <v>Other</v>
      </c>
    </row>
    <row r="3255" spans="1:7" x14ac:dyDescent="0.25">
      <c r="A3255" t="s">
        <v>62</v>
      </c>
      <c r="B3255" s="1">
        <v>43117</v>
      </c>
      <c r="C3255" t="s">
        <v>60</v>
      </c>
      <c r="D3255">
        <v>241.51</v>
      </c>
      <c r="E3255" s="12" t="str">
        <f>VLOOKUP(C3255,inf!$A$2:$B$7,2,FALSE)</f>
        <v>Over 90</v>
      </c>
      <c r="F3255" s="12" t="str">
        <f t="shared" si="51"/>
        <v>01/17/2018</v>
      </c>
      <c r="G3255" t="str">
        <f>VLOOKUP(A3255,inf!$D$2:$E$76,2,FALSE)</f>
        <v>Other</v>
      </c>
    </row>
    <row r="3256" spans="1:7" x14ac:dyDescent="0.25">
      <c r="A3256" t="s">
        <v>82</v>
      </c>
      <c r="B3256" s="1">
        <v>43117</v>
      </c>
      <c r="C3256" t="s">
        <v>55</v>
      </c>
      <c r="D3256">
        <v>114.85</v>
      </c>
      <c r="E3256" s="12" t="str">
        <f>VLOOKUP(C3256,inf!$A$2:$B$7,2,FALSE)</f>
        <v>Current</v>
      </c>
      <c r="F3256" s="12" t="str">
        <f t="shared" si="51"/>
        <v>01/17/2018</v>
      </c>
      <c r="G3256" t="str">
        <f>VLOOKUP(A3256,inf!$D$2:$E$76,2,FALSE)</f>
        <v>Other</v>
      </c>
    </row>
    <row r="3257" spans="1:7" x14ac:dyDescent="0.25">
      <c r="A3257" t="s">
        <v>53</v>
      </c>
      <c r="B3257" s="1">
        <v>43117</v>
      </c>
      <c r="C3257" t="s">
        <v>55</v>
      </c>
      <c r="D3257">
        <v>867.34999999999991</v>
      </c>
      <c r="E3257" s="12" t="str">
        <f>VLOOKUP(C3257,inf!$A$2:$B$7,2,FALSE)</f>
        <v>Current</v>
      </c>
      <c r="F3257" s="12" t="str">
        <f t="shared" si="51"/>
        <v>01/17/2018</v>
      </c>
      <c r="G3257" t="str">
        <f>VLOOKUP(A3257,inf!$D$2:$E$76,2,FALSE)</f>
        <v>Other</v>
      </c>
    </row>
    <row r="3258" spans="1:7" x14ac:dyDescent="0.25">
      <c r="A3258" t="s">
        <v>3</v>
      </c>
      <c r="B3258" s="1">
        <v>43117</v>
      </c>
      <c r="C3258" t="s">
        <v>55</v>
      </c>
      <c r="D3258">
        <v>801.13999999999987</v>
      </c>
      <c r="E3258" s="12" t="str">
        <f>VLOOKUP(C3258,inf!$A$2:$B$7,2,FALSE)</f>
        <v>Current</v>
      </c>
      <c r="F3258" s="12" t="str">
        <f t="shared" si="51"/>
        <v>01/17/2018</v>
      </c>
      <c r="G3258" t="str">
        <f>VLOOKUP(A3258,inf!$D$2:$E$76,2,FALSE)</f>
        <v>Other</v>
      </c>
    </row>
    <row r="3259" spans="1:7" x14ac:dyDescent="0.25">
      <c r="A3259" t="s">
        <v>3</v>
      </c>
      <c r="B3259" s="1">
        <v>43117</v>
      </c>
      <c r="C3259" t="s">
        <v>56</v>
      </c>
      <c r="D3259">
        <v>62.5</v>
      </c>
      <c r="E3259" s="12" t="str">
        <f>VLOOKUP(C3259,inf!$A$2:$B$7,2,FALSE)</f>
        <v>Current</v>
      </c>
      <c r="F3259" s="12" t="str">
        <f t="shared" si="51"/>
        <v>01/17/2018</v>
      </c>
      <c r="G3259" t="str">
        <f>VLOOKUP(A3259,inf!$D$2:$E$76,2,FALSE)</f>
        <v>Other</v>
      </c>
    </row>
    <row r="3260" spans="1:7" x14ac:dyDescent="0.25">
      <c r="A3260" t="s">
        <v>3</v>
      </c>
      <c r="B3260" s="1">
        <v>43117</v>
      </c>
      <c r="C3260" t="s">
        <v>57</v>
      </c>
      <c r="D3260">
        <v>345.82</v>
      </c>
      <c r="E3260" s="12" t="str">
        <f>VLOOKUP(C3260,inf!$A$2:$B$7,2,FALSE)</f>
        <v>31 to 60</v>
      </c>
      <c r="F3260" s="12" t="str">
        <f t="shared" si="51"/>
        <v>01/17/2018</v>
      </c>
      <c r="G3260" t="str">
        <f>VLOOKUP(A3260,inf!$D$2:$E$76,2,FALSE)</f>
        <v>Other</v>
      </c>
    </row>
    <row r="3261" spans="1:7" x14ac:dyDescent="0.25">
      <c r="A3261" t="s">
        <v>78</v>
      </c>
      <c r="B3261" s="1">
        <v>43117</v>
      </c>
      <c r="C3261" t="s">
        <v>55</v>
      </c>
      <c r="D3261">
        <v>1056.98</v>
      </c>
      <c r="E3261" s="12" t="str">
        <f>VLOOKUP(C3261,inf!$A$2:$B$7,2,FALSE)</f>
        <v>Current</v>
      </c>
      <c r="F3261" s="12" t="str">
        <f t="shared" si="51"/>
        <v>01/17/2018</v>
      </c>
      <c r="G3261" t="str">
        <f>VLOOKUP(A3261,inf!$D$2:$E$76,2,FALSE)</f>
        <v>Other</v>
      </c>
    </row>
    <row r="3262" spans="1:7" x14ac:dyDescent="0.25">
      <c r="A3262" t="s">
        <v>78</v>
      </c>
      <c r="B3262" s="1">
        <v>43117</v>
      </c>
      <c r="C3262" t="s">
        <v>56</v>
      </c>
      <c r="D3262">
        <v>718.99</v>
      </c>
      <c r="E3262" s="12" t="str">
        <f>VLOOKUP(C3262,inf!$A$2:$B$7,2,FALSE)</f>
        <v>Current</v>
      </c>
      <c r="F3262" s="12" t="str">
        <f t="shared" si="51"/>
        <v>01/17/2018</v>
      </c>
      <c r="G3262" t="str">
        <f>VLOOKUP(A3262,inf!$D$2:$E$76,2,FALSE)</f>
        <v>Other</v>
      </c>
    </row>
    <row r="3263" spans="1:7" x14ac:dyDescent="0.25">
      <c r="A3263" t="s">
        <v>78</v>
      </c>
      <c r="B3263" s="1">
        <v>43117</v>
      </c>
      <c r="C3263" t="s">
        <v>57</v>
      </c>
      <c r="D3263">
        <v>292.45999999999998</v>
      </c>
      <c r="E3263" s="12" t="str">
        <f>VLOOKUP(C3263,inf!$A$2:$B$7,2,FALSE)</f>
        <v>31 to 60</v>
      </c>
      <c r="F3263" s="12" t="str">
        <f t="shared" si="51"/>
        <v>01/17/2018</v>
      </c>
      <c r="G3263" t="str">
        <f>VLOOKUP(A3263,inf!$D$2:$E$76,2,FALSE)</f>
        <v>Other</v>
      </c>
    </row>
    <row r="3264" spans="1:7" x14ac:dyDescent="0.25">
      <c r="A3264" t="s">
        <v>30</v>
      </c>
      <c r="B3264" s="1">
        <v>43117</v>
      </c>
      <c r="C3264" t="s">
        <v>55</v>
      </c>
      <c r="D3264">
        <v>3993.0299999999997</v>
      </c>
      <c r="E3264" s="12" t="str">
        <f>VLOOKUP(C3264,inf!$A$2:$B$7,2,FALSE)</f>
        <v>Current</v>
      </c>
      <c r="F3264" s="12" t="str">
        <f t="shared" si="51"/>
        <v>01/17/2018</v>
      </c>
      <c r="G3264" t="str">
        <f>VLOOKUP(A3264,inf!$D$2:$E$76,2,FALSE)</f>
        <v>Other</v>
      </c>
    </row>
    <row r="3265" spans="1:7" x14ac:dyDescent="0.25">
      <c r="A3265" t="s">
        <v>30</v>
      </c>
      <c r="B3265" s="1">
        <v>43117</v>
      </c>
      <c r="C3265" t="s">
        <v>56</v>
      </c>
      <c r="D3265">
        <v>454.53</v>
      </c>
      <c r="E3265" s="12" t="str">
        <f>VLOOKUP(C3265,inf!$A$2:$B$7,2,FALSE)</f>
        <v>Current</v>
      </c>
      <c r="F3265" s="12" t="str">
        <f t="shared" si="51"/>
        <v>01/17/2018</v>
      </c>
      <c r="G3265" t="str">
        <f>VLOOKUP(A3265,inf!$D$2:$E$76,2,FALSE)</f>
        <v>Other</v>
      </c>
    </row>
    <row r="3266" spans="1:7" x14ac:dyDescent="0.25">
      <c r="A3266" t="s">
        <v>30</v>
      </c>
      <c r="B3266" s="1">
        <v>43117</v>
      </c>
      <c r="C3266" t="s">
        <v>57</v>
      </c>
      <c r="D3266">
        <v>114.85</v>
      </c>
      <c r="E3266" s="12" t="str">
        <f>VLOOKUP(C3266,inf!$A$2:$B$7,2,FALSE)</f>
        <v>31 to 60</v>
      </c>
      <c r="F3266" s="12" t="str">
        <f t="shared" si="51"/>
        <v>01/17/2018</v>
      </c>
      <c r="G3266" t="str">
        <f>VLOOKUP(A3266,inf!$D$2:$E$76,2,FALSE)</f>
        <v>Other</v>
      </c>
    </row>
    <row r="3267" spans="1:7" x14ac:dyDescent="0.25">
      <c r="A3267" t="s">
        <v>30</v>
      </c>
      <c r="B3267" s="1">
        <v>43117</v>
      </c>
      <c r="C3267" t="s">
        <v>58</v>
      </c>
      <c r="D3267">
        <v>232.39</v>
      </c>
      <c r="E3267" s="12" t="str">
        <f>VLOOKUP(C3267,inf!$A$2:$B$7,2,FALSE)</f>
        <v>61 to 90</v>
      </c>
      <c r="F3267" s="12" t="str">
        <f t="shared" ref="F3267:F3309" si="52">TEXT(B3267,"MM/DD/YYYY")</f>
        <v>01/17/2018</v>
      </c>
      <c r="G3267" t="str">
        <f>VLOOKUP(A3267,inf!$D$2:$E$76,2,FALSE)</f>
        <v>Other</v>
      </c>
    </row>
    <row r="3268" spans="1:7" x14ac:dyDescent="0.25">
      <c r="A3268" t="s">
        <v>12</v>
      </c>
      <c r="B3268" s="1">
        <v>43117</v>
      </c>
      <c r="C3268" t="s">
        <v>55</v>
      </c>
      <c r="D3268">
        <v>1053.45</v>
      </c>
      <c r="E3268" s="12" t="str">
        <f>VLOOKUP(C3268,inf!$A$2:$B$7,2,FALSE)</f>
        <v>Current</v>
      </c>
      <c r="F3268" s="12" t="str">
        <f t="shared" si="52"/>
        <v>01/17/2018</v>
      </c>
      <c r="G3268" t="str">
        <f>VLOOKUP(A3268,inf!$D$2:$E$76,2,FALSE)</f>
        <v>Other</v>
      </c>
    </row>
    <row r="3269" spans="1:7" x14ac:dyDescent="0.25">
      <c r="A3269" t="s">
        <v>50</v>
      </c>
      <c r="B3269" s="1">
        <v>43117</v>
      </c>
      <c r="C3269" t="s">
        <v>55</v>
      </c>
      <c r="D3269">
        <v>319.83999999999997</v>
      </c>
      <c r="E3269" s="12" t="str">
        <f>VLOOKUP(C3269,inf!$A$2:$B$7,2,FALSE)</f>
        <v>Current</v>
      </c>
      <c r="F3269" s="12" t="str">
        <f t="shared" si="52"/>
        <v>01/17/2018</v>
      </c>
      <c r="G3269" t="str">
        <f>VLOOKUP(A3269,inf!$D$2:$E$76,2,FALSE)</f>
        <v>Other</v>
      </c>
    </row>
    <row r="3270" spans="1:7" x14ac:dyDescent="0.25">
      <c r="A3270" t="s">
        <v>23</v>
      </c>
      <c r="B3270" s="1">
        <v>43117</v>
      </c>
      <c r="C3270" t="s">
        <v>58</v>
      </c>
      <c r="D3270">
        <v>250.61</v>
      </c>
      <c r="E3270" s="12" t="str">
        <f>VLOOKUP(C3270,inf!$A$2:$B$7,2,FALSE)</f>
        <v>61 to 90</v>
      </c>
      <c r="F3270" s="12" t="str">
        <f t="shared" si="52"/>
        <v>01/17/2018</v>
      </c>
      <c r="G3270" t="str">
        <f>VLOOKUP(A3270,inf!$D$2:$E$76,2,FALSE)</f>
        <v>Other</v>
      </c>
    </row>
    <row r="3271" spans="1:7" x14ac:dyDescent="0.25">
      <c r="A3271" t="s">
        <v>7</v>
      </c>
      <c r="B3271" s="1">
        <v>43117</v>
      </c>
      <c r="C3271" t="s">
        <v>55</v>
      </c>
      <c r="D3271">
        <v>114555.51000000001</v>
      </c>
      <c r="E3271" s="12" t="str">
        <f>VLOOKUP(C3271,inf!$A$2:$B$7,2,FALSE)</f>
        <v>Current</v>
      </c>
      <c r="F3271" s="12" t="str">
        <f t="shared" si="52"/>
        <v>01/17/2018</v>
      </c>
      <c r="G3271" t="str">
        <f>VLOOKUP(A3271,inf!$D$2:$E$76,2,FALSE)</f>
        <v>SAFEWAY</v>
      </c>
    </row>
    <row r="3272" spans="1:7" x14ac:dyDescent="0.25">
      <c r="A3272" t="s">
        <v>7</v>
      </c>
      <c r="B3272" s="1">
        <v>43117</v>
      </c>
      <c r="C3272" t="s">
        <v>56</v>
      </c>
      <c r="D3272">
        <v>19331.019999999997</v>
      </c>
      <c r="E3272" s="12" t="str">
        <f>VLOOKUP(C3272,inf!$A$2:$B$7,2,FALSE)</f>
        <v>Current</v>
      </c>
      <c r="F3272" s="12" t="str">
        <f t="shared" si="52"/>
        <v>01/17/2018</v>
      </c>
      <c r="G3272" t="str">
        <f>VLOOKUP(A3272,inf!$D$2:$E$76,2,FALSE)</f>
        <v>SAFEWAY</v>
      </c>
    </row>
    <row r="3273" spans="1:7" x14ac:dyDescent="0.25">
      <c r="A3273" t="s">
        <v>7</v>
      </c>
      <c r="B3273" s="1">
        <v>43117</v>
      </c>
      <c r="C3273" t="s">
        <v>57</v>
      </c>
      <c r="D3273">
        <v>10823.98</v>
      </c>
      <c r="E3273" s="12" t="str">
        <f>VLOOKUP(C3273,inf!$A$2:$B$7,2,FALSE)</f>
        <v>31 to 60</v>
      </c>
      <c r="F3273" s="12" t="str">
        <f t="shared" si="52"/>
        <v>01/17/2018</v>
      </c>
      <c r="G3273" t="str">
        <f>VLOOKUP(A3273,inf!$D$2:$E$76,2,FALSE)</f>
        <v>SAFEWAY</v>
      </c>
    </row>
    <row r="3274" spans="1:7" x14ac:dyDescent="0.25">
      <c r="A3274" t="s">
        <v>7</v>
      </c>
      <c r="B3274" s="1">
        <v>43117</v>
      </c>
      <c r="C3274" t="s">
        <v>58</v>
      </c>
      <c r="D3274">
        <v>4984.58</v>
      </c>
      <c r="E3274" s="12" t="str">
        <f>VLOOKUP(C3274,inf!$A$2:$B$7,2,FALSE)</f>
        <v>61 to 90</v>
      </c>
      <c r="F3274" s="12" t="str">
        <f t="shared" si="52"/>
        <v>01/17/2018</v>
      </c>
      <c r="G3274" t="str">
        <f>VLOOKUP(A3274,inf!$D$2:$E$76,2,FALSE)</f>
        <v>SAFEWAY</v>
      </c>
    </row>
    <row r="3275" spans="1:7" x14ac:dyDescent="0.25">
      <c r="A3275" t="s">
        <v>7</v>
      </c>
      <c r="B3275" s="1">
        <v>43117</v>
      </c>
      <c r="C3275" t="s">
        <v>59</v>
      </c>
      <c r="D3275">
        <v>529.05999999999995</v>
      </c>
      <c r="E3275" s="12" t="str">
        <f>VLOOKUP(C3275,inf!$A$2:$B$7,2,FALSE)</f>
        <v>Over 90</v>
      </c>
      <c r="F3275" s="12" t="str">
        <f t="shared" si="52"/>
        <v>01/17/2018</v>
      </c>
      <c r="G3275" t="str">
        <f>VLOOKUP(A3275,inf!$D$2:$E$76,2,FALSE)</f>
        <v>SAFEWAY</v>
      </c>
    </row>
    <row r="3276" spans="1:7" x14ac:dyDescent="0.25">
      <c r="A3276" t="s">
        <v>7</v>
      </c>
      <c r="B3276" s="1">
        <v>43117</v>
      </c>
      <c r="C3276" t="s">
        <v>60</v>
      </c>
      <c r="D3276">
        <v>608.69000000000005</v>
      </c>
      <c r="E3276" s="12" t="str">
        <f>VLOOKUP(C3276,inf!$A$2:$B$7,2,FALSE)</f>
        <v>Over 90</v>
      </c>
      <c r="F3276" s="12" t="str">
        <f t="shared" si="52"/>
        <v>01/17/2018</v>
      </c>
      <c r="G3276" t="str">
        <f>VLOOKUP(A3276,inf!$D$2:$E$76,2,FALSE)</f>
        <v>SAFEWAY</v>
      </c>
    </row>
    <row r="3277" spans="1:7" x14ac:dyDescent="0.25">
      <c r="A3277" t="s">
        <v>81</v>
      </c>
      <c r="B3277" s="1">
        <v>43117</v>
      </c>
      <c r="C3277" t="s">
        <v>55</v>
      </c>
      <c r="D3277">
        <v>174.98</v>
      </c>
      <c r="E3277" s="12" t="str">
        <f>VLOOKUP(C3277,inf!$A$2:$B$7,2,FALSE)</f>
        <v>Current</v>
      </c>
      <c r="F3277" s="12" t="str">
        <f t="shared" si="52"/>
        <v>01/17/2018</v>
      </c>
      <c r="G3277" t="str">
        <f>VLOOKUP(A3277,inf!$D$2:$E$76,2,FALSE)</f>
        <v>Other</v>
      </c>
    </row>
    <row r="3278" spans="1:7" x14ac:dyDescent="0.25">
      <c r="A3278" t="s">
        <v>74</v>
      </c>
      <c r="B3278" s="1">
        <v>43117</v>
      </c>
      <c r="C3278" t="s">
        <v>59</v>
      </c>
      <c r="D3278">
        <v>742.26</v>
      </c>
      <c r="E3278" s="12" t="str">
        <f>VLOOKUP(C3278,inf!$A$2:$B$7,2,FALSE)</f>
        <v>Over 90</v>
      </c>
      <c r="F3278" s="12" t="str">
        <f t="shared" si="52"/>
        <v>01/17/2018</v>
      </c>
      <c r="G3278" t="str">
        <f>VLOOKUP(A3278,inf!$D$2:$E$76,2,FALSE)</f>
        <v>Other</v>
      </c>
    </row>
    <row r="3279" spans="1:7" x14ac:dyDescent="0.25">
      <c r="A3279" t="s">
        <v>5</v>
      </c>
      <c r="B3279" s="1">
        <v>43117</v>
      </c>
      <c r="C3279" t="s">
        <v>55</v>
      </c>
      <c r="D3279">
        <v>7953371.8099998739</v>
      </c>
      <c r="E3279" s="12" t="str">
        <f>VLOOKUP(C3279,inf!$A$2:$B$7,2,FALSE)</f>
        <v>Current</v>
      </c>
      <c r="F3279" s="12" t="str">
        <f t="shared" si="52"/>
        <v>01/17/2018</v>
      </c>
      <c r="G3279" t="str">
        <f>VLOOKUP(A3279,inf!$D$2:$E$76,2,FALSE)</f>
        <v>SBUX</v>
      </c>
    </row>
    <row r="3280" spans="1:7" x14ac:dyDescent="0.25">
      <c r="A3280" t="s">
        <v>5</v>
      </c>
      <c r="B3280" s="1">
        <v>43117</v>
      </c>
      <c r="C3280" t="s">
        <v>56</v>
      </c>
      <c r="D3280">
        <v>53462.570000000022</v>
      </c>
      <c r="E3280" s="12" t="str">
        <f>VLOOKUP(C3280,inf!$A$2:$B$7,2,FALSE)</f>
        <v>Current</v>
      </c>
      <c r="F3280" s="12" t="str">
        <f t="shared" si="52"/>
        <v>01/17/2018</v>
      </c>
      <c r="G3280" t="str">
        <f>VLOOKUP(A3280,inf!$D$2:$E$76,2,FALSE)</f>
        <v>SBUX</v>
      </c>
    </row>
    <row r="3281" spans="1:7" x14ac:dyDescent="0.25">
      <c r="A3281" t="s">
        <v>5</v>
      </c>
      <c r="B3281" s="1">
        <v>43117</v>
      </c>
      <c r="C3281" t="s">
        <v>57</v>
      </c>
      <c r="D3281">
        <v>60803.400000000009</v>
      </c>
      <c r="E3281" s="12" t="str">
        <f>VLOOKUP(C3281,inf!$A$2:$B$7,2,FALSE)</f>
        <v>31 to 60</v>
      </c>
      <c r="F3281" s="12" t="str">
        <f t="shared" si="52"/>
        <v>01/17/2018</v>
      </c>
      <c r="G3281" t="str">
        <f>VLOOKUP(A3281,inf!$D$2:$E$76,2,FALSE)</f>
        <v>SBUX</v>
      </c>
    </row>
    <row r="3282" spans="1:7" x14ac:dyDescent="0.25">
      <c r="A3282" t="s">
        <v>5</v>
      </c>
      <c r="B3282" s="1">
        <v>43117</v>
      </c>
      <c r="C3282" t="s">
        <v>58</v>
      </c>
      <c r="D3282">
        <v>46002.210000000006</v>
      </c>
      <c r="E3282" s="12" t="str">
        <f>VLOOKUP(C3282,inf!$A$2:$B$7,2,FALSE)</f>
        <v>61 to 90</v>
      </c>
      <c r="F3282" s="12" t="str">
        <f t="shared" si="52"/>
        <v>01/17/2018</v>
      </c>
      <c r="G3282" t="str">
        <f>VLOOKUP(A3282,inf!$D$2:$E$76,2,FALSE)</f>
        <v>SBUX</v>
      </c>
    </row>
    <row r="3283" spans="1:7" x14ac:dyDescent="0.25">
      <c r="A3283" t="s">
        <v>5</v>
      </c>
      <c r="B3283" s="1">
        <v>43117</v>
      </c>
      <c r="C3283" t="s">
        <v>59</v>
      </c>
      <c r="D3283">
        <v>14313.91</v>
      </c>
      <c r="E3283" s="12" t="str">
        <f>VLOOKUP(C3283,inf!$A$2:$B$7,2,FALSE)</f>
        <v>Over 90</v>
      </c>
      <c r="F3283" s="12" t="str">
        <f t="shared" si="52"/>
        <v>01/17/2018</v>
      </c>
      <c r="G3283" t="str">
        <f>VLOOKUP(A3283,inf!$D$2:$E$76,2,FALSE)</f>
        <v>SBUX</v>
      </c>
    </row>
    <row r="3284" spans="1:7" x14ac:dyDescent="0.25">
      <c r="A3284" t="s">
        <v>5</v>
      </c>
      <c r="B3284" s="1">
        <v>43117</v>
      </c>
      <c r="C3284" t="s">
        <v>60</v>
      </c>
      <c r="D3284">
        <v>142294.83000000007</v>
      </c>
      <c r="E3284" s="12" t="str">
        <f>VLOOKUP(C3284,inf!$A$2:$B$7,2,FALSE)</f>
        <v>Over 90</v>
      </c>
      <c r="F3284" s="12" t="str">
        <f t="shared" si="52"/>
        <v>01/17/2018</v>
      </c>
      <c r="G3284" t="str">
        <f>VLOOKUP(A3284,inf!$D$2:$E$76,2,FALSE)</f>
        <v>SBUX</v>
      </c>
    </row>
    <row r="3285" spans="1:7" x14ac:dyDescent="0.25">
      <c r="A3285" t="s">
        <v>6</v>
      </c>
      <c r="B3285" s="1">
        <v>43117</v>
      </c>
      <c r="C3285" t="s">
        <v>55</v>
      </c>
      <c r="D3285">
        <v>675003.59999999194</v>
      </c>
      <c r="E3285" s="12" t="str">
        <f>VLOOKUP(C3285,inf!$A$2:$B$7,2,FALSE)</f>
        <v>Current</v>
      </c>
      <c r="F3285" s="12" t="str">
        <f t="shared" si="52"/>
        <v>01/17/2018</v>
      </c>
      <c r="G3285" t="str">
        <f>VLOOKUP(A3285,inf!$D$2:$E$76,2,FALSE)</f>
        <v>SBUX</v>
      </c>
    </row>
    <row r="3286" spans="1:7" x14ac:dyDescent="0.25">
      <c r="A3286" t="s">
        <v>6</v>
      </c>
      <c r="B3286" s="1">
        <v>43117</v>
      </c>
      <c r="C3286" t="s">
        <v>56</v>
      </c>
      <c r="D3286">
        <v>5392.5699999999979</v>
      </c>
      <c r="E3286" s="12" t="str">
        <f>VLOOKUP(C3286,inf!$A$2:$B$7,2,FALSE)</f>
        <v>Current</v>
      </c>
      <c r="F3286" s="12" t="str">
        <f t="shared" si="52"/>
        <v>01/17/2018</v>
      </c>
      <c r="G3286" t="str">
        <f>VLOOKUP(A3286,inf!$D$2:$E$76,2,FALSE)</f>
        <v>SBUX</v>
      </c>
    </row>
    <row r="3287" spans="1:7" x14ac:dyDescent="0.25">
      <c r="A3287" t="s">
        <v>6</v>
      </c>
      <c r="B3287" s="1">
        <v>43117</v>
      </c>
      <c r="C3287" t="s">
        <v>57</v>
      </c>
      <c r="D3287">
        <v>1377.21</v>
      </c>
      <c r="E3287" s="12" t="str">
        <f>VLOOKUP(C3287,inf!$A$2:$B$7,2,FALSE)</f>
        <v>31 to 60</v>
      </c>
      <c r="F3287" s="12" t="str">
        <f t="shared" si="52"/>
        <v>01/17/2018</v>
      </c>
      <c r="G3287" t="str">
        <f>VLOOKUP(A3287,inf!$D$2:$E$76,2,FALSE)</f>
        <v>SBUX</v>
      </c>
    </row>
    <row r="3288" spans="1:7" x14ac:dyDescent="0.25">
      <c r="A3288" t="s">
        <v>6</v>
      </c>
      <c r="B3288" s="1">
        <v>43117</v>
      </c>
      <c r="C3288" t="s">
        <v>58</v>
      </c>
      <c r="D3288">
        <v>1566.3700000000001</v>
      </c>
      <c r="E3288" s="12" t="str">
        <f>VLOOKUP(C3288,inf!$A$2:$B$7,2,FALSE)</f>
        <v>61 to 90</v>
      </c>
      <c r="F3288" s="12" t="str">
        <f t="shared" si="52"/>
        <v>01/17/2018</v>
      </c>
      <c r="G3288" t="str">
        <f>VLOOKUP(A3288,inf!$D$2:$E$76,2,FALSE)</f>
        <v>SBUX</v>
      </c>
    </row>
    <row r="3289" spans="1:7" x14ac:dyDescent="0.25">
      <c r="A3289" t="s">
        <v>6</v>
      </c>
      <c r="B3289" s="1">
        <v>43117</v>
      </c>
      <c r="C3289" t="s">
        <v>59</v>
      </c>
      <c r="D3289">
        <v>1089.77</v>
      </c>
      <c r="E3289" s="12" t="str">
        <f>VLOOKUP(C3289,inf!$A$2:$B$7,2,FALSE)</f>
        <v>Over 90</v>
      </c>
      <c r="F3289" s="12" t="str">
        <f t="shared" si="52"/>
        <v>01/17/2018</v>
      </c>
      <c r="G3289" t="str">
        <f>VLOOKUP(A3289,inf!$D$2:$E$76,2,FALSE)</f>
        <v>SBUX</v>
      </c>
    </row>
    <row r="3290" spans="1:7" x14ac:dyDescent="0.25">
      <c r="A3290" t="s">
        <v>6</v>
      </c>
      <c r="B3290" s="1">
        <v>43117</v>
      </c>
      <c r="C3290" t="s">
        <v>60</v>
      </c>
      <c r="D3290">
        <v>10700.29</v>
      </c>
      <c r="E3290" s="12" t="str">
        <f>VLOOKUP(C3290,inf!$A$2:$B$7,2,FALSE)</f>
        <v>Over 90</v>
      </c>
      <c r="F3290" s="12" t="str">
        <f t="shared" si="52"/>
        <v>01/17/2018</v>
      </c>
      <c r="G3290" t="str">
        <f>VLOOKUP(A3290,inf!$D$2:$E$76,2,FALSE)</f>
        <v>SBUX</v>
      </c>
    </row>
    <row r="3291" spans="1:7" x14ac:dyDescent="0.25">
      <c r="A3291" t="s">
        <v>48</v>
      </c>
      <c r="B3291" s="1">
        <v>43117</v>
      </c>
      <c r="C3291" t="s">
        <v>55</v>
      </c>
      <c r="D3291">
        <v>443607.72999999981</v>
      </c>
      <c r="E3291" s="12" t="str">
        <f>VLOOKUP(C3291,inf!$A$2:$B$7,2,FALSE)</f>
        <v>Current</v>
      </c>
      <c r="F3291" s="12" t="str">
        <f t="shared" si="52"/>
        <v>01/17/2018</v>
      </c>
      <c r="G3291" t="str">
        <f>VLOOKUP(A3291,inf!$D$2:$E$76,2,FALSE)</f>
        <v>Target</v>
      </c>
    </row>
    <row r="3292" spans="1:7" x14ac:dyDescent="0.25">
      <c r="A3292" t="s">
        <v>48</v>
      </c>
      <c r="B3292" s="1">
        <v>43117</v>
      </c>
      <c r="C3292" t="s">
        <v>56</v>
      </c>
      <c r="D3292">
        <v>82123.37999999999</v>
      </c>
      <c r="E3292" s="12" t="str">
        <f>VLOOKUP(C3292,inf!$A$2:$B$7,2,FALSE)</f>
        <v>Current</v>
      </c>
      <c r="F3292" s="12" t="str">
        <f t="shared" si="52"/>
        <v>01/17/2018</v>
      </c>
      <c r="G3292" t="str">
        <f>VLOOKUP(A3292,inf!$D$2:$E$76,2,FALSE)</f>
        <v>Target</v>
      </c>
    </row>
    <row r="3293" spans="1:7" x14ac:dyDescent="0.25">
      <c r="A3293" t="s">
        <v>48</v>
      </c>
      <c r="B3293" s="1">
        <v>43117</v>
      </c>
      <c r="C3293" t="s">
        <v>57</v>
      </c>
      <c r="D3293">
        <v>33160.950000000004</v>
      </c>
      <c r="E3293" s="12" t="str">
        <f>VLOOKUP(C3293,inf!$A$2:$B$7,2,FALSE)</f>
        <v>31 to 60</v>
      </c>
      <c r="F3293" s="12" t="str">
        <f t="shared" si="52"/>
        <v>01/17/2018</v>
      </c>
      <c r="G3293" t="str">
        <f>VLOOKUP(A3293,inf!$D$2:$E$76,2,FALSE)</f>
        <v>Target</v>
      </c>
    </row>
    <row r="3294" spans="1:7" x14ac:dyDescent="0.25">
      <c r="A3294" t="s">
        <v>48</v>
      </c>
      <c r="B3294" s="1">
        <v>43117</v>
      </c>
      <c r="C3294" t="s">
        <v>58</v>
      </c>
      <c r="D3294">
        <v>3776.2000000000003</v>
      </c>
      <c r="E3294" s="12" t="str">
        <f>VLOOKUP(C3294,inf!$A$2:$B$7,2,FALSE)</f>
        <v>61 to 90</v>
      </c>
      <c r="F3294" s="12" t="str">
        <f t="shared" si="52"/>
        <v>01/17/2018</v>
      </c>
      <c r="G3294" t="str">
        <f>VLOOKUP(A3294,inf!$D$2:$E$76,2,FALSE)</f>
        <v>Target</v>
      </c>
    </row>
    <row r="3295" spans="1:7" x14ac:dyDescent="0.25">
      <c r="A3295" t="s">
        <v>48</v>
      </c>
      <c r="B3295" s="1">
        <v>43117</v>
      </c>
      <c r="C3295" t="s">
        <v>59</v>
      </c>
      <c r="D3295">
        <v>2235.58</v>
      </c>
      <c r="E3295" s="12" t="str">
        <f>VLOOKUP(C3295,inf!$A$2:$B$7,2,FALSE)</f>
        <v>Over 90</v>
      </c>
      <c r="F3295" s="12" t="str">
        <f t="shared" si="52"/>
        <v>01/17/2018</v>
      </c>
      <c r="G3295" t="str">
        <f>VLOOKUP(A3295,inf!$D$2:$E$76,2,FALSE)</f>
        <v>Target</v>
      </c>
    </row>
    <row r="3296" spans="1:7" x14ac:dyDescent="0.25">
      <c r="A3296" t="s">
        <v>48</v>
      </c>
      <c r="B3296" s="1">
        <v>43117</v>
      </c>
      <c r="C3296" t="s">
        <v>60</v>
      </c>
      <c r="D3296">
        <v>3388.9200000000005</v>
      </c>
      <c r="E3296" s="12" t="str">
        <f>VLOOKUP(C3296,inf!$A$2:$B$7,2,FALSE)</f>
        <v>Over 90</v>
      </c>
      <c r="F3296" s="12" t="str">
        <f t="shared" si="52"/>
        <v>01/17/2018</v>
      </c>
      <c r="G3296" t="str">
        <f>VLOOKUP(A3296,inf!$D$2:$E$76,2,FALSE)</f>
        <v>Target</v>
      </c>
    </row>
    <row r="3297" spans="1:7" x14ac:dyDescent="0.25">
      <c r="A3297" t="s">
        <v>8</v>
      </c>
      <c r="B3297" s="1">
        <v>43117</v>
      </c>
      <c r="C3297" t="s">
        <v>55</v>
      </c>
      <c r="D3297">
        <v>465547.04999999789</v>
      </c>
      <c r="E3297" s="12" t="str">
        <f>VLOOKUP(C3297,inf!$A$2:$B$7,2,FALSE)</f>
        <v>Current</v>
      </c>
      <c r="F3297" s="12" t="str">
        <f t="shared" si="52"/>
        <v>01/17/2018</v>
      </c>
      <c r="G3297" t="str">
        <f>VLOOKUP(A3297,inf!$D$2:$E$76,2,FALSE)</f>
        <v>Target</v>
      </c>
    </row>
    <row r="3298" spans="1:7" x14ac:dyDescent="0.25">
      <c r="A3298" t="s">
        <v>8</v>
      </c>
      <c r="B3298" s="1">
        <v>43117</v>
      </c>
      <c r="C3298" t="s">
        <v>56</v>
      </c>
      <c r="D3298">
        <v>41329.69000000001</v>
      </c>
      <c r="E3298" s="12" t="str">
        <f>VLOOKUP(C3298,inf!$A$2:$B$7,2,FALSE)</f>
        <v>Current</v>
      </c>
      <c r="F3298" s="12" t="str">
        <f t="shared" si="52"/>
        <v>01/17/2018</v>
      </c>
      <c r="G3298" t="str">
        <f>VLOOKUP(A3298,inf!$D$2:$E$76,2,FALSE)</f>
        <v>Target</v>
      </c>
    </row>
    <row r="3299" spans="1:7" x14ac:dyDescent="0.25">
      <c r="A3299" t="s">
        <v>8</v>
      </c>
      <c r="B3299" s="1">
        <v>43117</v>
      </c>
      <c r="C3299" t="s">
        <v>57</v>
      </c>
      <c r="D3299">
        <v>65714.27999999997</v>
      </c>
      <c r="E3299" s="12" t="str">
        <f>VLOOKUP(C3299,inf!$A$2:$B$7,2,FALSE)</f>
        <v>31 to 60</v>
      </c>
      <c r="F3299" s="12" t="str">
        <f t="shared" si="52"/>
        <v>01/17/2018</v>
      </c>
      <c r="G3299" t="str">
        <f>VLOOKUP(A3299,inf!$D$2:$E$76,2,FALSE)</f>
        <v>Target</v>
      </c>
    </row>
    <row r="3300" spans="1:7" x14ac:dyDescent="0.25">
      <c r="A3300" t="s">
        <v>8</v>
      </c>
      <c r="B3300" s="1">
        <v>43117</v>
      </c>
      <c r="C3300" t="s">
        <v>58</v>
      </c>
      <c r="D3300">
        <v>12279.06</v>
      </c>
      <c r="E3300" s="12" t="str">
        <f>VLOOKUP(C3300,inf!$A$2:$B$7,2,FALSE)</f>
        <v>61 to 90</v>
      </c>
      <c r="F3300" s="12" t="str">
        <f t="shared" si="52"/>
        <v>01/17/2018</v>
      </c>
      <c r="G3300" t="str">
        <f>VLOOKUP(A3300,inf!$D$2:$E$76,2,FALSE)</f>
        <v>Target</v>
      </c>
    </row>
    <row r="3301" spans="1:7" x14ac:dyDescent="0.25">
      <c r="A3301" t="s">
        <v>8</v>
      </c>
      <c r="B3301" s="1">
        <v>43117</v>
      </c>
      <c r="C3301" t="s">
        <v>59</v>
      </c>
      <c r="D3301">
        <v>6186.98</v>
      </c>
      <c r="E3301" s="12" t="str">
        <f>VLOOKUP(C3301,inf!$A$2:$B$7,2,FALSE)</f>
        <v>Over 90</v>
      </c>
      <c r="F3301" s="12" t="str">
        <f t="shared" si="52"/>
        <v>01/17/2018</v>
      </c>
      <c r="G3301" t="str">
        <f>VLOOKUP(A3301,inf!$D$2:$E$76,2,FALSE)</f>
        <v>Target</v>
      </c>
    </row>
    <row r="3302" spans="1:7" x14ac:dyDescent="0.25">
      <c r="A3302" t="s">
        <v>8</v>
      </c>
      <c r="B3302" s="1">
        <v>43117</v>
      </c>
      <c r="C3302" t="s">
        <v>60</v>
      </c>
      <c r="D3302">
        <v>17096.71</v>
      </c>
      <c r="E3302" s="12" t="str">
        <f>VLOOKUP(C3302,inf!$A$2:$B$7,2,FALSE)</f>
        <v>Over 90</v>
      </c>
      <c r="F3302" s="12" t="str">
        <f t="shared" si="52"/>
        <v>01/17/2018</v>
      </c>
      <c r="G3302" t="str">
        <f>VLOOKUP(A3302,inf!$D$2:$E$76,2,FALSE)</f>
        <v>Target</v>
      </c>
    </row>
    <row r="3303" spans="1:7" x14ac:dyDescent="0.25">
      <c r="A3303" t="s">
        <v>54</v>
      </c>
      <c r="B3303" s="1">
        <v>43117</v>
      </c>
      <c r="C3303" t="s">
        <v>55</v>
      </c>
      <c r="D3303">
        <v>497.05</v>
      </c>
      <c r="E3303" s="12" t="str">
        <f>VLOOKUP(C3303,inf!$A$2:$B$7,2,FALSE)</f>
        <v>Current</v>
      </c>
      <c r="F3303" s="12" t="str">
        <f t="shared" si="52"/>
        <v>01/17/2018</v>
      </c>
      <c r="G3303" t="str">
        <f>VLOOKUP(A3303,inf!$D$2:$E$76,2,FALSE)</f>
        <v>Other</v>
      </c>
    </row>
    <row r="3304" spans="1:7" x14ac:dyDescent="0.25">
      <c r="A3304" t="s">
        <v>54</v>
      </c>
      <c r="B3304" s="1">
        <v>43117</v>
      </c>
      <c r="C3304" t="s">
        <v>59</v>
      </c>
      <c r="D3304">
        <v>122.72</v>
      </c>
      <c r="E3304" s="12" t="str">
        <f>VLOOKUP(C3304,inf!$A$2:$B$7,2,FALSE)</f>
        <v>Over 90</v>
      </c>
      <c r="F3304" s="12" t="str">
        <f t="shared" si="52"/>
        <v>01/17/2018</v>
      </c>
      <c r="G3304" t="str">
        <f>VLOOKUP(A3304,inf!$D$2:$E$76,2,FALSE)</f>
        <v>Other</v>
      </c>
    </row>
    <row r="3305" spans="1:7" x14ac:dyDescent="0.25">
      <c r="A3305" t="s">
        <v>54</v>
      </c>
      <c r="B3305" s="1">
        <v>43117</v>
      </c>
      <c r="C3305" t="s">
        <v>60</v>
      </c>
      <c r="D3305">
        <v>122.72</v>
      </c>
      <c r="E3305" s="12" t="str">
        <f>VLOOKUP(C3305,inf!$A$2:$B$7,2,FALSE)</f>
        <v>Over 90</v>
      </c>
      <c r="F3305" s="12" t="str">
        <f t="shared" si="52"/>
        <v>01/17/2018</v>
      </c>
      <c r="G3305" t="str">
        <f>VLOOKUP(A3305,inf!$D$2:$E$76,2,FALSE)</f>
        <v>Other</v>
      </c>
    </row>
    <row r="3306" spans="1:7" x14ac:dyDescent="0.25">
      <c r="A3306" t="s">
        <v>28</v>
      </c>
      <c r="B3306" s="1">
        <v>43117</v>
      </c>
      <c r="C3306" t="s">
        <v>55</v>
      </c>
      <c r="D3306">
        <v>139.82</v>
      </c>
      <c r="E3306" s="12" t="str">
        <f>VLOOKUP(C3306,inf!$A$2:$B$7,2,FALSE)</f>
        <v>Current</v>
      </c>
      <c r="F3306" s="12" t="str">
        <f t="shared" si="52"/>
        <v>01/17/2018</v>
      </c>
      <c r="G3306" t="str">
        <f>VLOOKUP(A3306,inf!$D$2:$E$76,2,FALSE)</f>
        <v>Other</v>
      </c>
    </row>
    <row r="3307" spans="1:7" x14ac:dyDescent="0.25">
      <c r="A3307" t="s">
        <v>28</v>
      </c>
      <c r="B3307" s="1">
        <v>43117</v>
      </c>
      <c r="C3307" t="s">
        <v>56</v>
      </c>
      <c r="D3307">
        <v>1386.69</v>
      </c>
      <c r="E3307" s="12" t="str">
        <f>VLOOKUP(C3307,inf!$A$2:$B$7,2,FALSE)</f>
        <v>Current</v>
      </c>
      <c r="F3307" s="12" t="str">
        <f t="shared" si="52"/>
        <v>01/17/2018</v>
      </c>
      <c r="G3307" t="str">
        <f>VLOOKUP(A3307,inf!$D$2:$E$76,2,FALSE)</f>
        <v>Other</v>
      </c>
    </row>
    <row r="3308" spans="1:7" x14ac:dyDescent="0.25">
      <c r="A3308" t="s">
        <v>28</v>
      </c>
      <c r="B3308" s="1">
        <v>43117</v>
      </c>
      <c r="C3308" t="s">
        <v>57</v>
      </c>
      <c r="D3308">
        <v>4155.4799999999996</v>
      </c>
      <c r="E3308" s="12" t="str">
        <f>VLOOKUP(C3308,inf!$A$2:$B$7,2,FALSE)</f>
        <v>31 to 60</v>
      </c>
      <c r="F3308" s="12" t="str">
        <f t="shared" si="52"/>
        <v>01/17/2018</v>
      </c>
      <c r="G3308" t="str">
        <f>VLOOKUP(A3308,inf!$D$2:$E$76,2,FALSE)</f>
        <v>Other</v>
      </c>
    </row>
    <row r="3309" spans="1:7" x14ac:dyDescent="0.25">
      <c r="A3309" t="s">
        <v>15</v>
      </c>
      <c r="B3309" s="1">
        <v>43117</v>
      </c>
      <c r="C3309" t="s">
        <v>60</v>
      </c>
      <c r="D3309">
        <v>291.60000000000002</v>
      </c>
      <c r="E3309" s="12" t="str">
        <f>VLOOKUP(C3309,inf!$A$2:$B$7,2,FALSE)</f>
        <v>Over 90</v>
      </c>
      <c r="F3309" s="12" t="str">
        <f t="shared" si="52"/>
        <v>01/17/2018</v>
      </c>
      <c r="G3309" t="str">
        <f>VLOOKUP(A3309,inf!$D$2:$E$76,2,FALSE)</f>
        <v>Other</v>
      </c>
    </row>
    <row r="3310" spans="1:7" x14ac:dyDescent="0.25">
      <c r="A3310" t="s">
        <v>22</v>
      </c>
      <c r="B3310" s="1">
        <v>43138</v>
      </c>
      <c r="C3310" t="s">
        <v>56</v>
      </c>
      <c r="D3310">
        <v>114.85</v>
      </c>
      <c r="E3310" s="12" t="str">
        <f>VLOOKUP(C3310,inf!$A$2:$B$7,2,FALSE)</f>
        <v>Current</v>
      </c>
      <c r="F3310" s="12" t="str">
        <f t="shared" ref="F3310:F3373" si="53">TEXT(B3310,"MM/DD/YYYY")</f>
        <v>02/07/2018</v>
      </c>
      <c r="G3310" t="str">
        <f>VLOOKUP(A3310,inf!$D$2:$E$76,2,FALSE)</f>
        <v>Other</v>
      </c>
    </row>
    <row r="3311" spans="1:7" x14ac:dyDescent="0.25">
      <c r="A3311" t="s">
        <v>22</v>
      </c>
      <c r="B3311" s="1">
        <v>43138</v>
      </c>
      <c r="C3311" t="s">
        <v>57</v>
      </c>
      <c r="D3311">
        <v>114.85</v>
      </c>
      <c r="E3311" s="12" t="str">
        <f>VLOOKUP(C3311,inf!$A$2:$B$7,2,FALSE)</f>
        <v>31 to 60</v>
      </c>
      <c r="F3311" s="12" t="str">
        <f t="shared" si="53"/>
        <v>02/07/2018</v>
      </c>
      <c r="G3311" t="str">
        <f>VLOOKUP(A3311,inf!$D$2:$E$76,2,FALSE)</f>
        <v>Other</v>
      </c>
    </row>
    <row r="3312" spans="1:7" x14ac:dyDescent="0.25">
      <c r="A3312" t="s">
        <v>103</v>
      </c>
      <c r="B3312" s="1">
        <v>43138</v>
      </c>
      <c r="C3312" t="s">
        <v>55</v>
      </c>
      <c r="D3312">
        <v>416.33</v>
      </c>
      <c r="E3312" s="12" t="str">
        <f>VLOOKUP(C3312,inf!$A$2:$B$7,2,FALSE)</f>
        <v>Current</v>
      </c>
      <c r="F3312" s="12" t="str">
        <f t="shared" si="53"/>
        <v>02/07/2018</v>
      </c>
      <c r="G3312" t="str">
        <f>VLOOKUP(A3312,inf!$D$2:$E$76,2,FALSE)</f>
        <v>Other</v>
      </c>
    </row>
    <row r="3313" spans="1:7" x14ac:dyDescent="0.25">
      <c r="A3313" t="s">
        <v>4</v>
      </c>
      <c r="B3313" s="1">
        <v>43138</v>
      </c>
      <c r="C3313" t="s">
        <v>55</v>
      </c>
      <c r="D3313">
        <v>6373.1399999999994</v>
      </c>
      <c r="E3313" s="12" t="str">
        <f>VLOOKUP(C3313,inf!$A$2:$B$7,2,FALSE)</f>
        <v>Current</v>
      </c>
      <c r="F3313" s="12" t="str">
        <f t="shared" si="53"/>
        <v>02/07/2018</v>
      </c>
      <c r="G3313" t="str">
        <f>VLOOKUP(A3313,inf!$D$2:$E$76,2,FALSE)</f>
        <v>Other</v>
      </c>
    </row>
    <row r="3314" spans="1:7" x14ac:dyDescent="0.25">
      <c r="A3314" t="s">
        <v>4</v>
      </c>
      <c r="B3314" s="1">
        <v>43138</v>
      </c>
      <c r="C3314" t="s">
        <v>56</v>
      </c>
      <c r="D3314">
        <v>2865.4300000000003</v>
      </c>
      <c r="E3314" s="12" t="str">
        <f>VLOOKUP(C3314,inf!$A$2:$B$7,2,FALSE)</f>
        <v>Current</v>
      </c>
      <c r="F3314" s="12" t="str">
        <f t="shared" si="53"/>
        <v>02/07/2018</v>
      </c>
      <c r="G3314" t="str">
        <f>VLOOKUP(A3314,inf!$D$2:$E$76,2,FALSE)</f>
        <v>Other</v>
      </c>
    </row>
    <row r="3315" spans="1:7" x14ac:dyDescent="0.25">
      <c r="A3315" t="s">
        <v>4</v>
      </c>
      <c r="B3315" s="1">
        <v>43138</v>
      </c>
      <c r="C3315" t="s">
        <v>57</v>
      </c>
      <c r="D3315">
        <v>373.12</v>
      </c>
      <c r="E3315" s="12" t="str">
        <f>VLOOKUP(C3315,inf!$A$2:$B$7,2,FALSE)</f>
        <v>31 to 60</v>
      </c>
      <c r="F3315" s="12" t="str">
        <f t="shared" si="53"/>
        <v>02/07/2018</v>
      </c>
      <c r="G3315" t="str">
        <f>VLOOKUP(A3315,inf!$D$2:$E$76,2,FALSE)</f>
        <v>Other</v>
      </c>
    </row>
    <row r="3316" spans="1:7" x14ac:dyDescent="0.25">
      <c r="A3316" t="s">
        <v>4</v>
      </c>
      <c r="B3316" s="1">
        <v>43138</v>
      </c>
      <c r="C3316" t="s">
        <v>58</v>
      </c>
      <c r="D3316">
        <v>52.5</v>
      </c>
      <c r="E3316" s="12" t="str">
        <f>VLOOKUP(C3316,inf!$A$2:$B$7,2,FALSE)</f>
        <v>61 to 90</v>
      </c>
      <c r="F3316" s="12" t="str">
        <f t="shared" si="53"/>
        <v>02/07/2018</v>
      </c>
      <c r="G3316" t="str">
        <f>VLOOKUP(A3316,inf!$D$2:$E$76,2,FALSE)</f>
        <v>Other</v>
      </c>
    </row>
    <row r="3317" spans="1:7" x14ac:dyDescent="0.25">
      <c r="A3317" t="s">
        <v>4</v>
      </c>
      <c r="B3317" s="1">
        <v>43138</v>
      </c>
      <c r="C3317" t="s">
        <v>59</v>
      </c>
      <c r="D3317">
        <v>526.84</v>
      </c>
      <c r="E3317" s="12" t="str">
        <f>VLOOKUP(C3317,inf!$A$2:$B$7,2,FALSE)</f>
        <v>Over 90</v>
      </c>
      <c r="F3317" s="12" t="str">
        <f t="shared" si="53"/>
        <v>02/07/2018</v>
      </c>
      <c r="G3317" t="str">
        <f>VLOOKUP(A3317,inf!$D$2:$E$76,2,FALSE)</f>
        <v>Other</v>
      </c>
    </row>
    <row r="3318" spans="1:7" x14ac:dyDescent="0.25">
      <c r="A3318" t="s">
        <v>77</v>
      </c>
      <c r="B3318" s="1">
        <v>43138</v>
      </c>
      <c r="C3318" t="s">
        <v>57</v>
      </c>
      <c r="D3318">
        <v>834.05</v>
      </c>
      <c r="E3318" s="12" t="str">
        <f>VLOOKUP(C3318,inf!$A$2:$B$7,2,FALSE)</f>
        <v>31 to 60</v>
      </c>
      <c r="F3318" s="12" t="str">
        <f t="shared" si="53"/>
        <v>02/07/2018</v>
      </c>
      <c r="G3318" t="str">
        <f>VLOOKUP(A3318,inf!$D$2:$E$76,2,FALSE)</f>
        <v>Other</v>
      </c>
    </row>
    <row r="3319" spans="1:7" x14ac:dyDescent="0.25">
      <c r="A3319" t="s">
        <v>32</v>
      </c>
      <c r="B3319" s="1">
        <v>43138</v>
      </c>
      <c r="C3319" t="s">
        <v>55</v>
      </c>
      <c r="D3319">
        <v>265.76</v>
      </c>
      <c r="E3319" s="12" t="str">
        <f>VLOOKUP(C3319,inf!$A$2:$B$7,2,FALSE)</f>
        <v>Current</v>
      </c>
      <c r="F3319" s="12" t="str">
        <f t="shared" si="53"/>
        <v>02/07/2018</v>
      </c>
      <c r="G3319" t="str">
        <f>VLOOKUP(A3319,inf!$D$2:$E$76,2,FALSE)</f>
        <v>Other</v>
      </c>
    </row>
    <row r="3320" spans="1:7" x14ac:dyDescent="0.25">
      <c r="A3320" t="s">
        <v>11</v>
      </c>
      <c r="B3320" s="1">
        <v>43138</v>
      </c>
      <c r="C3320" t="s">
        <v>56</v>
      </c>
      <c r="D3320">
        <v>331.6</v>
      </c>
      <c r="E3320" s="12" t="str">
        <f>VLOOKUP(C3320,inf!$A$2:$B$7,2,FALSE)</f>
        <v>Current</v>
      </c>
      <c r="F3320" s="12" t="str">
        <f t="shared" si="53"/>
        <v>02/07/2018</v>
      </c>
      <c r="G3320" t="str">
        <f>VLOOKUP(A3320,inf!$D$2:$E$76,2,FALSE)</f>
        <v>Other</v>
      </c>
    </row>
    <row r="3321" spans="1:7" x14ac:dyDescent="0.25">
      <c r="A3321" t="s">
        <v>65</v>
      </c>
      <c r="B3321" s="1">
        <v>43138</v>
      </c>
      <c r="C3321" t="s">
        <v>55</v>
      </c>
      <c r="D3321">
        <v>187.5</v>
      </c>
      <c r="E3321" s="12" t="str">
        <f>VLOOKUP(C3321,inf!$A$2:$B$7,2,FALSE)</f>
        <v>Current</v>
      </c>
      <c r="F3321" s="12" t="str">
        <f t="shared" si="53"/>
        <v>02/07/2018</v>
      </c>
      <c r="G3321" t="str">
        <f>VLOOKUP(A3321,inf!$D$2:$E$76,2,FALSE)</f>
        <v>Other</v>
      </c>
    </row>
    <row r="3322" spans="1:7" x14ac:dyDescent="0.25">
      <c r="A3322" t="s">
        <v>18</v>
      </c>
      <c r="B3322" s="1">
        <v>43138</v>
      </c>
      <c r="C3322" t="s">
        <v>55</v>
      </c>
      <c r="D3322">
        <v>385.47</v>
      </c>
      <c r="E3322" s="12" t="str">
        <f>VLOOKUP(C3322,inf!$A$2:$B$7,2,FALSE)</f>
        <v>Current</v>
      </c>
      <c r="F3322" s="12" t="str">
        <f t="shared" si="53"/>
        <v>02/07/2018</v>
      </c>
      <c r="G3322" t="str">
        <f>VLOOKUP(A3322,inf!$D$2:$E$76,2,FALSE)</f>
        <v>Other</v>
      </c>
    </row>
    <row r="3323" spans="1:7" x14ac:dyDescent="0.25">
      <c r="A3323" t="s">
        <v>27</v>
      </c>
      <c r="B3323" s="1">
        <v>43138</v>
      </c>
      <c r="C3323" t="s">
        <v>55</v>
      </c>
      <c r="D3323">
        <v>318.56</v>
      </c>
      <c r="E3323" s="12" t="str">
        <f>VLOOKUP(C3323,inf!$A$2:$B$7,2,FALSE)</f>
        <v>Current</v>
      </c>
      <c r="F3323" s="12" t="str">
        <f t="shared" si="53"/>
        <v>02/07/2018</v>
      </c>
      <c r="G3323" t="str">
        <f>VLOOKUP(A3323,inf!$D$2:$E$76,2,FALSE)</f>
        <v>Other</v>
      </c>
    </row>
    <row r="3324" spans="1:7" x14ac:dyDescent="0.25">
      <c r="A3324" t="s">
        <v>82</v>
      </c>
      <c r="B3324" s="1">
        <v>43138</v>
      </c>
      <c r="C3324" t="s">
        <v>55</v>
      </c>
      <c r="D3324">
        <v>123.79</v>
      </c>
      <c r="E3324" s="12" t="str">
        <f>VLOOKUP(C3324,inf!$A$2:$B$7,2,FALSE)</f>
        <v>Current</v>
      </c>
      <c r="F3324" s="12" t="str">
        <f t="shared" si="53"/>
        <v>02/07/2018</v>
      </c>
      <c r="G3324" t="str">
        <f>VLOOKUP(A3324,inf!$D$2:$E$76,2,FALSE)</f>
        <v>Other</v>
      </c>
    </row>
    <row r="3325" spans="1:7" x14ac:dyDescent="0.25">
      <c r="A3325" t="s">
        <v>82</v>
      </c>
      <c r="B3325" s="1">
        <v>43138</v>
      </c>
      <c r="C3325" t="s">
        <v>56</v>
      </c>
      <c r="D3325">
        <v>114.85</v>
      </c>
      <c r="E3325" s="12" t="str">
        <f>VLOOKUP(C3325,inf!$A$2:$B$7,2,FALSE)</f>
        <v>Current</v>
      </c>
      <c r="F3325" s="12" t="str">
        <f t="shared" si="53"/>
        <v>02/07/2018</v>
      </c>
      <c r="G3325" t="str">
        <f>VLOOKUP(A3325,inf!$D$2:$E$76,2,FALSE)</f>
        <v>Other</v>
      </c>
    </row>
    <row r="3326" spans="1:7" x14ac:dyDescent="0.25">
      <c r="A3326" t="s">
        <v>53</v>
      </c>
      <c r="B3326" s="1">
        <v>43138</v>
      </c>
      <c r="C3326" t="s">
        <v>56</v>
      </c>
      <c r="D3326">
        <v>261.52</v>
      </c>
      <c r="E3326" s="12" t="str">
        <f>VLOOKUP(C3326,inf!$A$2:$B$7,2,FALSE)</f>
        <v>Current</v>
      </c>
      <c r="F3326" s="12" t="str">
        <f t="shared" si="53"/>
        <v>02/07/2018</v>
      </c>
      <c r="G3326" t="str">
        <f>VLOOKUP(A3326,inf!$D$2:$E$76,2,FALSE)</f>
        <v>Other</v>
      </c>
    </row>
    <row r="3327" spans="1:7" x14ac:dyDescent="0.25">
      <c r="A3327" t="s">
        <v>3</v>
      </c>
      <c r="B3327" s="1">
        <v>43138</v>
      </c>
      <c r="C3327" t="s">
        <v>55</v>
      </c>
      <c r="D3327">
        <v>490.14</v>
      </c>
      <c r="E3327" s="12" t="str">
        <f>VLOOKUP(C3327,inf!$A$2:$B$7,2,FALSE)</f>
        <v>Current</v>
      </c>
      <c r="F3327" s="12" t="str">
        <f t="shared" si="53"/>
        <v>02/07/2018</v>
      </c>
      <c r="G3327" t="str">
        <f>VLOOKUP(A3327,inf!$D$2:$E$76,2,FALSE)</f>
        <v>Other</v>
      </c>
    </row>
    <row r="3328" spans="1:7" x14ac:dyDescent="0.25">
      <c r="A3328" t="s">
        <v>3</v>
      </c>
      <c r="B3328" s="1">
        <v>43138</v>
      </c>
      <c r="C3328" t="s">
        <v>56</v>
      </c>
      <c r="D3328">
        <v>461.16999999999996</v>
      </c>
      <c r="E3328" s="12" t="str">
        <f>VLOOKUP(C3328,inf!$A$2:$B$7,2,FALSE)</f>
        <v>Current</v>
      </c>
      <c r="F3328" s="12" t="str">
        <f t="shared" si="53"/>
        <v>02/07/2018</v>
      </c>
      <c r="G3328" t="str">
        <f>VLOOKUP(A3328,inf!$D$2:$E$76,2,FALSE)</f>
        <v>Other</v>
      </c>
    </row>
    <row r="3329" spans="1:7" x14ac:dyDescent="0.25">
      <c r="A3329" t="s">
        <v>3</v>
      </c>
      <c r="B3329" s="1">
        <v>43138</v>
      </c>
      <c r="C3329" t="s">
        <v>57</v>
      </c>
      <c r="D3329">
        <v>408.32</v>
      </c>
      <c r="E3329" s="12" t="str">
        <f>VLOOKUP(C3329,inf!$A$2:$B$7,2,FALSE)</f>
        <v>31 to 60</v>
      </c>
      <c r="F3329" s="12" t="str">
        <f t="shared" si="53"/>
        <v>02/07/2018</v>
      </c>
      <c r="G3329" t="str">
        <f>VLOOKUP(A3329,inf!$D$2:$E$76,2,FALSE)</f>
        <v>Other</v>
      </c>
    </row>
    <row r="3330" spans="1:7" x14ac:dyDescent="0.25">
      <c r="A3330" t="s">
        <v>78</v>
      </c>
      <c r="B3330" s="1">
        <v>43138</v>
      </c>
      <c r="C3330" t="s">
        <v>55</v>
      </c>
      <c r="D3330">
        <v>573.49</v>
      </c>
      <c r="E3330" s="12" t="str">
        <f>VLOOKUP(C3330,inf!$A$2:$B$7,2,FALSE)</f>
        <v>Current</v>
      </c>
      <c r="F3330" s="12" t="str">
        <f t="shared" si="53"/>
        <v>02/07/2018</v>
      </c>
      <c r="G3330" t="str">
        <f>VLOOKUP(A3330,inf!$D$2:$E$76,2,FALSE)</f>
        <v>Other</v>
      </c>
    </row>
    <row r="3331" spans="1:7" x14ac:dyDescent="0.25">
      <c r="A3331" t="s">
        <v>78</v>
      </c>
      <c r="B3331" s="1">
        <v>43138</v>
      </c>
      <c r="C3331" t="s">
        <v>56</v>
      </c>
      <c r="D3331">
        <v>889.87</v>
      </c>
      <c r="E3331" s="12" t="str">
        <f>VLOOKUP(C3331,inf!$A$2:$B$7,2,FALSE)</f>
        <v>Current</v>
      </c>
      <c r="F3331" s="12" t="str">
        <f t="shared" si="53"/>
        <v>02/07/2018</v>
      </c>
      <c r="G3331" t="str">
        <f>VLOOKUP(A3331,inf!$D$2:$E$76,2,FALSE)</f>
        <v>Other</v>
      </c>
    </row>
    <row r="3332" spans="1:7" x14ac:dyDescent="0.25">
      <c r="A3332" t="s">
        <v>78</v>
      </c>
      <c r="B3332" s="1">
        <v>43138</v>
      </c>
      <c r="C3332" t="s">
        <v>57</v>
      </c>
      <c r="D3332">
        <v>312.61</v>
      </c>
      <c r="E3332" s="12" t="str">
        <f>VLOOKUP(C3332,inf!$A$2:$B$7,2,FALSE)</f>
        <v>31 to 60</v>
      </c>
      <c r="F3332" s="12" t="str">
        <f t="shared" si="53"/>
        <v>02/07/2018</v>
      </c>
      <c r="G3332" t="str">
        <f>VLOOKUP(A3332,inf!$D$2:$E$76,2,FALSE)</f>
        <v>Other</v>
      </c>
    </row>
    <row r="3333" spans="1:7" x14ac:dyDescent="0.25">
      <c r="A3333" t="s">
        <v>78</v>
      </c>
      <c r="B3333" s="1">
        <v>43138</v>
      </c>
      <c r="C3333" t="s">
        <v>58</v>
      </c>
      <c r="D3333">
        <v>292.45999999999998</v>
      </c>
      <c r="E3333" s="12" t="str">
        <f>VLOOKUP(C3333,inf!$A$2:$B$7,2,FALSE)</f>
        <v>61 to 90</v>
      </c>
      <c r="F3333" s="12" t="str">
        <f t="shared" si="53"/>
        <v>02/07/2018</v>
      </c>
      <c r="G3333" t="str">
        <f>VLOOKUP(A3333,inf!$D$2:$E$76,2,FALSE)</f>
        <v>Other</v>
      </c>
    </row>
    <row r="3334" spans="1:7" x14ac:dyDescent="0.25">
      <c r="A3334" t="s">
        <v>30</v>
      </c>
      <c r="B3334" s="1">
        <v>43138</v>
      </c>
      <c r="C3334" t="s">
        <v>55</v>
      </c>
      <c r="D3334">
        <v>1156.08</v>
      </c>
      <c r="E3334" s="12" t="str">
        <f>VLOOKUP(C3334,inf!$A$2:$B$7,2,FALSE)</f>
        <v>Current</v>
      </c>
      <c r="F3334" s="12" t="str">
        <f t="shared" si="53"/>
        <v>02/07/2018</v>
      </c>
      <c r="G3334" t="str">
        <f>VLOOKUP(A3334,inf!$D$2:$E$76,2,FALSE)</f>
        <v>Other</v>
      </c>
    </row>
    <row r="3335" spans="1:7" x14ac:dyDescent="0.25">
      <c r="A3335" t="s">
        <v>30</v>
      </c>
      <c r="B3335" s="1">
        <v>43138</v>
      </c>
      <c r="C3335" t="s">
        <v>56</v>
      </c>
      <c r="D3335">
        <v>129.21</v>
      </c>
      <c r="E3335" s="12" t="str">
        <f>VLOOKUP(C3335,inf!$A$2:$B$7,2,FALSE)</f>
        <v>Current</v>
      </c>
      <c r="F3335" s="12" t="str">
        <f t="shared" si="53"/>
        <v>02/07/2018</v>
      </c>
      <c r="G3335" t="str">
        <f>VLOOKUP(A3335,inf!$D$2:$E$76,2,FALSE)</f>
        <v>Other</v>
      </c>
    </row>
    <row r="3336" spans="1:7" x14ac:dyDescent="0.25">
      <c r="A3336" t="s">
        <v>104</v>
      </c>
      <c r="B3336" s="1">
        <v>43138</v>
      </c>
      <c r="C3336" t="s">
        <v>55</v>
      </c>
      <c r="D3336">
        <v>2087.54</v>
      </c>
      <c r="E3336" s="12" t="str">
        <f>VLOOKUP(C3336,inf!$A$2:$B$7,2,FALSE)</f>
        <v>Current</v>
      </c>
      <c r="F3336" s="12" t="str">
        <f t="shared" si="53"/>
        <v>02/07/2018</v>
      </c>
      <c r="G3336" t="str">
        <f>VLOOKUP(A3336,inf!$D$2:$E$76,2,FALSE)</f>
        <v>Other</v>
      </c>
    </row>
    <row r="3337" spans="1:7" x14ac:dyDescent="0.25">
      <c r="A3337" t="s">
        <v>12</v>
      </c>
      <c r="B3337" s="1">
        <v>43138</v>
      </c>
      <c r="C3337" t="s">
        <v>55</v>
      </c>
      <c r="D3337">
        <v>658.06000000000006</v>
      </c>
      <c r="E3337" s="12" t="str">
        <f>VLOOKUP(C3337,inf!$A$2:$B$7,2,FALSE)</f>
        <v>Current</v>
      </c>
      <c r="F3337" s="12" t="str">
        <f t="shared" si="53"/>
        <v>02/07/2018</v>
      </c>
      <c r="G3337" t="str">
        <f>VLOOKUP(A3337,inf!$D$2:$E$76,2,FALSE)</f>
        <v>Other</v>
      </c>
    </row>
    <row r="3338" spans="1:7" x14ac:dyDescent="0.25">
      <c r="A3338" t="s">
        <v>12</v>
      </c>
      <c r="B3338" s="1">
        <v>43138</v>
      </c>
      <c r="C3338" t="s">
        <v>56</v>
      </c>
      <c r="D3338">
        <v>632.85</v>
      </c>
      <c r="E3338" s="12" t="str">
        <f>VLOOKUP(C3338,inf!$A$2:$B$7,2,FALSE)</f>
        <v>Current</v>
      </c>
      <c r="F3338" s="12" t="str">
        <f t="shared" si="53"/>
        <v>02/07/2018</v>
      </c>
      <c r="G3338" t="str">
        <f>VLOOKUP(A3338,inf!$D$2:$E$76,2,FALSE)</f>
        <v>Other</v>
      </c>
    </row>
    <row r="3339" spans="1:7" x14ac:dyDescent="0.25">
      <c r="A3339" t="s">
        <v>50</v>
      </c>
      <c r="B3339" s="1">
        <v>43138</v>
      </c>
      <c r="C3339" t="s">
        <v>55</v>
      </c>
      <c r="D3339">
        <v>172.28</v>
      </c>
      <c r="E3339" s="12" t="str">
        <f>VLOOKUP(C3339,inf!$A$2:$B$7,2,FALSE)</f>
        <v>Current</v>
      </c>
      <c r="F3339" s="12" t="str">
        <f t="shared" si="53"/>
        <v>02/07/2018</v>
      </c>
      <c r="G3339" t="str">
        <f>VLOOKUP(A3339,inf!$D$2:$E$76,2,FALSE)</f>
        <v>Other</v>
      </c>
    </row>
    <row r="3340" spans="1:7" x14ac:dyDescent="0.25">
      <c r="A3340" t="s">
        <v>83</v>
      </c>
      <c r="B3340" s="1">
        <v>43138</v>
      </c>
      <c r="C3340" t="s">
        <v>55</v>
      </c>
      <c r="D3340">
        <v>2437.46</v>
      </c>
      <c r="E3340" s="12" t="str">
        <f>VLOOKUP(C3340,inf!$A$2:$B$7,2,FALSE)</f>
        <v>Current</v>
      </c>
      <c r="F3340" s="12" t="str">
        <f t="shared" si="53"/>
        <v>02/07/2018</v>
      </c>
      <c r="G3340" t="str">
        <f>VLOOKUP(A3340,inf!$D$2:$E$76,2,FALSE)</f>
        <v>Other</v>
      </c>
    </row>
    <row r="3341" spans="1:7" x14ac:dyDescent="0.25">
      <c r="A3341" t="s">
        <v>7</v>
      </c>
      <c r="B3341" s="1">
        <v>43138</v>
      </c>
      <c r="C3341" t="s">
        <v>55</v>
      </c>
      <c r="D3341">
        <v>113019.96</v>
      </c>
      <c r="E3341" s="12" t="str">
        <f>VLOOKUP(C3341,inf!$A$2:$B$7,2,FALSE)</f>
        <v>Current</v>
      </c>
      <c r="F3341" s="12" t="str">
        <f t="shared" si="53"/>
        <v>02/07/2018</v>
      </c>
      <c r="G3341" t="str">
        <f>VLOOKUP(A3341,inf!$D$2:$E$76,2,FALSE)</f>
        <v>SAFEWAY</v>
      </c>
    </row>
    <row r="3342" spans="1:7" x14ac:dyDescent="0.25">
      <c r="A3342" t="s">
        <v>7</v>
      </c>
      <c r="B3342" s="1">
        <v>43138</v>
      </c>
      <c r="C3342" t="s">
        <v>56</v>
      </c>
      <c r="D3342">
        <v>27957.099999999984</v>
      </c>
      <c r="E3342" s="12" t="str">
        <f>VLOOKUP(C3342,inf!$A$2:$B$7,2,FALSE)</f>
        <v>Current</v>
      </c>
      <c r="F3342" s="12" t="str">
        <f t="shared" si="53"/>
        <v>02/07/2018</v>
      </c>
      <c r="G3342" t="str">
        <f>VLOOKUP(A3342,inf!$D$2:$E$76,2,FALSE)</f>
        <v>SAFEWAY</v>
      </c>
    </row>
    <row r="3343" spans="1:7" x14ac:dyDescent="0.25">
      <c r="A3343" t="s">
        <v>7</v>
      </c>
      <c r="B3343" s="1">
        <v>43138</v>
      </c>
      <c r="C3343" t="s">
        <v>57</v>
      </c>
      <c r="D3343">
        <v>4750.8100000000013</v>
      </c>
      <c r="E3343" s="12" t="str">
        <f>VLOOKUP(C3343,inf!$A$2:$B$7,2,FALSE)</f>
        <v>31 to 60</v>
      </c>
      <c r="F3343" s="12" t="str">
        <f t="shared" si="53"/>
        <v>02/07/2018</v>
      </c>
      <c r="G3343" t="str">
        <f>VLOOKUP(A3343,inf!$D$2:$E$76,2,FALSE)</f>
        <v>SAFEWAY</v>
      </c>
    </row>
    <row r="3344" spans="1:7" x14ac:dyDescent="0.25">
      <c r="A3344" t="s">
        <v>7</v>
      </c>
      <c r="B3344" s="1">
        <v>43138</v>
      </c>
      <c r="C3344" t="s">
        <v>58</v>
      </c>
      <c r="D3344">
        <v>8705.39</v>
      </c>
      <c r="E3344" s="12" t="str">
        <f>VLOOKUP(C3344,inf!$A$2:$B$7,2,FALSE)</f>
        <v>61 to 90</v>
      </c>
      <c r="F3344" s="12" t="str">
        <f t="shared" si="53"/>
        <v>02/07/2018</v>
      </c>
      <c r="G3344" t="str">
        <f>VLOOKUP(A3344,inf!$D$2:$E$76,2,FALSE)</f>
        <v>SAFEWAY</v>
      </c>
    </row>
    <row r="3345" spans="1:7" x14ac:dyDescent="0.25">
      <c r="A3345" t="s">
        <v>7</v>
      </c>
      <c r="B3345" s="1">
        <v>43138</v>
      </c>
      <c r="C3345" t="s">
        <v>59</v>
      </c>
      <c r="D3345">
        <v>180.82</v>
      </c>
      <c r="E3345" s="12" t="str">
        <f>VLOOKUP(C3345,inf!$A$2:$B$7,2,FALSE)</f>
        <v>Over 90</v>
      </c>
      <c r="F3345" s="12" t="str">
        <f t="shared" si="53"/>
        <v>02/07/2018</v>
      </c>
      <c r="G3345" t="str">
        <f>VLOOKUP(A3345,inf!$D$2:$E$76,2,FALSE)</f>
        <v>SAFEWAY</v>
      </c>
    </row>
    <row r="3346" spans="1:7" x14ac:dyDescent="0.25">
      <c r="A3346" t="s">
        <v>7</v>
      </c>
      <c r="B3346" s="1">
        <v>43138</v>
      </c>
      <c r="C3346" t="s">
        <v>60</v>
      </c>
      <c r="D3346">
        <v>1137.75</v>
      </c>
      <c r="E3346" s="12" t="str">
        <f>VLOOKUP(C3346,inf!$A$2:$B$7,2,FALSE)</f>
        <v>Over 90</v>
      </c>
      <c r="F3346" s="12" t="str">
        <f t="shared" si="53"/>
        <v>02/07/2018</v>
      </c>
      <c r="G3346" t="str">
        <f>VLOOKUP(A3346,inf!$D$2:$E$76,2,FALSE)</f>
        <v>SAFEWAY</v>
      </c>
    </row>
    <row r="3347" spans="1:7" x14ac:dyDescent="0.25">
      <c r="A3347" t="s">
        <v>81</v>
      </c>
      <c r="B3347" s="1">
        <v>43138</v>
      </c>
      <c r="C3347" t="s">
        <v>55</v>
      </c>
      <c r="D3347">
        <v>255.25</v>
      </c>
      <c r="E3347" s="12" t="str">
        <f>VLOOKUP(C3347,inf!$A$2:$B$7,2,FALSE)</f>
        <v>Current</v>
      </c>
      <c r="F3347" s="12" t="str">
        <f t="shared" si="53"/>
        <v>02/07/2018</v>
      </c>
      <c r="G3347" t="str">
        <f>VLOOKUP(A3347,inf!$D$2:$E$76,2,FALSE)</f>
        <v>Other</v>
      </c>
    </row>
    <row r="3348" spans="1:7" x14ac:dyDescent="0.25">
      <c r="A3348" t="s">
        <v>81</v>
      </c>
      <c r="B3348" s="1">
        <v>43138</v>
      </c>
      <c r="C3348" t="s">
        <v>56</v>
      </c>
      <c r="D3348">
        <v>174.98</v>
      </c>
      <c r="E3348" s="12" t="str">
        <f>VLOOKUP(C3348,inf!$A$2:$B$7,2,FALSE)</f>
        <v>Current</v>
      </c>
      <c r="F3348" s="12" t="str">
        <f t="shared" si="53"/>
        <v>02/07/2018</v>
      </c>
      <c r="G3348" t="str">
        <f>VLOOKUP(A3348,inf!$D$2:$E$76,2,FALSE)</f>
        <v>Other</v>
      </c>
    </row>
    <row r="3349" spans="1:7" x14ac:dyDescent="0.25">
      <c r="A3349" t="s">
        <v>74</v>
      </c>
      <c r="B3349" s="1">
        <v>43138</v>
      </c>
      <c r="C3349" t="s">
        <v>60</v>
      </c>
      <c r="D3349">
        <v>742.26</v>
      </c>
      <c r="E3349" s="12" t="str">
        <f>VLOOKUP(C3349,inf!$A$2:$B$7,2,FALSE)</f>
        <v>Over 90</v>
      </c>
      <c r="F3349" s="12" t="str">
        <f t="shared" si="53"/>
        <v>02/07/2018</v>
      </c>
      <c r="G3349" t="str">
        <f>VLOOKUP(A3349,inf!$D$2:$E$76,2,FALSE)</f>
        <v>Other</v>
      </c>
    </row>
    <row r="3350" spans="1:7" x14ac:dyDescent="0.25">
      <c r="A3350" t="s">
        <v>5</v>
      </c>
      <c r="B3350" s="1">
        <v>43138</v>
      </c>
      <c r="C3350" t="s">
        <v>55</v>
      </c>
      <c r="D3350">
        <v>5889766.6300000967</v>
      </c>
      <c r="E3350" s="12" t="str">
        <f>VLOOKUP(C3350,inf!$A$2:$B$7,2,FALSE)</f>
        <v>Current</v>
      </c>
      <c r="F3350" s="12" t="str">
        <f t="shared" si="53"/>
        <v>02/07/2018</v>
      </c>
      <c r="G3350" t="str">
        <f>VLOOKUP(A3350,inf!$D$2:$E$76,2,FALSE)</f>
        <v>SBUX</v>
      </c>
    </row>
    <row r="3351" spans="1:7" x14ac:dyDescent="0.25">
      <c r="A3351" t="s">
        <v>5</v>
      </c>
      <c r="B3351" s="1">
        <v>43138</v>
      </c>
      <c r="C3351" t="s">
        <v>56</v>
      </c>
      <c r="D3351">
        <v>68321.05</v>
      </c>
      <c r="E3351" s="12" t="str">
        <f>VLOOKUP(C3351,inf!$A$2:$B$7,2,FALSE)</f>
        <v>Current</v>
      </c>
      <c r="F3351" s="12" t="str">
        <f t="shared" si="53"/>
        <v>02/07/2018</v>
      </c>
      <c r="G3351" t="str">
        <f>VLOOKUP(A3351,inf!$D$2:$E$76,2,FALSE)</f>
        <v>SBUX</v>
      </c>
    </row>
    <row r="3352" spans="1:7" x14ac:dyDescent="0.25">
      <c r="A3352" t="s">
        <v>5</v>
      </c>
      <c r="B3352" s="1">
        <v>43138</v>
      </c>
      <c r="C3352" t="s">
        <v>57</v>
      </c>
      <c r="D3352">
        <v>64710.469999999994</v>
      </c>
      <c r="E3352" s="12" t="str">
        <f>VLOOKUP(C3352,inf!$A$2:$B$7,2,FALSE)</f>
        <v>31 to 60</v>
      </c>
      <c r="F3352" s="12" t="str">
        <f t="shared" si="53"/>
        <v>02/07/2018</v>
      </c>
      <c r="G3352" t="str">
        <f>VLOOKUP(A3352,inf!$D$2:$E$76,2,FALSE)</f>
        <v>SBUX</v>
      </c>
    </row>
    <row r="3353" spans="1:7" x14ac:dyDescent="0.25">
      <c r="A3353" t="s">
        <v>5</v>
      </c>
      <c r="B3353" s="1">
        <v>43138</v>
      </c>
      <c r="C3353" t="s">
        <v>58</v>
      </c>
      <c r="D3353">
        <v>47439.17000000002</v>
      </c>
      <c r="E3353" s="12" t="str">
        <f>VLOOKUP(C3353,inf!$A$2:$B$7,2,FALSE)</f>
        <v>61 to 90</v>
      </c>
      <c r="F3353" s="12" t="str">
        <f t="shared" si="53"/>
        <v>02/07/2018</v>
      </c>
      <c r="G3353" t="str">
        <f>VLOOKUP(A3353,inf!$D$2:$E$76,2,FALSE)</f>
        <v>SBUX</v>
      </c>
    </row>
    <row r="3354" spans="1:7" x14ac:dyDescent="0.25">
      <c r="A3354" t="s">
        <v>5</v>
      </c>
      <c r="B3354" s="1">
        <v>43138</v>
      </c>
      <c r="C3354" t="s">
        <v>59</v>
      </c>
      <c r="D3354">
        <v>11161.050000000003</v>
      </c>
      <c r="E3354" s="12" t="str">
        <f>VLOOKUP(C3354,inf!$A$2:$B$7,2,FALSE)</f>
        <v>Over 90</v>
      </c>
      <c r="F3354" s="12" t="str">
        <f t="shared" si="53"/>
        <v>02/07/2018</v>
      </c>
      <c r="G3354" t="str">
        <f>VLOOKUP(A3354,inf!$D$2:$E$76,2,FALSE)</f>
        <v>SBUX</v>
      </c>
    </row>
    <row r="3355" spans="1:7" x14ac:dyDescent="0.25">
      <c r="A3355" t="s">
        <v>5</v>
      </c>
      <c r="B3355" s="1">
        <v>43138</v>
      </c>
      <c r="C3355" t="s">
        <v>60</v>
      </c>
      <c r="D3355">
        <v>142330.9599999999</v>
      </c>
      <c r="E3355" s="12" t="str">
        <f>VLOOKUP(C3355,inf!$A$2:$B$7,2,FALSE)</f>
        <v>Over 90</v>
      </c>
      <c r="F3355" s="12" t="str">
        <f t="shared" si="53"/>
        <v>02/07/2018</v>
      </c>
      <c r="G3355" t="str">
        <f>VLOOKUP(A3355,inf!$D$2:$E$76,2,FALSE)</f>
        <v>SBUX</v>
      </c>
    </row>
    <row r="3356" spans="1:7" x14ac:dyDescent="0.25">
      <c r="A3356" t="s">
        <v>6</v>
      </c>
      <c r="B3356" s="1">
        <v>43138</v>
      </c>
      <c r="C3356" t="s">
        <v>55</v>
      </c>
      <c r="D3356">
        <v>555937.1499999956</v>
      </c>
      <c r="E3356" s="12" t="str">
        <f>VLOOKUP(C3356,inf!$A$2:$B$7,2,FALSE)</f>
        <v>Current</v>
      </c>
      <c r="F3356" s="12" t="str">
        <f t="shared" si="53"/>
        <v>02/07/2018</v>
      </c>
      <c r="G3356" t="str">
        <f>VLOOKUP(A3356,inf!$D$2:$E$76,2,FALSE)</f>
        <v>SBUX</v>
      </c>
    </row>
    <row r="3357" spans="1:7" x14ac:dyDescent="0.25">
      <c r="A3357" t="s">
        <v>6</v>
      </c>
      <c r="B3357" s="1">
        <v>43138</v>
      </c>
      <c r="C3357" t="s">
        <v>56</v>
      </c>
      <c r="D3357">
        <v>4857.75</v>
      </c>
      <c r="E3357" s="12" t="str">
        <f>VLOOKUP(C3357,inf!$A$2:$B$7,2,FALSE)</f>
        <v>Current</v>
      </c>
      <c r="F3357" s="12" t="str">
        <f t="shared" si="53"/>
        <v>02/07/2018</v>
      </c>
      <c r="G3357" t="str">
        <f>VLOOKUP(A3357,inf!$D$2:$E$76,2,FALSE)</f>
        <v>SBUX</v>
      </c>
    </row>
    <row r="3358" spans="1:7" x14ac:dyDescent="0.25">
      <c r="A3358" t="s">
        <v>6</v>
      </c>
      <c r="B3358" s="1">
        <v>43138</v>
      </c>
      <c r="C3358" t="s">
        <v>57</v>
      </c>
      <c r="D3358">
        <v>4247.92</v>
      </c>
      <c r="E3358" s="12" t="str">
        <f>VLOOKUP(C3358,inf!$A$2:$B$7,2,FALSE)</f>
        <v>31 to 60</v>
      </c>
      <c r="F3358" s="12" t="str">
        <f t="shared" si="53"/>
        <v>02/07/2018</v>
      </c>
      <c r="G3358" t="str">
        <f>VLOOKUP(A3358,inf!$D$2:$E$76,2,FALSE)</f>
        <v>SBUX</v>
      </c>
    </row>
    <row r="3359" spans="1:7" x14ac:dyDescent="0.25">
      <c r="A3359" t="s">
        <v>6</v>
      </c>
      <c r="B3359" s="1">
        <v>43138</v>
      </c>
      <c r="C3359" t="s">
        <v>58</v>
      </c>
      <c r="D3359">
        <v>296.97999999999996</v>
      </c>
      <c r="E3359" s="12" t="str">
        <f>VLOOKUP(C3359,inf!$A$2:$B$7,2,FALSE)</f>
        <v>61 to 90</v>
      </c>
      <c r="F3359" s="12" t="str">
        <f t="shared" si="53"/>
        <v>02/07/2018</v>
      </c>
      <c r="G3359" t="str">
        <f>VLOOKUP(A3359,inf!$D$2:$E$76,2,FALSE)</f>
        <v>SBUX</v>
      </c>
    </row>
    <row r="3360" spans="1:7" x14ac:dyDescent="0.25">
      <c r="A3360" t="s">
        <v>6</v>
      </c>
      <c r="B3360" s="1">
        <v>43138</v>
      </c>
      <c r="C3360" t="s">
        <v>59</v>
      </c>
      <c r="D3360">
        <v>1566.3700000000001</v>
      </c>
      <c r="E3360" s="12" t="str">
        <f>VLOOKUP(C3360,inf!$A$2:$B$7,2,FALSE)</f>
        <v>Over 90</v>
      </c>
      <c r="F3360" s="12" t="str">
        <f t="shared" si="53"/>
        <v>02/07/2018</v>
      </c>
      <c r="G3360" t="str">
        <f>VLOOKUP(A3360,inf!$D$2:$E$76,2,FALSE)</f>
        <v>SBUX</v>
      </c>
    </row>
    <row r="3361" spans="1:7" x14ac:dyDescent="0.25">
      <c r="A3361" t="s">
        <v>6</v>
      </c>
      <c r="B3361" s="1">
        <v>43138</v>
      </c>
      <c r="C3361" t="s">
        <v>60</v>
      </c>
      <c r="D3361">
        <v>11790.06</v>
      </c>
      <c r="E3361" s="12" t="str">
        <f>VLOOKUP(C3361,inf!$A$2:$B$7,2,FALSE)</f>
        <v>Over 90</v>
      </c>
      <c r="F3361" s="12" t="str">
        <f t="shared" si="53"/>
        <v>02/07/2018</v>
      </c>
      <c r="G3361" t="str">
        <f>VLOOKUP(A3361,inf!$D$2:$E$76,2,FALSE)</f>
        <v>SBUX</v>
      </c>
    </row>
    <row r="3362" spans="1:7" x14ac:dyDescent="0.25">
      <c r="A3362" t="s">
        <v>49</v>
      </c>
      <c r="B3362" s="1">
        <v>43138</v>
      </c>
      <c r="C3362" t="s">
        <v>55</v>
      </c>
      <c r="D3362">
        <v>460.3</v>
      </c>
      <c r="E3362" s="12" t="str">
        <f>VLOOKUP(C3362,inf!$A$2:$B$7,2,FALSE)</f>
        <v>Current</v>
      </c>
      <c r="F3362" s="12" t="str">
        <f t="shared" si="53"/>
        <v>02/07/2018</v>
      </c>
      <c r="G3362" t="str">
        <f>VLOOKUP(A3362,inf!$D$2:$E$76,2,FALSE)</f>
        <v>Other</v>
      </c>
    </row>
    <row r="3363" spans="1:7" x14ac:dyDescent="0.25">
      <c r="A3363" t="s">
        <v>48</v>
      </c>
      <c r="B3363" s="1">
        <v>43138</v>
      </c>
      <c r="C3363" t="s">
        <v>55</v>
      </c>
      <c r="D3363">
        <v>524837.00999999966</v>
      </c>
      <c r="E3363" s="12" t="str">
        <f>VLOOKUP(C3363,inf!$A$2:$B$7,2,FALSE)</f>
        <v>Current</v>
      </c>
      <c r="F3363" s="12" t="str">
        <f t="shared" si="53"/>
        <v>02/07/2018</v>
      </c>
      <c r="G3363" t="str">
        <f>VLOOKUP(A3363,inf!$D$2:$E$76,2,FALSE)</f>
        <v>Target</v>
      </c>
    </row>
    <row r="3364" spans="1:7" x14ac:dyDescent="0.25">
      <c r="A3364" t="s">
        <v>48</v>
      </c>
      <c r="B3364" s="1">
        <v>43138</v>
      </c>
      <c r="C3364" t="s">
        <v>56</v>
      </c>
      <c r="D3364">
        <v>11131.7</v>
      </c>
      <c r="E3364" s="12" t="str">
        <f>VLOOKUP(C3364,inf!$A$2:$B$7,2,FALSE)</f>
        <v>Current</v>
      </c>
      <c r="F3364" s="12" t="str">
        <f t="shared" si="53"/>
        <v>02/07/2018</v>
      </c>
      <c r="G3364" t="str">
        <f>VLOOKUP(A3364,inf!$D$2:$E$76,2,FALSE)</f>
        <v>Target</v>
      </c>
    </row>
    <row r="3365" spans="1:7" x14ac:dyDescent="0.25">
      <c r="A3365" t="s">
        <v>48</v>
      </c>
      <c r="B3365" s="1">
        <v>43138</v>
      </c>
      <c r="C3365" t="s">
        <v>57</v>
      </c>
      <c r="D3365">
        <v>26507.989999999998</v>
      </c>
      <c r="E3365" s="12" t="str">
        <f>VLOOKUP(C3365,inf!$A$2:$B$7,2,FALSE)</f>
        <v>31 to 60</v>
      </c>
      <c r="F3365" s="12" t="str">
        <f t="shared" si="53"/>
        <v>02/07/2018</v>
      </c>
      <c r="G3365" t="str">
        <f>VLOOKUP(A3365,inf!$D$2:$E$76,2,FALSE)</f>
        <v>Target</v>
      </c>
    </row>
    <row r="3366" spans="1:7" x14ac:dyDescent="0.25">
      <c r="A3366" t="s">
        <v>48</v>
      </c>
      <c r="B3366" s="1">
        <v>43138</v>
      </c>
      <c r="C3366" t="s">
        <v>58</v>
      </c>
      <c r="D3366">
        <v>11846.910000000002</v>
      </c>
      <c r="E3366" s="12" t="str">
        <f>VLOOKUP(C3366,inf!$A$2:$B$7,2,FALSE)</f>
        <v>61 to 90</v>
      </c>
      <c r="F3366" s="12" t="str">
        <f t="shared" si="53"/>
        <v>02/07/2018</v>
      </c>
      <c r="G3366" t="str">
        <f>VLOOKUP(A3366,inf!$D$2:$E$76,2,FALSE)</f>
        <v>Target</v>
      </c>
    </row>
    <row r="3367" spans="1:7" x14ac:dyDescent="0.25">
      <c r="A3367" t="s">
        <v>48</v>
      </c>
      <c r="B3367" s="1">
        <v>43138</v>
      </c>
      <c r="C3367" t="s">
        <v>59</v>
      </c>
      <c r="D3367">
        <v>1310.3499999999999</v>
      </c>
      <c r="E3367" s="12" t="str">
        <f>VLOOKUP(C3367,inf!$A$2:$B$7,2,FALSE)</f>
        <v>Over 90</v>
      </c>
      <c r="F3367" s="12" t="str">
        <f t="shared" si="53"/>
        <v>02/07/2018</v>
      </c>
      <c r="G3367" t="str">
        <f>VLOOKUP(A3367,inf!$D$2:$E$76,2,FALSE)</f>
        <v>Target</v>
      </c>
    </row>
    <row r="3368" spans="1:7" x14ac:dyDescent="0.25">
      <c r="A3368" t="s">
        <v>48</v>
      </c>
      <c r="B3368" s="1">
        <v>43138</v>
      </c>
      <c r="C3368" t="s">
        <v>60</v>
      </c>
      <c r="D3368">
        <v>3506.7800000000007</v>
      </c>
      <c r="E3368" s="12" t="str">
        <f>VLOOKUP(C3368,inf!$A$2:$B$7,2,FALSE)</f>
        <v>Over 90</v>
      </c>
      <c r="F3368" s="12" t="str">
        <f t="shared" si="53"/>
        <v>02/07/2018</v>
      </c>
      <c r="G3368" t="str">
        <f>VLOOKUP(A3368,inf!$D$2:$E$76,2,FALSE)</f>
        <v>Target</v>
      </c>
    </row>
    <row r="3369" spans="1:7" x14ac:dyDescent="0.25">
      <c r="A3369" t="s">
        <v>8</v>
      </c>
      <c r="B3369" s="1">
        <v>43138</v>
      </c>
      <c r="C3369" t="s">
        <v>55</v>
      </c>
      <c r="D3369">
        <v>542726.69999999937</v>
      </c>
      <c r="E3369" s="12" t="str">
        <f>VLOOKUP(C3369,inf!$A$2:$B$7,2,FALSE)</f>
        <v>Current</v>
      </c>
      <c r="F3369" s="12" t="str">
        <f t="shared" si="53"/>
        <v>02/07/2018</v>
      </c>
      <c r="G3369" t="str">
        <f>VLOOKUP(A3369,inf!$D$2:$E$76,2,FALSE)</f>
        <v>Target</v>
      </c>
    </row>
    <row r="3370" spans="1:7" x14ac:dyDescent="0.25">
      <c r="A3370" t="s">
        <v>8</v>
      </c>
      <c r="B3370" s="1">
        <v>43138</v>
      </c>
      <c r="C3370" t="s">
        <v>56</v>
      </c>
      <c r="D3370">
        <v>21766.529999999995</v>
      </c>
      <c r="E3370" s="12" t="str">
        <f>VLOOKUP(C3370,inf!$A$2:$B$7,2,FALSE)</f>
        <v>Current</v>
      </c>
      <c r="F3370" s="12" t="str">
        <f t="shared" si="53"/>
        <v>02/07/2018</v>
      </c>
      <c r="G3370" t="str">
        <f>VLOOKUP(A3370,inf!$D$2:$E$76,2,FALSE)</f>
        <v>Target</v>
      </c>
    </row>
    <row r="3371" spans="1:7" x14ac:dyDescent="0.25">
      <c r="A3371" t="s">
        <v>8</v>
      </c>
      <c r="B3371" s="1">
        <v>43138</v>
      </c>
      <c r="C3371" t="s">
        <v>57</v>
      </c>
      <c r="D3371">
        <v>13651.919999999998</v>
      </c>
      <c r="E3371" s="12" t="str">
        <f>VLOOKUP(C3371,inf!$A$2:$B$7,2,FALSE)</f>
        <v>31 to 60</v>
      </c>
      <c r="F3371" s="12" t="str">
        <f t="shared" si="53"/>
        <v>02/07/2018</v>
      </c>
      <c r="G3371" t="str">
        <f>VLOOKUP(A3371,inf!$D$2:$E$76,2,FALSE)</f>
        <v>Target</v>
      </c>
    </row>
    <row r="3372" spans="1:7" x14ac:dyDescent="0.25">
      <c r="A3372" t="s">
        <v>8</v>
      </c>
      <c r="B3372" s="1">
        <v>43138</v>
      </c>
      <c r="C3372" t="s">
        <v>58</v>
      </c>
      <c r="D3372">
        <v>18119.260000000002</v>
      </c>
      <c r="E3372" s="12" t="str">
        <f>VLOOKUP(C3372,inf!$A$2:$B$7,2,FALSE)</f>
        <v>61 to 90</v>
      </c>
      <c r="F3372" s="12" t="str">
        <f t="shared" si="53"/>
        <v>02/07/2018</v>
      </c>
      <c r="G3372" t="str">
        <f>VLOOKUP(A3372,inf!$D$2:$E$76,2,FALSE)</f>
        <v>Target</v>
      </c>
    </row>
    <row r="3373" spans="1:7" x14ac:dyDescent="0.25">
      <c r="A3373" t="s">
        <v>8</v>
      </c>
      <c r="B3373" s="1">
        <v>43138</v>
      </c>
      <c r="C3373" t="s">
        <v>59</v>
      </c>
      <c r="D3373">
        <v>9785.44</v>
      </c>
      <c r="E3373" s="12" t="str">
        <f>VLOOKUP(C3373,inf!$A$2:$B$7,2,FALSE)</f>
        <v>Over 90</v>
      </c>
      <c r="F3373" s="12" t="str">
        <f t="shared" si="53"/>
        <v>02/07/2018</v>
      </c>
      <c r="G3373" t="str">
        <f>VLOOKUP(A3373,inf!$D$2:$E$76,2,FALSE)</f>
        <v>Target</v>
      </c>
    </row>
    <row r="3374" spans="1:7" x14ac:dyDescent="0.25">
      <c r="A3374" t="s">
        <v>8</v>
      </c>
      <c r="B3374" s="1">
        <v>43138</v>
      </c>
      <c r="C3374" t="s">
        <v>60</v>
      </c>
      <c r="D3374">
        <v>18854.990000000002</v>
      </c>
      <c r="E3374" s="12" t="str">
        <f>VLOOKUP(C3374,inf!$A$2:$B$7,2,FALSE)</f>
        <v>Over 90</v>
      </c>
      <c r="F3374" s="12" t="str">
        <f t="shared" ref="F3374:F3378" si="54">TEXT(B3374,"MM/DD/YYYY")</f>
        <v>02/07/2018</v>
      </c>
      <c r="G3374" t="str">
        <f>VLOOKUP(A3374,inf!$D$2:$E$76,2,FALSE)</f>
        <v>Target</v>
      </c>
    </row>
    <row r="3375" spans="1:7" x14ac:dyDescent="0.25">
      <c r="A3375" t="s">
        <v>54</v>
      </c>
      <c r="B3375" s="1">
        <v>43138</v>
      </c>
      <c r="C3375" t="s">
        <v>55</v>
      </c>
      <c r="D3375">
        <v>497.05</v>
      </c>
      <c r="E3375" s="12" t="str">
        <f>VLOOKUP(C3375,inf!$A$2:$B$7,2,FALSE)</f>
        <v>Current</v>
      </c>
      <c r="F3375" s="12" t="str">
        <f t="shared" si="54"/>
        <v>02/07/2018</v>
      </c>
      <c r="G3375" t="str">
        <f>VLOOKUP(A3375,inf!$D$2:$E$76,2,FALSE)</f>
        <v>Other</v>
      </c>
    </row>
    <row r="3376" spans="1:7" x14ac:dyDescent="0.25">
      <c r="A3376" t="s">
        <v>54</v>
      </c>
      <c r="B3376" s="1">
        <v>43138</v>
      </c>
      <c r="C3376" t="s">
        <v>60</v>
      </c>
      <c r="D3376">
        <v>130.59</v>
      </c>
      <c r="E3376" s="12" t="str">
        <f>VLOOKUP(C3376,inf!$A$2:$B$7,2,FALSE)</f>
        <v>Over 90</v>
      </c>
      <c r="F3376" s="12" t="str">
        <f t="shared" si="54"/>
        <v>02/07/2018</v>
      </c>
      <c r="G3376" t="str">
        <f>VLOOKUP(A3376,inf!$D$2:$E$76,2,FALSE)</f>
        <v>Other</v>
      </c>
    </row>
    <row r="3377" spans="1:7" x14ac:dyDescent="0.25">
      <c r="A3377" t="s">
        <v>28</v>
      </c>
      <c r="B3377" s="1">
        <v>43138</v>
      </c>
      <c r="C3377" t="s">
        <v>55</v>
      </c>
      <c r="D3377">
        <v>5106.07</v>
      </c>
      <c r="E3377" s="12" t="str">
        <f>VLOOKUP(C3377,inf!$A$2:$B$7,2,FALSE)</f>
        <v>Current</v>
      </c>
      <c r="F3377" s="12" t="str">
        <f t="shared" si="54"/>
        <v>02/07/2018</v>
      </c>
      <c r="G3377" t="str">
        <f>VLOOKUP(A3377,inf!$D$2:$E$76,2,FALSE)</f>
        <v>Other</v>
      </c>
    </row>
    <row r="3378" spans="1:7" x14ac:dyDescent="0.25">
      <c r="A3378" t="s">
        <v>15</v>
      </c>
      <c r="B3378" s="1">
        <v>43138</v>
      </c>
      <c r="C3378" t="s">
        <v>60</v>
      </c>
      <c r="D3378">
        <v>291.60000000000002</v>
      </c>
      <c r="E3378" s="12" t="str">
        <f>VLOOKUP(C3378,inf!$A$2:$B$7,2,FALSE)</f>
        <v>Over 90</v>
      </c>
      <c r="F3378" s="12" t="str">
        <f t="shared" si="54"/>
        <v>02/07/2018</v>
      </c>
      <c r="G3378" t="str">
        <f>VLOOKUP(A3378,inf!$D$2:$E$76,2,FALSE)</f>
        <v>Other</v>
      </c>
    </row>
    <row r="3379" spans="1:7" x14ac:dyDescent="0.25">
      <c r="A3379" t="s">
        <v>22</v>
      </c>
      <c r="B3379" s="1">
        <v>43145</v>
      </c>
      <c r="C3379" t="s">
        <v>56</v>
      </c>
      <c r="D3379">
        <v>114.85</v>
      </c>
      <c r="E3379" s="12" t="str">
        <f>VLOOKUP(C3379,inf!$A$2:$B$7,2,FALSE)</f>
        <v>Current</v>
      </c>
      <c r="F3379" s="12" t="str">
        <f t="shared" ref="F3379:F3442" si="55">TEXT(B3379,"MM/DD/YYYY")</f>
        <v>02/14/2018</v>
      </c>
      <c r="G3379" t="str">
        <f>VLOOKUP(A3379,inf!$D$2:$E$76,2,FALSE)</f>
        <v>Other</v>
      </c>
    </row>
    <row r="3380" spans="1:7" x14ac:dyDescent="0.25">
      <c r="A3380" t="s">
        <v>22</v>
      </c>
      <c r="B3380" s="1">
        <v>43145</v>
      </c>
      <c r="C3380" t="s">
        <v>57</v>
      </c>
      <c r="D3380">
        <v>114.85</v>
      </c>
      <c r="E3380" s="12" t="str">
        <f>VLOOKUP(C3380,inf!$A$2:$B$7,2,FALSE)</f>
        <v>31 to 60</v>
      </c>
      <c r="F3380" s="12" t="str">
        <f t="shared" si="55"/>
        <v>02/14/2018</v>
      </c>
      <c r="G3380" t="str">
        <f>VLOOKUP(A3380,inf!$D$2:$E$76,2,FALSE)</f>
        <v>Other</v>
      </c>
    </row>
    <row r="3381" spans="1:7" x14ac:dyDescent="0.25">
      <c r="A3381" t="s">
        <v>103</v>
      </c>
      <c r="B3381" s="1">
        <v>43145</v>
      </c>
      <c r="C3381" t="s">
        <v>55</v>
      </c>
      <c r="D3381">
        <v>416.33</v>
      </c>
      <c r="E3381" s="12" t="str">
        <f>VLOOKUP(C3381,inf!$A$2:$B$7,2,FALSE)</f>
        <v>Current</v>
      </c>
      <c r="F3381" s="12" t="str">
        <f t="shared" si="55"/>
        <v>02/14/2018</v>
      </c>
      <c r="G3381" t="str">
        <f>VLOOKUP(A3381,inf!$D$2:$E$76,2,FALSE)</f>
        <v>Other</v>
      </c>
    </row>
    <row r="3382" spans="1:7" x14ac:dyDescent="0.25">
      <c r="A3382" t="s">
        <v>80</v>
      </c>
      <c r="B3382" s="1">
        <v>43145</v>
      </c>
      <c r="C3382" t="s">
        <v>55</v>
      </c>
      <c r="D3382">
        <v>114.85</v>
      </c>
      <c r="E3382" s="12" t="str">
        <f>VLOOKUP(C3382,inf!$A$2:$B$7,2,FALSE)</f>
        <v>Current</v>
      </c>
      <c r="F3382" s="12" t="str">
        <f t="shared" si="55"/>
        <v>02/14/2018</v>
      </c>
      <c r="G3382" t="str">
        <f>VLOOKUP(A3382,inf!$D$2:$E$76,2,FALSE)</f>
        <v>Other</v>
      </c>
    </row>
    <row r="3383" spans="1:7" x14ac:dyDescent="0.25">
      <c r="A3383" t="s">
        <v>4</v>
      </c>
      <c r="B3383" s="1">
        <v>43145</v>
      </c>
      <c r="C3383" t="s">
        <v>55</v>
      </c>
      <c r="D3383">
        <v>6812.6299999999992</v>
      </c>
      <c r="E3383" s="12" t="str">
        <f>VLOOKUP(C3383,inf!$A$2:$B$7,2,FALSE)</f>
        <v>Current</v>
      </c>
      <c r="F3383" s="12" t="str">
        <f t="shared" si="55"/>
        <v>02/14/2018</v>
      </c>
      <c r="G3383" t="str">
        <f>VLOOKUP(A3383,inf!$D$2:$E$76,2,FALSE)</f>
        <v>Other</v>
      </c>
    </row>
    <row r="3384" spans="1:7" x14ac:dyDescent="0.25">
      <c r="A3384" t="s">
        <v>4</v>
      </c>
      <c r="B3384" s="1">
        <v>43145</v>
      </c>
      <c r="C3384" t="s">
        <v>58</v>
      </c>
      <c r="D3384">
        <v>52.5</v>
      </c>
      <c r="E3384" s="12" t="str">
        <f>VLOOKUP(C3384,inf!$A$2:$B$7,2,FALSE)</f>
        <v>61 to 90</v>
      </c>
      <c r="F3384" s="12" t="str">
        <f t="shared" si="55"/>
        <v>02/14/2018</v>
      </c>
      <c r="G3384" t="str">
        <f>VLOOKUP(A3384,inf!$D$2:$E$76,2,FALSE)</f>
        <v>Other</v>
      </c>
    </row>
    <row r="3385" spans="1:7" x14ac:dyDescent="0.25">
      <c r="A3385" t="s">
        <v>4</v>
      </c>
      <c r="B3385" s="1">
        <v>43145</v>
      </c>
      <c r="C3385" t="s">
        <v>59</v>
      </c>
      <c r="D3385">
        <v>526.84</v>
      </c>
      <c r="E3385" s="12" t="str">
        <f>VLOOKUP(C3385,inf!$A$2:$B$7,2,FALSE)</f>
        <v>Over 90</v>
      </c>
      <c r="F3385" s="12" t="str">
        <f t="shared" si="55"/>
        <v>02/14/2018</v>
      </c>
      <c r="G3385" t="str">
        <f>VLOOKUP(A3385,inf!$D$2:$E$76,2,FALSE)</f>
        <v>Other</v>
      </c>
    </row>
    <row r="3386" spans="1:7" x14ac:dyDescent="0.25">
      <c r="A3386" t="s">
        <v>77</v>
      </c>
      <c r="B3386" s="1">
        <v>43145</v>
      </c>
      <c r="C3386" t="s">
        <v>57</v>
      </c>
      <c r="D3386">
        <v>834.05</v>
      </c>
      <c r="E3386" s="12" t="str">
        <f>VLOOKUP(C3386,inf!$A$2:$B$7,2,FALSE)</f>
        <v>31 to 60</v>
      </c>
      <c r="F3386" s="12" t="str">
        <f t="shared" si="55"/>
        <v>02/14/2018</v>
      </c>
      <c r="G3386" t="str">
        <f>VLOOKUP(A3386,inf!$D$2:$E$76,2,FALSE)</f>
        <v>Other</v>
      </c>
    </row>
    <row r="3387" spans="1:7" x14ac:dyDescent="0.25">
      <c r="A3387" t="s">
        <v>32</v>
      </c>
      <c r="B3387" s="1">
        <v>43145</v>
      </c>
      <c r="C3387" t="s">
        <v>55</v>
      </c>
      <c r="D3387">
        <v>265.76</v>
      </c>
      <c r="E3387" s="12" t="str">
        <f>VLOOKUP(C3387,inf!$A$2:$B$7,2,FALSE)</f>
        <v>Current</v>
      </c>
      <c r="F3387" s="12" t="str">
        <f t="shared" si="55"/>
        <v>02/14/2018</v>
      </c>
      <c r="G3387" t="str">
        <f>VLOOKUP(A3387,inf!$D$2:$E$76,2,FALSE)</f>
        <v>Other</v>
      </c>
    </row>
    <row r="3388" spans="1:7" x14ac:dyDescent="0.25">
      <c r="A3388" t="s">
        <v>11</v>
      </c>
      <c r="B3388" s="1">
        <v>43145</v>
      </c>
      <c r="C3388" t="s">
        <v>56</v>
      </c>
      <c r="D3388">
        <v>331.6</v>
      </c>
      <c r="E3388" s="12" t="str">
        <f>VLOOKUP(C3388,inf!$A$2:$B$7,2,FALSE)</f>
        <v>Current</v>
      </c>
      <c r="F3388" s="12" t="str">
        <f t="shared" si="55"/>
        <v>02/14/2018</v>
      </c>
      <c r="G3388" t="str">
        <f>VLOOKUP(A3388,inf!$D$2:$E$76,2,FALSE)</f>
        <v>Other</v>
      </c>
    </row>
    <row r="3389" spans="1:7" x14ac:dyDescent="0.25">
      <c r="A3389" t="s">
        <v>25</v>
      </c>
      <c r="B3389" s="1">
        <v>43145</v>
      </c>
      <c r="C3389" t="s">
        <v>55</v>
      </c>
      <c r="D3389">
        <v>583.23</v>
      </c>
      <c r="E3389" s="12" t="str">
        <f>VLOOKUP(C3389,inf!$A$2:$B$7,2,FALSE)</f>
        <v>Current</v>
      </c>
      <c r="F3389" s="12" t="str">
        <f t="shared" si="55"/>
        <v>02/14/2018</v>
      </c>
      <c r="G3389" t="str">
        <f>VLOOKUP(A3389,inf!$D$2:$E$76,2,FALSE)</f>
        <v>Other</v>
      </c>
    </row>
    <row r="3390" spans="1:7" x14ac:dyDescent="0.25">
      <c r="A3390" t="s">
        <v>31</v>
      </c>
      <c r="B3390" s="1">
        <v>43145</v>
      </c>
      <c r="C3390" t="s">
        <v>55</v>
      </c>
      <c r="D3390">
        <v>818.33</v>
      </c>
      <c r="E3390" s="12" t="str">
        <f>VLOOKUP(C3390,inf!$A$2:$B$7,2,FALSE)</f>
        <v>Current</v>
      </c>
      <c r="F3390" s="12" t="str">
        <f t="shared" si="55"/>
        <v>02/14/2018</v>
      </c>
      <c r="G3390" t="str">
        <f>VLOOKUP(A3390,inf!$D$2:$E$76,2,FALSE)</f>
        <v>Other</v>
      </c>
    </row>
    <row r="3391" spans="1:7" x14ac:dyDescent="0.25">
      <c r="A3391" t="s">
        <v>24</v>
      </c>
      <c r="B3391" s="1">
        <v>43145</v>
      </c>
      <c r="C3391" t="s">
        <v>55</v>
      </c>
      <c r="D3391">
        <v>114.85</v>
      </c>
      <c r="E3391" s="12" t="str">
        <f>VLOOKUP(C3391,inf!$A$2:$B$7,2,FALSE)</f>
        <v>Current</v>
      </c>
      <c r="F3391" s="12" t="str">
        <f t="shared" si="55"/>
        <v>02/14/2018</v>
      </c>
      <c r="G3391" t="str">
        <f>VLOOKUP(A3391,inf!$D$2:$E$76,2,FALSE)</f>
        <v>Other</v>
      </c>
    </row>
    <row r="3392" spans="1:7" x14ac:dyDescent="0.25">
      <c r="A3392" t="s">
        <v>65</v>
      </c>
      <c r="B3392" s="1">
        <v>43145</v>
      </c>
      <c r="C3392" t="s">
        <v>55</v>
      </c>
      <c r="D3392">
        <v>190</v>
      </c>
      <c r="E3392" s="12" t="str">
        <f>VLOOKUP(C3392,inf!$A$2:$B$7,2,FALSE)</f>
        <v>Current</v>
      </c>
      <c r="F3392" s="12" t="str">
        <f t="shared" si="55"/>
        <v>02/14/2018</v>
      </c>
      <c r="G3392" t="str">
        <f>VLOOKUP(A3392,inf!$D$2:$E$76,2,FALSE)</f>
        <v>Other</v>
      </c>
    </row>
    <row r="3393" spans="1:7" x14ac:dyDescent="0.25">
      <c r="A3393" t="s">
        <v>18</v>
      </c>
      <c r="B3393" s="1">
        <v>43145</v>
      </c>
      <c r="C3393" t="s">
        <v>55</v>
      </c>
      <c r="D3393">
        <v>385.47</v>
      </c>
      <c r="E3393" s="12" t="str">
        <f>VLOOKUP(C3393,inf!$A$2:$B$7,2,FALSE)</f>
        <v>Current</v>
      </c>
      <c r="F3393" s="12" t="str">
        <f t="shared" si="55"/>
        <v>02/14/2018</v>
      </c>
      <c r="G3393" t="str">
        <f>VLOOKUP(A3393,inf!$D$2:$E$76,2,FALSE)</f>
        <v>Other</v>
      </c>
    </row>
    <row r="3394" spans="1:7" x14ac:dyDescent="0.25">
      <c r="A3394" t="s">
        <v>27</v>
      </c>
      <c r="B3394" s="1">
        <v>43145</v>
      </c>
      <c r="C3394" t="s">
        <v>55</v>
      </c>
      <c r="D3394">
        <v>922.1099999999999</v>
      </c>
      <c r="E3394" s="12" t="str">
        <f>VLOOKUP(C3394,inf!$A$2:$B$7,2,FALSE)</f>
        <v>Current</v>
      </c>
      <c r="F3394" s="12" t="str">
        <f t="shared" si="55"/>
        <v>02/14/2018</v>
      </c>
      <c r="G3394" t="str">
        <f>VLOOKUP(A3394,inf!$D$2:$E$76,2,FALSE)</f>
        <v>Other</v>
      </c>
    </row>
    <row r="3395" spans="1:7" x14ac:dyDescent="0.25">
      <c r="A3395" t="s">
        <v>82</v>
      </c>
      <c r="B3395" s="1">
        <v>43145</v>
      </c>
      <c r="C3395" t="s">
        <v>55</v>
      </c>
      <c r="D3395">
        <v>123.79</v>
      </c>
      <c r="E3395" s="12" t="str">
        <f>VLOOKUP(C3395,inf!$A$2:$B$7,2,FALSE)</f>
        <v>Current</v>
      </c>
      <c r="F3395" s="12" t="str">
        <f t="shared" si="55"/>
        <v>02/14/2018</v>
      </c>
      <c r="G3395" t="str">
        <f>VLOOKUP(A3395,inf!$D$2:$E$76,2,FALSE)</f>
        <v>Other</v>
      </c>
    </row>
    <row r="3396" spans="1:7" x14ac:dyDescent="0.25">
      <c r="A3396" t="s">
        <v>82</v>
      </c>
      <c r="B3396" s="1">
        <v>43145</v>
      </c>
      <c r="C3396" t="s">
        <v>56</v>
      </c>
      <c r="D3396">
        <v>114.85</v>
      </c>
      <c r="E3396" s="12" t="str">
        <f>VLOOKUP(C3396,inf!$A$2:$B$7,2,FALSE)</f>
        <v>Current</v>
      </c>
      <c r="F3396" s="12" t="str">
        <f t="shared" si="55"/>
        <v>02/14/2018</v>
      </c>
      <c r="G3396" t="str">
        <f>VLOOKUP(A3396,inf!$D$2:$E$76,2,FALSE)</f>
        <v>Other</v>
      </c>
    </row>
    <row r="3397" spans="1:7" x14ac:dyDescent="0.25">
      <c r="A3397" t="s">
        <v>53</v>
      </c>
      <c r="B3397" s="1">
        <v>43145</v>
      </c>
      <c r="C3397" t="s">
        <v>56</v>
      </c>
      <c r="D3397">
        <v>261.52</v>
      </c>
      <c r="E3397" s="12" t="str">
        <f>VLOOKUP(C3397,inf!$A$2:$B$7,2,FALSE)</f>
        <v>Current</v>
      </c>
      <c r="F3397" s="12" t="str">
        <f t="shared" si="55"/>
        <v>02/14/2018</v>
      </c>
      <c r="G3397" t="str">
        <f>VLOOKUP(A3397,inf!$D$2:$E$76,2,FALSE)</f>
        <v>Other</v>
      </c>
    </row>
    <row r="3398" spans="1:7" x14ac:dyDescent="0.25">
      <c r="A3398" t="s">
        <v>3</v>
      </c>
      <c r="B3398" s="1">
        <v>43145</v>
      </c>
      <c r="C3398" t="s">
        <v>55</v>
      </c>
      <c r="D3398">
        <v>390.98</v>
      </c>
      <c r="E3398" s="12" t="str">
        <f>VLOOKUP(C3398,inf!$A$2:$B$7,2,FALSE)</f>
        <v>Current</v>
      </c>
      <c r="F3398" s="12" t="str">
        <f t="shared" si="55"/>
        <v>02/14/2018</v>
      </c>
      <c r="G3398" t="str">
        <f>VLOOKUP(A3398,inf!$D$2:$E$76,2,FALSE)</f>
        <v>Other</v>
      </c>
    </row>
    <row r="3399" spans="1:7" x14ac:dyDescent="0.25">
      <c r="A3399" t="s">
        <v>3</v>
      </c>
      <c r="B3399" s="1">
        <v>43145</v>
      </c>
      <c r="C3399" t="s">
        <v>56</v>
      </c>
      <c r="D3399">
        <v>461.16999999999996</v>
      </c>
      <c r="E3399" s="12" t="str">
        <f>VLOOKUP(C3399,inf!$A$2:$B$7,2,FALSE)</f>
        <v>Current</v>
      </c>
      <c r="F3399" s="12" t="str">
        <f t="shared" si="55"/>
        <v>02/14/2018</v>
      </c>
      <c r="G3399" t="str">
        <f>VLOOKUP(A3399,inf!$D$2:$E$76,2,FALSE)</f>
        <v>Other</v>
      </c>
    </row>
    <row r="3400" spans="1:7" x14ac:dyDescent="0.25">
      <c r="A3400" t="s">
        <v>3</v>
      </c>
      <c r="B3400" s="1">
        <v>43145</v>
      </c>
      <c r="C3400" t="s">
        <v>57</v>
      </c>
      <c r="D3400">
        <v>62.5</v>
      </c>
      <c r="E3400" s="12" t="str">
        <f>VLOOKUP(C3400,inf!$A$2:$B$7,2,FALSE)</f>
        <v>31 to 60</v>
      </c>
      <c r="F3400" s="12" t="str">
        <f t="shared" si="55"/>
        <v>02/14/2018</v>
      </c>
      <c r="G3400" t="str">
        <f>VLOOKUP(A3400,inf!$D$2:$E$76,2,FALSE)</f>
        <v>Other</v>
      </c>
    </row>
    <row r="3401" spans="1:7" x14ac:dyDescent="0.25">
      <c r="A3401" t="s">
        <v>3</v>
      </c>
      <c r="B3401" s="1">
        <v>43145</v>
      </c>
      <c r="C3401" t="s">
        <v>58</v>
      </c>
      <c r="D3401">
        <v>345.82</v>
      </c>
      <c r="E3401" s="12" t="str">
        <f>VLOOKUP(C3401,inf!$A$2:$B$7,2,FALSE)</f>
        <v>61 to 90</v>
      </c>
      <c r="F3401" s="12" t="str">
        <f t="shared" si="55"/>
        <v>02/14/2018</v>
      </c>
      <c r="G3401" t="str">
        <f>VLOOKUP(A3401,inf!$D$2:$E$76,2,FALSE)</f>
        <v>Other</v>
      </c>
    </row>
    <row r="3402" spans="1:7" x14ac:dyDescent="0.25">
      <c r="A3402" t="s">
        <v>78</v>
      </c>
      <c r="B3402" s="1">
        <v>43145</v>
      </c>
      <c r="C3402" t="s">
        <v>55</v>
      </c>
      <c r="D3402">
        <v>573.49</v>
      </c>
      <c r="E3402" s="12" t="str">
        <f>VLOOKUP(C3402,inf!$A$2:$B$7,2,FALSE)</f>
        <v>Current</v>
      </c>
      <c r="F3402" s="12" t="str">
        <f t="shared" si="55"/>
        <v>02/14/2018</v>
      </c>
      <c r="G3402" t="str">
        <f>VLOOKUP(A3402,inf!$D$2:$E$76,2,FALSE)</f>
        <v>Other</v>
      </c>
    </row>
    <row r="3403" spans="1:7" x14ac:dyDescent="0.25">
      <c r="A3403" t="s">
        <v>78</v>
      </c>
      <c r="B3403" s="1">
        <v>43145</v>
      </c>
      <c r="C3403" t="s">
        <v>56</v>
      </c>
      <c r="D3403">
        <v>483.49</v>
      </c>
      <c r="E3403" s="12" t="str">
        <f>VLOOKUP(C3403,inf!$A$2:$B$7,2,FALSE)</f>
        <v>Current</v>
      </c>
      <c r="F3403" s="12" t="str">
        <f t="shared" si="55"/>
        <v>02/14/2018</v>
      </c>
      <c r="G3403" t="str">
        <f>VLOOKUP(A3403,inf!$D$2:$E$76,2,FALSE)</f>
        <v>Other</v>
      </c>
    </row>
    <row r="3404" spans="1:7" x14ac:dyDescent="0.25">
      <c r="A3404" t="s">
        <v>78</v>
      </c>
      <c r="B3404" s="1">
        <v>43145</v>
      </c>
      <c r="C3404" t="s">
        <v>57</v>
      </c>
      <c r="D3404">
        <v>718.99</v>
      </c>
      <c r="E3404" s="12" t="str">
        <f>VLOOKUP(C3404,inf!$A$2:$B$7,2,FALSE)</f>
        <v>31 to 60</v>
      </c>
      <c r="F3404" s="12" t="str">
        <f t="shared" si="55"/>
        <v>02/14/2018</v>
      </c>
      <c r="G3404" t="str">
        <f>VLOOKUP(A3404,inf!$D$2:$E$76,2,FALSE)</f>
        <v>Other</v>
      </c>
    </row>
    <row r="3405" spans="1:7" x14ac:dyDescent="0.25">
      <c r="A3405" t="s">
        <v>78</v>
      </c>
      <c r="B3405" s="1">
        <v>43145</v>
      </c>
      <c r="C3405" t="s">
        <v>58</v>
      </c>
      <c r="D3405">
        <v>292.45999999999998</v>
      </c>
      <c r="E3405" s="12" t="str">
        <f>VLOOKUP(C3405,inf!$A$2:$B$7,2,FALSE)</f>
        <v>61 to 90</v>
      </c>
      <c r="F3405" s="12" t="str">
        <f t="shared" si="55"/>
        <v>02/14/2018</v>
      </c>
      <c r="G3405" t="str">
        <f>VLOOKUP(A3405,inf!$D$2:$E$76,2,FALSE)</f>
        <v>Other</v>
      </c>
    </row>
    <row r="3406" spans="1:7" x14ac:dyDescent="0.25">
      <c r="A3406" t="s">
        <v>79</v>
      </c>
      <c r="B3406" s="1">
        <v>43145</v>
      </c>
      <c r="C3406" t="s">
        <v>55</v>
      </c>
      <c r="D3406">
        <v>275.3</v>
      </c>
      <c r="E3406" s="12" t="str">
        <f>VLOOKUP(C3406,inf!$A$2:$B$7,2,FALSE)</f>
        <v>Current</v>
      </c>
      <c r="F3406" s="12" t="str">
        <f t="shared" si="55"/>
        <v>02/14/2018</v>
      </c>
      <c r="G3406" t="str">
        <f>VLOOKUP(A3406,inf!$D$2:$E$76,2,FALSE)</f>
        <v>Other</v>
      </c>
    </row>
    <row r="3407" spans="1:7" x14ac:dyDescent="0.25">
      <c r="A3407" t="s">
        <v>30</v>
      </c>
      <c r="B3407" s="1">
        <v>43145</v>
      </c>
      <c r="C3407" t="s">
        <v>55</v>
      </c>
      <c r="D3407">
        <v>346.37</v>
      </c>
      <c r="E3407" s="12" t="str">
        <f>VLOOKUP(C3407,inf!$A$2:$B$7,2,FALSE)</f>
        <v>Current</v>
      </c>
      <c r="F3407" s="12" t="str">
        <f t="shared" si="55"/>
        <v>02/14/2018</v>
      </c>
      <c r="G3407" t="str">
        <f>VLOOKUP(A3407,inf!$D$2:$E$76,2,FALSE)</f>
        <v>Other</v>
      </c>
    </row>
    <row r="3408" spans="1:7" x14ac:dyDescent="0.25">
      <c r="A3408" t="s">
        <v>30</v>
      </c>
      <c r="B3408" s="1">
        <v>43145</v>
      </c>
      <c r="C3408" t="s">
        <v>56</v>
      </c>
      <c r="D3408">
        <v>129.21</v>
      </c>
      <c r="E3408" s="12" t="str">
        <f>VLOOKUP(C3408,inf!$A$2:$B$7,2,FALSE)</f>
        <v>Current</v>
      </c>
      <c r="F3408" s="12" t="str">
        <f t="shared" si="55"/>
        <v>02/14/2018</v>
      </c>
      <c r="G3408" t="str">
        <f>VLOOKUP(A3408,inf!$D$2:$E$76,2,FALSE)</f>
        <v>Other</v>
      </c>
    </row>
    <row r="3409" spans="1:7" x14ac:dyDescent="0.25">
      <c r="A3409" t="s">
        <v>104</v>
      </c>
      <c r="B3409" s="1">
        <v>43145</v>
      </c>
      <c r="C3409" t="s">
        <v>55</v>
      </c>
      <c r="D3409">
        <v>2087.54</v>
      </c>
      <c r="E3409" s="12" t="str">
        <f>VLOOKUP(C3409,inf!$A$2:$B$7,2,FALSE)</f>
        <v>Current</v>
      </c>
      <c r="F3409" s="12" t="str">
        <f t="shared" si="55"/>
        <v>02/14/2018</v>
      </c>
      <c r="G3409" t="str">
        <f>VLOOKUP(A3409,inf!$D$2:$E$76,2,FALSE)</f>
        <v>Other</v>
      </c>
    </row>
    <row r="3410" spans="1:7" x14ac:dyDescent="0.25">
      <c r="A3410" t="s">
        <v>12</v>
      </c>
      <c r="B3410" s="1">
        <v>43145</v>
      </c>
      <c r="C3410" t="s">
        <v>55</v>
      </c>
      <c r="D3410">
        <v>658.06000000000006</v>
      </c>
      <c r="E3410" s="12" t="str">
        <f>VLOOKUP(C3410,inf!$A$2:$B$7,2,FALSE)</f>
        <v>Current</v>
      </c>
      <c r="F3410" s="12" t="str">
        <f t="shared" si="55"/>
        <v>02/14/2018</v>
      </c>
      <c r="G3410" t="str">
        <f>VLOOKUP(A3410,inf!$D$2:$E$76,2,FALSE)</f>
        <v>Other</v>
      </c>
    </row>
    <row r="3411" spans="1:7" x14ac:dyDescent="0.25">
      <c r="A3411" t="s">
        <v>12</v>
      </c>
      <c r="B3411" s="1">
        <v>43145</v>
      </c>
      <c r="C3411" t="s">
        <v>56</v>
      </c>
      <c r="D3411">
        <v>509.14</v>
      </c>
      <c r="E3411" s="12" t="str">
        <f>VLOOKUP(C3411,inf!$A$2:$B$7,2,FALSE)</f>
        <v>Current</v>
      </c>
      <c r="F3411" s="12" t="str">
        <f t="shared" si="55"/>
        <v>02/14/2018</v>
      </c>
      <c r="G3411" t="str">
        <f>VLOOKUP(A3411,inf!$D$2:$E$76,2,FALSE)</f>
        <v>Other</v>
      </c>
    </row>
    <row r="3412" spans="1:7" x14ac:dyDescent="0.25">
      <c r="A3412" t="s">
        <v>50</v>
      </c>
      <c r="B3412" s="1">
        <v>43145</v>
      </c>
      <c r="C3412" t="s">
        <v>55</v>
      </c>
      <c r="D3412">
        <v>172.28</v>
      </c>
      <c r="E3412" s="12" t="str">
        <f>VLOOKUP(C3412,inf!$A$2:$B$7,2,FALSE)</f>
        <v>Current</v>
      </c>
      <c r="F3412" s="12" t="str">
        <f t="shared" si="55"/>
        <v>02/14/2018</v>
      </c>
      <c r="G3412" t="str">
        <f>VLOOKUP(A3412,inf!$D$2:$E$76,2,FALSE)</f>
        <v>Other</v>
      </c>
    </row>
    <row r="3413" spans="1:7" x14ac:dyDescent="0.25">
      <c r="A3413" t="s">
        <v>107</v>
      </c>
      <c r="B3413" s="1">
        <v>43145</v>
      </c>
      <c r="C3413" t="s">
        <v>55</v>
      </c>
      <c r="D3413">
        <v>196.62</v>
      </c>
      <c r="E3413" s="12" t="str">
        <f>VLOOKUP(C3413,inf!$A$2:$B$7,2,FALSE)</f>
        <v>Current</v>
      </c>
      <c r="F3413" s="12" t="str">
        <f t="shared" si="55"/>
        <v>02/14/2018</v>
      </c>
      <c r="G3413" t="str">
        <f>VLOOKUP(A3413,inf!$D$2:$E$76,2,FALSE)</f>
        <v>Other</v>
      </c>
    </row>
    <row r="3414" spans="1:7" x14ac:dyDescent="0.25">
      <c r="A3414" t="s">
        <v>83</v>
      </c>
      <c r="B3414" s="1">
        <v>43145</v>
      </c>
      <c r="C3414" t="s">
        <v>55</v>
      </c>
      <c r="D3414">
        <v>3868.5</v>
      </c>
      <c r="E3414" s="12" t="str">
        <f>VLOOKUP(C3414,inf!$A$2:$B$7,2,FALSE)</f>
        <v>Current</v>
      </c>
      <c r="F3414" s="12" t="str">
        <f t="shared" si="55"/>
        <v>02/14/2018</v>
      </c>
      <c r="G3414" t="str">
        <f>VLOOKUP(A3414,inf!$D$2:$E$76,2,FALSE)</f>
        <v>Other</v>
      </c>
    </row>
    <row r="3415" spans="1:7" x14ac:dyDescent="0.25">
      <c r="A3415" t="s">
        <v>7</v>
      </c>
      <c r="B3415" s="1">
        <v>43145</v>
      </c>
      <c r="C3415" t="s">
        <v>55</v>
      </c>
      <c r="D3415">
        <v>122760.79000000001</v>
      </c>
      <c r="E3415" s="12" t="str">
        <f>VLOOKUP(C3415,inf!$A$2:$B$7,2,FALSE)</f>
        <v>Current</v>
      </c>
      <c r="F3415" s="12" t="str">
        <f t="shared" si="55"/>
        <v>02/14/2018</v>
      </c>
      <c r="G3415" t="str">
        <f>VLOOKUP(A3415,inf!$D$2:$E$76,2,FALSE)</f>
        <v>SAFEWAY</v>
      </c>
    </row>
    <row r="3416" spans="1:7" x14ac:dyDescent="0.25">
      <c r="A3416" t="s">
        <v>7</v>
      </c>
      <c r="B3416" s="1">
        <v>43145</v>
      </c>
      <c r="C3416" t="s">
        <v>56</v>
      </c>
      <c r="D3416">
        <v>21338.929999999997</v>
      </c>
      <c r="E3416" s="12" t="str">
        <f>VLOOKUP(C3416,inf!$A$2:$B$7,2,FALSE)</f>
        <v>Current</v>
      </c>
      <c r="F3416" s="12" t="str">
        <f t="shared" si="55"/>
        <v>02/14/2018</v>
      </c>
      <c r="G3416" t="str">
        <f>VLOOKUP(A3416,inf!$D$2:$E$76,2,FALSE)</f>
        <v>SAFEWAY</v>
      </c>
    </row>
    <row r="3417" spans="1:7" x14ac:dyDescent="0.25">
      <c r="A3417" t="s">
        <v>7</v>
      </c>
      <c r="B3417" s="1">
        <v>43145</v>
      </c>
      <c r="C3417" t="s">
        <v>57</v>
      </c>
      <c r="D3417">
        <v>4403.92</v>
      </c>
      <c r="E3417" s="12" t="str">
        <f>VLOOKUP(C3417,inf!$A$2:$B$7,2,FALSE)</f>
        <v>31 to 60</v>
      </c>
      <c r="F3417" s="12" t="str">
        <f t="shared" si="55"/>
        <v>02/14/2018</v>
      </c>
      <c r="G3417" t="str">
        <f>VLOOKUP(A3417,inf!$D$2:$E$76,2,FALSE)</f>
        <v>SAFEWAY</v>
      </c>
    </row>
    <row r="3418" spans="1:7" x14ac:dyDescent="0.25">
      <c r="A3418" t="s">
        <v>7</v>
      </c>
      <c r="B3418" s="1">
        <v>43145</v>
      </c>
      <c r="C3418" t="s">
        <v>58</v>
      </c>
      <c r="D3418">
        <v>7691.8500000000022</v>
      </c>
      <c r="E3418" s="12" t="str">
        <f>VLOOKUP(C3418,inf!$A$2:$B$7,2,FALSE)</f>
        <v>61 to 90</v>
      </c>
      <c r="F3418" s="12" t="str">
        <f t="shared" si="55"/>
        <v>02/14/2018</v>
      </c>
      <c r="G3418" t="str">
        <f>VLOOKUP(A3418,inf!$D$2:$E$76,2,FALSE)</f>
        <v>SAFEWAY</v>
      </c>
    </row>
    <row r="3419" spans="1:7" x14ac:dyDescent="0.25">
      <c r="A3419" t="s">
        <v>7</v>
      </c>
      <c r="B3419" s="1">
        <v>43145</v>
      </c>
      <c r="C3419" t="s">
        <v>59</v>
      </c>
      <c r="D3419">
        <v>1672.81</v>
      </c>
      <c r="E3419" s="12" t="str">
        <f>VLOOKUP(C3419,inf!$A$2:$B$7,2,FALSE)</f>
        <v>Over 90</v>
      </c>
      <c r="F3419" s="12" t="str">
        <f t="shared" si="55"/>
        <v>02/14/2018</v>
      </c>
      <c r="G3419" t="str">
        <f>VLOOKUP(A3419,inf!$D$2:$E$76,2,FALSE)</f>
        <v>SAFEWAY</v>
      </c>
    </row>
    <row r="3420" spans="1:7" x14ac:dyDescent="0.25">
      <c r="A3420" t="s">
        <v>7</v>
      </c>
      <c r="B3420" s="1">
        <v>43145</v>
      </c>
      <c r="C3420" t="s">
        <v>60</v>
      </c>
      <c r="D3420">
        <v>873.22</v>
      </c>
      <c r="E3420" s="12" t="str">
        <f>VLOOKUP(C3420,inf!$A$2:$B$7,2,FALSE)</f>
        <v>Over 90</v>
      </c>
      <c r="F3420" s="12" t="str">
        <f t="shared" si="55"/>
        <v>02/14/2018</v>
      </c>
      <c r="G3420" t="str">
        <f>VLOOKUP(A3420,inf!$D$2:$E$76,2,FALSE)</f>
        <v>SAFEWAY</v>
      </c>
    </row>
    <row r="3421" spans="1:7" x14ac:dyDescent="0.25">
      <c r="A3421" t="s">
        <v>81</v>
      </c>
      <c r="B3421" s="1">
        <v>43145</v>
      </c>
      <c r="C3421" t="s">
        <v>55</v>
      </c>
      <c r="D3421">
        <v>584.24</v>
      </c>
      <c r="E3421" s="12" t="str">
        <f>VLOOKUP(C3421,inf!$A$2:$B$7,2,FALSE)</f>
        <v>Current</v>
      </c>
      <c r="F3421" s="12" t="str">
        <f t="shared" si="55"/>
        <v>02/14/2018</v>
      </c>
      <c r="G3421" t="str">
        <f>VLOOKUP(A3421,inf!$D$2:$E$76,2,FALSE)</f>
        <v>Other</v>
      </c>
    </row>
    <row r="3422" spans="1:7" x14ac:dyDescent="0.25">
      <c r="A3422" t="s">
        <v>81</v>
      </c>
      <c r="B3422" s="1">
        <v>43145</v>
      </c>
      <c r="C3422" t="s">
        <v>56</v>
      </c>
      <c r="D3422">
        <v>174.98</v>
      </c>
      <c r="E3422" s="12" t="str">
        <f>VLOOKUP(C3422,inf!$A$2:$B$7,2,FALSE)</f>
        <v>Current</v>
      </c>
      <c r="F3422" s="12" t="str">
        <f t="shared" si="55"/>
        <v>02/14/2018</v>
      </c>
      <c r="G3422" t="str">
        <f>VLOOKUP(A3422,inf!$D$2:$E$76,2,FALSE)</f>
        <v>Other</v>
      </c>
    </row>
    <row r="3423" spans="1:7" x14ac:dyDescent="0.25">
      <c r="A3423" t="s">
        <v>74</v>
      </c>
      <c r="B3423" s="1">
        <v>43145</v>
      </c>
      <c r="C3423" t="s">
        <v>60</v>
      </c>
      <c r="D3423">
        <v>60.5</v>
      </c>
      <c r="E3423" s="12" t="str">
        <f>VLOOKUP(C3423,inf!$A$2:$B$7,2,FALSE)</f>
        <v>Over 90</v>
      </c>
      <c r="F3423" s="12" t="str">
        <f t="shared" si="55"/>
        <v>02/14/2018</v>
      </c>
      <c r="G3423" t="str">
        <f>VLOOKUP(A3423,inf!$D$2:$E$76,2,FALSE)</f>
        <v>Other</v>
      </c>
    </row>
    <row r="3424" spans="1:7" x14ac:dyDescent="0.25">
      <c r="A3424" t="s">
        <v>5</v>
      </c>
      <c r="B3424" s="1">
        <v>43145</v>
      </c>
      <c r="C3424" t="s">
        <v>55</v>
      </c>
      <c r="D3424">
        <v>6701963.5500000501</v>
      </c>
      <c r="E3424" s="12" t="str">
        <f>VLOOKUP(C3424,inf!$A$2:$B$7,2,FALSE)</f>
        <v>Current</v>
      </c>
      <c r="F3424" s="12" t="str">
        <f t="shared" si="55"/>
        <v>02/14/2018</v>
      </c>
      <c r="G3424" t="str">
        <f>VLOOKUP(A3424,inf!$D$2:$E$76,2,FALSE)</f>
        <v>SBUX</v>
      </c>
    </row>
    <row r="3425" spans="1:7" x14ac:dyDescent="0.25">
      <c r="A3425" t="s">
        <v>5</v>
      </c>
      <c r="B3425" s="1">
        <v>43145</v>
      </c>
      <c r="C3425" t="s">
        <v>56</v>
      </c>
      <c r="D3425">
        <v>54349.810000000019</v>
      </c>
      <c r="E3425" s="12" t="str">
        <f>VLOOKUP(C3425,inf!$A$2:$B$7,2,FALSE)</f>
        <v>Current</v>
      </c>
      <c r="F3425" s="12" t="str">
        <f t="shared" si="55"/>
        <v>02/14/2018</v>
      </c>
      <c r="G3425" t="str">
        <f>VLOOKUP(A3425,inf!$D$2:$E$76,2,FALSE)</f>
        <v>SBUX</v>
      </c>
    </row>
    <row r="3426" spans="1:7" x14ac:dyDescent="0.25">
      <c r="A3426" t="s">
        <v>5</v>
      </c>
      <c r="B3426" s="1">
        <v>43145</v>
      </c>
      <c r="C3426" t="s">
        <v>57</v>
      </c>
      <c r="D3426">
        <v>44236.090000000004</v>
      </c>
      <c r="E3426" s="12" t="str">
        <f>VLOOKUP(C3426,inf!$A$2:$B$7,2,FALSE)</f>
        <v>31 to 60</v>
      </c>
      <c r="F3426" s="12" t="str">
        <f t="shared" si="55"/>
        <v>02/14/2018</v>
      </c>
      <c r="G3426" t="str">
        <f>VLOOKUP(A3426,inf!$D$2:$E$76,2,FALSE)</f>
        <v>SBUX</v>
      </c>
    </row>
    <row r="3427" spans="1:7" x14ac:dyDescent="0.25">
      <c r="A3427" t="s">
        <v>5</v>
      </c>
      <c r="B3427" s="1">
        <v>43145</v>
      </c>
      <c r="C3427" t="s">
        <v>58</v>
      </c>
      <c r="D3427">
        <v>53859.660000000011</v>
      </c>
      <c r="E3427" s="12" t="str">
        <f>VLOOKUP(C3427,inf!$A$2:$B$7,2,FALSE)</f>
        <v>61 to 90</v>
      </c>
      <c r="F3427" s="12" t="str">
        <f t="shared" si="55"/>
        <v>02/14/2018</v>
      </c>
      <c r="G3427" t="str">
        <f>VLOOKUP(A3427,inf!$D$2:$E$76,2,FALSE)</f>
        <v>SBUX</v>
      </c>
    </row>
    <row r="3428" spans="1:7" x14ac:dyDescent="0.25">
      <c r="A3428" t="s">
        <v>5</v>
      </c>
      <c r="B3428" s="1">
        <v>43145</v>
      </c>
      <c r="C3428" t="s">
        <v>59</v>
      </c>
      <c r="D3428">
        <v>36477.180000000022</v>
      </c>
      <c r="E3428" s="12" t="str">
        <f>VLOOKUP(C3428,inf!$A$2:$B$7,2,FALSE)</f>
        <v>Over 90</v>
      </c>
      <c r="F3428" s="12" t="str">
        <f t="shared" si="55"/>
        <v>02/14/2018</v>
      </c>
      <c r="G3428" t="str">
        <f>VLOOKUP(A3428,inf!$D$2:$E$76,2,FALSE)</f>
        <v>SBUX</v>
      </c>
    </row>
    <row r="3429" spans="1:7" x14ac:dyDescent="0.25">
      <c r="A3429" t="s">
        <v>5</v>
      </c>
      <c r="B3429" s="1">
        <v>43145</v>
      </c>
      <c r="C3429" t="s">
        <v>60</v>
      </c>
      <c r="D3429">
        <v>139684.97999999989</v>
      </c>
      <c r="E3429" s="12" t="str">
        <f>VLOOKUP(C3429,inf!$A$2:$B$7,2,FALSE)</f>
        <v>Over 90</v>
      </c>
      <c r="F3429" s="12" t="str">
        <f t="shared" si="55"/>
        <v>02/14/2018</v>
      </c>
      <c r="G3429" t="str">
        <f>VLOOKUP(A3429,inf!$D$2:$E$76,2,FALSE)</f>
        <v>SBUX</v>
      </c>
    </row>
    <row r="3430" spans="1:7" x14ac:dyDescent="0.25">
      <c r="A3430" t="s">
        <v>6</v>
      </c>
      <c r="B3430" s="1">
        <v>43145</v>
      </c>
      <c r="C3430" t="s">
        <v>55</v>
      </c>
      <c r="D3430">
        <v>563813.00999999407</v>
      </c>
      <c r="E3430" s="12" t="str">
        <f>VLOOKUP(C3430,inf!$A$2:$B$7,2,FALSE)</f>
        <v>Current</v>
      </c>
      <c r="F3430" s="12" t="str">
        <f t="shared" si="55"/>
        <v>02/14/2018</v>
      </c>
      <c r="G3430" t="str">
        <f>VLOOKUP(A3430,inf!$D$2:$E$76,2,FALSE)</f>
        <v>SBUX</v>
      </c>
    </row>
    <row r="3431" spans="1:7" x14ac:dyDescent="0.25">
      <c r="A3431" t="s">
        <v>6</v>
      </c>
      <c r="B3431" s="1">
        <v>43145</v>
      </c>
      <c r="C3431" t="s">
        <v>56</v>
      </c>
      <c r="D3431">
        <v>6313.09</v>
      </c>
      <c r="E3431" s="12" t="str">
        <f>VLOOKUP(C3431,inf!$A$2:$B$7,2,FALSE)</f>
        <v>Current</v>
      </c>
      <c r="F3431" s="12" t="str">
        <f t="shared" si="55"/>
        <v>02/14/2018</v>
      </c>
      <c r="G3431" t="str">
        <f>VLOOKUP(A3431,inf!$D$2:$E$76,2,FALSE)</f>
        <v>SBUX</v>
      </c>
    </row>
    <row r="3432" spans="1:7" x14ac:dyDescent="0.25">
      <c r="A3432" t="s">
        <v>6</v>
      </c>
      <c r="B3432" s="1">
        <v>43145</v>
      </c>
      <c r="C3432" t="s">
        <v>57</v>
      </c>
      <c r="D3432">
        <v>3643.1899999999991</v>
      </c>
      <c r="E3432" s="12" t="str">
        <f>VLOOKUP(C3432,inf!$A$2:$B$7,2,FALSE)</f>
        <v>31 to 60</v>
      </c>
      <c r="F3432" s="12" t="str">
        <f t="shared" si="55"/>
        <v>02/14/2018</v>
      </c>
      <c r="G3432" t="str">
        <f>VLOOKUP(A3432,inf!$D$2:$E$76,2,FALSE)</f>
        <v>SBUX</v>
      </c>
    </row>
    <row r="3433" spans="1:7" x14ac:dyDescent="0.25">
      <c r="A3433" t="s">
        <v>6</v>
      </c>
      <c r="B3433" s="1">
        <v>43145</v>
      </c>
      <c r="C3433" t="s">
        <v>58</v>
      </c>
      <c r="D3433">
        <v>1003.0899999999999</v>
      </c>
      <c r="E3433" s="12" t="str">
        <f>VLOOKUP(C3433,inf!$A$2:$B$7,2,FALSE)</f>
        <v>61 to 90</v>
      </c>
      <c r="F3433" s="12" t="str">
        <f t="shared" si="55"/>
        <v>02/14/2018</v>
      </c>
      <c r="G3433" t="str">
        <f>VLOOKUP(A3433,inf!$D$2:$E$76,2,FALSE)</f>
        <v>SBUX</v>
      </c>
    </row>
    <row r="3434" spans="1:7" x14ac:dyDescent="0.25">
      <c r="A3434" t="s">
        <v>6</v>
      </c>
      <c r="B3434" s="1">
        <v>43145</v>
      </c>
      <c r="C3434" t="s">
        <v>59</v>
      </c>
      <c r="D3434">
        <v>1566.3700000000001</v>
      </c>
      <c r="E3434" s="12" t="str">
        <f>VLOOKUP(C3434,inf!$A$2:$B$7,2,FALSE)</f>
        <v>Over 90</v>
      </c>
      <c r="F3434" s="12" t="str">
        <f t="shared" si="55"/>
        <v>02/14/2018</v>
      </c>
      <c r="G3434" t="str">
        <f>VLOOKUP(A3434,inf!$D$2:$E$76,2,FALSE)</f>
        <v>SBUX</v>
      </c>
    </row>
    <row r="3435" spans="1:7" x14ac:dyDescent="0.25">
      <c r="A3435" t="s">
        <v>6</v>
      </c>
      <c r="B3435" s="1">
        <v>43145</v>
      </c>
      <c r="C3435" t="s">
        <v>60</v>
      </c>
      <c r="D3435">
        <v>11872.21</v>
      </c>
      <c r="E3435" s="12" t="str">
        <f>VLOOKUP(C3435,inf!$A$2:$B$7,2,FALSE)</f>
        <v>Over 90</v>
      </c>
      <c r="F3435" s="12" t="str">
        <f t="shared" si="55"/>
        <v>02/14/2018</v>
      </c>
      <c r="G3435" t="str">
        <f>VLOOKUP(A3435,inf!$D$2:$E$76,2,FALSE)</f>
        <v>SBUX</v>
      </c>
    </row>
    <row r="3436" spans="1:7" x14ac:dyDescent="0.25">
      <c r="A3436" t="s">
        <v>49</v>
      </c>
      <c r="B3436" s="1">
        <v>43145</v>
      </c>
      <c r="C3436" t="s">
        <v>55</v>
      </c>
      <c r="D3436">
        <v>460.3</v>
      </c>
      <c r="E3436" s="12" t="str">
        <f>VLOOKUP(C3436,inf!$A$2:$B$7,2,FALSE)</f>
        <v>Current</v>
      </c>
      <c r="F3436" s="12" t="str">
        <f t="shared" si="55"/>
        <v>02/14/2018</v>
      </c>
      <c r="G3436" t="str">
        <f>VLOOKUP(A3436,inf!$D$2:$E$76,2,FALSE)</f>
        <v>Other</v>
      </c>
    </row>
    <row r="3437" spans="1:7" x14ac:dyDescent="0.25">
      <c r="A3437" t="s">
        <v>48</v>
      </c>
      <c r="B3437" s="1">
        <v>43145</v>
      </c>
      <c r="C3437" t="s">
        <v>55</v>
      </c>
      <c r="D3437">
        <v>551762.32999999949</v>
      </c>
      <c r="E3437" s="12" t="str">
        <f>VLOOKUP(C3437,inf!$A$2:$B$7,2,FALSE)</f>
        <v>Current</v>
      </c>
      <c r="F3437" s="12" t="str">
        <f t="shared" si="55"/>
        <v>02/14/2018</v>
      </c>
      <c r="G3437" t="str">
        <f>VLOOKUP(A3437,inf!$D$2:$E$76,2,FALSE)</f>
        <v>Target</v>
      </c>
    </row>
    <row r="3438" spans="1:7" x14ac:dyDescent="0.25">
      <c r="A3438" t="s">
        <v>48</v>
      </c>
      <c r="B3438" s="1">
        <v>43145</v>
      </c>
      <c r="C3438" t="s">
        <v>56</v>
      </c>
      <c r="D3438">
        <v>3199.56</v>
      </c>
      <c r="E3438" s="12" t="str">
        <f>VLOOKUP(C3438,inf!$A$2:$B$7,2,FALSE)</f>
        <v>Current</v>
      </c>
      <c r="F3438" s="12" t="str">
        <f t="shared" si="55"/>
        <v>02/14/2018</v>
      </c>
      <c r="G3438" t="str">
        <f>VLOOKUP(A3438,inf!$D$2:$E$76,2,FALSE)</f>
        <v>Target</v>
      </c>
    </row>
    <row r="3439" spans="1:7" x14ac:dyDescent="0.25">
      <c r="A3439" t="s">
        <v>48</v>
      </c>
      <c r="B3439" s="1">
        <v>43145</v>
      </c>
      <c r="C3439" t="s">
        <v>57</v>
      </c>
      <c r="D3439">
        <v>26762.379999999997</v>
      </c>
      <c r="E3439" s="12" t="str">
        <f>VLOOKUP(C3439,inf!$A$2:$B$7,2,FALSE)</f>
        <v>31 to 60</v>
      </c>
      <c r="F3439" s="12" t="str">
        <f t="shared" si="55"/>
        <v>02/14/2018</v>
      </c>
      <c r="G3439" t="str">
        <f>VLOOKUP(A3439,inf!$D$2:$E$76,2,FALSE)</f>
        <v>Target</v>
      </c>
    </row>
    <row r="3440" spans="1:7" x14ac:dyDescent="0.25">
      <c r="A3440" t="s">
        <v>48</v>
      </c>
      <c r="B3440" s="1">
        <v>43145</v>
      </c>
      <c r="C3440" t="s">
        <v>58</v>
      </c>
      <c r="D3440">
        <v>18153.700000000004</v>
      </c>
      <c r="E3440" s="12" t="str">
        <f>VLOOKUP(C3440,inf!$A$2:$B$7,2,FALSE)</f>
        <v>61 to 90</v>
      </c>
      <c r="F3440" s="12" t="str">
        <f t="shared" si="55"/>
        <v>02/14/2018</v>
      </c>
      <c r="G3440" t="str">
        <f>VLOOKUP(A3440,inf!$D$2:$E$76,2,FALSE)</f>
        <v>Target</v>
      </c>
    </row>
    <row r="3441" spans="1:7" x14ac:dyDescent="0.25">
      <c r="A3441" t="s">
        <v>48</v>
      </c>
      <c r="B3441" s="1">
        <v>43145</v>
      </c>
      <c r="C3441" t="s">
        <v>59</v>
      </c>
      <c r="D3441">
        <v>1964.7600000000002</v>
      </c>
      <c r="E3441" s="12" t="str">
        <f>VLOOKUP(C3441,inf!$A$2:$B$7,2,FALSE)</f>
        <v>Over 90</v>
      </c>
      <c r="F3441" s="12" t="str">
        <f t="shared" si="55"/>
        <v>02/14/2018</v>
      </c>
      <c r="G3441" t="str">
        <f>VLOOKUP(A3441,inf!$D$2:$E$76,2,FALSE)</f>
        <v>Target</v>
      </c>
    </row>
    <row r="3442" spans="1:7" x14ac:dyDescent="0.25">
      <c r="A3442" t="s">
        <v>48</v>
      </c>
      <c r="B3442" s="1">
        <v>43145</v>
      </c>
      <c r="C3442" t="s">
        <v>60</v>
      </c>
      <c r="D3442">
        <v>4402.5</v>
      </c>
      <c r="E3442" s="12" t="str">
        <f>VLOOKUP(C3442,inf!$A$2:$B$7,2,FALSE)</f>
        <v>Over 90</v>
      </c>
      <c r="F3442" s="12" t="str">
        <f t="shared" si="55"/>
        <v>02/14/2018</v>
      </c>
      <c r="G3442" t="str">
        <f>VLOOKUP(A3442,inf!$D$2:$E$76,2,FALSE)</f>
        <v>Target</v>
      </c>
    </row>
    <row r="3443" spans="1:7" x14ac:dyDescent="0.25">
      <c r="A3443" t="s">
        <v>8</v>
      </c>
      <c r="B3443" s="1">
        <v>43145</v>
      </c>
      <c r="C3443" t="s">
        <v>55</v>
      </c>
      <c r="D3443">
        <v>558254.91999999958</v>
      </c>
      <c r="E3443" s="12" t="str">
        <f>VLOOKUP(C3443,inf!$A$2:$B$7,2,FALSE)</f>
        <v>Current</v>
      </c>
      <c r="F3443" s="12" t="str">
        <f t="shared" ref="F3443:F3453" si="56">TEXT(B3443,"MM/DD/YYYY")</f>
        <v>02/14/2018</v>
      </c>
      <c r="G3443" t="str">
        <f>VLOOKUP(A3443,inf!$D$2:$E$76,2,FALSE)</f>
        <v>Target</v>
      </c>
    </row>
    <row r="3444" spans="1:7" x14ac:dyDescent="0.25">
      <c r="A3444" t="s">
        <v>8</v>
      </c>
      <c r="B3444" s="1">
        <v>43145</v>
      </c>
      <c r="C3444" t="s">
        <v>56</v>
      </c>
      <c r="D3444">
        <v>25690.410000000007</v>
      </c>
      <c r="E3444" s="12" t="str">
        <f>VLOOKUP(C3444,inf!$A$2:$B$7,2,FALSE)</f>
        <v>Current</v>
      </c>
      <c r="F3444" s="12" t="str">
        <f t="shared" si="56"/>
        <v>02/14/2018</v>
      </c>
      <c r="G3444" t="str">
        <f>VLOOKUP(A3444,inf!$D$2:$E$76,2,FALSE)</f>
        <v>Target</v>
      </c>
    </row>
    <row r="3445" spans="1:7" x14ac:dyDescent="0.25">
      <c r="A3445" t="s">
        <v>8</v>
      </c>
      <c r="B3445" s="1">
        <v>43145</v>
      </c>
      <c r="C3445" t="s">
        <v>57</v>
      </c>
      <c r="D3445">
        <v>11435.56</v>
      </c>
      <c r="E3445" s="12" t="str">
        <f>VLOOKUP(C3445,inf!$A$2:$B$7,2,FALSE)</f>
        <v>31 to 60</v>
      </c>
      <c r="F3445" s="12" t="str">
        <f t="shared" si="56"/>
        <v>02/14/2018</v>
      </c>
      <c r="G3445" t="str">
        <f>VLOOKUP(A3445,inf!$D$2:$E$76,2,FALSE)</f>
        <v>Target</v>
      </c>
    </row>
    <row r="3446" spans="1:7" x14ac:dyDescent="0.25">
      <c r="A3446" t="s">
        <v>8</v>
      </c>
      <c r="B3446" s="1">
        <v>43145</v>
      </c>
      <c r="C3446" t="s">
        <v>58</v>
      </c>
      <c r="D3446">
        <v>16083.93</v>
      </c>
      <c r="E3446" s="12" t="str">
        <f>VLOOKUP(C3446,inf!$A$2:$B$7,2,FALSE)</f>
        <v>61 to 90</v>
      </c>
      <c r="F3446" s="12" t="str">
        <f t="shared" si="56"/>
        <v>02/14/2018</v>
      </c>
      <c r="G3446" t="str">
        <f>VLOOKUP(A3446,inf!$D$2:$E$76,2,FALSE)</f>
        <v>Target</v>
      </c>
    </row>
    <row r="3447" spans="1:7" x14ac:dyDescent="0.25">
      <c r="A3447" t="s">
        <v>8</v>
      </c>
      <c r="B3447" s="1">
        <v>43145</v>
      </c>
      <c r="C3447" t="s">
        <v>59</v>
      </c>
      <c r="D3447">
        <v>11340.63</v>
      </c>
      <c r="E3447" s="12" t="str">
        <f>VLOOKUP(C3447,inf!$A$2:$B$7,2,FALSE)</f>
        <v>Over 90</v>
      </c>
      <c r="F3447" s="12" t="str">
        <f t="shared" si="56"/>
        <v>02/14/2018</v>
      </c>
      <c r="G3447" t="str">
        <f>VLOOKUP(A3447,inf!$D$2:$E$76,2,FALSE)</f>
        <v>Target</v>
      </c>
    </row>
    <row r="3448" spans="1:7" x14ac:dyDescent="0.25">
      <c r="A3448" t="s">
        <v>8</v>
      </c>
      <c r="B3448" s="1">
        <v>43145</v>
      </c>
      <c r="C3448" t="s">
        <v>60</v>
      </c>
      <c r="D3448">
        <v>7481.99</v>
      </c>
      <c r="E3448" s="12" t="str">
        <f>VLOOKUP(C3448,inf!$A$2:$B$7,2,FALSE)</f>
        <v>Over 90</v>
      </c>
      <c r="F3448" s="12" t="str">
        <f t="shared" si="56"/>
        <v>02/14/2018</v>
      </c>
      <c r="G3448" t="str">
        <f>VLOOKUP(A3448,inf!$D$2:$E$76,2,FALSE)</f>
        <v>Target</v>
      </c>
    </row>
    <row r="3449" spans="1:7" x14ac:dyDescent="0.25">
      <c r="A3449" t="s">
        <v>54</v>
      </c>
      <c r="B3449" s="1">
        <v>43145</v>
      </c>
      <c r="C3449" t="s">
        <v>55</v>
      </c>
      <c r="D3449">
        <v>1080.98</v>
      </c>
      <c r="E3449" s="12" t="str">
        <f>VLOOKUP(C3449,inf!$A$2:$B$7,2,FALSE)</f>
        <v>Current</v>
      </c>
      <c r="F3449" s="12" t="str">
        <f t="shared" si="56"/>
        <v>02/14/2018</v>
      </c>
      <c r="G3449" t="str">
        <f>VLOOKUP(A3449,inf!$D$2:$E$76,2,FALSE)</f>
        <v>Other</v>
      </c>
    </row>
    <row r="3450" spans="1:7" x14ac:dyDescent="0.25">
      <c r="A3450" t="s">
        <v>54</v>
      </c>
      <c r="B3450" s="1">
        <v>43145</v>
      </c>
      <c r="C3450" t="s">
        <v>60</v>
      </c>
      <c r="D3450">
        <v>122.72</v>
      </c>
      <c r="E3450" s="12" t="str">
        <f>VLOOKUP(C3450,inf!$A$2:$B$7,2,FALSE)</f>
        <v>Over 90</v>
      </c>
      <c r="F3450" s="12" t="str">
        <f t="shared" si="56"/>
        <v>02/14/2018</v>
      </c>
      <c r="G3450" t="str">
        <f>VLOOKUP(A3450,inf!$D$2:$E$76,2,FALSE)</f>
        <v>Other</v>
      </c>
    </row>
    <row r="3451" spans="1:7" x14ac:dyDescent="0.25">
      <c r="A3451" t="s">
        <v>28</v>
      </c>
      <c r="B3451" s="1">
        <v>43145</v>
      </c>
      <c r="C3451" t="s">
        <v>55</v>
      </c>
      <c r="D3451">
        <v>12001.99</v>
      </c>
      <c r="E3451" s="12" t="str">
        <f>VLOOKUP(C3451,inf!$A$2:$B$7,2,FALSE)</f>
        <v>Current</v>
      </c>
      <c r="F3451" s="12" t="str">
        <f t="shared" si="56"/>
        <v>02/14/2018</v>
      </c>
      <c r="G3451" t="str">
        <f>VLOOKUP(A3451,inf!$D$2:$E$76,2,FALSE)</f>
        <v>Other</v>
      </c>
    </row>
    <row r="3452" spans="1:7" x14ac:dyDescent="0.25">
      <c r="A3452" t="s">
        <v>15</v>
      </c>
      <c r="B3452" s="1">
        <v>43145</v>
      </c>
      <c r="C3452" t="s">
        <v>55</v>
      </c>
      <c r="D3452">
        <v>153.57</v>
      </c>
      <c r="E3452" s="12" t="str">
        <f>VLOOKUP(C3452,inf!$A$2:$B$7,2,FALSE)</f>
        <v>Current</v>
      </c>
      <c r="F3452" s="12" t="str">
        <f t="shared" si="56"/>
        <v>02/14/2018</v>
      </c>
      <c r="G3452" t="str">
        <f>VLOOKUP(A3452,inf!$D$2:$E$76,2,FALSE)</f>
        <v>Other</v>
      </c>
    </row>
    <row r="3453" spans="1:7" x14ac:dyDescent="0.25">
      <c r="A3453" t="s">
        <v>15</v>
      </c>
      <c r="B3453" s="1">
        <v>43145</v>
      </c>
      <c r="C3453" t="s">
        <v>60</v>
      </c>
      <c r="D3453">
        <v>291.60000000000002</v>
      </c>
      <c r="E3453" s="12" t="str">
        <f>VLOOKUP(C3453,inf!$A$2:$B$7,2,FALSE)</f>
        <v>Over 90</v>
      </c>
      <c r="F3453" s="12" t="str">
        <f t="shared" si="56"/>
        <v>02/14/2018</v>
      </c>
      <c r="G3453" t="str">
        <f>VLOOKUP(A3453,inf!$D$2:$E$76,2,FALSE)</f>
        <v>Other</v>
      </c>
    </row>
    <row r="3454" spans="1:7" x14ac:dyDescent="0.25">
      <c r="A3454" t="s">
        <v>22</v>
      </c>
      <c r="B3454" s="1">
        <v>43152</v>
      </c>
      <c r="C3454" t="s">
        <v>56</v>
      </c>
      <c r="D3454">
        <v>114.85</v>
      </c>
      <c r="E3454" s="12" t="str">
        <f>VLOOKUP(C3454,inf!$A$2:$B$7,2,FALSE)</f>
        <v>Current</v>
      </c>
      <c r="F3454" s="12" t="str">
        <f t="shared" ref="F3454:F3508" si="57">TEXT(B3454,"MM/DD/YYYY")</f>
        <v>02/21/2018</v>
      </c>
      <c r="G3454" t="str">
        <f>VLOOKUP(A3454,inf!$D$2:$E$76,2,FALSE)</f>
        <v>Other</v>
      </c>
    </row>
    <row r="3455" spans="1:7" x14ac:dyDescent="0.25">
      <c r="A3455" t="s">
        <v>22</v>
      </c>
      <c r="B3455" s="1">
        <v>43152</v>
      </c>
      <c r="C3455" t="s">
        <v>57</v>
      </c>
      <c r="D3455">
        <v>114.85</v>
      </c>
      <c r="E3455" s="12" t="str">
        <f>VLOOKUP(C3455,inf!$A$2:$B$7,2,FALSE)</f>
        <v>31 to 60</v>
      </c>
      <c r="F3455" s="12" t="str">
        <f t="shared" si="57"/>
        <v>02/21/2018</v>
      </c>
      <c r="G3455" t="str">
        <f>VLOOKUP(A3455,inf!$D$2:$E$76,2,FALSE)</f>
        <v>Other</v>
      </c>
    </row>
    <row r="3456" spans="1:7" x14ac:dyDescent="0.25">
      <c r="A3456" t="s">
        <v>103</v>
      </c>
      <c r="B3456" s="1">
        <v>43152</v>
      </c>
      <c r="C3456" t="s">
        <v>55</v>
      </c>
      <c r="D3456">
        <v>416.33</v>
      </c>
      <c r="E3456" s="12" t="str">
        <f>VLOOKUP(C3456,inf!$A$2:$B$7,2,FALSE)</f>
        <v>Current</v>
      </c>
      <c r="F3456" s="12" t="str">
        <f t="shared" si="57"/>
        <v>02/21/2018</v>
      </c>
      <c r="G3456" t="str">
        <f>VLOOKUP(A3456,inf!$D$2:$E$76,2,FALSE)</f>
        <v>Other</v>
      </c>
    </row>
    <row r="3457" spans="1:7" x14ac:dyDescent="0.25">
      <c r="A3457" t="s">
        <v>80</v>
      </c>
      <c r="B3457" s="1">
        <v>43152</v>
      </c>
      <c r="C3457" t="s">
        <v>55</v>
      </c>
      <c r="D3457">
        <v>114.85</v>
      </c>
      <c r="E3457" s="12" t="str">
        <f>VLOOKUP(C3457,inf!$A$2:$B$7,2,FALSE)</f>
        <v>Current</v>
      </c>
      <c r="F3457" s="12" t="str">
        <f t="shared" si="57"/>
        <v>02/21/2018</v>
      </c>
      <c r="G3457" t="str">
        <f>VLOOKUP(A3457,inf!$D$2:$E$76,2,FALSE)</f>
        <v>Other</v>
      </c>
    </row>
    <row r="3458" spans="1:7" x14ac:dyDescent="0.25">
      <c r="A3458" t="s">
        <v>4</v>
      </c>
      <c r="B3458" s="1">
        <v>43152</v>
      </c>
      <c r="C3458" t="s">
        <v>55</v>
      </c>
      <c r="D3458">
        <v>6875.64</v>
      </c>
      <c r="E3458" s="12" t="str">
        <f>VLOOKUP(C3458,inf!$A$2:$B$7,2,FALSE)</f>
        <v>Current</v>
      </c>
      <c r="F3458" s="12" t="str">
        <f t="shared" si="57"/>
        <v>02/21/2018</v>
      </c>
      <c r="G3458" t="str">
        <f>VLOOKUP(A3458,inf!$D$2:$E$76,2,FALSE)</f>
        <v>Other</v>
      </c>
    </row>
    <row r="3459" spans="1:7" x14ac:dyDescent="0.25">
      <c r="A3459" t="s">
        <v>4</v>
      </c>
      <c r="B3459" s="1">
        <v>43152</v>
      </c>
      <c r="C3459" t="s">
        <v>58</v>
      </c>
      <c r="D3459">
        <v>52.5</v>
      </c>
      <c r="E3459" s="12" t="str">
        <f>VLOOKUP(C3459,inf!$A$2:$B$7,2,FALSE)</f>
        <v>61 to 90</v>
      </c>
      <c r="F3459" s="12" t="str">
        <f t="shared" si="57"/>
        <v>02/21/2018</v>
      </c>
      <c r="G3459" t="str">
        <f>VLOOKUP(A3459,inf!$D$2:$E$76,2,FALSE)</f>
        <v>Other</v>
      </c>
    </row>
    <row r="3460" spans="1:7" x14ac:dyDescent="0.25">
      <c r="A3460" t="s">
        <v>4</v>
      </c>
      <c r="B3460" s="1">
        <v>43152</v>
      </c>
      <c r="C3460" t="s">
        <v>59</v>
      </c>
      <c r="D3460">
        <v>526.84</v>
      </c>
      <c r="E3460" s="12" t="str">
        <f>VLOOKUP(C3460,inf!$A$2:$B$7,2,FALSE)</f>
        <v>Over 90</v>
      </c>
      <c r="F3460" s="12" t="str">
        <f t="shared" si="57"/>
        <v>02/21/2018</v>
      </c>
      <c r="G3460" t="str">
        <f>VLOOKUP(A3460,inf!$D$2:$E$76,2,FALSE)</f>
        <v>Other</v>
      </c>
    </row>
    <row r="3461" spans="1:7" x14ac:dyDescent="0.25">
      <c r="A3461" t="s">
        <v>77</v>
      </c>
      <c r="B3461" s="1">
        <v>43152</v>
      </c>
      <c r="C3461" t="s">
        <v>57</v>
      </c>
      <c r="D3461">
        <v>834.05</v>
      </c>
      <c r="E3461" s="12" t="str">
        <f>VLOOKUP(C3461,inf!$A$2:$B$7,2,FALSE)</f>
        <v>31 to 60</v>
      </c>
      <c r="F3461" s="12" t="str">
        <f t="shared" si="57"/>
        <v>02/21/2018</v>
      </c>
      <c r="G3461" t="str">
        <f>VLOOKUP(A3461,inf!$D$2:$E$76,2,FALSE)</f>
        <v>Other</v>
      </c>
    </row>
    <row r="3462" spans="1:7" x14ac:dyDescent="0.25">
      <c r="A3462" t="s">
        <v>32</v>
      </c>
      <c r="B3462" s="1">
        <v>43152</v>
      </c>
      <c r="C3462" t="s">
        <v>55</v>
      </c>
      <c r="D3462">
        <v>265.76</v>
      </c>
      <c r="E3462" s="12" t="str">
        <f>VLOOKUP(C3462,inf!$A$2:$B$7,2,FALSE)</f>
        <v>Current</v>
      </c>
      <c r="F3462" s="12" t="str">
        <f t="shared" si="57"/>
        <v>02/21/2018</v>
      </c>
      <c r="G3462" t="str">
        <f>VLOOKUP(A3462,inf!$D$2:$E$76,2,FALSE)</f>
        <v>Other</v>
      </c>
    </row>
    <row r="3463" spans="1:7" x14ac:dyDescent="0.25">
      <c r="A3463" t="s">
        <v>11</v>
      </c>
      <c r="B3463" s="1">
        <v>43152</v>
      </c>
      <c r="C3463" t="s">
        <v>57</v>
      </c>
      <c r="D3463">
        <v>331.6</v>
      </c>
      <c r="E3463" s="12" t="str">
        <f>VLOOKUP(C3463,inf!$A$2:$B$7,2,FALSE)</f>
        <v>31 to 60</v>
      </c>
      <c r="F3463" s="12" t="str">
        <f t="shared" si="57"/>
        <v>02/21/2018</v>
      </c>
      <c r="G3463" t="str">
        <f>VLOOKUP(A3463,inf!$D$2:$E$76,2,FALSE)</f>
        <v>Other</v>
      </c>
    </row>
    <row r="3464" spans="1:7" x14ac:dyDescent="0.25">
      <c r="A3464" t="s">
        <v>25</v>
      </c>
      <c r="B3464" s="1">
        <v>43152</v>
      </c>
      <c r="C3464" t="s">
        <v>55</v>
      </c>
      <c r="D3464">
        <v>583.23</v>
      </c>
      <c r="E3464" s="12" t="str">
        <f>VLOOKUP(C3464,inf!$A$2:$B$7,2,FALSE)</f>
        <v>Current</v>
      </c>
      <c r="F3464" s="12" t="str">
        <f t="shared" si="57"/>
        <v>02/21/2018</v>
      </c>
      <c r="G3464" t="str">
        <f>VLOOKUP(A3464,inf!$D$2:$E$76,2,FALSE)</f>
        <v>Other</v>
      </c>
    </row>
    <row r="3465" spans="1:7" x14ac:dyDescent="0.25">
      <c r="A3465" t="s">
        <v>31</v>
      </c>
      <c r="B3465" s="1">
        <v>43152</v>
      </c>
      <c r="C3465" t="s">
        <v>55</v>
      </c>
      <c r="D3465">
        <v>818.33</v>
      </c>
      <c r="E3465" s="12" t="str">
        <f>VLOOKUP(C3465,inf!$A$2:$B$7,2,FALSE)</f>
        <v>Current</v>
      </c>
      <c r="F3465" s="12" t="str">
        <f t="shared" si="57"/>
        <v>02/21/2018</v>
      </c>
      <c r="G3465" t="str">
        <f>VLOOKUP(A3465,inf!$D$2:$E$76,2,FALSE)</f>
        <v>Other</v>
      </c>
    </row>
    <row r="3466" spans="1:7" x14ac:dyDescent="0.25">
      <c r="A3466" t="s">
        <v>24</v>
      </c>
      <c r="B3466" s="1">
        <v>43152</v>
      </c>
      <c r="C3466" t="s">
        <v>55</v>
      </c>
      <c r="D3466">
        <v>716.78</v>
      </c>
      <c r="E3466" s="12" t="str">
        <f>VLOOKUP(C3466,inf!$A$2:$B$7,2,FALSE)</f>
        <v>Current</v>
      </c>
      <c r="F3466" s="12" t="str">
        <f t="shared" si="57"/>
        <v>02/21/2018</v>
      </c>
      <c r="G3466" t="str">
        <f>VLOOKUP(A3466,inf!$D$2:$E$76,2,FALSE)</f>
        <v>Other</v>
      </c>
    </row>
    <row r="3467" spans="1:7" x14ac:dyDescent="0.25">
      <c r="A3467" t="s">
        <v>65</v>
      </c>
      <c r="B3467" s="1">
        <v>43152</v>
      </c>
      <c r="C3467" t="s">
        <v>55</v>
      </c>
      <c r="D3467">
        <v>190</v>
      </c>
      <c r="E3467" s="12" t="str">
        <f>VLOOKUP(C3467,inf!$A$2:$B$7,2,FALSE)</f>
        <v>Current</v>
      </c>
      <c r="F3467" s="12" t="str">
        <f t="shared" si="57"/>
        <v>02/21/2018</v>
      </c>
      <c r="G3467" t="str">
        <f>VLOOKUP(A3467,inf!$D$2:$E$76,2,FALSE)</f>
        <v>Other</v>
      </c>
    </row>
    <row r="3468" spans="1:7" x14ac:dyDescent="0.25">
      <c r="A3468" t="s">
        <v>18</v>
      </c>
      <c r="B3468" s="1">
        <v>43152</v>
      </c>
      <c r="C3468" t="s">
        <v>55</v>
      </c>
      <c r="D3468">
        <v>385.47</v>
      </c>
      <c r="E3468" s="12" t="str">
        <f>VLOOKUP(C3468,inf!$A$2:$B$7,2,FALSE)</f>
        <v>Current</v>
      </c>
      <c r="F3468" s="12" t="str">
        <f t="shared" si="57"/>
        <v>02/21/2018</v>
      </c>
      <c r="G3468" t="str">
        <f>VLOOKUP(A3468,inf!$D$2:$E$76,2,FALSE)</f>
        <v>Other</v>
      </c>
    </row>
    <row r="3469" spans="1:7" x14ac:dyDescent="0.25">
      <c r="A3469" t="s">
        <v>27</v>
      </c>
      <c r="B3469" s="1">
        <v>43152</v>
      </c>
      <c r="C3469" t="s">
        <v>55</v>
      </c>
      <c r="D3469">
        <v>394.68</v>
      </c>
      <c r="E3469" s="12" t="str">
        <f>VLOOKUP(C3469,inf!$A$2:$B$7,2,FALSE)</f>
        <v>Current</v>
      </c>
      <c r="F3469" s="12" t="str">
        <f t="shared" si="57"/>
        <v>02/21/2018</v>
      </c>
      <c r="G3469" t="str">
        <f>VLOOKUP(A3469,inf!$D$2:$E$76,2,FALSE)</f>
        <v>Other</v>
      </c>
    </row>
    <row r="3470" spans="1:7" x14ac:dyDescent="0.25">
      <c r="A3470" t="s">
        <v>82</v>
      </c>
      <c r="B3470" s="1">
        <v>43152</v>
      </c>
      <c r="C3470" t="s">
        <v>55</v>
      </c>
      <c r="D3470">
        <v>470.94000000000005</v>
      </c>
      <c r="E3470" s="12" t="str">
        <f>VLOOKUP(C3470,inf!$A$2:$B$7,2,FALSE)</f>
        <v>Current</v>
      </c>
      <c r="F3470" s="12" t="str">
        <f t="shared" si="57"/>
        <v>02/21/2018</v>
      </c>
      <c r="G3470" t="str">
        <f>VLOOKUP(A3470,inf!$D$2:$E$76,2,FALSE)</f>
        <v>Other</v>
      </c>
    </row>
    <row r="3471" spans="1:7" x14ac:dyDescent="0.25">
      <c r="A3471" t="s">
        <v>82</v>
      </c>
      <c r="B3471" s="1">
        <v>43152</v>
      </c>
      <c r="C3471" t="s">
        <v>56</v>
      </c>
      <c r="D3471">
        <v>114.85</v>
      </c>
      <c r="E3471" s="12" t="str">
        <f>VLOOKUP(C3471,inf!$A$2:$B$7,2,FALSE)</f>
        <v>Current</v>
      </c>
      <c r="F3471" s="12" t="str">
        <f t="shared" si="57"/>
        <v>02/21/2018</v>
      </c>
      <c r="G3471" t="str">
        <f>VLOOKUP(A3471,inf!$D$2:$E$76,2,FALSE)</f>
        <v>Other</v>
      </c>
    </row>
    <row r="3472" spans="1:7" x14ac:dyDescent="0.25">
      <c r="A3472" t="s">
        <v>53</v>
      </c>
      <c r="B3472" s="1">
        <v>43152</v>
      </c>
      <c r="C3472" t="s">
        <v>56</v>
      </c>
      <c r="D3472">
        <v>261.52</v>
      </c>
      <c r="E3472" s="12" t="str">
        <f>VLOOKUP(C3472,inf!$A$2:$B$7,2,FALSE)</f>
        <v>Current</v>
      </c>
      <c r="F3472" s="12" t="str">
        <f t="shared" si="57"/>
        <v>02/21/2018</v>
      </c>
      <c r="G3472" t="str">
        <f>VLOOKUP(A3472,inf!$D$2:$E$76,2,FALSE)</f>
        <v>Other</v>
      </c>
    </row>
    <row r="3473" spans="1:7" x14ac:dyDescent="0.25">
      <c r="A3473" t="s">
        <v>3</v>
      </c>
      <c r="B3473" s="1">
        <v>43152</v>
      </c>
      <c r="C3473" t="s">
        <v>55</v>
      </c>
      <c r="D3473">
        <v>589.29999999999995</v>
      </c>
      <c r="E3473" s="12" t="str">
        <f>VLOOKUP(C3473,inf!$A$2:$B$7,2,FALSE)</f>
        <v>Current</v>
      </c>
      <c r="F3473" s="12" t="str">
        <f t="shared" si="57"/>
        <v>02/21/2018</v>
      </c>
      <c r="G3473" t="str">
        <f>VLOOKUP(A3473,inf!$D$2:$E$76,2,FALSE)</f>
        <v>Other</v>
      </c>
    </row>
    <row r="3474" spans="1:7" x14ac:dyDescent="0.25">
      <c r="A3474" t="s">
        <v>3</v>
      </c>
      <c r="B3474" s="1">
        <v>43152</v>
      </c>
      <c r="C3474" t="s">
        <v>56</v>
      </c>
      <c r="D3474">
        <v>461.16999999999996</v>
      </c>
      <c r="E3474" s="12" t="str">
        <f>VLOOKUP(C3474,inf!$A$2:$B$7,2,FALSE)</f>
        <v>Current</v>
      </c>
      <c r="F3474" s="12" t="str">
        <f t="shared" si="57"/>
        <v>02/21/2018</v>
      </c>
      <c r="G3474" t="str">
        <f>VLOOKUP(A3474,inf!$D$2:$E$76,2,FALSE)</f>
        <v>Other</v>
      </c>
    </row>
    <row r="3475" spans="1:7" x14ac:dyDescent="0.25">
      <c r="A3475" t="s">
        <v>3</v>
      </c>
      <c r="B3475" s="1">
        <v>43152</v>
      </c>
      <c r="C3475" t="s">
        <v>57</v>
      </c>
      <c r="D3475">
        <v>62.5</v>
      </c>
      <c r="E3475" s="12" t="str">
        <f>VLOOKUP(C3475,inf!$A$2:$B$7,2,FALSE)</f>
        <v>31 to 60</v>
      </c>
      <c r="F3475" s="12" t="str">
        <f t="shared" si="57"/>
        <v>02/21/2018</v>
      </c>
      <c r="G3475" t="str">
        <f>VLOOKUP(A3475,inf!$D$2:$E$76,2,FALSE)</f>
        <v>Other</v>
      </c>
    </row>
    <row r="3476" spans="1:7" x14ac:dyDescent="0.25">
      <c r="A3476" t="s">
        <v>3</v>
      </c>
      <c r="B3476" s="1">
        <v>43152</v>
      </c>
      <c r="C3476" t="s">
        <v>58</v>
      </c>
      <c r="D3476">
        <v>345.82</v>
      </c>
      <c r="E3476" s="12" t="str">
        <f>VLOOKUP(C3476,inf!$A$2:$B$7,2,FALSE)</f>
        <v>61 to 90</v>
      </c>
      <c r="F3476" s="12" t="str">
        <f t="shared" si="57"/>
        <v>02/21/2018</v>
      </c>
      <c r="G3476" t="str">
        <f>VLOOKUP(A3476,inf!$D$2:$E$76,2,FALSE)</f>
        <v>Other</v>
      </c>
    </row>
    <row r="3477" spans="1:7" x14ac:dyDescent="0.25">
      <c r="A3477" t="s">
        <v>78</v>
      </c>
      <c r="B3477" s="1">
        <v>43152</v>
      </c>
      <c r="C3477" t="s">
        <v>55</v>
      </c>
      <c r="D3477">
        <v>385.92</v>
      </c>
      <c r="E3477" s="12" t="str">
        <f>VLOOKUP(C3477,inf!$A$2:$B$7,2,FALSE)</f>
        <v>Current</v>
      </c>
      <c r="F3477" s="12" t="str">
        <f t="shared" si="57"/>
        <v>02/21/2018</v>
      </c>
      <c r="G3477" t="str">
        <f>VLOOKUP(A3477,inf!$D$2:$E$76,2,FALSE)</f>
        <v>Other</v>
      </c>
    </row>
    <row r="3478" spans="1:7" x14ac:dyDescent="0.25">
      <c r="A3478" t="s">
        <v>78</v>
      </c>
      <c r="B3478" s="1">
        <v>43152</v>
      </c>
      <c r="C3478" t="s">
        <v>56</v>
      </c>
      <c r="D3478">
        <v>406.4</v>
      </c>
      <c r="E3478" s="12" t="str">
        <f>VLOOKUP(C3478,inf!$A$2:$B$7,2,FALSE)</f>
        <v>Current</v>
      </c>
      <c r="F3478" s="12" t="str">
        <f t="shared" si="57"/>
        <v>02/21/2018</v>
      </c>
      <c r="G3478" t="str">
        <f>VLOOKUP(A3478,inf!$D$2:$E$76,2,FALSE)</f>
        <v>Other</v>
      </c>
    </row>
    <row r="3479" spans="1:7" x14ac:dyDescent="0.25">
      <c r="A3479" t="s">
        <v>78</v>
      </c>
      <c r="B3479" s="1">
        <v>43152</v>
      </c>
      <c r="C3479" t="s">
        <v>57</v>
      </c>
      <c r="D3479">
        <v>983.65000000000009</v>
      </c>
      <c r="E3479" s="12" t="str">
        <f>VLOOKUP(C3479,inf!$A$2:$B$7,2,FALSE)</f>
        <v>31 to 60</v>
      </c>
      <c r="F3479" s="12" t="str">
        <f t="shared" si="57"/>
        <v>02/21/2018</v>
      </c>
      <c r="G3479" t="str">
        <f>VLOOKUP(A3479,inf!$D$2:$E$76,2,FALSE)</f>
        <v>Other</v>
      </c>
    </row>
    <row r="3480" spans="1:7" x14ac:dyDescent="0.25">
      <c r="A3480" t="s">
        <v>78</v>
      </c>
      <c r="B3480" s="1">
        <v>43152</v>
      </c>
      <c r="C3480" t="s">
        <v>59</v>
      </c>
      <c r="D3480">
        <v>292.45999999999998</v>
      </c>
      <c r="E3480" s="12" t="str">
        <f>VLOOKUP(C3480,inf!$A$2:$B$7,2,FALSE)</f>
        <v>Over 90</v>
      </c>
      <c r="F3480" s="12" t="str">
        <f t="shared" si="57"/>
        <v>02/21/2018</v>
      </c>
      <c r="G3480" t="str">
        <f>VLOOKUP(A3480,inf!$D$2:$E$76,2,FALSE)</f>
        <v>Other</v>
      </c>
    </row>
    <row r="3481" spans="1:7" x14ac:dyDescent="0.25">
      <c r="A3481" t="s">
        <v>79</v>
      </c>
      <c r="B3481" s="1">
        <v>43152</v>
      </c>
      <c r="C3481" t="s">
        <v>55</v>
      </c>
      <c r="D3481">
        <v>275.3</v>
      </c>
      <c r="E3481" s="12" t="str">
        <f>VLOOKUP(C3481,inf!$A$2:$B$7,2,FALSE)</f>
        <v>Current</v>
      </c>
      <c r="F3481" s="12" t="str">
        <f t="shared" si="57"/>
        <v>02/21/2018</v>
      </c>
      <c r="G3481" t="str">
        <f>VLOOKUP(A3481,inf!$D$2:$E$76,2,FALSE)</f>
        <v>Other</v>
      </c>
    </row>
    <row r="3482" spans="1:7" x14ac:dyDescent="0.25">
      <c r="A3482" t="s">
        <v>30</v>
      </c>
      <c r="B3482" s="1">
        <v>43152</v>
      </c>
      <c r="C3482" t="s">
        <v>55</v>
      </c>
      <c r="D3482">
        <v>796.93</v>
      </c>
      <c r="E3482" s="12" t="str">
        <f>VLOOKUP(C3482,inf!$A$2:$B$7,2,FALSE)</f>
        <v>Current</v>
      </c>
      <c r="F3482" s="12" t="str">
        <f t="shared" si="57"/>
        <v>02/21/2018</v>
      </c>
      <c r="G3482" t="str">
        <f>VLOOKUP(A3482,inf!$D$2:$E$76,2,FALSE)</f>
        <v>Other</v>
      </c>
    </row>
    <row r="3483" spans="1:7" x14ac:dyDescent="0.25">
      <c r="A3483" t="s">
        <v>30</v>
      </c>
      <c r="B3483" s="1">
        <v>43152</v>
      </c>
      <c r="C3483" t="s">
        <v>56</v>
      </c>
      <c r="D3483">
        <v>129.21</v>
      </c>
      <c r="E3483" s="12" t="str">
        <f>VLOOKUP(C3483,inf!$A$2:$B$7,2,FALSE)</f>
        <v>Current</v>
      </c>
      <c r="F3483" s="12" t="str">
        <f t="shared" si="57"/>
        <v>02/21/2018</v>
      </c>
      <c r="G3483" t="str">
        <f>VLOOKUP(A3483,inf!$D$2:$E$76,2,FALSE)</f>
        <v>Other</v>
      </c>
    </row>
    <row r="3484" spans="1:7" x14ac:dyDescent="0.25">
      <c r="A3484" t="s">
        <v>112</v>
      </c>
      <c r="B3484" s="1">
        <v>43152</v>
      </c>
      <c r="C3484" t="s">
        <v>55</v>
      </c>
      <c r="D3484">
        <v>270.11</v>
      </c>
      <c r="E3484" s="12" t="str">
        <f>VLOOKUP(C3484,inf!$A$2:$B$7,2,FALSE)</f>
        <v>Current</v>
      </c>
      <c r="F3484" s="12" t="str">
        <f t="shared" si="57"/>
        <v>02/21/2018</v>
      </c>
      <c r="G3484" t="str">
        <f>VLOOKUP(A3484,inf!$D$2:$E$76,2,FALSE)</f>
        <v>Other</v>
      </c>
    </row>
    <row r="3485" spans="1:7" x14ac:dyDescent="0.25">
      <c r="A3485" t="s">
        <v>63</v>
      </c>
      <c r="B3485" s="1">
        <v>43152</v>
      </c>
      <c r="C3485" t="s">
        <v>55</v>
      </c>
      <c r="D3485">
        <v>563.72</v>
      </c>
      <c r="E3485" s="12" t="str">
        <f>VLOOKUP(C3485,inf!$A$2:$B$7,2,FALSE)</f>
        <v>Current</v>
      </c>
      <c r="F3485" s="12" t="str">
        <f t="shared" si="57"/>
        <v>02/21/2018</v>
      </c>
      <c r="G3485" t="str">
        <f>VLOOKUP(A3485,inf!$D$2:$E$76,2,FALSE)</f>
        <v>Other</v>
      </c>
    </row>
    <row r="3486" spans="1:7" x14ac:dyDescent="0.25">
      <c r="A3486" t="s">
        <v>104</v>
      </c>
      <c r="B3486" s="1">
        <v>43152</v>
      </c>
      <c r="C3486" t="s">
        <v>55</v>
      </c>
      <c r="D3486">
        <v>2087.54</v>
      </c>
      <c r="E3486" s="12" t="str">
        <f>VLOOKUP(C3486,inf!$A$2:$B$7,2,FALSE)</f>
        <v>Current</v>
      </c>
      <c r="F3486" s="12" t="str">
        <f t="shared" si="57"/>
        <v>02/21/2018</v>
      </c>
      <c r="G3486" t="str">
        <f>VLOOKUP(A3486,inf!$D$2:$E$76,2,FALSE)</f>
        <v>Other</v>
      </c>
    </row>
    <row r="3487" spans="1:7" x14ac:dyDescent="0.25">
      <c r="A3487" t="s">
        <v>12</v>
      </c>
      <c r="B3487" s="1">
        <v>43152</v>
      </c>
      <c r="C3487" t="s">
        <v>55</v>
      </c>
      <c r="D3487">
        <v>743.06000000000006</v>
      </c>
      <c r="E3487" s="12" t="str">
        <f>VLOOKUP(C3487,inf!$A$2:$B$7,2,FALSE)</f>
        <v>Current</v>
      </c>
      <c r="F3487" s="12" t="str">
        <f t="shared" si="57"/>
        <v>02/21/2018</v>
      </c>
      <c r="G3487" t="str">
        <f>VLOOKUP(A3487,inf!$D$2:$E$76,2,FALSE)</f>
        <v>Other</v>
      </c>
    </row>
    <row r="3488" spans="1:7" x14ac:dyDescent="0.25">
      <c r="A3488" t="s">
        <v>12</v>
      </c>
      <c r="B3488" s="1">
        <v>43152</v>
      </c>
      <c r="C3488" t="s">
        <v>56</v>
      </c>
      <c r="D3488">
        <v>509.14</v>
      </c>
      <c r="E3488" s="12" t="str">
        <f>VLOOKUP(C3488,inf!$A$2:$B$7,2,FALSE)</f>
        <v>Current</v>
      </c>
      <c r="F3488" s="12" t="str">
        <f t="shared" si="57"/>
        <v>02/21/2018</v>
      </c>
      <c r="G3488" t="str">
        <f>VLOOKUP(A3488,inf!$D$2:$E$76,2,FALSE)</f>
        <v>Other</v>
      </c>
    </row>
    <row r="3489" spans="1:7" x14ac:dyDescent="0.25">
      <c r="A3489" t="s">
        <v>50</v>
      </c>
      <c r="B3489" s="1">
        <v>43152</v>
      </c>
      <c r="C3489" t="s">
        <v>55</v>
      </c>
      <c r="D3489">
        <v>501.90999999999997</v>
      </c>
      <c r="E3489" s="12" t="str">
        <f>VLOOKUP(C3489,inf!$A$2:$B$7,2,FALSE)</f>
        <v>Current</v>
      </c>
      <c r="F3489" s="12" t="str">
        <f t="shared" si="57"/>
        <v>02/21/2018</v>
      </c>
      <c r="G3489" t="str">
        <f>VLOOKUP(A3489,inf!$D$2:$E$76,2,FALSE)</f>
        <v>Other</v>
      </c>
    </row>
    <row r="3490" spans="1:7" x14ac:dyDescent="0.25">
      <c r="A3490" t="s">
        <v>107</v>
      </c>
      <c r="B3490" s="1">
        <v>43152</v>
      </c>
      <c r="C3490" t="s">
        <v>55</v>
      </c>
      <c r="D3490">
        <v>196.62</v>
      </c>
      <c r="E3490" s="12" t="str">
        <f>VLOOKUP(C3490,inf!$A$2:$B$7,2,FALSE)</f>
        <v>Current</v>
      </c>
      <c r="F3490" s="12" t="str">
        <f t="shared" si="57"/>
        <v>02/21/2018</v>
      </c>
      <c r="G3490" t="str">
        <f>VLOOKUP(A3490,inf!$D$2:$E$76,2,FALSE)</f>
        <v>Other</v>
      </c>
    </row>
    <row r="3491" spans="1:7" x14ac:dyDescent="0.25">
      <c r="A3491" t="s">
        <v>113</v>
      </c>
      <c r="B3491" s="1">
        <v>43152</v>
      </c>
      <c r="C3491" t="s">
        <v>55</v>
      </c>
      <c r="D3491">
        <v>309.14999999999998</v>
      </c>
      <c r="E3491" s="12" t="str">
        <f>VLOOKUP(C3491,inf!$A$2:$B$7,2,FALSE)</f>
        <v>Current</v>
      </c>
      <c r="F3491" s="12" t="str">
        <f t="shared" si="57"/>
        <v>02/21/2018</v>
      </c>
      <c r="G3491" t="str">
        <f>VLOOKUP(A3491,inf!$D$2:$E$76,2,FALSE)</f>
        <v>Other</v>
      </c>
    </row>
    <row r="3492" spans="1:7" x14ac:dyDescent="0.25">
      <c r="A3492" t="s">
        <v>83</v>
      </c>
      <c r="B3492" s="1">
        <v>43152</v>
      </c>
      <c r="C3492" t="s">
        <v>55</v>
      </c>
      <c r="D3492">
        <v>3868.5</v>
      </c>
      <c r="E3492" s="12" t="str">
        <f>VLOOKUP(C3492,inf!$A$2:$B$7,2,FALSE)</f>
        <v>Current</v>
      </c>
      <c r="F3492" s="12" t="str">
        <f t="shared" si="57"/>
        <v>02/21/2018</v>
      </c>
      <c r="G3492" t="str">
        <f>VLOOKUP(A3492,inf!$D$2:$E$76,2,FALSE)</f>
        <v>Other</v>
      </c>
    </row>
    <row r="3493" spans="1:7" x14ac:dyDescent="0.25">
      <c r="A3493" t="s">
        <v>7</v>
      </c>
      <c r="B3493" s="1">
        <v>43152</v>
      </c>
      <c r="C3493" t="s">
        <v>55</v>
      </c>
      <c r="D3493">
        <v>98158.210000000021</v>
      </c>
      <c r="E3493" s="12" t="str">
        <f>VLOOKUP(C3493,inf!$A$2:$B$7,2,FALSE)</f>
        <v>Current</v>
      </c>
      <c r="F3493" s="12" t="str">
        <f t="shared" si="57"/>
        <v>02/21/2018</v>
      </c>
      <c r="G3493" t="str">
        <f>VLOOKUP(A3493,inf!$D$2:$E$76,2,FALSE)</f>
        <v>SAFEWAY</v>
      </c>
    </row>
    <row r="3494" spans="1:7" x14ac:dyDescent="0.25">
      <c r="A3494" t="s">
        <v>7</v>
      </c>
      <c r="B3494" s="1">
        <v>43152</v>
      </c>
      <c r="C3494" t="s">
        <v>56</v>
      </c>
      <c r="D3494">
        <v>37467.869999999988</v>
      </c>
      <c r="E3494" s="12" t="str">
        <f>VLOOKUP(C3494,inf!$A$2:$B$7,2,FALSE)</f>
        <v>Current</v>
      </c>
      <c r="F3494" s="12" t="str">
        <f t="shared" si="57"/>
        <v>02/21/2018</v>
      </c>
      <c r="G3494" t="str">
        <f>VLOOKUP(A3494,inf!$D$2:$E$76,2,FALSE)</f>
        <v>SAFEWAY</v>
      </c>
    </row>
    <row r="3495" spans="1:7" x14ac:dyDescent="0.25">
      <c r="A3495" t="s">
        <v>7</v>
      </c>
      <c r="B3495" s="1">
        <v>43152</v>
      </c>
      <c r="C3495" t="s">
        <v>57</v>
      </c>
      <c r="D3495">
        <v>5141.2700000000004</v>
      </c>
      <c r="E3495" s="12" t="str">
        <f>VLOOKUP(C3495,inf!$A$2:$B$7,2,FALSE)</f>
        <v>31 to 60</v>
      </c>
      <c r="F3495" s="12" t="str">
        <f t="shared" si="57"/>
        <v>02/21/2018</v>
      </c>
      <c r="G3495" t="str">
        <f>VLOOKUP(A3495,inf!$D$2:$E$76,2,FALSE)</f>
        <v>SAFEWAY</v>
      </c>
    </row>
    <row r="3496" spans="1:7" x14ac:dyDescent="0.25">
      <c r="A3496" t="s">
        <v>7</v>
      </c>
      <c r="B3496" s="1">
        <v>43152</v>
      </c>
      <c r="C3496" t="s">
        <v>58</v>
      </c>
      <c r="D3496">
        <v>5559.7500000000009</v>
      </c>
      <c r="E3496" s="12" t="str">
        <f>VLOOKUP(C3496,inf!$A$2:$B$7,2,FALSE)</f>
        <v>61 to 90</v>
      </c>
      <c r="F3496" s="12" t="str">
        <f t="shared" si="57"/>
        <v>02/21/2018</v>
      </c>
      <c r="G3496" t="str">
        <f>VLOOKUP(A3496,inf!$D$2:$E$76,2,FALSE)</f>
        <v>SAFEWAY</v>
      </c>
    </row>
    <row r="3497" spans="1:7" x14ac:dyDescent="0.25">
      <c r="A3497" t="s">
        <v>7</v>
      </c>
      <c r="B3497" s="1">
        <v>43152</v>
      </c>
      <c r="C3497" t="s">
        <v>59</v>
      </c>
      <c r="D3497">
        <v>3718.04</v>
      </c>
      <c r="E3497" s="12" t="str">
        <f>VLOOKUP(C3497,inf!$A$2:$B$7,2,FALSE)</f>
        <v>Over 90</v>
      </c>
      <c r="F3497" s="12" t="str">
        <f t="shared" si="57"/>
        <v>02/21/2018</v>
      </c>
      <c r="G3497" t="str">
        <f>VLOOKUP(A3497,inf!$D$2:$E$76,2,FALSE)</f>
        <v>SAFEWAY</v>
      </c>
    </row>
    <row r="3498" spans="1:7" x14ac:dyDescent="0.25">
      <c r="A3498" t="s">
        <v>7</v>
      </c>
      <c r="B3498" s="1">
        <v>43152</v>
      </c>
      <c r="C3498" t="s">
        <v>60</v>
      </c>
      <c r="D3498">
        <v>873.22</v>
      </c>
      <c r="E3498" s="12" t="str">
        <f>VLOOKUP(C3498,inf!$A$2:$B$7,2,FALSE)</f>
        <v>Over 90</v>
      </c>
      <c r="F3498" s="12" t="str">
        <f t="shared" si="57"/>
        <v>02/21/2018</v>
      </c>
      <c r="G3498" t="str">
        <f>VLOOKUP(A3498,inf!$D$2:$E$76,2,FALSE)</f>
        <v>SAFEWAY</v>
      </c>
    </row>
    <row r="3499" spans="1:7" x14ac:dyDescent="0.25">
      <c r="A3499" t="s">
        <v>81</v>
      </c>
      <c r="B3499" s="1">
        <v>43152</v>
      </c>
      <c r="C3499" t="s">
        <v>55</v>
      </c>
      <c r="D3499">
        <v>584.24</v>
      </c>
      <c r="E3499" s="12" t="str">
        <f>VLOOKUP(C3499,inf!$A$2:$B$7,2,FALSE)</f>
        <v>Current</v>
      </c>
      <c r="F3499" s="12" t="str">
        <f t="shared" si="57"/>
        <v>02/21/2018</v>
      </c>
      <c r="G3499" t="str">
        <f>VLOOKUP(A3499,inf!$D$2:$E$76,2,FALSE)</f>
        <v>Other</v>
      </c>
    </row>
    <row r="3500" spans="1:7" x14ac:dyDescent="0.25">
      <c r="A3500" t="s">
        <v>81</v>
      </c>
      <c r="B3500" s="1">
        <v>43152</v>
      </c>
      <c r="C3500" t="s">
        <v>57</v>
      </c>
      <c r="D3500">
        <v>174.98</v>
      </c>
      <c r="E3500" s="12" t="str">
        <f>VLOOKUP(C3500,inf!$A$2:$B$7,2,FALSE)</f>
        <v>31 to 60</v>
      </c>
      <c r="F3500" s="12" t="str">
        <f t="shared" si="57"/>
        <v>02/21/2018</v>
      </c>
      <c r="G3500" t="str">
        <f>VLOOKUP(A3500,inf!$D$2:$E$76,2,FALSE)</f>
        <v>Other</v>
      </c>
    </row>
    <row r="3501" spans="1:7" x14ac:dyDescent="0.25">
      <c r="A3501" t="s">
        <v>74</v>
      </c>
      <c r="B3501" s="1">
        <v>43152</v>
      </c>
      <c r="C3501" t="s">
        <v>60</v>
      </c>
      <c r="D3501">
        <v>60.5</v>
      </c>
      <c r="E3501" s="12" t="str">
        <f>VLOOKUP(C3501,inf!$A$2:$B$7,2,FALSE)</f>
        <v>Over 90</v>
      </c>
      <c r="F3501" s="12" t="str">
        <f t="shared" si="57"/>
        <v>02/21/2018</v>
      </c>
      <c r="G3501" t="str">
        <f>VLOOKUP(A3501,inf!$D$2:$E$76,2,FALSE)</f>
        <v>Other</v>
      </c>
    </row>
    <row r="3502" spans="1:7" x14ac:dyDescent="0.25">
      <c r="A3502" t="s">
        <v>5</v>
      </c>
      <c r="B3502" s="1">
        <v>43152</v>
      </c>
      <c r="C3502" t="s">
        <v>55</v>
      </c>
      <c r="D3502">
        <v>6891679.2400000403</v>
      </c>
      <c r="E3502" s="12" t="str">
        <f>VLOOKUP(C3502,inf!$A$2:$B$7,2,FALSE)</f>
        <v>Current</v>
      </c>
      <c r="F3502" s="12" t="str">
        <f t="shared" si="57"/>
        <v>02/21/2018</v>
      </c>
      <c r="G3502" t="str">
        <f>VLOOKUP(A3502,inf!$D$2:$E$76,2,FALSE)</f>
        <v>SBUX</v>
      </c>
    </row>
    <row r="3503" spans="1:7" x14ac:dyDescent="0.25">
      <c r="A3503" t="s">
        <v>5</v>
      </c>
      <c r="B3503" s="1">
        <v>43152</v>
      </c>
      <c r="C3503" t="s">
        <v>56</v>
      </c>
      <c r="D3503">
        <v>48477.429999999978</v>
      </c>
      <c r="E3503" s="12" t="str">
        <f>VLOOKUP(C3503,inf!$A$2:$B$7,2,FALSE)</f>
        <v>Current</v>
      </c>
      <c r="F3503" s="12" t="str">
        <f t="shared" si="57"/>
        <v>02/21/2018</v>
      </c>
      <c r="G3503" t="str">
        <f>VLOOKUP(A3503,inf!$D$2:$E$76,2,FALSE)</f>
        <v>SBUX</v>
      </c>
    </row>
    <row r="3504" spans="1:7" x14ac:dyDescent="0.25">
      <c r="A3504" t="s">
        <v>5</v>
      </c>
      <c r="B3504" s="1">
        <v>43152</v>
      </c>
      <c r="C3504" t="s">
        <v>57</v>
      </c>
      <c r="D3504">
        <v>58530.550000000025</v>
      </c>
      <c r="E3504" s="12" t="str">
        <f>VLOOKUP(C3504,inf!$A$2:$B$7,2,FALSE)</f>
        <v>31 to 60</v>
      </c>
      <c r="F3504" s="12" t="str">
        <f t="shared" si="57"/>
        <v>02/21/2018</v>
      </c>
      <c r="G3504" t="str">
        <f>VLOOKUP(A3504,inf!$D$2:$E$76,2,FALSE)</f>
        <v>SBUX</v>
      </c>
    </row>
    <row r="3505" spans="1:7" x14ac:dyDescent="0.25">
      <c r="A3505" t="s">
        <v>5</v>
      </c>
      <c r="B3505" s="1">
        <v>43152</v>
      </c>
      <c r="C3505" t="s">
        <v>58</v>
      </c>
      <c r="D3505">
        <v>25929.239999999998</v>
      </c>
      <c r="E3505" s="12" t="str">
        <f>VLOOKUP(C3505,inf!$A$2:$B$7,2,FALSE)</f>
        <v>61 to 90</v>
      </c>
      <c r="F3505" s="12" t="str">
        <f t="shared" si="57"/>
        <v>02/21/2018</v>
      </c>
      <c r="G3505" t="str">
        <f>VLOOKUP(A3505,inf!$D$2:$E$76,2,FALSE)</f>
        <v>SBUX</v>
      </c>
    </row>
    <row r="3506" spans="1:7" x14ac:dyDescent="0.25">
      <c r="A3506" t="s">
        <v>5</v>
      </c>
      <c r="B3506" s="1">
        <v>43152</v>
      </c>
      <c r="C3506" t="s">
        <v>59</v>
      </c>
      <c r="D3506">
        <v>43480.399999999987</v>
      </c>
      <c r="E3506" s="12" t="str">
        <f>VLOOKUP(C3506,inf!$A$2:$B$7,2,FALSE)</f>
        <v>Over 90</v>
      </c>
      <c r="F3506" s="12" t="str">
        <f t="shared" si="57"/>
        <v>02/21/2018</v>
      </c>
      <c r="G3506" t="str">
        <f>VLOOKUP(A3506,inf!$D$2:$E$76,2,FALSE)</f>
        <v>SBUX</v>
      </c>
    </row>
    <row r="3507" spans="1:7" x14ac:dyDescent="0.25">
      <c r="A3507" t="s">
        <v>5</v>
      </c>
      <c r="B3507" s="1">
        <v>43152</v>
      </c>
      <c r="C3507" t="s">
        <v>60</v>
      </c>
      <c r="D3507">
        <v>132144.90999999989</v>
      </c>
      <c r="E3507" s="12" t="str">
        <f>VLOOKUP(C3507,inf!$A$2:$B$7,2,FALSE)</f>
        <v>Over 90</v>
      </c>
      <c r="F3507" s="12" t="str">
        <f t="shared" si="57"/>
        <v>02/21/2018</v>
      </c>
      <c r="G3507" t="str">
        <f>VLOOKUP(A3507,inf!$D$2:$E$76,2,FALSE)</f>
        <v>SBUX</v>
      </c>
    </row>
    <row r="3508" spans="1:7" x14ac:dyDescent="0.25">
      <c r="A3508" t="s">
        <v>6</v>
      </c>
      <c r="B3508" s="1">
        <v>43152</v>
      </c>
      <c r="C3508" t="s">
        <v>55</v>
      </c>
      <c r="D3508">
        <v>583044.42999999353</v>
      </c>
      <c r="E3508" s="12" t="str">
        <f>VLOOKUP(C3508,inf!$A$2:$B$7,2,FALSE)</f>
        <v>Current</v>
      </c>
      <c r="F3508" s="12" t="str">
        <f t="shared" si="57"/>
        <v>02/21/2018</v>
      </c>
      <c r="G3508" t="str">
        <f>VLOOKUP(A3508,inf!$D$2:$E$76,2,FALSE)</f>
        <v>SBUX</v>
      </c>
    </row>
    <row r="3509" spans="1:7" x14ac:dyDescent="0.25">
      <c r="A3509" t="s">
        <v>6</v>
      </c>
      <c r="B3509" s="1">
        <v>43152</v>
      </c>
      <c r="C3509" t="s">
        <v>56</v>
      </c>
      <c r="D3509">
        <v>19510.78000000001</v>
      </c>
      <c r="E3509" s="12" t="str">
        <f>VLOOKUP(C3509,inf!$A$2:$B$7,2,FALSE)</f>
        <v>Current</v>
      </c>
      <c r="F3509" s="12" t="str">
        <f t="shared" ref="F3509:F3514" si="58">TEXT(B3509,"MM/DD/YYYY")</f>
        <v>02/21/2018</v>
      </c>
      <c r="G3509" t="str">
        <f>VLOOKUP(A3509,inf!$D$2:$E$76,2,FALSE)</f>
        <v>SBUX</v>
      </c>
    </row>
    <row r="3510" spans="1:7" x14ac:dyDescent="0.25">
      <c r="A3510" t="s">
        <v>6</v>
      </c>
      <c r="B3510" s="1">
        <v>43152</v>
      </c>
      <c r="C3510" t="s">
        <v>57</v>
      </c>
      <c r="D3510">
        <v>2996.9499999999989</v>
      </c>
      <c r="E3510" s="12" t="str">
        <f>VLOOKUP(C3510,inf!$A$2:$B$7,2,FALSE)</f>
        <v>31 to 60</v>
      </c>
      <c r="F3510" s="12" t="str">
        <f t="shared" si="58"/>
        <v>02/21/2018</v>
      </c>
      <c r="G3510" t="str">
        <f>VLOOKUP(A3510,inf!$D$2:$E$76,2,FALSE)</f>
        <v>SBUX</v>
      </c>
    </row>
    <row r="3511" spans="1:7" x14ac:dyDescent="0.25">
      <c r="A3511" t="s">
        <v>6</v>
      </c>
      <c r="B3511" s="1">
        <v>43152</v>
      </c>
      <c r="C3511" t="s">
        <v>58</v>
      </c>
      <c r="D3511">
        <v>1176.43</v>
      </c>
      <c r="E3511" s="12" t="str">
        <f>VLOOKUP(C3511,inf!$A$2:$B$7,2,FALSE)</f>
        <v>61 to 90</v>
      </c>
      <c r="F3511" s="12" t="str">
        <f t="shared" si="58"/>
        <v>02/21/2018</v>
      </c>
      <c r="G3511" t="str">
        <f>VLOOKUP(A3511,inf!$D$2:$E$76,2,FALSE)</f>
        <v>SBUX</v>
      </c>
    </row>
    <row r="3512" spans="1:7" x14ac:dyDescent="0.25">
      <c r="A3512" t="s">
        <v>6</v>
      </c>
      <c r="B3512" s="1">
        <v>43152</v>
      </c>
      <c r="C3512" t="s">
        <v>59</v>
      </c>
      <c r="D3512">
        <v>1701.48</v>
      </c>
      <c r="E3512" s="12" t="str">
        <f>VLOOKUP(C3512,inf!$A$2:$B$7,2,FALSE)</f>
        <v>Over 90</v>
      </c>
      <c r="F3512" s="12" t="str">
        <f t="shared" si="58"/>
        <v>02/21/2018</v>
      </c>
      <c r="G3512" t="str">
        <f>VLOOKUP(A3512,inf!$D$2:$E$76,2,FALSE)</f>
        <v>SBUX</v>
      </c>
    </row>
    <row r="3513" spans="1:7" x14ac:dyDescent="0.25">
      <c r="A3513" t="s">
        <v>6</v>
      </c>
      <c r="B3513" s="1">
        <v>43152</v>
      </c>
      <c r="C3513" t="s">
        <v>60</v>
      </c>
      <c r="D3513">
        <v>8958.66</v>
      </c>
      <c r="E3513" s="12" t="str">
        <f>VLOOKUP(C3513,inf!$A$2:$B$7,2,FALSE)</f>
        <v>Over 90</v>
      </c>
      <c r="F3513" s="12" t="str">
        <f t="shared" si="58"/>
        <v>02/21/2018</v>
      </c>
      <c r="G3513" t="str">
        <f>VLOOKUP(A3513,inf!$D$2:$E$76,2,FALSE)</f>
        <v>SBUX</v>
      </c>
    </row>
    <row r="3514" spans="1:7" x14ac:dyDescent="0.25">
      <c r="A3514" t="s">
        <v>49</v>
      </c>
      <c r="B3514" s="1">
        <v>43152</v>
      </c>
      <c r="C3514" t="s">
        <v>55</v>
      </c>
      <c r="D3514">
        <v>460.3</v>
      </c>
      <c r="E3514" s="12" t="str">
        <f>VLOOKUP(C3514,inf!$A$2:$B$7,2,FALSE)</f>
        <v>Current</v>
      </c>
      <c r="F3514" s="12" t="str">
        <f t="shared" si="58"/>
        <v>02/21/2018</v>
      </c>
      <c r="G3514" t="str">
        <f>VLOOKUP(A3514,inf!$D$2:$E$76,2,FALSE)</f>
        <v>Other</v>
      </c>
    </row>
    <row r="3515" spans="1:7" x14ac:dyDescent="0.25">
      <c r="A3515" t="s">
        <v>48</v>
      </c>
      <c r="B3515" s="1">
        <v>43152</v>
      </c>
      <c r="C3515" t="s">
        <v>55</v>
      </c>
      <c r="D3515">
        <v>360333.18999999936</v>
      </c>
      <c r="E3515" s="12" t="str">
        <f>VLOOKUP(C3515,inf!$A$2:$B$7,2,FALSE)</f>
        <v>Current</v>
      </c>
      <c r="F3515" s="12" t="str">
        <f t="shared" ref="F3515:F3528" si="59">TEXT(B3515,"MM/DD/YYYY")</f>
        <v>02/21/2018</v>
      </c>
      <c r="G3515" t="str">
        <f>VLOOKUP(A3515,inf!$D$2:$E$76,2,FALSE)</f>
        <v>Target</v>
      </c>
    </row>
    <row r="3516" spans="1:7" x14ac:dyDescent="0.25">
      <c r="A3516" t="s">
        <v>48</v>
      </c>
      <c r="B3516" s="1">
        <v>43152</v>
      </c>
      <c r="C3516" t="s">
        <v>56</v>
      </c>
      <c r="D3516">
        <v>6156.89</v>
      </c>
      <c r="E3516" s="12" t="str">
        <f>VLOOKUP(C3516,inf!$A$2:$B$7,2,FALSE)</f>
        <v>Current</v>
      </c>
      <c r="F3516" s="12" t="str">
        <f t="shared" si="59"/>
        <v>02/21/2018</v>
      </c>
      <c r="G3516" t="str">
        <f>VLOOKUP(A3516,inf!$D$2:$E$76,2,FALSE)</f>
        <v>Target</v>
      </c>
    </row>
    <row r="3517" spans="1:7" x14ac:dyDescent="0.25">
      <c r="A3517" t="s">
        <v>48</v>
      </c>
      <c r="B3517" s="1">
        <v>43152</v>
      </c>
      <c r="C3517" t="s">
        <v>57</v>
      </c>
      <c r="D3517">
        <v>23941.679999999993</v>
      </c>
      <c r="E3517" s="12" t="str">
        <f>VLOOKUP(C3517,inf!$A$2:$B$7,2,FALSE)</f>
        <v>31 to 60</v>
      </c>
      <c r="F3517" s="12" t="str">
        <f t="shared" si="59"/>
        <v>02/21/2018</v>
      </c>
      <c r="G3517" t="str">
        <f>VLOOKUP(A3517,inf!$D$2:$E$76,2,FALSE)</f>
        <v>Target</v>
      </c>
    </row>
    <row r="3518" spans="1:7" x14ac:dyDescent="0.25">
      <c r="A3518" t="s">
        <v>48</v>
      </c>
      <c r="B3518" s="1">
        <v>43152</v>
      </c>
      <c r="C3518" t="s">
        <v>58</v>
      </c>
      <c r="D3518">
        <v>21550.050000000003</v>
      </c>
      <c r="E3518" s="12" t="str">
        <f>VLOOKUP(C3518,inf!$A$2:$B$7,2,FALSE)</f>
        <v>61 to 90</v>
      </c>
      <c r="F3518" s="12" t="str">
        <f t="shared" si="59"/>
        <v>02/21/2018</v>
      </c>
      <c r="G3518" t="str">
        <f>VLOOKUP(A3518,inf!$D$2:$E$76,2,FALSE)</f>
        <v>Target</v>
      </c>
    </row>
    <row r="3519" spans="1:7" x14ac:dyDescent="0.25">
      <c r="A3519" t="s">
        <v>48</v>
      </c>
      <c r="B3519" s="1">
        <v>43152</v>
      </c>
      <c r="C3519" t="s">
        <v>59</v>
      </c>
      <c r="D3519">
        <v>2161.5600000000004</v>
      </c>
      <c r="E3519" s="12" t="str">
        <f>VLOOKUP(C3519,inf!$A$2:$B$7,2,FALSE)</f>
        <v>Over 90</v>
      </c>
      <c r="F3519" s="12" t="str">
        <f t="shared" si="59"/>
        <v>02/21/2018</v>
      </c>
      <c r="G3519" t="str">
        <f>VLOOKUP(A3519,inf!$D$2:$E$76,2,FALSE)</f>
        <v>Target</v>
      </c>
    </row>
    <row r="3520" spans="1:7" x14ac:dyDescent="0.25">
      <c r="A3520" t="s">
        <v>48</v>
      </c>
      <c r="B3520" s="1">
        <v>43152</v>
      </c>
      <c r="C3520" t="s">
        <v>60</v>
      </c>
      <c r="D3520">
        <v>4402.5</v>
      </c>
      <c r="E3520" s="12" t="str">
        <f>VLOOKUP(C3520,inf!$A$2:$B$7,2,FALSE)</f>
        <v>Over 90</v>
      </c>
      <c r="F3520" s="12" t="str">
        <f t="shared" si="59"/>
        <v>02/21/2018</v>
      </c>
      <c r="G3520" t="str">
        <f>VLOOKUP(A3520,inf!$D$2:$E$76,2,FALSE)</f>
        <v>Target</v>
      </c>
    </row>
    <row r="3521" spans="1:7" x14ac:dyDescent="0.25">
      <c r="A3521" t="s">
        <v>8</v>
      </c>
      <c r="B3521" s="1">
        <v>43152</v>
      </c>
      <c r="C3521" t="s">
        <v>55</v>
      </c>
      <c r="D3521">
        <v>472276.10999999923</v>
      </c>
      <c r="E3521" s="12" t="str">
        <f>VLOOKUP(C3521,inf!$A$2:$B$7,2,FALSE)</f>
        <v>Current</v>
      </c>
      <c r="F3521" s="12" t="str">
        <f t="shared" si="59"/>
        <v>02/21/2018</v>
      </c>
      <c r="G3521" t="str">
        <f>VLOOKUP(A3521,inf!$D$2:$E$76,2,FALSE)</f>
        <v>Target</v>
      </c>
    </row>
    <row r="3522" spans="1:7" x14ac:dyDescent="0.25">
      <c r="A3522" t="s">
        <v>8</v>
      </c>
      <c r="B3522" s="1">
        <v>43152</v>
      </c>
      <c r="C3522" t="s">
        <v>56</v>
      </c>
      <c r="D3522">
        <v>28053.170000000002</v>
      </c>
      <c r="E3522" s="12" t="str">
        <f>VLOOKUP(C3522,inf!$A$2:$B$7,2,FALSE)</f>
        <v>Current</v>
      </c>
      <c r="F3522" s="12" t="str">
        <f t="shared" si="59"/>
        <v>02/21/2018</v>
      </c>
      <c r="G3522" t="str">
        <f>VLOOKUP(A3522,inf!$D$2:$E$76,2,FALSE)</f>
        <v>Target</v>
      </c>
    </row>
    <row r="3523" spans="1:7" x14ac:dyDescent="0.25">
      <c r="A3523" t="s">
        <v>8</v>
      </c>
      <c r="B3523" s="1">
        <v>43152</v>
      </c>
      <c r="C3523" t="s">
        <v>57</v>
      </c>
      <c r="D3523">
        <v>4298</v>
      </c>
      <c r="E3523" s="12" t="str">
        <f>VLOOKUP(C3523,inf!$A$2:$B$7,2,FALSE)</f>
        <v>31 to 60</v>
      </c>
      <c r="F3523" s="12" t="str">
        <f t="shared" si="59"/>
        <v>02/21/2018</v>
      </c>
      <c r="G3523" t="str">
        <f>VLOOKUP(A3523,inf!$D$2:$E$76,2,FALSE)</f>
        <v>Target</v>
      </c>
    </row>
    <row r="3524" spans="1:7" x14ac:dyDescent="0.25">
      <c r="A3524" t="s">
        <v>8</v>
      </c>
      <c r="B3524" s="1">
        <v>43152</v>
      </c>
      <c r="C3524" t="s">
        <v>58</v>
      </c>
      <c r="D3524">
        <v>16065.730000000003</v>
      </c>
      <c r="E3524" s="12" t="str">
        <f>VLOOKUP(C3524,inf!$A$2:$B$7,2,FALSE)</f>
        <v>61 to 90</v>
      </c>
      <c r="F3524" s="12" t="str">
        <f t="shared" si="59"/>
        <v>02/21/2018</v>
      </c>
      <c r="G3524" t="str">
        <f>VLOOKUP(A3524,inf!$D$2:$E$76,2,FALSE)</f>
        <v>Target</v>
      </c>
    </row>
    <row r="3525" spans="1:7" x14ac:dyDescent="0.25">
      <c r="A3525" t="s">
        <v>8</v>
      </c>
      <c r="B3525" s="1">
        <v>43152</v>
      </c>
      <c r="C3525" t="s">
        <v>59</v>
      </c>
      <c r="D3525">
        <v>10862.88</v>
      </c>
      <c r="E3525" s="12" t="str">
        <f>VLOOKUP(C3525,inf!$A$2:$B$7,2,FALSE)</f>
        <v>Over 90</v>
      </c>
      <c r="F3525" s="12" t="str">
        <f t="shared" si="59"/>
        <v>02/21/2018</v>
      </c>
      <c r="G3525" t="str">
        <f>VLOOKUP(A3525,inf!$D$2:$E$76,2,FALSE)</f>
        <v>Target</v>
      </c>
    </row>
    <row r="3526" spans="1:7" x14ac:dyDescent="0.25">
      <c r="A3526" t="s">
        <v>8</v>
      </c>
      <c r="B3526" s="1">
        <v>43152</v>
      </c>
      <c r="C3526" t="s">
        <v>60</v>
      </c>
      <c r="D3526">
        <v>7217.8899999999994</v>
      </c>
      <c r="E3526" s="12" t="str">
        <f>VLOOKUP(C3526,inf!$A$2:$B$7,2,FALSE)</f>
        <v>Over 90</v>
      </c>
      <c r="F3526" s="12" t="str">
        <f t="shared" si="59"/>
        <v>02/21/2018</v>
      </c>
      <c r="G3526" t="str">
        <f>VLOOKUP(A3526,inf!$D$2:$E$76,2,FALSE)</f>
        <v>Target</v>
      </c>
    </row>
    <row r="3527" spans="1:7" x14ac:dyDescent="0.25">
      <c r="A3527" t="s">
        <v>54</v>
      </c>
      <c r="B3527" s="1">
        <v>43152</v>
      </c>
      <c r="C3527" t="s">
        <v>55</v>
      </c>
      <c r="D3527">
        <v>583.93000000000006</v>
      </c>
      <c r="E3527" s="12" t="str">
        <f>VLOOKUP(C3527,inf!$A$2:$B$7,2,FALSE)</f>
        <v>Current</v>
      </c>
      <c r="F3527" s="12" t="str">
        <f t="shared" si="59"/>
        <v>02/21/2018</v>
      </c>
      <c r="G3527" t="str">
        <f>VLOOKUP(A3527,inf!$D$2:$E$76,2,FALSE)</f>
        <v>Other</v>
      </c>
    </row>
    <row r="3528" spans="1:7" x14ac:dyDescent="0.25">
      <c r="A3528" t="s">
        <v>54</v>
      </c>
      <c r="B3528" s="1">
        <v>43152</v>
      </c>
      <c r="C3528" t="s">
        <v>56</v>
      </c>
      <c r="D3528">
        <v>497.05</v>
      </c>
      <c r="E3528" s="12" t="str">
        <f>VLOOKUP(C3528,inf!$A$2:$B$7,2,FALSE)</f>
        <v>Current</v>
      </c>
      <c r="F3528" s="12" t="str">
        <f t="shared" si="59"/>
        <v>02/21/2018</v>
      </c>
      <c r="G3528" t="str">
        <f>VLOOKUP(A3528,inf!$D$2:$E$76,2,FALSE)</f>
        <v>Other</v>
      </c>
    </row>
    <row r="3529" spans="1:7" x14ac:dyDescent="0.25">
      <c r="A3529" t="s">
        <v>54</v>
      </c>
      <c r="B3529" s="1">
        <v>43152</v>
      </c>
      <c r="C3529" t="s">
        <v>60</v>
      </c>
      <c r="D3529">
        <v>122.72</v>
      </c>
      <c r="E3529" s="12" t="str">
        <f>VLOOKUP(C3529,inf!$A$2:$B$7,2,FALSE)</f>
        <v>Over 90</v>
      </c>
      <c r="F3529" s="12" t="str">
        <f t="shared" ref="F3529:F3530" si="60">TEXT(B3529,"MM/DD/YYYY")</f>
        <v>02/21/2018</v>
      </c>
      <c r="G3529" t="str">
        <f>VLOOKUP(A3529,inf!$D$2:$E$76,2,FALSE)</f>
        <v>Other</v>
      </c>
    </row>
    <row r="3530" spans="1:7" x14ac:dyDescent="0.25">
      <c r="A3530" t="s">
        <v>28</v>
      </c>
      <c r="B3530" s="1">
        <v>43152</v>
      </c>
      <c r="C3530" t="s">
        <v>55</v>
      </c>
      <c r="D3530">
        <v>12424.760000000002</v>
      </c>
      <c r="E3530" s="12" t="str">
        <f>VLOOKUP(C3530,inf!$A$2:$B$7,2,FALSE)</f>
        <v>Current</v>
      </c>
      <c r="F3530" s="12" t="str">
        <f t="shared" si="60"/>
        <v>02/21/2018</v>
      </c>
      <c r="G3530" t="str">
        <f>VLOOKUP(A3530,inf!$D$2:$E$76,2,FALSE)</f>
        <v>Other</v>
      </c>
    </row>
    <row r="3531" spans="1:7" x14ac:dyDescent="0.25">
      <c r="A3531" t="s">
        <v>15</v>
      </c>
      <c r="B3531" s="1">
        <v>43152</v>
      </c>
      <c r="C3531" t="s">
        <v>55</v>
      </c>
      <c r="D3531">
        <v>153.57</v>
      </c>
      <c r="E3531" s="12" t="str">
        <f>VLOOKUP(C3531,inf!$A$2:$B$7,2,FALSE)</f>
        <v>Current</v>
      </c>
      <c r="F3531" s="12" t="str">
        <f t="shared" ref="F3531:F3549" si="61">TEXT(B3531,"MM/DD/YYYY")</f>
        <v>02/21/2018</v>
      </c>
      <c r="G3531" t="str">
        <f>VLOOKUP(A3531,inf!$D$2:$E$76,2,FALSE)</f>
        <v>Other</v>
      </c>
    </row>
    <row r="3532" spans="1:7" x14ac:dyDescent="0.25">
      <c r="A3532" t="s">
        <v>15</v>
      </c>
      <c r="B3532" s="1">
        <v>43152</v>
      </c>
      <c r="C3532" t="s">
        <v>58</v>
      </c>
      <c r="D3532">
        <v>317.29000000000002</v>
      </c>
      <c r="E3532" s="12" t="str">
        <f>VLOOKUP(C3532,inf!$A$2:$B$7,2,FALSE)</f>
        <v>61 to 90</v>
      </c>
      <c r="F3532" s="12" t="str">
        <f t="shared" si="61"/>
        <v>02/21/2018</v>
      </c>
      <c r="G3532" t="str">
        <f>VLOOKUP(A3532,inf!$D$2:$E$76,2,FALSE)</f>
        <v>Other</v>
      </c>
    </row>
    <row r="3533" spans="1:7" x14ac:dyDescent="0.25">
      <c r="A3533" t="s">
        <v>15</v>
      </c>
      <c r="B3533" s="1">
        <v>43152</v>
      </c>
      <c r="C3533" t="s">
        <v>60</v>
      </c>
      <c r="D3533">
        <v>653.86</v>
      </c>
      <c r="E3533" s="12" t="str">
        <f>VLOOKUP(C3533,inf!$A$2:$B$7,2,FALSE)</f>
        <v>Over 90</v>
      </c>
      <c r="F3533" s="12" t="str">
        <f t="shared" si="61"/>
        <v>02/21/2018</v>
      </c>
      <c r="G3533" t="str">
        <f>VLOOKUP(A3533,inf!$D$2:$E$76,2,FALSE)</f>
        <v>Other</v>
      </c>
    </row>
    <row r="3534" spans="1:7" x14ac:dyDescent="0.25">
      <c r="A3534" t="s">
        <v>121</v>
      </c>
      <c r="B3534" s="1">
        <v>43159</v>
      </c>
      <c r="C3534" t="s">
        <v>55</v>
      </c>
      <c r="D3534">
        <v>232.28</v>
      </c>
      <c r="E3534" s="12" t="str">
        <f>VLOOKUP(C3534,inf!$A$2:$B$7,2,FALSE)</f>
        <v>Current</v>
      </c>
      <c r="F3534" s="12" t="str">
        <f t="shared" si="61"/>
        <v>02/28/2018</v>
      </c>
      <c r="G3534" t="str">
        <f>VLOOKUP(A3534,inf!$D$2:$E$76,2,FALSE)</f>
        <v>Other</v>
      </c>
    </row>
    <row r="3535" spans="1:7" x14ac:dyDescent="0.25">
      <c r="A3535" t="s">
        <v>22</v>
      </c>
      <c r="B3535" s="1">
        <v>43159</v>
      </c>
      <c r="C3535" t="s">
        <v>56</v>
      </c>
      <c r="D3535">
        <v>114.85</v>
      </c>
      <c r="E3535" s="12" t="str">
        <f>VLOOKUP(C3535,inf!$A$2:$B$7,2,FALSE)</f>
        <v>Current</v>
      </c>
      <c r="F3535" s="12" t="str">
        <f t="shared" si="61"/>
        <v>02/28/2018</v>
      </c>
      <c r="G3535" t="str">
        <f>VLOOKUP(A3535,inf!$D$2:$E$76,2,FALSE)</f>
        <v>Other</v>
      </c>
    </row>
    <row r="3536" spans="1:7" x14ac:dyDescent="0.25">
      <c r="A3536" t="s">
        <v>22</v>
      </c>
      <c r="B3536" s="1">
        <v>43159</v>
      </c>
      <c r="C3536" t="s">
        <v>58</v>
      </c>
      <c r="D3536">
        <v>114.85</v>
      </c>
      <c r="E3536" s="12" t="str">
        <f>VLOOKUP(C3536,inf!$A$2:$B$7,2,FALSE)</f>
        <v>61 to 90</v>
      </c>
      <c r="F3536" s="12" t="str">
        <f t="shared" si="61"/>
        <v>02/28/2018</v>
      </c>
      <c r="G3536" t="str">
        <f>VLOOKUP(A3536,inf!$D$2:$E$76,2,FALSE)</f>
        <v>Other</v>
      </c>
    </row>
    <row r="3537" spans="1:7" x14ac:dyDescent="0.25">
      <c r="A3537" t="s">
        <v>103</v>
      </c>
      <c r="B3537" s="1">
        <v>43159</v>
      </c>
      <c r="C3537" t="s">
        <v>55</v>
      </c>
      <c r="D3537">
        <v>776.76</v>
      </c>
      <c r="E3537" s="12" t="str">
        <f>VLOOKUP(C3537,inf!$A$2:$B$7,2,FALSE)</f>
        <v>Current</v>
      </c>
      <c r="F3537" s="12" t="str">
        <f t="shared" si="61"/>
        <v>02/28/2018</v>
      </c>
      <c r="G3537" t="str">
        <f>VLOOKUP(A3537,inf!$D$2:$E$76,2,FALSE)</f>
        <v>Other</v>
      </c>
    </row>
    <row r="3538" spans="1:7" x14ac:dyDescent="0.25">
      <c r="A3538" t="s">
        <v>80</v>
      </c>
      <c r="B3538" s="1">
        <v>43159</v>
      </c>
      <c r="C3538" t="s">
        <v>55</v>
      </c>
      <c r="D3538">
        <v>114.85</v>
      </c>
      <c r="E3538" s="12" t="str">
        <f>VLOOKUP(C3538,inf!$A$2:$B$7,2,FALSE)</f>
        <v>Current</v>
      </c>
      <c r="F3538" s="12" t="str">
        <f t="shared" si="61"/>
        <v>02/28/2018</v>
      </c>
      <c r="G3538" t="str">
        <f>VLOOKUP(A3538,inf!$D$2:$E$76,2,FALSE)</f>
        <v>Other</v>
      </c>
    </row>
    <row r="3539" spans="1:7" x14ac:dyDescent="0.25">
      <c r="A3539" t="s">
        <v>4</v>
      </c>
      <c r="B3539" s="1">
        <v>43159</v>
      </c>
      <c r="C3539" t="s">
        <v>55</v>
      </c>
      <c r="D3539">
        <v>6744.4199999999992</v>
      </c>
      <c r="E3539" s="12" t="str">
        <f>VLOOKUP(C3539,inf!$A$2:$B$7,2,FALSE)</f>
        <v>Current</v>
      </c>
      <c r="F3539" s="12" t="str">
        <f t="shared" si="61"/>
        <v>02/28/2018</v>
      </c>
      <c r="G3539" t="str">
        <f>VLOOKUP(A3539,inf!$D$2:$E$76,2,FALSE)</f>
        <v>Other</v>
      </c>
    </row>
    <row r="3540" spans="1:7" x14ac:dyDescent="0.25">
      <c r="A3540" t="s">
        <v>4</v>
      </c>
      <c r="B3540" s="1">
        <v>43159</v>
      </c>
      <c r="C3540" t="s">
        <v>59</v>
      </c>
      <c r="D3540">
        <v>579.34</v>
      </c>
      <c r="E3540" s="12" t="str">
        <f>VLOOKUP(C3540,inf!$A$2:$B$7,2,FALSE)</f>
        <v>Over 90</v>
      </c>
      <c r="F3540" s="12" t="str">
        <f t="shared" si="61"/>
        <v>02/28/2018</v>
      </c>
      <c r="G3540" t="str">
        <f>VLOOKUP(A3540,inf!$D$2:$E$76,2,FALSE)</f>
        <v>Other</v>
      </c>
    </row>
    <row r="3541" spans="1:7" x14ac:dyDescent="0.25">
      <c r="A3541" t="s">
        <v>77</v>
      </c>
      <c r="B3541" s="1">
        <v>43159</v>
      </c>
      <c r="C3541" t="s">
        <v>57</v>
      </c>
      <c r="D3541">
        <v>834.05</v>
      </c>
      <c r="E3541" s="12" t="str">
        <f>VLOOKUP(C3541,inf!$A$2:$B$7,2,FALSE)</f>
        <v>31 to 60</v>
      </c>
      <c r="F3541" s="12" t="str">
        <f t="shared" si="61"/>
        <v>02/28/2018</v>
      </c>
      <c r="G3541" t="str">
        <f>VLOOKUP(A3541,inf!$D$2:$E$76,2,FALSE)</f>
        <v>Other</v>
      </c>
    </row>
    <row r="3542" spans="1:7" x14ac:dyDescent="0.25">
      <c r="A3542" t="s">
        <v>32</v>
      </c>
      <c r="B3542" s="1">
        <v>43159</v>
      </c>
      <c r="C3542" t="s">
        <v>55</v>
      </c>
      <c r="D3542">
        <v>265.76</v>
      </c>
      <c r="E3542" s="12" t="str">
        <f>VLOOKUP(C3542,inf!$A$2:$B$7,2,FALSE)</f>
        <v>Current</v>
      </c>
      <c r="F3542" s="12" t="str">
        <f t="shared" si="61"/>
        <v>02/28/2018</v>
      </c>
      <c r="G3542" t="str">
        <f>VLOOKUP(A3542,inf!$D$2:$E$76,2,FALSE)</f>
        <v>Other</v>
      </c>
    </row>
    <row r="3543" spans="1:7" x14ac:dyDescent="0.25">
      <c r="A3543" t="s">
        <v>11</v>
      </c>
      <c r="B3543" s="1">
        <v>43159</v>
      </c>
      <c r="C3543" t="s">
        <v>57</v>
      </c>
      <c r="D3543">
        <v>331.6</v>
      </c>
      <c r="E3543" s="12" t="str">
        <f>VLOOKUP(C3543,inf!$A$2:$B$7,2,FALSE)</f>
        <v>31 to 60</v>
      </c>
      <c r="F3543" s="12" t="str">
        <f t="shared" si="61"/>
        <v>02/28/2018</v>
      </c>
      <c r="G3543" t="str">
        <f>VLOOKUP(A3543,inf!$D$2:$E$76,2,FALSE)</f>
        <v>Other</v>
      </c>
    </row>
    <row r="3544" spans="1:7" x14ac:dyDescent="0.25">
      <c r="A3544" t="s">
        <v>25</v>
      </c>
      <c r="B3544" s="1">
        <v>43159</v>
      </c>
      <c r="C3544" t="s">
        <v>55</v>
      </c>
      <c r="D3544">
        <v>583.23</v>
      </c>
      <c r="E3544" s="12" t="str">
        <f>VLOOKUP(C3544,inf!$A$2:$B$7,2,FALSE)</f>
        <v>Current</v>
      </c>
      <c r="F3544" s="12" t="str">
        <f t="shared" si="61"/>
        <v>02/28/2018</v>
      </c>
      <c r="G3544" t="str">
        <f>VLOOKUP(A3544,inf!$D$2:$E$76,2,FALSE)</f>
        <v>Other</v>
      </c>
    </row>
    <row r="3545" spans="1:7" x14ac:dyDescent="0.25">
      <c r="A3545" t="s">
        <v>31</v>
      </c>
      <c r="B3545" s="1">
        <v>43159</v>
      </c>
      <c r="C3545" t="s">
        <v>55</v>
      </c>
      <c r="D3545">
        <v>818.33</v>
      </c>
      <c r="E3545" s="12" t="str">
        <f>VLOOKUP(C3545,inf!$A$2:$B$7,2,FALSE)</f>
        <v>Current</v>
      </c>
      <c r="F3545" s="12" t="str">
        <f t="shared" si="61"/>
        <v>02/28/2018</v>
      </c>
      <c r="G3545" t="str">
        <f>VLOOKUP(A3545,inf!$D$2:$E$76,2,FALSE)</f>
        <v>Other</v>
      </c>
    </row>
    <row r="3546" spans="1:7" x14ac:dyDescent="0.25">
      <c r="A3546" t="s">
        <v>24</v>
      </c>
      <c r="B3546" s="1">
        <v>43159</v>
      </c>
      <c r="C3546" t="s">
        <v>55</v>
      </c>
      <c r="D3546">
        <v>716.78</v>
      </c>
      <c r="E3546" s="12" t="str">
        <f>VLOOKUP(C3546,inf!$A$2:$B$7,2,FALSE)</f>
        <v>Current</v>
      </c>
      <c r="F3546" s="12" t="str">
        <f t="shared" si="61"/>
        <v>02/28/2018</v>
      </c>
      <c r="G3546" t="str">
        <f>VLOOKUP(A3546,inf!$D$2:$E$76,2,FALSE)</f>
        <v>Other</v>
      </c>
    </row>
    <row r="3547" spans="1:7" x14ac:dyDescent="0.25">
      <c r="A3547" t="s">
        <v>65</v>
      </c>
      <c r="B3547" s="1">
        <v>43159</v>
      </c>
      <c r="C3547" t="s">
        <v>55</v>
      </c>
      <c r="D3547">
        <v>190</v>
      </c>
      <c r="E3547" s="12" t="str">
        <f>VLOOKUP(C3547,inf!$A$2:$B$7,2,FALSE)</f>
        <v>Current</v>
      </c>
      <c r="F3547" s="12" t="str">
        <f t="shared" si="61"/>
        <v>02/28/2018</v>
      </c>
      <c r="G3547" t="str">
        <f>VLOOKUP(A3547,inf!$D$2:$E$76,2,FALSE)</f>
        <v>Other</v>
      </c>
    </row>
    <row r="3548" spans="1:7" x14ac:dyDescent="0.25">
      <c r="A3548" t="s">
        <v>27</v>
      </c>
      <c r="B3548" s="1">
        <v>43159</v>
      </c>
      <c r="C3548" t="s">
        <v>55</v>
      </c>
      <c r="D3548">
        <v>572.39</v>
      </c>
      <c r="E3548" s="12" t="str">
        <f>VLOOKUP(C3548,inf!$A$2:$B$7,2,FALSE)</f>
        <v>Current</v>
      </c>
      <c r="F3548" s="12" t="str">
        <f t="shared" si="61"/>
        <v>02/28/2018</v>
      </c>
      <c r="G3548" t="str">
        <f>VLOOKUP(A3548,inf!$D$2:$E$76,2,FALSE)</f>
        <v>Other</v>
      </c>
    </row>
    <row r="3549" spans="1:7" x14ac:dyDescent="0.25">
      <c r="A3549" t="s">
        <v>62</v>
      </c>
      <c r="B3549" s="1">
        <v>43159</v>
      </c>
      <c r="C3549" t="s">
        <v>55</v>
      </c>
      <c r="D3549">
        <v>761.85</v>
      </c>
      <c r="E3549" s="12" t="str">
        <f>VLOOKUP(C3549,inf!$A$2:$B$7,2,FALSE)</f>
        <v>Current</v>
      </c>
      <c r="F3549" s="12" t="str">
        <f t="shared" si="61"/>
        <v>02/28/2018</v>
      </c>
      <c r="G3549" t="str">
        <f>VLOOKUP(A3549,inf!$D$2:$E$76,2,FALSE)</f>
        <v>Other</v>
      </c>
    </row>
    <row r="3550" spans="1:7" x14ac:dyDescent="0.25">
      <c r="A3550" t="s">
        <v>82</v>
      </c>
      <c r="B3550" s="1">
        <v>43159</v>
      </c>
      <c r="C3550" t="s">
        <v>55</v>
      </c>
      <c r="D3550">
        <v>358.84</v>
      </c>
      <c r="E3550" s="12" t="str">
        <f>VLOOKUP(C3550,inf!$A$2:$B$7,2,FALSE)</f>
        <v>Current</v>
      </c>
      <c r="F3550" s="12" t="str">
        <f t="shared" ref="F3550:F3551" si="62">TEXT(B3550,"MM/DD/YYYY")</f>
        <v>02/28/2018</v>
      </c>
      <c r="G3550" t="str">
        <f>VLOOKUP(A3550,inf!$D$2:$E$76,2,FALSE)</f>
        <v>Other</v>
      </c>
    </row>
    <row r="3551" spans="1:7" x14ac:dyDescent="0.25">
      <c r="A3551" t="s">
        <v>82</v>
      </c>
      <c r="B3551" s="1">
        <v>43159</v>
      </c>
      <c r="C3551" t="s">
        <v>56</v>
      </c>
      <c r="D3551">
        <v>238.64</v>
      </c>
      <c r="E3551" s="12" t="str">
        <f>VLOOKUP(C3551,inf!$A$2:$B$7,2,FALSE)</f>
        <v>Current</v>
      </c>
      <c r="F3551" s="12" t="str">
        <f t="shared" si="62"/>
        <v>02/28/2018</v>
      </c>
      <c r="G3551" t="str">
        <f>VLOOKUP(A3551,inf!$D$2:$E$76,2,FALSE)</f>
        <v>Other</v>
      </c>
    </row>
    <row r="3552" spans="1:7" x14ac:dyDescent="0.25">
      <c r="A3552" t="s">
        <v>53</v>
      </c>
      <c r="B3552" s="1">
        <v>43159</v>
      </c>
      <c r="C3552" t="s">
        <v>55</v>
      </c>
      <c r="D3552">
        <v>165.05</v>
      </c>
      <c r="E3552" s="12" t="str">
        <f>VLOOKUP(C3552,inf!$A$2:$B$7,2,FALSE)</f>
        <v>Current</v>
      </c>
      <c r="F3552" s="12" t="str">
        <f t="shared" ref="F3552:F3553" si="63">TEXT(B3552,"MM/DD/YYYY")</f>
        <v>02/28/2018</v>
      </c>
      <c r="G3552" t="str">
        <f>VLOOKUP(A3552,inf!$D$2:$E$76,2,FALSE)</f>
        <v>Other</v>
      </c>
    </row>
    <row r="3553" spans="1:7" x14ac:dyDescent="0.25">
      <c r="A3553" t="s">
        <v>53</v>
      </c>
      <c r="B3553" s="1">
        <v>43159</v>
      </c>
      <c r="C3553" t="s">
        <v>56</v>
      </c>
      <c r="D3553">
        <v>138.03</v>
      </c>
      <c r="E3553" s="12" t="str">
        <f>VLOOKUP(C3553,inf!$A$2:$B$7,2,FALSE)</f>
        <v>Current</v>
      </c>
      <c r="F3553" s="12" t="str">
        <f t="shared" si="63"/>
        <v>02/28/2018</v>
      </c>
      <c r="G3553" t="str">
        <f>VLOOKUP(A3553,inf!$D$2:$E$76,2,FALSE)</f>
        <v>Other</v>
      </c>
    </row>
    <row r="3554" spans="1:7" x14ac:dyDescent="0.25">
      <c r="A3554" t="s">
        <v>3</v>
      </c>
      <c r="B3554" s="1">
        <v>43159</v>
      </c>
      <c r="C3554" t="s">
        <v>55</v>
      </c>
      <c r="D3554">
        <v>486.93</v>
      </c>
      <c r="E3554" s="12" t="str">
        <f>VLOOKUP(C3554,inf!$A$2:$B$7,2,FALSE)</f>
        <v>Current</v>
      </c>
      <c r="F3554" s="12" t="str">
        <f>TEXT(B3554,"MM/DD/YYYY")</f>
        <v>02/28/2018</v>
      </c>
      <c r="G3554" t="str">
        <f>VLOOKUP(A3554,inf!$D$2:$E$76,2,FALSE)</f>
        <v>Other</v>
      </c>
    </row>
    <row r="3555" spans="1:7" x14ac:dyDescent="0.25">
      <c r="A3555" t="s">
        <v>3</v>
      </c>
      <c r="B3555" s="1">
        <v>43159</v>
      </c>
      <c r="C3555" t="s">
        <v>57</v>
      </c>
      <c r="D3555">
        <v>62.5</v>
      </c>
      <c r="E3555" s="12" t="str">
        <f>VLOOKUP(C3555,inf!$A$2:$B$7,2,FALSE)</f>
        <v>31 to 60</v>
      </c>
      <c r="F3555" s="12" t="str">
        <f t="shared" ref="F3555:F3556" si="64">TEXT(B3555,"MM/DD/YYYY")</f>
        <v>02/28/2018</v>
      </c>
      <c r="G3555" t="str">
        <f>VLOOKUP(A3555,inf!$D$2:$E$76,2,FALSE)</f>
        <v>Other</v>
      </c>
    </row>
    <row r="3556" spans="1:7" x14ac:dyDescent="0.25">
      <c r="A3556" t="s">
        <v>3</v>
      </c>
      <c r="B3556" s="1">
        <v>43159</v>
      </c>
      <c r="C3556" t="s">
        <v>58</v>
      </c>
      <c r="D3556">
        <v>345.82</v>
      </c>
      <c r="E3556" s="12" t="str">
        <f>VLOOKUP(C3556,inf!$A$2:$B$7,2,FALSE)</f>
        <v>61 to 90</v>
      </c>
      <c r="F3556" s="12" t="str">
        <f t="shared" si="64"/>
        <v>02/28/2018</v>
      </c>
      <c r="G3556" t="str">
        <f>VLOOKUP(A3556,inf!$D$2:$E$76,2,FALSE)</f>
        <v>Other</v>
      </c>
    </row>
    <row r="3557" spans="1:7" x14ac:dyDescent="0.25">
      <c r="A3557" t="s">
        <v>78</v>
      </c>
      <c r="B3557" s="1">
        <v>43159</v>
      </c>
      <c r="C3557" t="s">
        <v>56</v>
      </c>
      <c r="D3557">
        <v>792.31999999999994</v>
      </c>
      <c r="E3557" s="12" t="str">
        <f>VLOOKUP(C3557,inf!$A$2:$B$7,2,FALSE)</f>
        <v>Current</v>
      </c>
      <c r="F3557" s="12" t="str">
        <f t="shared" ref="F3557:F3560" si="65">TEXT(B3557,"MM/DD/YYYY")</f>
        <v>02/28/2018</v>
      </c>
      <c r="G3557" t="str">
        <f>VLOOKUP(A3557,inf!$D$2:$E$76,2,FALSE)</f>
        <v>Other</v>
      </c>
    </row>
    <row r="3558" spans="1:7" x14ac:dyDescent="0.25">
      <c r="A3558" t="s">
        <v>78</v>
      </c>
      <c r="B3558" s="1">
        <v>43159</v>
      </c>
      <c r="C3558" t="s">
        <v>57</v>
      </c>
      <c r="D3558">
        <v>671.04</v>
      </c>
      <c r="E3558" s="12" t="str">
        <f>VLOOKUP(C3558,inf!$A$2:$B$7,2,FALSE)</f>
        <v>31 to 60</v>
      </c>
      <c r="F3558" s="12" t="str">
        <f t="shared" si="65"/>
        <v>02/28/2018</v>
      </c>
      <c r="G3558" t="str">
        <f>VLOOKUP(A3558,inf!$D$2:$E$76,2,FALSE)</f>
        <v>Other</v>
      </c>
    </row>
    <row r="3559" spans="1:7" x14ac:dyDescent="0.25">
      <c r="A3559" t="s">
        <v>78</v>
      </c>
      <c r="B3559" s="1">
        <v>43159</v>
      </c>
      <c r="C3559" t="s">
        <v>58</v>
      </c>
      <c r="D3559">
        <v>312.61</v>
      </c>
      <c r="E3559" s="12" t="str">
        <f>VLOOKUP(C3559,inf!$A$2:$B$7,2,FALSE)</f>
        <v>61 to 90</v>
      </c>
      <c r="F3559" s="12" t="str">
        <f t="shared" si="65"/>
        <v>02/28/2018</v>
      </c>
      <c r="G3559" t="str">
        <f>VLOOKUP(A3559,inf!$D$2:$E$76,2,FALSE)</f>
        <v>Other</v>
      </c>
    </row>
    <row r="3560" spans="1:7" x14ac:dyDescent="0.25">
      <c r="A3560" t="s">
        <v>78</v>
      </c>
      <c r="B3560" s="1">
        <v>43159</v>
      </c>
      <c r="C3560" t="s">
        <v>59</v>
      </c>
      <c r="D3560">
        <v>292.45999999999998</v>
      </c>
      <c r="E3560" s="12" t="str">
        <f>VLOOKUP(C3560,inf!$A$2:$B$7,2,FALSE)</f>
        <v>Over 90</v>
      </c>
      <c r="F3560" s="12" t="str">
        <f t="shared" si="65"/>
        <v>02/28/2018</v>
      </c>
      <c r="G3560" t="str">
        <f>VLOOKUP(A3560,inf!$D$2:$E$76,2,FALSE)</f>
        <v>Other</v>
      </c>
    </row>
    <row r="3561" spans="1:7" x14ac:dyDescent="0.25">
      <c r="A3561" t="s">
        <v>79</v>
      </c>
      <c r="B3561" s="1">
        <v>43159</v>
      </c>
      <c r="C3561" t="s">
        <v>55</v>
      </c>
      <c r="D3561">
        <v>275.3</v>
      </c>
      <c r="E3561" s="12" t="str">
        <f>VLOOKUP(C3561,inf!$A$2:$B$7,2,FALSE)</f>
        <v>Current</v>
      </c>
      <c r="F3561" s="12" t="str">
        <f>TEXT(B3561,"MM/DD/YYYY")</f>
        <v>02/28/2018</v>
      </c>
      <c r="G3561" t="str">
        <f>VLOOKUP(A3561,inf!$D$2:$E$76,2,FALSE)</f>
        <v>Other</v>
      </c>
    </row>
    <row r="3562" spans="1:7" x14ac:dyDescent="0.25">
      <c r="A3562" t="s">
        <v>30</v>
      </c>
      <c r="B3562" s="1">
        <v>43159</v>
      </c>
      <c r="C3562" t="s">
        <v>55</v>
      </c>
      <c r="D3562">
        <v>796.93</v>
      </c>
      <c r="E3562" s="12" t="str">
        <f>VLOOKUP(C3562,inf!$A$2:$B$7,2,FALSE)</f>
        <v>Current</v>
      </c>
      <c r="F3562" s="12" t="str">
        <f t="shared" ref="F3562:F3563" si="66">TEXT(B3562,"MM/DD/YYYY")</f>
        <v>02/28/2018</v>
      </c>
      <c r="G3562" t="str">
        <f>VLOOKUP(A3562,inf!$D$2:$E$76,2,FALSE)</f>
        <v>Other</v>
      </c>
    </row>
    <row r="3563" spans="1:7" x14ac:dyDescent="0.25">
      <c r="A3563" t="s">
        <v>30</v>
      </c>
      <c r="B3563" s="1">
        <v>43159</v>
      </c>
      <c r="C3563" t="s">
        <v>56</v>
      </c>
      <c r="D3563">
        <v>129.21</v>
      </c>
      <c r="E3563" s="12" t="str">
        <f>VLOOKUP(C3563,inf!$A$2:$B$7,2,FALSE)</f>
        <v>Current</v>
      </c>
      <c r="F3563" s="12" t="str">
        <f t="shared" si="66"/>
        <v>02/28/2018</v>
      </c>
      <c r="G3563" t="str">
        <f>VLOOKUP(A3563,inf!$D$2:$E$76,2,FALSE)</f>
        <v>Other</v>
      </c>
    </row>
    <row r="3564" spans="1:7" x14ac:dyDescent="0.25">
      <c r="A3564" t="s">
        <v>112</v>
      </c>
      <c r="B3564" s="1">
        <v>43159</v>
      </c>
      <c r="C3564" t="s">
        <v>55</v>
      </c>
      <c r="D3564">
        <v>270.11</v>
      </c>
      <c r="E3564" s="12" t="str">
        <f>VLOOKUP(C3564,inf!$A$2:$B$7,2,FALSE)</f>
        <v>Current</v>
      </c>
      <c r="F3564" s="12" t="str">
        <f t="shared" ref="F3564:F3571" si="67">TEXT(B3564,"MM/DD/YYYY")</f>
        <v>02/28/2018</v>
      </c>
      <c r="G3564" t="str">
        <f>VLOOKUP(A3564,inf!$D$2:$E$76,2,FALSE)</f>
        <v>Other</v>
      </c>
    </row>
    <row r="3565" spans="1:7" x14ac:dyDescent="0.25">
      <c r="A3565" t="s">
        <v>63</v>
      </c>
      <c r="B3565" s="1">
        <v>43159</v>
      </c>
      <c r="C3565" t="s">
        <v>55</v>
      </c>
      <c r="D3565">
        <v>563.72</v>
      </c>
      <c r="E3565" s="12" t="str">
        <f>VLOOKUP(C3565,inf!$A$2:$B$7,2,FALSE)</f>
        <v>Current</v>
      </c>
      <c r="F3565" s="12" t="str">
        <f t="shared" si="67"/>
        <v>02/28/2018</v>
      </c>
      <c r="G3565" t="str">
        <f>VLOOKUP(A3565,inf!$D$2:$E$76,2,FALSE)</f>
        <v>Other</v>
      </c>
    </row>
    <row r="3566" spans="1:7" x14ac:dyDescent="0.25">
      <c r="A3566" t="s">
        <v>104</v>
      </c>
      <c r="B3566" s="1">
        <v>43159</v>
      </c>
      <c r="C3566" t="s">
        <v>55</v>
      </c>
      <c r="D3566">
        <v>2087.54</v>
      </c>
      <c r="E3566" s="12" t="str">
        <f>VLOOKUP(C3566,inf!$A$2:$B$7,2,FALSE)</f>
        <v>Current</v>
      </c>
      <c r="F3566" s="12" t="str">
        <f t="shared" si="67"/>
        <v>02/28/2018</v>
      </c>
      <c r="G3566" t="str">
        <f>VLOOKUP(A3566,inf!$D$2:$E$76,2,FALSE)</f>
        <v>Other</v>
      </c>
    </row>
    <row r="3567" spans="1:7" x14ac:dyDescent="0.25">
      <c r="A3567" t="s">
        <v>12</v>
      </c>
      <c r="B3567" s="1">
        <v>43159</v>
      </c>
      <c r="C3567" t="s">
        <v>55</v>
      </c>
      <c r="D3567">
        <v>1322.46</v>
      </c>
      <c r="E3567" s="12" t="str">
        <f>VLOOKUP(C3567,inf!$A$2:$B$7,2,FALSE)</f>
        <v>Current</v>
      </c>
      <c r="F3567" s="12" t="str">
        <f t="shared" si="67"/>
        <v>02/28/2018</v>
      </c>
      <c r="G3567" t="str">
        <f>VLOOKUP(A3567,inf!$D$2:$E$76,2,FALSE)</f>
        <v>Other</v>
      </c>
    </row>
    <row r="3568" spans="1:7" x14ac:dyDescent="0.25">
      <c r="A3568" t="s">
        <v>50</v>
      </c>
      <c r="B3568" s="1">
        <v>43159</v>
      </c>
      <c r="C3568" t="s">
        <v>55</v>
      </c>
      <c r="D3568">
        <v>745.4</v>
      </c>
      <c r="E3568" s="12" t="str">
        <f>VLOOKUP(C3568,inf!$A$2:$B$7,2,FALSE)</f>
        <v>Current</v>
      </c>
      <c r="F3568" s="12" t="str">
        <f t="shared" si="67"/>
        <v>02/28/2018</v>
      </c>
      <c r="G3568" t="str">
        <f>VLOOKUP(A3568,inf!$D$2:$E$76,2,FALSE)</f>
        <v>Other</v>
      </c>
    </row>
    <row r="3569" spans="1:7" x14ac:dyDescent="0.25">
      <c r="A3569" t="s">
        <v>107</v>
      </c>
      <c r="B3569" s="1">
        <v>43159</v>
      </c>
      <c r="C3569" t="s">
        <v>55</v>
      </c>
      <c r="D3569">
        <v>196.62</v>
      </c>
      <c r="E3569" s="12" t="str">
        <f>VLOOKUP(C3569,inf!$A$2:$B$7,2,FALSE)</f>
        <v>Current</v>
      </c>
      <c r="F3569" s="12" t="str">
        <f t="shared" si="67"/>
        <v>02/28/2018</v>
      </c>
      <c r="G3569" t="str">
        <f>VLOOKUP(A3569,inf!$D$2:$E$76,2,FALSE)</f>
        <v>Other</v>
      </c>
    </row>
    <row r="3570" spans="1:7" x14ac:dyDescent="0.25">
      <c r="A3570" t="s">
        <v>113</v>
      </c>
      <c r="B3570" s="1">
        <v>43159</v>
      </c>
      <c r="C3570" t="s">
        <v>55</v>
      </c>
      <c r="D3570">
        <v>723.17</v>
      </c>
      <c r="E3570" s="12" t="str">
        <f>VLOOKUP(C3570,inf!$A$2:$B$7,2,FALSE)</f>
        <v>Current</v>
      </c>
      <c r="F3570" s="12" t="str">
        <f t="shared" si="67"/>
        <v>02/28/2018</v>
      </c>
      <c r="G3570" t="str">
        <f>VLOOKUP(A3570,inf!$D$2:$E$76,2,FALSE)</f>
        <v>Other</v>
      </c>
    </row>
    <row r="3571" spans="1:7" x14ac:dyDescent="0.25">
      <c r="A3571" t="s">
        <v>83</v>
      </c>
      <c r="B3571" s="1">
        <v>43159</v>
      </c>
      <c r="C3571" t="s">
        <v>55</v>
      </c>
      <c r="D3571">
        <v>3868.5</v>
      </c>
      <c r="E3571" s="12" t="str">
        <f>VLOOKUP(C3571,inf!$A$2:$B$7,2,FALSE)</f>
        <v>Current</v>
      </c>
      <c r="F3571" s="12" t="str">
        <f t="shared" si="67"/>
        <v>02/28/2018</v>
      </c>
      <c r="G3571" t="str">
        <f>VLOOKUP(A3571,inf!$D$2:$E$76,2,FALSE)</f>
        <v>Other</v>
      </c>
    </row>
    <row r="3572" spans="1:7" x14ac:dyDescent="0.25">
      <c r="A3572" t="s">
        <v>7</v>
      </c>
      <c r="B3572" s="1">
        <v>43159</v>
      </c>
      <c r="C3572" t="s">
        <v>55</v>
      </c>
      <c r="D3572">
        <v>102333.99000000008</v>
      </c>
      <c r="E3572" s="12" t="str">
        <f>VLOOKUP(C3572,inf!$A$2:$B$7,2,FALSE)</f>
        <v>Current</v>
      </c>
      <c r="F3572" s="12" t="str">
        <f t="shared" ref="F3572:F3580" si="68">TEXT(B3572,"MM/DD/YYYY")</f>
        <v>02/28/2018</v>
      </c>
      <c r="G3572" t="str">
        <f>VLOOKUP(A3572,inf!$D$2:$E$76,2,FALSE)</f>
        <v>SAFEWAY</v>
      </c>
    </row>
    <row r="3573" spans="1:7" x14ac:dyDescent="0.25">
      <c r="A3573" t="s">
        <v>7</v>
      </c>
      <c r="B3573" s="1">
        <v>43159</v>
      </c>
      <c r="C3573" t="s">
        <v>56</v>
      </c>
      <c r="D3573">
        <v>24315.69999999999</v>
      </c>
      <c r="E3573" s="12" t="str">
        <f>VLOOKUP(C3573,inf!$A$2:$B$7,2,FALSE)</f>
        <v>Current</v>
      </c>
      <c r="F3573" s="12" t="str">
        <f t="shared" si="68"/>
        <v>02/28/2018</v>
      </c>
      <c r="G3573" t="str">
        <f>VLOOKUP(A3573,inf!$D$2:$E$76,2,FALSE)</f>
        <v>SAFEWAY</v>
      </c>
    </row>
    <row r="3574" spans="1:7" x14ac:dyDescent="0.25">
      <c r="A3574" t="s">
        <v>7</v>
      </c>
      <c r="B3574" s="1">
        <v>43159</v>
      </c>
      <c r="C3574" t="s">
        <v>57</v>
      </c>
      <c r="D3574">
        <v>7744.2899999999991</v>
      </c>
      <c r="E3574" s="12" t="str">
        <f>VLOOKUP(C3574,inf!$A$2:$B$7,2,FALSE)</f>
        <v>31 to 60</v>
      </c>
      <c r="F3574" s="12" t="str">
        <f t="shared" si="68"/>
        <v>02/28/2018</v>
      </c>
      <c r="G3574" t="str">
        <f>VLOOKUP(A3574,inf!$D$2:$E$76,2,FALSE)</f>
        <v>SAFEWAY</v>
      </c>
    </row>
    <row r="3575" spans="1:7" x14ac:dyDescent="0.25">
      <c r="A3575" t="s">
        <v>7</v>
      </c>
      <c r="B3575" s="1">
        <v>43159</v>
      </c>
      <c r="C3575" t="s">
        <v>58</v>
      </c>
      <c r="D3575">
        <v>5568.01</v>
      </c>
      <c r="E3575" s="12" t="str">
        <f>VLOOKUP(C3575,inf!$A$2:$B$7,2,FALSE)</f>
        <v>61 to 90</v>
      </c>
      <c r="F3575" s="12" t="str">
        <f t="shared" si="68"/>
        <v>02/28/2018</v>
      </c>
      <c r="G3575" t="str">
        <f>VLOOKUP(A3575,inf!$D$2:$E$76,2,FALSE)</f>
        <v>SAFEWAY</v>
      </c>
    </row>
    <row r="3576" spans="1:7" x14ac:dyDescent="0.25">
      <c r="A3576" t="s">
        <v>7</v>
      </c>
      <c r="B3576" s="1">
        <v>43159</v>
      </c>
      <c r="C3576" t="s">
        <v>59</v>
      </c>
      <c r="D3576">
        <v>4170.99</v>
      </c>
      <c r="E3576" s="12" t="str">
        <f>VLOOKUP(C3576,inf!$A$2:$B$7,2,FALSE)</f>
        <v>Over 90</v>
      </c>
      <c r="F3576" s="12" t="str">
        <f t="shared" si="68"/>
        <v>02/28/2018</v>
      </c>
      <c r="G3576" t="str">
        <f>VLOOKUP(A3576,inf!$D$2:$E$76,2,FALSE)</f>
        <v>SAFEWAY</v>
      </c>
    </row>
    <row r="3577" spans="1:7" x14ac:dyDescent="0.25">
      <c r="A3577" t="s">
        <v>7</v>
      </c>
      <c r="B3577" s="1">
        <v>43159</v>
      </c>
      <c r="C3577" t="s">
        <v>60</v>
      </c>
      <c r="D3577">
        <v>755.47</v>
      </c>
      <c r="E3577" s="12" t="str">
        <f>VLOOKUP(C3577,inf!$A$2:$B$7,2,FALSE)</f>
        <v>Over 90</v>
      </c>
      <c r="F3577" s="12" t="str">
        <f t="shared" si="68"/>
        <v>02/28/2018</v>
      </c>
      <c r="G3577" t="str">
        <f>VLOOKUP(A3577,inf!$D$2:$E$76,2,FALSE)</f>
        <v>SAFEWAY</v>
      </c>
    </row>
    <row r="3578" spans="1:7" x14ac:dyDescent="0.25">
      <c r="A3578" t="s">
        <v>81</v>
      </c>
      <c r="B3578" s="1">
        <v>43159</v>
      </c>
      <c r="C3578" t="s">
        <v>55</v>
      </c>
      <c r="D3578">
        <v>529.35</v>
      </c>
      <c r="E3578" s="12" t="str">
        <f>VLOOKUP(C3578,inf!$A$2:$B$7,2,FALSE)</f>
        <v>Current</v>
      </c>
      <c r="F3578" s="12" t="str">
        <f t="shared" si="68"/>
        <v>02/28/2018</v>
      </c>
      <c r="G3578" t="str">
        <f>VLOOKUP(A3578,inf!$D$2:$E$76,2,FALSE)</f>
        <v>Other</v>
      </c>
    </row>
    <row r="3579" spans="1:7" x14ac:dyDescent="0.25">
      <c r="A3579" t="s">
        <v>81</v>
      </c>
      <c r="B3579" s="1">
        <v>43159</v>
      </c>
      <c r="C3579" t="s">
        <v>56</v>
      </c>
      <c r="D3579">
        <v>255.25</v>
      </c>
      <c r="E3579" s="12" t="str">
        <f>VLOOKUP(C3579,inf!$A$2:$B$7,2,FALSE)</f>
        <v>Current</v>
      </c>
      <c r="F3579" s="12" t="str">
        <f t="shared" si="68"/>
        <v>02/28/2018</v>
      </c>
      <c r="G3579" t="str">
        <f>VLOOKUP(A3579,inf!$D$2:$E$76,2,FALSE)</f>
        <v>Other</v>
      </c>
    </row>
    <row r="3580" spans="1:7" x14ac:dyDescent="0.25">
      <c r="A3580" t="s">
        <v>81</v>
      </c>
      <c r="B3580" s="1">
        <v>43159</v>
      </c>
      <c r="C3580" t="s">
        <v>57</v>
      </c>
      <c r="D3580">
        <v>174.98</v>
      </c>
      <c r="E3580" s="12" t="str">
        <f>VLOOKUP(C3580,inf!$A$2:$B$7,2,FALSE)</f>
        <v>31 to 60</v>
      </c>
      <c r="F3580" s="12" t="str">
        <f t="shared" si="68"/>
        <v>02/28/2018</v>
      </c>
      <c r="G3580" t="str">
        <f>VLOOKUP(A3580,inf!$D$2:$E$76,2,FALSE)</f>
        <v>Other</v>
      </c>
    </row>
    <row r="3581" spans="1:7" x14ac:dyDescent="0.25">
      <c r="A3581" t="s">
        <v>74</v>
      </c>
      <c r="B3581" s="1">
        <v>43159</v>
      </c>
      <c r="C3581" t="s">
        <v>60</v>
      </c>
      <c r="D3581">
        <v>60.5</v>
      </c>
      <c r="E3581" s="12" t="str">
        <f>VLOOKUP(C3581,inf!$A$2:$B$7,2,FALSE)</f>
        <v>Over 90</v>
      </c>
      <c r="F3581" s="12" t="str">
        <f t="shared" ref="F3581:F3594" si="69">TEXT(B3581,"MM/DD/YYYY")</f>
        <v>02/28/2018</v>
      </c>
      <c r="G3581" t="str">
        <f>VLOOKUP(A3581,inf!$D$2:$E$76,2,FALSE)</f>
        <v>Other</v>
      </c>
    </row>
    <row r="3582" spans="1:7" x14ac:dyDescent="0.25">
      <c r="A3582" t="s">
        <v>5</v>
      </c>
      <c r="B3582" s="1">
        <v>43159</v>
      </c>
      <c r="C3582" t="s">
        <v>55</v>
      </c>
      <c r="D3582">
        <v>7310929.1600000337</v>
      </c>
      <c r="E3582" s="12" t="str">
        <f>VLOOKUP(C3582,inf!$A$2:$B$7,2,FALSE)</f>
        <v>Current</v>
      </c>
      <c r="F3582" s="12" t="str">
        <f t="shared" si="69"/>
        <v>02/28/2018</v>
      </c>
      <c r="G3582" t="str">
        <f>VLOOKUP(A3582,inf!$D$2:$E$76,2,FALSE)</f>
        <v>SBUX</v>
      </c>
    </row>
    <row r="3583" spans="1:7" x14ac:dyDescent="0.25">
      <c r="A3583" t="s">
        <v>5</v>
      </c>
      <c r="B3583" s="1">
        <v>43159</v>
      </c>
      <c r="C3583" t="s">
        <v>56</v>
      </c>
      <c r="D3583">
        <v>46283.69999999999</v>
      </c>
      <c r="E3583" s="12" t="str">
        <f>VLOOKUP(C3583,inf!$A$2:$B$7,2,FALSE)</f>
        <v>Current</v>
      </c>
      <c r="F3583" s="12" t="str">
        <f t="shared" si="69"/>
        <v>02/28/2018</v>
      </c>
      <c r="G3583" t="str">
        <f>VLOOKUP(A3583,inf!$D$2:$E$76,2,FALSE)</f>
        <v>SBUX</v>
      </c>
    </row>
    <row r="3584" spans="1:7" x14ac:dyDescent="0.25">
      <c r="A3584" t="s">
        <v>5</v>
      </c>
      <c r="B3584" s="1">
        <v>43159</v>
      </c>
      <c r="C3584" t="s">
        <v>57</v>
      </c>
      <c r="D3584">
        <v>53642.35</v>
      </c>
      <c r="E3584" s="12" t="str">
        <f>VLOOKUP(C3584,inf!$A$2:$B$7,2,FALSE)</f>
        <v>31 to 60</v>
      </c>
      <c r="F3584" s="12" t="str">
        <f t="shared" si="69"/>
        <v>02/28/2018</v>
      </c>
      <c r="G3584" t="str">
        <f>VLOOKUP(A3584,inf!$D$2:$E$76,2,FALSE)</f>
        <v>SBUX</v>
      </c>
    </row>
    <row r="3585" spans="1:7" x14ac:dyDescent="0.25">
      <c r="A3585" t="s">
        <v>5</v>
      </c>
      <c r="B3585" s="1">
        <v>43159</v>
      </c>
      <c r="C3585" t="s">
        <v>58</v>
      </c>
      <c r="D3585">
        <v>21588.690000000002</v>
      </c>
      <c r="E3585" s="12" t="str">
        <f>VLOOKUP(C3585,inf!$A$2:$B$7,2,FALSE)</f>
        <v>61 to 90</v>
      </c>
      <c r="F3585" s="12" t="str">
        <f t="shared" si="69"/>
        <v>02/28/2018</v>
      </c>
      <c r="G3585" t="str">
        <f>VLOOKUP(A3585,inf!$D$2:$E$76,2,FALSE)</f>
        <v>SBUX</v>
      </c>
    </row>
    <row r="3586" spans="1:7" x14ac:dyDescent="0.25">
      <c r="A3586" t="s">
        <v>5</v>
      </c>
      <c r="B3586" s="1">
        <v>43159</v>
      </c>
      <c r="C3586" t="s">
        <v>59</v>
      </c>
      <c r="D3586">
        <v>35869.01</v>
      </c>
      <c r="E3586" s="12" t="str">
        <f>VLOOKUP(C3586,inf!$A$2:$B$7,2,FALSE)</f>
        <v>Over 90</v>
      </c>
      <c r="F3586" s="12" t="str">
        <f t="shared" si="69"/>
        <v>02/28/2018</v>
      </c>
      <c r="G3586" t="str">
        <f>VLOOKUP(A3586,inf!$D$2:$E$76,2,FALSE)</f>
        <v>SBUX</v>
      </c>
    </row>
    <row r="3587" spans="1:7" x14ac:dyDescent="0.25">
      <c r="A3587" t="s">
        <v>5</v>
      </c>
      <c r="B3587" s="1">
        <v>43159</v>
      </c>
      <c r="C3587" t="s">
        <v>60</v>
      </c>
      <c r="D3587">
        <v>122165.07999999987</v>
      </c>
      <c r="E3587" s="12" t="str">
        <f>VLOOKUP(C3587,inf!$A$2:$B$7,2,FALSE)</f>
        <v>Over 90</v>
      </c>
      <c r="F3587" s="12" t="str">
        <f t="shared" si="69"/>
        <v>02/28/2018</v>
      </c>
      <c r="G3587" t="str">
        <f>VLOOKUP(A3587,inf!$D$2:$E$76,2,FALSE)</f>
        <v>SBUX</v>
      </c>
    </row>
    <row r="3588" spans="1:7" x14ac:dyDescent="0.25">
      <c r="A3588" t="s">
        <v>6</v>
      </c>
      <c r="B3588" s="1">
        <v>43159</v>
      </c>
      <c r="C3588" t="s">
        <v>55</v>
      </c>
      <c r="D3588">
        <v>715529.67999999342</v>
      </c>
      <c r="E3588" s="12" t="str">
        <f>VLOOKUP(C3588,inf!$A$2:$B$7,2,FALSE)</f>
        <v>Current</v>
      </c>
      <c r="F3588" s="12" t="str">
        <f t="shared" si="69"/>
        <v>02/28/2018</v>
      </c>
      <c r="G3588" t="str">
        <f>VLOOKUP(A3588,inf!$D$2:$E$76,2,FALSE)</f>
        <v>SBUX</v>
      </c>
    </row>
    <row r="3589" spans="1:7" x14ac:dyDescent="0.25">
      <c r="A3589" t="s">
        <v>6</v>
      </c>
      <c r="B3589" s="1">
        <v>43159</v>
      </c>
      <c r="C3589" t="s">
        <v>56</v>
      </c>
      <c r="D3589">
        <v>19517.120000000003</v>
      </c>
      <c r="E3589" s="12" t="str">
        <f>VLOOKUP(C3589,inf!$A$2:$B$7,2,FALSE)</f>
        <v>Current</v>
      </c>
      <c r="F3589" s="12" t="str">
        <f t="shared" si="69"/>
        <v>02/28/2018</v>
      </c>
      <c r="G3589" t="str">
        <f>VLOOKUP(A3589,inf!$D$2:$E$76,2,FALSE)</f>
        <v>SBUX</v>
      </c>
    </row>
    <row r="3590" spans="1:7" x14ac:dyDescent="0.25">
      <c r="A3590" t="s">
        <v>6</v>
      </c>
      <c r="B3590" s="1">
        <v>43159</v>
      </c>
      <c r="C3590" t="s">
        <v>57</v>
      </c>
      <c r="D3590">
        <v>3258.7499999999991</v>
      </c>
      <c r="E3590" s="12" t="str">
        <f>VLOOKUP(C3590,inf!$A$2:$B$7,2,FALSE)</f>
        <v>31 to 60</v>
      </c>
      <c r="F3590" s="12" t="str">
        <f t="shared" si="69"/>
        <v>02/28/2018</v>
      </c>
      <c r="G3590" t="str">
        <f>VLOOKUP(A3590,inf!$D$2:$E$76,2,FALSE)</f>
        <v>SBUX</v>
      </c>
    </row>
    <row r="3591" spans="1:7" x14ac:dyDescent="0.25">
      <c r="A3591" t="s">
        <v>6</v>
      </c>
      <c r="B3591" s="1">
        <v>43159</v>
      </c>
      <c r="C3591" t="s">
        <v>58</v>
      </c>
      <c r="D3591">
        <v>1714.56</v>
      </c>
      <c r="E3591" s="12" t="str">
        <f>VLOOKUP(C3591,inf!$A$2:$B$7,2,FALSE)</f>
        <v>61 to 90</v>
      </c>
      <c r="F3591" s="12" t="str">
        <f t="shared" si="69"/>
        <v>02/28/2018</v>
      </c>
      <c r="G3591" t="str">
        <f>VLOOKUP(A3591,inf!$D$2:$E$76,2,FALSE)</f>
        <v>SBUX</v>
      </c>
    </row>
    <row r="3592" spans="1:7" x14ac:dyDescent="0.25">
      <c r="A3592" t="s">
        <v>6</v>
      </c>
      <c r="B3592" s="1">
        <v>43159</v>
      </c>
      <c r="C3592" t="s">
        <v>59</v>
      </c>
      <c r="D3592">
        <v>603.47000000000014</v>
      </c>
      <c r="E3592" s="12" t="str">
        <f>VLOOKUP(C3592,inf!$A$2:$B$7,2,FALSE)</f>
        <v>Over 90</v>
      </c>
      <c r="F3592" s="12" t="str">
        <f t="shared" si="69"/>
        <v>02/28/2018</v>
      </c>
      <c r="G3592" t="str">
        <f>VLOOKUP(A3592,inf!$D$2:$E$76,2,FALSE)</f>
        <v>SBUX</v>
      </c>
    </row>
    <row r="3593" spans="1:7" x14ac:dyDescent="0.25">
      <c r="A3593" t="s">
        <v>6</v>
      </c>
      <c r="B3593" s="1">
        <v>43159</v>
      </c>
      <c r="C3593" t="s">
        <v>60</v>
      </c>
      <c r="D3593">
        <v>10962.060000000003</v>
      </c>
      <c r="E3593" s="12" t="str">
        <f>VLOOKUP(C3593,inf!$A$2:$B$7,2,FALSE)</f>
        <v>Over 90</v>
      </c>
      <c r="F3593" s="12" t="str">
        <f t="shared" si="69"/>
        <v>02/28/2018</v>
      </c>
      <c r="G3593" t="str">
        <f>VLOOKUP(A3593,inf!$D$2:$E$76,2,FALSE)</f>
        <v>SBUX</v>
      </c>
    </row>
    <row r="3594" spans="1:7" x14ac:dyDescent="0.25">
      <c r="A3594" t="s">
        <v>49</v>
      </c>
      <c r="B3594" s="1">
        <v>43159</v>
      </c>
      <c r="C3594" t="s">
        <v>55</v>
      </c>
      <c r="D3594">
        <v>460.3</v>
      </c>
      <c r="E3594" s="12" t="str">
        <f>VLOOKUP(C3594,inf!$A$2:$B$7,2,FALSE)</f>
        <v>Current</v>
      </c>
      <c r="F3594" s="12" t="str">
        <f t="shared" si="69"/>
        <v>02/28/2018</v>
      </c>
      <c r="G3594" t="str">
        <f>VLOOKUP(A3594,inf!$D$2:$E$76,2,FALSE)</f>
        <v>Other</v>
      </c>
    </row>
    <row r="3595" spans="1:7" x14ac:dyDescent="0.25">
      <c r="A3595" t="s">
        <v>48</v>
      </c>
      <c r="B3595" s="1">
        <v>43159</v>
      </c>
      <c r="C3595" t="s">
        <v>55</v>
      </c>
      <c r="D3595">
        <v>367118.79</v>
      </c>
      <c r="E3595" s="12" t="str">
        <f>VLOOKUP(C3595,inf!$A$2:$B$7,2,FALSE)</f>
        <v>Current</v>
      </c>
      <c r="F3595" s="12" t="str">
        <f t="shared" ref="F3595:F3608" si="70">TEXT(B3595,"MM/DD/YYYY")</f>
        <v>02/28/2018</v>
      </c>
      <c r="G3595" t="str">
        <f>VLOOKUP(A3595,inf!$D$2:$E$76,2,FALSE)</f>
        <v>Target</v>
      </c>
    </row>
    <row r="3596" spans="1:7" x14ac:dyDescent="0.25">
      <c r="A3596" t="s">
        <v>48</v>
      </c>
      <c r="B3596" s="1">
        <v>43159</v>
      </c>
      <c r="C3596" t="s">
        <v>56</v>
      </c>
      <c r="D3596">
        <v>17354.84</v>
      </c>
      <c r="E3596" s="12" t="str">
        <f>VLOOKUP(C3596,inf!$A$2:$B$7,2,FALSE)</f>
        <v>Current</v>
      </c>
      <c r="F3596" s="12" t="str">
        <f t="shared" si="70"/>
        <v>02/28/2018</v>
      </c>
      <c r="G3596" t="str">
        <f>VLOOKUP(A3596,inf!$D$2:$E$76,2,FALSE)</f>
        <v>Target</v>
      </c>
    </row>
    <row r="3597" spans="1:7" x14ac:dyDescent="0.25">
      <c r="A3597" t="s">
        <v>48</v>
      </c>
      <c r="B3597" s="1">
        <v>43159</v>
      </c>
      <c r="C3597" t="s">
        <v>57</v>
      </c>
      <c r="D3597">
        <v>22992.129999999994</v>
      </c>
      <c r="E3597" s="12" t="str">
        <f>VLOOKUP(C3597,inf!$A$2:$B$7,2,FALSE)</f>
        <v>31 to 60</v>
      </c>
      <c r="F3597" s="12" t="str">
        <f t="shared" si="70"/>
        <v>02/28/2018</v>
      </c>
      <c r="G3597" t="str">
        <f>VLOOKUP(A3597,inf!$D$2:$E$76,2,FALSE)</f>
        <v>Target</v>
      </c>
    </row>
    <row r="3598" spans="1:7" x14ac:dyDescent="0.25">
      <c r="A3598" t="s">
        <v>48</v>
      </c>
      <c r="B3598" s="1">
        <v>43159</v>
      </c>
      <c r="C3598" t="s">
        <v>58</v>
      </c>
      <c r="D3598">
        <v>15691.240000000002</v>
      </c>
      <c r="E3598" s="12" t="str">
        <f>VLOOKUP(C3598,inf!$A$2:$B$7,2,FALSE)</f>
        <v>61 to 90</v>
      </c>
      <c r="F3598" s="12" t="str">
        <f t="shared" si="70"/>
        <v>02/28/2018</v>
      </c>
      <c r="G3598" t="str">
        <f>VLOOKUP(A3598,inf!$D$2:$E$76,2,FALSE)</f>
        <v>Target</v>
      </c>
    </row>
    <row r="3599" spans="1:7" x14ac:dyDescent="0.25">
      <c r="A3599" t="s">
        <v>48</v>
      </c>
      <c r="B3599" s="1">
        <v>43159</v>
      </c>
      <c r="C3599" t="s">
        <v>59</v>
      </c>
      <c r="D3599">
        <v>9534.5500000000011</v>
      </c>
      <c r="E3599" s="12" t="str">
        <f>VLOOKUP(C3599,inf!$A$2:$B$7,2,FALSE)</f>
        <v>Over 90</v>
      </c>
      <c r="F3599" s="12" t="str">
        <f t="shared" si="70"/>
        <v>02/28/2018</v>
      </c>
      <c r="G3599" t="str">
        <f>VLOOKUP(A3599,inf!$D$2:$E$76,2,FALSE)</f>
        <v>Target</v>
      </c>
    </row>
    <row r="3600" spans="1:7" x14ac:dyDescent="0.25">
      <c r="A3600" t="s">
        <v>48</v>
      </c>
      <c r="B3600" s="1">
        <v>43159</v>
      </c>
      <c r="C3600" t="s">
        <v>60</v>
      </c>
      <c r="D3600">
        <v>4817.13</v>
      </c>
      <c r="E3600" s="12" t="str">
        <f>VLOOKUP(C3600,inf!$A$2:$B$7,2,FALSE)</f>
        <v>Over 90</v>
      </c>
      <c r="F3600" s="12" t="str">
        <f t="shared" si="70"/>
        <v>02/28/2018</v>
      </c>
      <c r="G3600" t="str">
        <f>VLOOKUP(A3600,inf!$D$2:$E$76,2,FALSE)</f>
        <v>Target</v>
      </c>
    </row>
    <row r="3601" spans="1:7" x14ac:dyDescent="0.25">
      <c r="A3601" t="s">
        <v>8</v>
      </c>
      <c r="B3601" s="1">
        <v>43159</v>
      </c>
      <c r="C3601" t="s">
        <v>55</v>
      </c>
      <c r="D3601">
        <v>424934.75999999989</v>
      </c>
      <c r="E3601" s="12" t="str">
        <f>VLOOKUP(C3601,inf!$A$2:$B$7,2,FALSE)</f>
        <v>Current</v>
      </c>
      <c r="F3601" s="12" t="str">
        <f t="shared" si="70"/>
        <v>02/28/2018</v>
      </c>
      <c r="G3601" t="str">
        <f>VLOOKUP(A3601,inf!$D$2:$E$76,2,FALSE)</f>
        <v>Target</v>
      </c>
    </row>
    <row r="3602" spans="1:7" x14ac:dyDescent="0.25">
      <c r="A3602" t="s">
        <v>8</v>
      </c>
      <c r="B3602" s="1">
        <v>43159</v>
      </c>
      <c r="C3602" t="s">
        <v>56</v>
      </c>
      <c r="D3602">
        <v>21481.429999999997</v>
      </c>
      <c r="E3602" s="12" t="str">
        <f>VLOOKUP(C3602,inf!$A$2:$B$7,2,FALSE)</f>
        <v>Current</v>
      </c>
      <c r="F3602" s="12" t="str">
        <f t="shared" si="70"/>
        <v>02/28/2018</v>
      </c>
      <c r="G3602" t="str">
        <f>VLOOKUP(A3602,inf!$D$2:$E$76,2,FALSE)</f>
        <v>Target</v>
      </c>
    </row>
    <row r="3603" spans="1:7" x14ac:dyDescent="0.25">
      <c r="A3603" t="s">
        <v>8</v>
      </c>
      <c r="B3603" s="1">
        <v>43159</v>
      </c>
      <c r="C3603" t="s">
        <v>57</v>
      </c>
      <c r="D3603">
        <v>5614.25</v>
      </c>
      <c r="E3603" s="12" t="str">
        <f>VLOOKUP(C3603,inf!$A$2:$B$7,2,FALSE)</f>
        <v>31 to 60</v>
      </c>
      <c r="F3603" s="12" t="str">
        <f t="shared" si="70"/>
        <v>02/28/2018</v>
      </c>
      <c r="G3603" t="str">
        <f>VLOOKUP(A3603,inf!$D$2:$E$76,2,FALSE)</f>
        <v>Target</v>
      </c>
    </row>
    <row r="3604" spans="1:7" x14ac:dyDescent="0.25">
      <c r="A3604" t="s">
        <v>8</v>
      </c>
      <c r="B3604" s="1">
        <v>43159</v>
      </c>
      <c r="C3604" t="s">
        <v>58</v>
      </c>
      <c r="D3604">
        <v>11996.34</v>
      </c>
      <c r="E3604" s="12" t="str">
        <f>VLOOKUP(C3604,inf!$A$2:$B$7,2,FALSE)</f>
        <v>61 to 90</v>
      </c>
      <c r="F3604" s="12" t="str">
        <f t="shared" si="70"/>
        <v>02/28/2018</v>
      </c>
      <c r="G3604" t="str">
        <f>VLOOKUP(A3604,inf!$D$2:$E$76,2,FALSE)</f>
        <v>Target</v>
      </c>
    </row>
    <row r="3605" spans="1:7" x14ac:dyDescent="0.25">
      <c r="A3605" t="s">
        <v>8</v>
      </c>
      <c r="B3605" s="1">
        <v>43159</v>
      </c>
      <c r="C3605" t="s">
        <v>59</v>
      </c>
      <c r="D3605">
        <v>11442.32</v>
      </c>
      <c r="E3605" s="12" t="str">
        <f>VLOOKUP(C3605,inf!$A$2:$B$7,2,FALSE)</f>
        <v>Over 90</v>
      </c>
      <c r="F3605" s="12" t="str">
        <f t="shared" si="70"/>
        <v>02/28/2018</v>
      </c>
      <c r="G3605" t="str">
        <f>VLOOKUP(A3605,inf!$D$2:$E$76,2,FALSE)</f>
        <v>Target</v>
      </c>
    </row>
    <row r="3606" spans="1:7" x14ac:dyDescent="0.25">
      <c r="A3606" t="s">
        <v>8</v>
      </c>
      <c r="B3606" s="1">
        <v>43159</v>
      </c>
      <c r="C3606" t="s">
        <v>60</v>
      </c>
      <c r="D3606">
        <v>10707.84</v>
      </c>
      <c r="E3606" s="12" t="str">
        <f>VLOOKUP(C3606,inf!$A$2:$B$7,2,FALSE)</f>
        <v>Over 90</v>
      </c>
      <c r="F3606" s="12" t="str">
        <f t="shared" si="70"/>
        <v>02/28/2018</v>
      </c>
      <c r="G3606" t="str">
        <f>VLOOKUP(A3606,inf!$D$2:$E$76,2,FALSE)</f>
        <v>Target</v>
      </c>
    </row>
    <row r="3607" spans="1:7" x14ac:dyDescent="0.25">
      <c r="A3607" t="s">
        <v>54</v>
      </c>
      <c r="B3607" s="1">
        <v>43159</v>
      </c>
      <c r="C3607" t="s">
        <v>55</v>
      </c>
      <c r="D3607">
        <v>583.93000000000006</v>
      </c>
      <c r="E3607" s="12" t="str">
        <f>VLOOKUP(C3607,inf!$A$2:$B$7,2,FALSE)</f>
        <v>Current</v>
      </c>
      <c r="F3607" s="12" t="str">
        <f t="shared" si="70"/>
        <v>02/28/2018</v>
      </c>
      <c r="G3607" t="str">
        <f>VLOOKUP(A3607,inf!$D$2:$E$76,2,FALSE)</f>
        <v>Other</v>
      </c>
    </row>
    <row r="3608" spans="1:7" x14ac:dyDescent="0.25">
      <c r="A3608" t="s">
        <v>54</v>
      </c>
      <c r="B3608" s="1">
        <v>43159</v>
      </c>
      <c r="C3608" t="s">
        <v>56</v>
      </c>
      <c r="D3608">
        <v>497.05</v>
      </c>
      <c r="E3608" s="12" t="str">
        <f>VLOOKUP(C3608,inf!$A$2:$B$7,2,FALSE)</f>
        <v>Current</v>
      </c>
      <c r="F3608" s="12" t="str">
        <f t="shared" si="70"/>
        <v>02/28/2018</v>
      </c>
      <c r="G3608" t="str">
        <f>VLOOKUP(A3608,inf!$D$2:$E$76,2,FALSE)</f>
        <v>Other</v>
      </c>
    </row>
    <row r="3609" spans="1:7" x14ac:dyDescent="0.25">
      <c r="A3609" t="s">
        <v>54</v>
      </c>
      <c r="B3609" s="1">
        <v>43159</v>
      </c>
      <c r="C3609" t="s">
        <v>60</v>
      </c>
      <c r="D3609">
        <v>122.72</v>
      </c>
      <c r="E3609" s="12" t="str">
        <f>VLOOKUP(C3609,inf!$A$2:$B$7,2,FALSE)</f>
        <v>Over 90</v>
      </c>
      <c r="F3609" s="12" t="str">
        <f t="shared" ref="F3609:F3610" si="71">TEXT(B3609,"MM/DD/YYYY")</f>
        <v>02/28/2018</v>
      </c>
      <c r="G3609" t="str">
        <f>VLOOKUP(A3609,inf!$D$2:$E$76,2,FALSE)</f>
        <v>Other</v>
      </c>
    </row>
    <row r="3610" spans="1:7" x14ac:dyDescent="0.25">
      <c r="A3610" t="s">
        <v>28</v>
      </c>
      <c r="B3610" s="1">
        <v>43159</v>
      </c>
      <c r="C3610" t="s">
        <v>55</v>
      </c>
      <c r="D3610">
        <v>11789.880000000001</v>
      </c>
      <c r="E3610" s="12" t="str">
        <f>VLOOKUP(C3610,inf!$A$2:$B$7,2,FALSE)</f>
        <v>Current</v>
      </c>
      <c r="F3610" s="12" t="str">
        <f t="shared" si="71"/>
        <v>02/28/2018</v>
      </c>
      <c r="G3610" t="str">
        <f>VLOOKUP(A3610,inf!$D$2:$E$76,2,FALSE)</f>
        <v>Other</v>
      </c>
    </row>
    <row r="3611" spans="1:7" x14ac:dyDescent="0.25">
      <c r="A3611" t="s">
        <v>15</v>
      </c>
      <c r="B3611" s="1">
        <v>43159</v>
      </c>
      <c r="C3611" t="s">
        <v>55</v>
      </c>
      <c r="D3611">
        <v>1296.1499999999999</v>
      </c>
      <c r="E3611" s="12" t="str">
        <f>VLOOKUP(C3611,inf!$A$2:$B$7,2,FALSE)</f>
        <v>Current</v>
      </c>
      <c r="F3611" s="12" t="str">
        <f>TEXT(B3611,"MM/DD/YYYY")</f>
        <v>02/28/2018</v>
      </c>
      <c r="G3611" t="str">
        <f>VLOOKUP(A3611,inf!$D$2:$E$76,2,FALSE)</f>
        <v>Other</v>
      </c>
    </row>
    <row r="3612" spans="1:7" x14ac:dyDescent="0.25">
      <c r="A3612" t="s">
        <v>15</v>
      </c>
      <c r="B3612" s="1">
        <v>43159</v>
      </c>
      <c r="C3612" t="s">
        <v>58</v>
      </c>
      <c r="D3612">
        <v>317.29000000000002</v>
      </c>
      <c r="E3612" s="12" t="str">
        <f>VLOOKUP(C3612,inf!$A$2:$B$7,2,FALSE)</f>
        <v>61 to 90</v>
      </c>
      <c r="F3612" s="12" t="str">
        <f>TEXT(B3612,"MM/DD/YYYY")</f>
        <v>02/28/2018</v>
      </c>
      <c r="G3612" t="str">
        <f>VLOOKUP(A3612,inf!$D$2:$E$76,2,FALSE)</f>
        <v>Other</v>
      </c>
    </row>
    <row r="3613" spans="1:7" x14ac:dyDescent="0.25">
      <c r="A3613" t="s">
        <v>15</v>
      </c>
      <c r="B3613" s="1">
        <v>43159</v>
      </c>
      <c r="C3613" t="s">
        <v>60</v>
      </c>
      <c r="D3613">
        <v>653.86</v>
      </c>
      <c r="E3613" s="12" t="str">
        <f>VLOOKUP(C3613,inf!$A$2:$B$7,2,FALSE)</f>
        <v>Over 90</v>
      </c>
      <c r="F3613" s="12" t="str">
        <f>TEXT(B3613,"MM/DD/YYYY")</f>
        <v>02/28/2018</v>
      </c>
      <c r="G3613" t="str">
        <f>VLOOKUP(A3613,inf!$D$2:$E$76,2,FALSE)</f>
        <v>Other</v>
      </c>
    </row>
    <row r="3614" spans="1:7" x14ac:dyDescent="0.25">
      <c r="A3614" t="s">
        <v>121</v>
      </c>
      <c r="B3614" s="1">
        <v>43166</v>
      </c>
      <c r="C3614" t="s">
        <v>55</v>
      </c>
      <c r="D3614">
        <v>232.28</v>
      </c>
      <c r="E3614" s="12" t="str">
        <f>VLOOKUP(C3614,inf!$A$2:$B$7,2,FALSE)</f>
        <v>Current</v>
      </c>
      <c r="F3614" s="12" t="str">
        <f>TEXT(B3614,"MM/DD/YYYY")</f>
        <v>03/07/2018</v>
      </c>
      <c r="G3614" t="str">
        <f>VLOOKUP(A3614,inf!$D$2:$E$76,2,FALSE)</f>
        <v>Other</v>
      </c>
    </row>
    <row r="3615" spans="1:7" x14ac:dyDescent="0.25">
      <c r="A3615" t="s">
        <v>22</v>
      </c>
      <c r="B3615" s="1">
        <v>43166</v>
      </c>
      <c r="C3615" t="s">
        <v>57</v>
      </c>
      <c r="D3615">
        <v>114.85</v>
      </c>
      <c r="E3615" s="12" t="str">
        <f>VLOOKUP(C3615,inf!$A$2:$B$7,2,FALSE)</f>
        <v>31 to 60</v>
      </c>
      <c r="F3615" s="12" t="str">
        <f t="shared" ref="F3615:F3616" si="72">TEXT(B3615,"MM/DD/YYYY")</f>
        <v>03/07/2018</v>
      </c>
      <c r="G3615" t="str">
        <f>VLOOKUP(A3615,inf!$D$2:$E$76,2,FALSE)</f>
        <v>Other</v>
      </c>
    </row>
    <row r="3616" spans="1:7" x14ac:dyDescent="0.25">
      <c r="A3616" t="s">
        <v>22</v>
      </c>
      <c r="B3616" s="1">
        <v>43166</v>
      </c>
      <c r="C3616" t="s">
        <v>58</v>
      </c>
      <c r="D3616">
        <v>114.85</v>
      </c>
      <c r="E3616" s="12" t="str">
        <f>VLOOKUP(C3616,inf!$A$2:$B$7,2,FALSE)</f>
        <v>61 to 90</v>
      </c>
      <c r="F3616" s="12" t="str">
        <f t="shared" si="72"/>
        <v>03/07/2018</v>
      </c>
      <c r="G3616" t="str">
        <f>VLOOKUP(A3616,inf!$D$2:$E$76,2,FALSE)</f>
        <v>Other</v>
      </c>
    </row>
    <row r="3617" spans="1:7" x14ac:dyDescent="0.25">
      <c r="A3617" t="s">
        <v>103</v>
      </c>
      <c r="B3617" s="1">
        <v>43166</v>
      </c>
      <c r="C3617" t="s">
        <v>55</v>
      </c>
      <c r="D3617">
        <v>776.76</v>
      </c>
      <c r="E3617" s="12" t="str">
        <f>VLOOKUP(C3617,inf!$A$2:$B$7,2,FALSE)</f>
        <v>Current</v>
      </c>
      <c r="F3617" s="12" t="str">
        <f>TEXT(B3617,"MM/DD/YYYY")</f>
        <v>03/07/2018</v>
      </c>
      <c r="G3617" t="str">
        <f>VLOOKUP(A3617,inf!$D$2:$E$76,2,FALSE)</f>
        <v>Other</v>
      </c>
    </row>
    <row r="3618" spans="1:7" x14ac:dyDescent="0.25">
      <c r="A3618" t="s">
        <v>80</v>
      </c>
      <c r="B3618" s="1">
        <v>43166</v>
      </c>
      <c r="C3618" t="s">
        <v>55</v>
      </c>
      <c r="D3618">
        <v>1188.29</v>
      </c>
      <c r="E3618" s="12" t="str">
        <f>VLOOKUP(C3618,inf!$A$2:$B$7,2,FALSE)</f>
        <v>Current</v>
      </c>
      <c r="F3618" s="12" t="str">
        <f>TEXT(B3618,"MM/DD/YYYY")</f>
        <v>03/07/2018</v>
      </c>
      <c r="G3618" t="str">
        <f>VLOOKUP(A3618,inf!$D$2:$E$76,2,FALSE)</f>
        <v>Other</v>
      </c>
    </row>
    <row r="3619" spans="1:7" x14ac:dyDescent="0.25">
      <c r="A3619" t="s">
        <v>4</v>
      </c>
      <c r="B3619" s="1">
        <v>43166</v>
      </c>
      <c r="C3619" t="s">
        <v>55</v>
      </c>
      <c r="D3619">
        <v>7792.45</v>
      </c>
      <c r="E3619" s="12" t="str">
        <f>VLOOKUP(C3619,inf!$A$2:$B$7,2,FALSE)</f>
        <v>Current</v>
      </c>
      <c r="F3619" s="12" t="str">
        <f>TEXT(B3619,"MM/DD/YYYY")</f>
        <v>03/07/2018</v>
      </c>
      <c r="G3619" t="str">
        <f>VLOOKUP(A3619,inf!$D$2:$E$76,2,FALSE)</f>
        <v>Other</v>
      </c>
    </row>
    <row r="3620" spans="1:7" x14ac:dyDescent="0.25">
      <c r="A3620" t="s">
        <v>4</v>
      </c>
      <c r="B3620" s="1">
        <v>43166</v>
      </c>
      <c r="C3620" t="s">
        <v>59</v>
      </c>
      <c r="D3620">
        <v>52.5</v>
      </c>
      <c r="E3620" s="12" t="str">
        <f>VLOOKUP(C3620,inf!$A$2:$B$7,2,FALSE)</f>
        <v>Over 90</v>
      </c>
      <c r="F3620" s="12" t="str">
        <f t="shared" ref="F3620:F3621" si="73">TEXT(B3620,"MM/DD/YYYY")</f>
        <v>03/07/2018</v>
      </c>
      <c r="G3620" t="str">
        <f>VLOOKUP(A3620,inf!$D$2:$E$76,2,FALSE)</f>
        <v>Other</v>
      </c>
    </row>
    <row r="3621" spans="1:7" x14ac:dyDescent="0.25">
      <c r="A3621" t="s">
        <v>4</v>
      </c>
      <c r="B3621" s="1">
        <v>43166</v>
      </c>
      <c r="C3621" t="s">
        <v>60</v>
      </c>
      <c r="D3621">
        <v>526.84</v>
      </c>
      <c r="E3621" s="12" t="str">
        <f>VLOOKUP(C3621,inf!$A$2:$B$7,2,FALSE)</f>
        <v>Over 90</v>
      </c>
      <c r="F3621" s="12" t="str">
        <f t="shared" si="73"/>
        <v>03/07/2018</v>
      </c>
      <c r="G3621" t="str">
        <f>VLOOKUP(A3621,inf!$D$2:$E$76,2,FALSE)</f>
        <v>Other</v>
      </c>
    </row>
    <row r="3622" spans="1:7" x14ac:dyDescent="0.25">
      <c r="A3622" t="s">
        <v>77</v>
      </c>
      <c r="B3622" s="1">
        <v>43166</v>
      </c>
      <c r="C3622" t="s">
        <v>57</v>
      </c>
      <c r="D3622">
        <v>834.05</v>
      </c>
      <c r="E3622" s="12" t="str">
        <f>VLOOKUP(C3622,inf!$A$2:$B$7,2,FALSE)</f>
        <v>31 to 60</v>
      </c>
      <c r="F3622" s="12" t="str">
        <f t="shared" ref="F3622:F3629" si="74">TEXT(B3622,"MM/DD/YYYY")</f>
        <v>03/07/2018</v>
      </c>
      <c r="G3622" t="str">
        <f>VLOOKUP(A3622,inf!$D$2:$E$76,2,FALSE)</f>
        <v>Other</v>
      </c>
    </row>
    <row r="3623" spans="1:7" x14ac:dyDescent="0.25">
      <c r="A3623" t="s">
        <v>32</v>
      </c>
      <c r="B3623" s="1">
        <v>43166</v>
      </c>
      <c r="C3623" t="s">
        <v>55</v>
      </c>
      <c r="D3623">
        <v>265.76</v>
      </c>
      <c r="E3623" s="12" t="str">
        <f>VLOOKUP(C3623,inf!$A$2:$B$7,2,FALSE)</f>
        <v>Current</v>
      </c>
      <c r="F3623" s="12" t="str">
        <f t="shared" si="74"/>
        <v>03/07/2018</v>
      </c>
      <c r="G3623" t="str">
        <f>VLOOKUP(A3623,inf!$D$2:$E$76,2,FALSE)</f>
        <v>Other</v>
      </c>
    </row>
    <row r="3624" spans="1:7" x14ac:dyDescent="0.25">
      <c r="A3624" t="s">
        <v>11</v>
      </c>
      <c r="B3624" s="1">
        <v>43166</v>
      </c>
      <c r="C3624" t="s">
        <v>57</v>
      </c>
      <c r="D3624">
        <v>331.6</v>
      </c>
      <c r="E3624" s="12" t="str">
        <f>VLOOKUP(C3624,inf!$A$2:$B$7,2,FALSE)</f>
        <v>31 to 60</v>
      </c>
      <c r="F3624" s="12" t="str">
        <f t="shared" si="74"/>
        <v>03/07/2018</v>
      </c>
      <c r="G3624" t="str">
        <f>VLOOKUP(A3624,inf!$D$2:$E$76,2,FALSE)</f>
        <v>Other</v>
      </c>
    </row>
    <row r="3625" spans="1:7" x14ac:dyDescent="0.25">
      <c r="A3625" t="s">
        <v>25</v>
      </c>
      <c r="B3625" s="1">
        <v>43166</v>
      </c>
      <c r="C3625" t="s">
        <v>55</v>
      </c>
      <c r="D3625">
        <v>583.23</v>
      </c>
      <c r="E3625" s="12" t="str">
        <f>VLOOKUP(C3625,inf!$A$2:$B$7,2,FALSE)</f>
        <v>Current</v>
      </c>
      <c r="F3625" s="12" t="str">
        <f t="shared" si="74"/>
        <v>03/07/2018</v>
      </c>
      <c r="G3625" t="str">
        <f>VLOOKUP(A3625,inf!$D$2:$E$76,2,FALSE)</f>
        <v>Other</v>
      </c>
    </row>
    <row r="3626" spans="1:7" x14ac:dyDescent="0.25">
      <c r="A3626" t="s">
        <v>31</v>
      </c>
      <c r="B3626" s="1">
        <v>43166</v>
      </c>
      <c r="C3626" t="s">
        <v>55</v>
      </c>
      <c r="D3626">
        <v>818.33</v>
      </c>
      <c r="E3626" s="12" t="str">
        <f>VLOOKUP(C3626,inf!$A$2:$B$7,2,FALSE)</f>
        <v>Current</v>
      </c>
      <c r="F3626" s="12" t="str">
        <f t="shared" si="74"/>
        <v>03/07/2018</v>
      </c>
      <c r="G3626" t="str">
        <f>VLOOKUP(A3626,inf!$D$2:$E$76,2,FALSE)</f>
        <v>Other</v>
      </c>
    </row>
    <row r="3627" spans="1:7" x14ac:dyDescent="0.25">
      <c r="A3627" t="s">
        <v>24</v>
      </c>
      <c r="B3627" s="1">
        <v>43166</v>
      </c>
      <c r="C3627" t="s">
        <v>55</v>
      </c>
      <c r="D3627">
        <v>716.78</v>
      </c>
      <c r="E3627" s="12" t="str">
        <f>VLOOKUP(C3627,inf!$A$2:$B$7,2,FALSE)</f>
        <v>Current</v>
      </c>
      <c r="F3627" s="12" t="str">
        <f t="shared" si="74"/>
        <v>03/07/2018</v>
      </c>
      <c r="G3627" t="str">
        <f>VLOOKUP(A3627,inf!$D$2:$E$76,2,FALSE)</f>
        <v>Other</v>
      </c>
    </row>
    <row r="3628" spans="1:7" x14ac:dyDescent="0.25">
      <c r="A3628" t="s">
        <v>65</v>
      </c>
      <c r="B3628" s="1">
        <v>43166</v>
      </c>
      <c r="C3628" t="s">
        <v>55</v>
      </c>
      <c r="D3628">
        <v>190</v>
      </c>
      <c r="E3628" s="12" t="str">
        <f>VLOOKUP(C3628,inf!$A$2:$B$7,2,FALSE)</f>
        <v>Current</v>
      </c>
      <c r="F3628" s="12" t="str">
        <f t="shared" si="74"/>
        <v>03/07/2018</v>
      </c>
      <c r="G3628" t="str">
        <f>VLOOKUP(A3628,inf!$D$2:$E$76,2,FALSE)</f>
        <v>Other</v>
      </c>
    </row>
    <row r="3629" spans="1:7" x14ac:dyDescent="0.25">
      <c r="A3629" t="s">
        <v>27</v>
      </c>
      <c r="B3629" s="1">
        <v>43166</v>
      </c>
      <c r="C3629" t="s">
        <v>55</v>
      </c>
      <c r="D3629">
        <v>2518.52</v>
      </c>
      <c r="E3629" s="12" t="str">
        <f>VLOOKUP(C3629,inf!$A$2:$B$7,2,FALSE)</f>
        <v>Current</v>
      </c>
      <c r="F3629" s="12" t="str">
        <f t="shared" si="74"/>
        <v>03/07/2018</v>
      </c>
      <c r="G3629" t="str">
        <f>VLOOKUP(A3629,inf!$D$2:$E$76,2,FALSE)</f>
        <v>Other</v>
      </c>
    </row>
    <row r="3630" spans="1:7" x14ac:dyDescent="0.25">
      <c r="A3630" t="s">
        <v>82</v>
      </c>
      <c r="B3630" s="1">
        <v>43166</v>
      </c>
      <c r="C3630" t="s">
        <v>55</v>
      </c>
      <c r="D3630">
        <v>358.84</v>
      </c>
      <c r="E3630" s="12" t="str">
        <f>VLOOKUP(C3630,inf!$A$2:$B$7,2,FALSE)</f>
        <v>Current</v>
      </c>
      <c r="F3630" s="12" t="str">
        <f t="shared" ref="F3630:F3632" si="75">TEXT(B3630,"MM/DD/YYYY")</f>
        <v>03/07/2018</v>
      </c>
      <c r="G3630" t="str">
        <f>VLOOKUP(A3630,inf!$D$2:$E$76,2,FALSE)</f>
        <v>Other</v>
      </c>
    </row>
    <row r="3631" spans="1:7" x14ac:dyDescent="0.25">
      <c r="A3631" t="s">
        <v>82</v>
      </c>
      <c r="B3631" s="1">
        <v>43166</v>
      </c>
      <c r="C3631" t="s">
        <v>56</v>
      </c>
      <c r="D3631">
        <v>123.79</v>
      </c>
      <c r="E3631" s="12" t="str">
        <f>VLOOKUP(C3631,inf!$A$2:$B$7,2,FALSE)</f>
        <v>Current</v>
      </c>
      <c r="F3631" s="12" t="str">
        <f t="shared" si="75"/>
        <v>03/07/2018</v>
      </c>
      <c r="G3631" t="str">
        <f>VLOOKUP(A3631,inf!$D$2:$E$76,2,FALSE)</f>
        <v>Other</v>
      </c>
    </row>
    <row r="3632" spans="1:7" x14ac:dyDescent="0.25">
      <c r="A3632" t="s">
        <v>82</v>
      </c>
      <c r="B3632" s="1">
        <v>43166</v>
      </c>
      <c r="C3632" t="s">
        <v>57</v>
      </c>
      <c r="D3632">
        <v>114.85</v>
      </c>
      <c r="E3632" s="12" t="str">
        <f>VLOOKUP(C3632,inf!$A$2:$B$7,2,FALSE)</f>
        <v>31 to 60</v>
      </c>
      <c r="F3632" s="12" t="str">
        <f t="shared" si="75"/>
        <v>03/07/2018</v>
      </c>
      <c r="G3632" t="str">
        <f>VLOOKUP(A3632,inf!$D$2:$E$76,2,FALSE)</f>
        <v>Other</v>
      </c>
    </row>
    <row r="3633" spans="1:7" x14ac:dyDescent="0.25">
      <c r="A3633" t="s">
        <v>53</v>
      </c>
      <c r="B3633" s="1">
        <v>43166</v>
      </c>
      <c r="C3633" t="s">
        <v>55</v>
      </c>
      <c r="D3633">
        <v>165.05</v>
      </c>
      <c r="E3633" s="12" t="str">
        <f>VLOOKUP(C3633,inf!$A$2:$B$7,2,FALSE)</f>
        <v>Current</v>
      </c>
      <c r="F3633" s="12" t="str">
        <f>TEXT(B3633,"MM/DD/YYYY")</f>
        <v>03/07/2018</v>
      </c>
      <c r="G3633" t="str">
        <f>VLOOKUP(A3633,inf!$D$2:$E$76,2,FALSE)</f>
        <v>Other</v>
      </c>
    </row>
    <row r="3634" spans="1:7" x14ac:dyDescent="0.25">
      <c r="A3634" t="s">
        <v>3</v>
      </c>
      <c r="B3634" s="1">
        <v>43166</v>
      </c>
      <c r="C3634" t="s">
        <v>55</v>
      </c>
      <c r="D3634">
        <v>486.93</v>
      </c>
      <c r="E3634" s="12" t="str">
        <f>VLOOKUP(C3634,inf!$A$2:$B$7,2,FALSE)</f>
        <v>Current</v>
      </c>
      <c r="F3634" s="12" t="str">
        <f>TEXT(B3634,"MM/DD/YYYY")</f>
        <v>03/07/2018</v>
      </c>
      <c r="G3634" t="str">
        <f>VLOOKUP(A3634,inf!$D$2:$E$76,2,FALSE)</f>
        <v>Other</v>
      </c>
    </row>
    <row r="3635" spans="1:7" x14ac:dyDescent="0.25">
      <c r="A3635" t="s">
        <v>3</v>
      </c>
      <c r="B3635" s="1">
        <v>43166</v>
      </c>
      <c r="C3635" t="s">
        <v>57</v>
      </c>
      <c r="D3635">
        <v>62.5</v>
      </c>
      <c r="E3635" s="12" t="str">
        <f>VLOOKUP(C3635,inf!$A$2:$B$7,2,FALSE)</f>
        <v>31 to 60</v>
      </c>
      <c r="F3635" s="12" t="str">
        <f t="shared" ref="F3635:F3636" si="76">TEXT(B3635,"MM/DD/YYYY")</f>
        <v>03/07/2018</v>
      </c>
      <c r="G3635" t="str">
        <f>VLOOKUP(A3635,inf!$D$2:$E$76,2,FALSE)</f>
        <v>Other</v>
      </c>
    </row>
    <row r="3636" spans="1:7" x14ac:dyDescent="0.25">
      <c r="A3636" t="s">
        <v>3</v>
      </c>
      <c r="B3636" s="1">
        <v>43166</v>
      </c>
      <c r="C3636" t="s">
        <v>58</v>
      </c>
      <c r="D3636">
        <v>345.82</v>
      </c>
      <c r="E3636" s="12" t="str">
        <f>VLOOKUP(C3636,inf!$A$2:$B$7,2,FALSE)</f>
        <v>61 to 90</v>
      </c>
      <c r="F3636" s="12" t="str">
        <f t="shared" si="76"/>
        <v>03/07/2018</v>
      </c>
      <c r="G3636" t="str">
        <f>VLOOKUP(A3636,inf!$D$2:$E$76,2,FALSE)</f>
        <v>Other</v>
      </c>
    </row>
    <row r="3637" spans="1:7" x14ac:dyDescent="0.25">
      <c r="A3637" t="s">
        <v>78</v>
      </c>
      <c r="B3637" s="1">
        <v>43166</v>
      </c>
      <c r="C3637" t="s">
        <v>55</v>
      </c>
      <c r="D3637">
        <v>125.04</v>
      </c>
      <c r="E3637" s="12" t="str">
        <f>VLOOKUP(C3637,inf!$A$2:$B$7,2,FALSE)</f>
        <v>Current</v>
      </c>
      <c r="F3637" s="12" t="str">
        <f t="shared" ref="F3637:F3647" si="77">TEXT(B3637,"MM/DD/YYYY")</f>
        <v>03/07/2018</v>
      </c>
      <c r="G3637" t="str">
        <f>VLOOKUP(A3637,inf!$D$2:$E$76,2,FALSE)</f>
        <v>Other</v>
      </c>
    </row>
    <row r="3638" spans="1:7" x14ac:dyDescent="0.25">
      <c r="A3638" t="s">
        <v>79</v>
      </c>
      <c r="B3638" s="1">
        <v>43166</v>
      </c>
      <c r="C3638" t="s">
        <v>55</v>
      </c>
      <c r="D3638">
        <v>275.3</v>
      </c>
      <c r="E3638" s="12" t="str">
        <f>VLOOKUP(C3638,inf!$A$2:$B$7,2,FALSE)</f>
        <v>Current</v>
      </c>
      <c r="F3638" s="12" t="str">
        <f t="shared" si="77"/>
        <v>03/07/2018</v>
      </c>
      <c r="G3638" t="str">
        <f>VLOOKUP(A3638,inf!$D$2:$E$76,2,FALSE)</f>
        <v>Other</v>
      </c>
    </row>
    <row r="3639" spans="1:7" x14ac:dyDescent="0.25">
      <c r="A3639" t="s">
        <v>30</v>
      </c>
      <c r="B3639" s="1">
        <v>43166</v>
      </c>
      <c r="C3639" t="s">
        <v>55</v>
      </c>
      <c r="D3639">
        <v>3677.6600000000003</v>
      </c>
      <c r="E3639" s="12" t="str">
        <f>VLOOKUP(C3639,inf!$A$2:$B$7,2,FALSE)</f>
        <v>Current</v>
      </c>
      <c r="F3639" s="12" t="str">
        <f t="shared" si="77"/>
        <v>03/07/2018</v>
      </c>
      <c r="G3639" t="str">
        <f>VLOOKUP(A3639,inf!$D$2:$E$76,2,FALSE)</f>
        <v>Other</v>
      </c>
    </row>
    <row r="3640" spans="1:7" x14ac:dyDescent="0.25">
      <c r="A3640" t="s">
        <v>30</v>
      </c>
      <c r="B3640" s="1">
        <v>43166</v>
      </c>
      <c r="C3640" t="s">
        <v>57</v>
      </c>
      <c r="D3640">
        <v>129.21</v>
      </c>
      <c r="E3640" s="12" t="str">
        <f>VLOOKUP(C3640,inf!$A$2:$B$7,2,FALSE)</f>
        <v>31 to 60</v>
      </c>
      <c r="F3640" s="12" t="str">
        <f t="shared" si="77"/>
        <v>03/07/2018</v>
      </c>
      <c r="G3640" t="str">
        <f>VLOOKUP(A3640,inf!$D$2:$E$76,2,FALSE)</f>
        <v>Other</v>
      </c>
    </row>
    <row r="3641" spans="1:7" x14ac:dyDescent="0.25">
      <c r="A3641" t="s">
        <v>112</v>
      </c>
      <c r="B3641" s="1">
        <v>43166</v>
      </c>
      <c r="C3641" t="s">
        <v>55</v>
      </c>
      <c r="D3641">
        <v>270.11</v>
      </c>
      <c r="E3641" s="12" t="str">
        <f>VLOOKUP(C3641,inf!$A$2:$B$7,2,FALSE)</f>
        <v>Current</v>
      </c>
      <c r="F3641" s="12" t="str">
        <f t="shared" si="77"/>
        <v>03/07/2018</v>
      </c>
      <c r="G3641" t="str">
        <f>VLOOKUP(A3641,inf!$D$2:$E$76,2,FALSE)</f>
        <v>Other</v>
      </c>
    </row>
    <row r="3642" spans="1:7" x14ac:dyDescent="0.25">
      <c r="A3642" t="s">
        <v>63</v>
      </c>
      <c r="B3642" s="1">
        <v>43166</v>
      </c>
      <c r="C3642" t="s">
        <v>55</v>
      </c>
      <c r="D3642">
        <v>563.72</v>
      </c>
      <c r="E3642" s="12" t="str">
        <f>VLOOKUP(C3642,inf!$A$2:$B$7,2,FALSE)</f>
        <v>Current</v>
      </c>
      <c r="F3642" s="12" t="str">
        <f t="shared" si="77"/>
        <v>03/07/2018</v>
      </c>
      <c r="G3642" t="str">
        <f>VLOOKUP(A3642,inf!$D$2:$E$76,2,FALSE)</f>
        <v>Other</v>
      </c>
    </row>
    <row r="3643" spans="1:7" x14ac:dyDescent="0.25">
      <c r="A3643" t="s">
        <v>104</v>
      </c>
      <c r="B3643" s="1">
        <v>43166</v>
      </c>
      <c r="C3643" t="s">
        <v>55</v>
      </c>
      <c r="D3643">
        <v>2087.54</v>
      </c>
      <c r="E3643" s="12" t="str">
        <f>VLOOKUP(C3643,inf!$A$2:$B$7,2,FALSE)</f>
        <v>Current</v>
      </c>
      <c r="F3643" s="12" t="str">
        <f t="shared" si="77"/>
        <v>03/07/2018</v>
      </c>
      <c r="G3643" t="str">
        <f>VLOOKUP(A3643,inf!$D$2:$E$76,2,FALSE)</f>
        <v>Other</v>
      </c>
    </row>
    <row r="3644" spans="1:7" x14ac:dyDescent="0.25">
      <c r="A3644" t="s">
        <v>12</v>
      </c>
      <c r="B3644" s="1">
        <v>43166</v>
      </c>
      <c r="C3644" t="s">
        <v>55</v>
      </c>
      <c r="D3644">
        <v>1322.46</v>
      </c>
      <c r="E3644" s="12" t="str">
        <f>VLOOKUP(C3644,inf!$A$2:$B$7,2,FALSE)</f>
        <v>Current</v>
      </c>
      <c r="F3644" s="12" t="str">
        <f t="shared" si="77"/>
        <v>03/07/2018</v>
      </c>
      <c r="G3644" t="str">
        <f>VLOOKUP(A3644,inf!$D$2:$E$76,2,FALSE)</f>
        <v>Other</v>
      </c>
    </row>
    <row r="3645" spans="1:7" x14ac:dyDescent="0.25">
      <c r="A3645" t="s">
        <v>50</v>
      </c>
      <c r="B3645" s="1">
        <v>43166</v>
      </c>
      <c r="C3645" t="s">
        <v>55</v>
      </c>
      <c r="D3645">
        <v>745.4</v>
      </c>
      <c r="E3645" s="12" t="str">
        <f>VLOOKUP(C3645,inf!$A$2:$B$7,2,FALSE)</f>
        <v>Current</v>
      </c>
      <c r="F3645" s="12" t="str">
        <f t="shared" si="77"/>
        <v>03/07/2018</v>
      </c>
      <c r="G3645" t="str">
        <f>VLOOKUP(A3645,inf!$D$2:$E$76,2,FALSE)</f>
        <v>Other</v>
      </c>
    </row>
    <row r="3646" spans="1:7" x14ac:dyDescent="0.25">
      <c r="A3646" t="s">
        <v>107</v>
      </c>
      <c r="B3646" s="1">
        <v>43166</v>
      </c>
      <c r="C3646" t="s">
        <v>55</v>
      </c>
      <c r="D3646">
        <v>196.62</v>
      </c>
      <c r="E3646" s="12" t="str">
        <f>VLOOKUP(C3646,inf!$A$2:$B$7,2,FALSE)</f>
        <v>Current</v>
      </c>
      <c r="F3646" s="12" t="str">
        <f t="shared" si="77"/>
        <v>03/07/2018</v>
      </c>
      <c r="G3646" t="str">
        <f>VLOOKUP(A3646,inf!$D$2:$E$76,2,FALSE)</f>
        <v>Other</v>
      </c>
    </row>
    <row r="3647" spans="1:7" x14ac:dyDescent="0.25">
      <c r="A3647" t="s">
        <v>113</v>
      </c>
      <c r="B3647" s="1">
        <v>43166</v>
      </c>
      <c r="C3647" t="s">
        <v>55</v>
      </c>
      <c r="D3647">
        <v>723.17</v>
      </c>
      <c r="E3647" s="12" t="str">
        <f>VLOOKUP(C3647,inf!$A$2:$B$7,2,FALSE)</f>
        <v>Current</v>
      </c>
      <c r="F3647" s="12" t="str">
        <f t="shared" si="77"/>
        <v>03/07/2018</v>
      </c>
      <c r="G3647" t="str">
        <f>VLOOKUP(A3647,inf!$D$2:$E$76,2,FALSE)</f>
        <v>Other</v>
      </c>
    </row>
    <row r="3648" spans="1:7" x14ac:dyDescent="0.25">
      <c r="A3648" t="s">
        <v>83</v>
      </c>
      <c r="B3648" s="1">
        <v>43166</v>
      </c>
      <c r="C3648" t="s">
        <v>55</v>
      </c>
      <c r="D3648">
        <v>1431.04</v>
      </c>
      <c r="E3648" s="12" t="str">
        <f>VLOOKUP(C3648,inf!$A$2:$B$7,2,FALSE)</f>
        <v>Current</v>
      </c>
      <c r="F3648" s="12" t="str">
        <f t="shared" ref="F3648:F3649" si="78">TEXT(B3648,"MM/DD/YYYY")</f>
        <v>03/07/2018</v>
      </c>
      <c r="G3648" t="str">
        <f>VLOOKUP(A3648,inf!$D$2:$E$76,2,FALSE)</f>
        <v>Other</v>
      </c>
    </row>
    <row r="3649" spans="1:7" x14ac:dyDescent="0.25">
      <c r="A3649" t="s">
        <v>83</v>
      </c>
      <c r="B3649" s="1">
        <v>43166</v>
      </c>
      <c r="C3649" t="s">
        <v>56</v>
      </c>
      <c r="D3649">
        <v>2437.46</v>
      </c>
      <c r="E3649" s="12" t="str">
        <f>VLOOKUP(C3649,inf!$A$2:$B$7,2,FALSE)</f>
        <v>Current</v>
      </c>
      <c r="F3649" s="12" t="str">
        <f t="shared" si="78"/>
        <v>03/07/2018</v>
      </c>
      <c r="G3649" t="str">
        <f>VLOOKUP(A3649,inf!$D$2:$E$76,2,FALSE)</f>
        <v>Other</v>
      </c>
    </row>
    <row r="3650" spans="1:7" x14ac:dyDescent="0.25">
      <c r="A3650" t="s">
        <v>7</v>
      </c>
      <c r="B3650" s="1">
        <v>43166</v>
      </c>
      <c r="C3650" t="s">
        <v>55</v>
      </c>
      <c r="D3650">
        <v>106670.16000000005</v>
      </c>
      <c r="E3650" s="12" t="str">
        <f>VLOOKUP(C3650,inf!$A$2:$B$7,2,FALSE)</f>
        <v>Current</v>
      </c>
      <c r="F3650" s="12" t="str">
        <f t="shared" ref="F3650:F3658" si="79">TEXT(B3650,"MM/DD/YYYY")</f>
        <v>03/07/2018</v>
      </c>
      <c r="G3650" t="str">
        <f>VLOOKUP(A3650,inf!$D$2:$E$76,2,FALSE)</f>
        <v>SAFEWAY</v>
      </c>
    </row>
    <row r="3651" spans="1:7" x14ac:dyDescent="0.25">
      <c r="A3651" t="s">
        <v>7</v>
      </c>
      <c r="B3651" s="1">
        <v>43166</v>
      </c>
      <c r="C3651" t="s">
        <v>56</v>
      </c>
      <c r="D3651">
        <v>18781.180000000004</v>
      </c>
      <c r="E3651" s="12" t="str">
        <f>VLOOKUP(C3651,inf!$A$2:$B$7,2,FALSE)</f>
        <v>Current</v>
      </c>
      <c r="F3651" s="12" t="str">
        <f t="shared" si="79"/>
        <v>03/07/2018</v>
      </c>
      <c r="G3651" t="str">
        <f>VLOOKUP(A3651,inf!$D$2:$E$76,2,FALSE)</f>
        <v>SAFEWAY</v>
      </c>
    </row>
    <row r="3652" spans="1:7" x14ac:dyDescent="0.25">
      <c r="A3652" t="s">
        <v>7</v>
      </c>
      <c r="B3652" s="1">
        <v>43166</v>
      </c>
      <c r="C3652" t="s">
        <v>57</v>
      </c>
      <c r="D3652">
        <v>8014.2699999999986</v>
      </c>
      <c r="E3652" s="12" t="str">
        <f>VLOOKUP(C3652,inf!$A$2:$B$7,2,FALSE)</f>
        <v>31 to 60</v>
      </c>
      <c r="F3652" s="12" t="str">
        <f t="shared" si="79"/>
        <v>03/07/2018</v>
      </c>
      <c r="G3652" t="str">
        <f>VLOOKUP(A3652,inf!$D$2:$E$76,2,FALSE)</f>
        <v>SAFEWAY</v>
      </c>
    </row>
    <row r="3653" spans="1:7" x14ac:dyDescent="0.25">
      <c r="A3653" t="s">
        <v>7</v>
      </c>
      <c r="B3653" s="1">
        <v>43166</v>
      </c>
      <c r="C3653" t="s">
        <v>58</v>
      </c>
      <c r="D3653">
        <v>4937.26</v>
      </c>
      <c r="E3653" s="12" t="str">
        <f>VLOOKUP(C3653,inf!$A$2:$B$7,2,FALSE)</f>
        <v>61 to 90</v>
      </c>
      <c r="F3653" s="12" t="str">
        <f t="shared" si="79"/>
        <v>03/07/2018</v>
      </c>
      <c r="G3653" t="str">
        <f>VLOOKUP(A3653,inf!$D$2:$E$76,2,FALSE)</f>
        <v>SAFEWAY</v>
      </c>
    </row>
    <row r="3654" spans="1:7" x14ac:dyDescent="0.25">
      <c r="A3654" t="s">
        <v>7</v>
      </c>
      <c r="B3654" s="1">
        <v>43166</v>
      </c>
      <c r="C3654" t="s">
        <v>59</v>
      </c>
      <c r="D3654">
        <v>5916.63</v>
      </c>
      <c r="E3654" s="12" t="str">
        <f>VLOOKUP(C3654,inf!$A$2:$B$7,2,FALSE)</f>
        <v>Over 90</v>
      </c>
      <c r="F3654" s="12" t="str">
        <f t="shared" si="79"/>
        <v>03/07/2018</v>
      </c>
      <c r="G3654" t="str">
        <f>VLOOKUP(A3654,inf!$D$2:$E$76,2,FALSE)</f>
        <v>SAFEWAY</v>
      </c>
    </row>
    <row r="3655" spans="1:7" x14ac:dyDescent="0.25">
      <c r="A3655" t="s">
        <v>7</v>
      </c>
      <c r="B3655" s="1">
        <v>43166</v>
      </c>
      <c r="C3655" t="s">
        <v>60</v>
      </c>
      <c r="D3655">
        <v>755.47</v>
      </c>
      <c r="E3655" s="12" t="str">
        <f>VLOOKUP(C3655,inf!$A$2:$B$7,2,FALSE)</f>
        <v>Over 90</v>
      </c>
      <c r="F3655" s="12" t="str">
        <f t="shared" si="79"/>
        <v>03/07/2018</v>
      </c>
      <c r="G3655" t="str">
        <f>VLOOKUP(A3655,inf!$D$2:$E$76,2,FALSE)</f>
        <v>SAFEWAY</v>
      </c>
    </row>
    <row r="3656" spans="1:7" x14ac:dyDescent="0.25">
      <c r="A3656" t="s">
        <v>81</v>
      </c>
      <c r="B3656" s="1">
        <v>43166</v>
      </c>
      <c r="C3656" t="s">
        <v>55</v>
      </c>
      <c r="D3656">
        <v>1002.07</v>
      </c>
      <c r="E3656" s="12" t="str">
        <f>VLOOKUP(C3656,inf!$A$2:$B$7,2,FALSE)</f>
        <v>Current</v>
      </c>
      <c r="F3656" s="12" t="str">
        <f t="shared" si="79"/>
        <v>03/07/2018</v>
      </c>
      <c r="G3656" t="str">
        <f>VLOOKUP(A3656,inf!$D$2:$E$76,2,FALSE)</f>
        <v>Other</v>
      </c>
    </row>
    <row r="3657" spans="1:7" x14ac:dyDescent="0.25">
      <c r="A3657" t="s">
        <v>81</v>
      </c>
      <c r="B3657" s="1">
        <v>43166</v>
      </c>
      <c r="C3657" t="s">
        <v>56</v>
      </c>
      <c r="D3657">
        <v>255.25</v>
      </c>
      <c r="E3657" s="12" t="str">
        <f>VLOOKUP(C3657,inf!$A$2:$B$7,2,FALSE)</f>
        <v>Current</v>
      </c>
      <c r="F3657" s="12" t="str">
        <f t="shared" si="79"/>
        <v>03/07/2018</v>
      </c>
      <c r="G3657" t="str">
        <f>VLOOKUP(A3657,inf!$D$2:$E$76,2,FALSE)</f>
        <v>Other</v>
      </c>
    </row>
    <row r="3658" spans="1:7" x14ac:dyDescent="0.25">
      <c r="A3658" t="s">
        <v>81</v>
      </c>
      <c r="B3658" s="1">
        <v>43166</v>
      </c>
      <c r="C3658" t="s">
        <v>57</v>
      </c>
      <c r="D3658">
        <v>174.98</v>
      </c>
      <c r="E3658" s="12" t="str">
        <f>VLOOKUP(C3658,inf!$A$2:$B$7,2,FALSE)</f>
        <v>31 to 60</v>
      </c>
      <c r="F3658" s="12" t="str">
        <f t="shared" si="79"/>
        <v>03/07/2018</v>
      </c>
      <c r="G3658" t="str">
        <f>VLOOKUP(A3658,inf!$D$2:$E$76,2,FALSE)</f>
        <v>Other</v>
      </c>
    </row>
    <row r="3659" spans="1:7" x14ac:dyDescent="0.25">
      <c r="A3659" t="s">
        <v>74</v>
      </c>
      <c r="B3659" s="1">
        <v>43166</v>
      </c>
      <c r="C3659" t="s">
        <v>60</v>
      </c>
      <c r="D3659">
        <v>60.5</v>
      </c>
      <c r="E3659" s="12" t="str">
        <f>VLOOKUP(C3659,inf!$A$2:$B$7,2,FALSE)</f>
        <v>Over 90</v>
      </c>
      <c r="F3659" s="12" t="str">
        <f t="shared" ref="F3659:F3672" si="80">TEXT(B3659,"MM/DD/YYYY")</f>
        <v>03/07/2018</v>
      </c>
      <c r="G3659" t="str">
        <f>VLOOKUP(A3659,inf!$D$2:$E$76,2,FALSE)</f>
        <v>Other</v>
      </c>
    </row>
    <row r="3660" spans="1:7" x14ac:dyDescent="0.25">
      <c r="A3660" t="s">
        <v>5</v>
      </c>
      <c r="B3660" s="1">
        <v>43166</v>
      </c>
      <c r="C3660" t="s">
        <v>55</v>
      </c>
      <c r="D3660">
        <v>8455068.4300001431</v>
      </c>
      <c r="E3660" s="12" t="str">
        <f>VLOOKUP(C3660,inf!$A$2:$B$7,2,FALSE)</f>
        <v>Current</v>
      </c>
      <c r="F3660" s="12" t="str">
        <f t="shared" si="80"/>
        <v>03/07/2018</v>
      </c>
      <c r="G3660" t="str">
        <f>VLOOKUP(A3660,inf!$D$2:$E$76,2,FALSE)</f>
        <v>SBUX</v>
      </c>
    </row>
    <row r="3661" spans="1:7" x14ac:dyDescent="0.25">
      <c r="A3661" t="s">
        <v>5</v>
      </c>
      <c r="B3661" s="1">
        <v>43166</v>
      </c>
      <c r="C3661" t="s">
        <v>56</v>
      </c>
      <c r="D3661">
        <v>133699.80999999997</v>
      </c>
      <c r="E3661" s="12" t="str">
        <f>VLOOKUP(C3661,inf!$A$2:$B$7,2,FALSE)</f>
        <v>Current</v>
      </c>
      <c r="F3661" s="12" t="str">
        <f t="shared" si="80"/>
        <v>03/07/2018</v>
      </c>
      <c r="G3661" t="str">
        <f>VLOOKUP(A3661,inf!$D$2:$E$76,2,FALSE)</f>
        <v>SBUX</v>
      </c>
    </row>
    <row r="3662" spans="1:7" x14ac:dyDescent="0.25">
      <c r="A3662" t="s">
        <v>5</v>
      </c>
      <c r="B3662" s="1">
        <v>43166</v>
      </c>
      <c r="C3662" t="s">
        <v>57</v>
      </c>
      <c r="D3662">
        <v>56876.44</v>
      </c>
      <c r="E3662" s="12" t="str">
        <f>VLOOKUP(C3662,inf!$A$2:$B$7,2,FALSE)</f>
        <v>31 to 60</v>
      </c>
      <c r="F3662" s="12" t="str">
        <f t="shared" si="80"/>
        <v>03/07/2018</v>
      </c>
      <c r="G3662" t="str">
        <f>VLOOKUP(A3662,inf!$D$2:$E$76,2,FALSE)</f>
        <v>SBUX</v>
      </c>
    </row>
    <row r="3663" spans="1:7" x14ac:dyDescent="0.25">
      <c r="A3663" t="s">
        <v>5</v>
      </c>
      <c r="B3663" s="1">
        <v>43166</v>
      </c>
      <c r="C3663" t="s">
        <v>58</v>
      </c>
      <c r="D3663">
        <v>25138.169999999991</v>
      </c>
      <c r="E3663" s="12" t="str">
        <f>VLOOKUP(C3663,inf!$A$2:$B$7,2,FALSE)</f>
        <v>61 to 90</v>
      </c>
      <c r="F3663" s="12" t="str">
        <f t="shared" si="80"/>
        <v>03/07/2018</v>
      </c>
      <c r="G3663" t="str">
        <f>VLOOKUP(A3663,inf!$D$2:$E$76,2,FALSE)</f>
        <v>SBUX</v>
      </c>
    </row>
    <row r="3664" spans="1:7" x14ac:dyDescent="0.25">
      <c r="A3664" t="s">
        <v>5</v>
      </c>
      <c r="B3664" s="1">
        <v>43166</v>
      </c>
      <c r="C3664" t="s">
        <v>59</v>
      </c>
      <c r="D3664">
        <v>35840.949999999997</v>
      </c>
      <c r="E3664" s="12" t="str">
        <f>VLOOKUP(C3664,inf!$A$2:$B$7,2,FALSE)</f>
        <v>Over 90</v>
      </c>
      <c r="F3664" s="12" t="str">
        <f t="shared" si="80"/>
        <v>03/07/2018</v>
      </c>
      <c r="G3664" t="str">
        <f>VLOOKUP(A3664,inf!$D$2:$E$76,2,FALSE)</f>
        <v>SBUX</v>
      </c>
    </row>
    <row r="3665" spans="1:7" x14ac:dyDescent="0.25">
      <c r="A3665" t="s">
        <v>5</v>
      </c>
      <c r="B3665" s="1">
        <v>43166</v>
      </c>
      <c r="C3665" t="s">
        <v>60</v>
      </c>
      <c r="D3665">
        <v>125480.52999999985</v>
      </c>
      <c r="E3665" s="12" t="str">
        <f>VLOOKUP(C3665,inf!$A$2:$B$7,2,FALSE)</f>
        <v>Over 90</v>
      </c>
      <c r="F3665" s="12" t="str">
        <f t="shared" si="80"/>
        <v>03/07/2018</v>
      </c>
      <c r="G3665" t="str">
        <f>VLOOKUP(A3665,inf!$D$2:$E$76,2,FALSE)</f>
        <v>SBUX</v>
      </c>
    </row>
    <row r="3666" spans="1:7" x14ac:dyDescent="0.25">
      <c r="A3666" t="s">
        <v>6</v>
      </c>
      <c r="B3666" s="1">
        <v>43166</v>
      </c>
      <c r="C3666" t="s">
        <v>55</v>
      </c>
      <c r="D3666">
        <v>756003.11999999417</v>
      </c>
      <c r="E3666" s="12" t="str">
        <f>VLOOKUP(C3666,inf!$A$2:$B$7,2,FALSE)</f>
        <v>Current</v>
      </c>
      <c r="F3666" s="12" t="str">
        <f t="shared" si="80"/>
        <v>03/07/2018</v>
      </c>
      <c r="G3666" t="str">
        <f>VLOOKUP(A3666,inf!$D$2:$E$76,2,FALSE)</f>
        <v>SBUX</v>
      </c>
    </row>
    <row r="3667" spans="1:7" x14ac:dyDescent="0.25">
      <c r="A3667" t="s">
        <v>6</v>
      </c>
      <c r="B3667" s="1">
        <v>43166</v>
      </c>
      <c r="C3667" t="s">
        <v>56</v>
      </c>
      <c r="D3667">
        <v>17652.000000000004</v>
      </c>
      <c r="E3667" s="12" t="str">
        <f>VLOOKUP(C3667,inf!$A$2:$B$7,2,FALSE)</f>
        <v>Current</v>
      </c>
      <c r="F3667" s="12" t="str">
        <f t="shared" si="80"/>
        <v>03/07/2018</v>
      </c>
      <c r="G3667" t="str">
        <f>VLOOKUP(A3667,inf!$D$2:$E$76,2,FALSE)</f>
        <v>SBUX</v>
      </c>
    </row>
    <row r="3668" spans="1:7" x14ac:dyDescent="0.25">
      <c r="A3668" t="s">
        <v>6</v>
      </c>
      <c r="B3668" s="1">
        <v>43166</v>
      </c>
      <c r="C3668" t="s">
        <v>57</v>
      </c>
      <c r="D3668">
        <v>4134.2699999999995</v>
      </c>
      <c r="E3668" s="12" t="str">
        <f>VLOOKUP(C3668,inf!$A$2:$B$7,2,FALSE)</f>
        <v>31 to 60</v>
      </c>
      <c r="F3668" s="12" t="str">
        <f t="shared" si="80"/>
        <v>03/07/2018</v>
      </c>
      <c r="G3668" t="str">
        <f>VLOOKUP(A3668,inf!$D$2:$E$76,2,FALSE)</f>
        <v>SBUX</v>
      </c>
    </row>
    <row r="3669" spans="1:7" x14ac:dyDescent="0.25">
      <c r="A3669" t="s">
        <v>6</v>
      </c>
      <c r="B3669" s="1">
        <v>43166</v>
      </c>
      <c r="C3669" t="s">
        <v>58</v>
      </c>
      <c r="D3669">
        <v>2033.7799999999997</v>
      </c>
      <c r="E3669" s="12" t="str">
        <f>VLOOKUP(C3669,inf!$A$2:$B$7,2,FALSE)</f>
        <v>61 to 90</v>
      </c>
      <c r="F3669" s="12" t="str">
        <f t="shared" si="80"/>
        <v>03/07/2018</v>
      </c>
      <c r="G3669" t="str">
        <f>VLOOKUP(A3669,inf!$D$2:$E$76,2,FALSE)</f>
        <v>SBUX</v>
      </c>
    </row>
    <row r="3670" spans="1:7" x14ac:dyDescent="0.25">
      <c r="A3670" t="s">
        <v>6</v>
      </c>
      <c r="B3670" s="1">
        <v>43166</v>
      </c>
      <c r="C3670" t="s">
        <v>59</v>
      </c>
      <c r="D3670">
        <v>126.26</v>
      </c>
      <c r="E3670" s="12" t="str">
        <f>VLOOKUP(C3670,inf!$A$2:$B$7,2,FALSE)</f>
        <v>Over 90</v>
      </c>
      <c r="F3670" s="12" t="str">
        <f t="shared" si="80"/>
        <v>03/07/2018</v>
      </c>
      <c r="G3670" t="str">
        <f>VLOOKUP(A3670,inf!$D$2:$E$76,2,FALSE)</f>
        <v>SBUX</v>
      </c>
    </row>
    <row r="3671" spans="1:7" x14ac:dyDescent="0.25">
      <c r="A3671" t="s">
        <v>6</v>
      </c>
      <c r="B3671" s="1">
        <v>43166</v>
      </c>
      <c r="C3671" t="s">
        <v>60</v>
      </c>
      <c r="D3671">
        <v>6555.420000000001</v>
      </c>
      <c r="E3671" s="12" t="str">
        <f>VLOOKUP(C3671,inf!$A$2:$B$7,2,FALSE)</f>
        <v>Over 90</v>
      </c>
      <c r="F3671" s="12" t="str">
        <f t="shared" si="80"/>
        <v>03/07/2018</v>
      </c>
      <c r="G3671" t="str">
        <f>VLOOKUP(A3671,inf!$D$2:$E$76,2,FALSE)</f>
        <v>SBUX</v>
      </c>
    </row>
    <row r="3672" spans="1:7" x14ac:dyDescent="0.25">
      <c r="A3672" t="s">
        <v>49</v>
      </c>
      <c r="B3672" s="1">
        <v>43166</v>
      </c>
      <c r="C3672" t="s">
        <v>55</v>
      </c>
      <c r="D3672">
        <v>460.3</v>
      </c>
      <c r="E3672" s="12" t="str">
        <f>VLOOKUP(C3672,inf!$A$2:$B$7,2,FALSE)</f>
        <v>Current</v>
      </c>
      <c r="F3672" s="12" t="str">
        <f t="shared" si="80"/>
        <v>03/07/2018</v>
      </c>
      <c r="G3672" t="str">
        <f>VLOOKUP(A3672,inf!$D$2:$E$76,2,FALSE)</f>
        <v>Other</v>
      </c>
    </row>
    <row r="3673" spans="1:7" x14ac:dyDescent="0.25">
      <c r="A3673" t="s">
        <v>48</v>
      </c>
      <c r="B3673" s="1">
        <v>43166</v>
      </c>
      <c r="C3673" t="s">
        <v>55</v>
      </c>
      <c r="D3673">
        <v>263290.74999999988</v>
      </c>
      <c r="E3673" s="12" t="str">
        <f>VLOOKUP(C3673,inf!$A$2:$B$7,2,FALSE)</f>
        <v>Current</v>
      </c>
      <c r="F3673" s="12" t="str">
        <f t="shared" ref="F3673:F3686" si="81">TEXT(B3673,"MM/DD/YYYY")</f>
        <v>03/07/2018</v>
      </c>
      <c r="G3673" t="str">
        <f>VLOOKUP(A3673,inf!$D$2:$E$76,2,FALSE)</f>
        <v>Target</v>
      </c>
    </row>
    <row r="3674" spans="1:7" x14ac:dyDescent="0.25">
      <c r="A3674" t="s">
        <v>48</v>
      </c>
      <c r="B3674" s="1">
        <v>43166</v>
      </c>
      <c r="C3674" t="s">
        <v>56</v>
      </c>
      <c r="D3674">
        <v>21337.769999999997</v>
      </c>
      <c r="E3674" s="12" t="str">
        <f>VLOOKUP(C3674,inf!$A$2:$B$7,2,FALSE)</f>
        <v>Current</v>
      </c>
      <c r="F3674" s="12" t="str">
        <f t="shared" si="81"/>
        <v>03/07/2018</v>
      </c>
      <c r="G3674" t="str">
        <f>VLOOKUP(A3674,inf!$D$2:$E$76,2,FALSE)</f>
        <v>Target</v>
      </c>
    </row>
    <row r="3675" spans="1:7" x14ac:dyDescent="0.25">
      <c r="A3675" t="s">
        <v>48</v>
      </c>
      <c r="B3675" s="1">
        <v>43166</v>
      </c>
      <c r="C3675" t="s">
        <v>57</v>
      </c>
      <c r="D3675">
        <v>15187.4</v>
      </c>
      <c r="E3675" s="12" t="str">
        <f>VLOOKUP(C3675,inf!$A$2:$B$7,2,FALSE)</f>
        <v>31 to 60</v>
      </c>
      <c r="F3675" s="12" t="str">
        <f t="shared" si="81"/>
        <v>03/07/2018</v>
      </c>
      <c r="G3675" t="str">
        <f>VLOOKUP(A3675,inf!$D$2:$E$76,2,FALSE)</f>
        <v>Target</v>
      </c>
    </row>
    <row r="3676" spans="1:7" x14ac:dyDescent="0.25">
      <c r="A3676" t="s">
        <v>48</v>
      </c>
      <c r="B3676" s="1">
        <v>43166</v>
      </c>
      <c r="C3676" t="s">
        <v>58</v>
      </c>
      <c r="D3676">
        <v>22436.940000000002</v>
      </c>
      <c r="E3676" s="12" t="str">
        <f>VLOOKUP(C3676,inf!$A$2:$B$7,2,FALSE)</f>
        <v>61 to 90</v>
      </c>
      <c r="F3676" s="12" t="str">
        <f t="shared" si="81"/>
        <v>03/07/2018</v>
      </c>
      <c r="G3676" t="str">
        <f>VLOOKUP(A3676,inf!$D$2:$E$76,2,FALSE)</f>
        <v>Target</v>
      </c>
    </row>
    <row r="3677" spans="1:7" x14ac:dyDescent="0.25">
      <c r="A3677" t="s">
        <v>48</v>
      </c>
      <c r="B3677" s="1">
        <v>43166</v>
      </c>
      <c r="C3677" t="s">
        <v>59</v>
      </c>
      <c r="D3677">
        <v>10351.77</v>
      </c>
      <c r="E3677" s="12" t="str">
        <f>VLOOKUP(C3677,inf!$A$2:$B$7,2,FALSE)</f>
        <v>Over 90</v>
      </c>
      <c r="F3677" s="12" t="str">
        <f t="shared" si="81"/>
        <v>03/07/2018</v>
      </c>
      <c r="G3677" t="str">
        <f>VLOOKUP(A3677,inf!$D$2:$E$76,2,FALSE)</f>
        <v>Target</v>
      </c>
    </row>
    <row r="3678" spans="1:7" x14ac:dyDescent="0.25">
      <c r="A3678" t="s">
        <v>48</v>
      </c>
      <c r="B3678" s="1">
        <v>43166</v>
      </c>
      <c r="C3678" t="s">
        <v>60</v>
      </c>
      <c r="D3678">
        <v>3883.4000000000005</v>
      </c>
      <c r="E3678" s="12" t="str">
        <f>VLOOKUP(C3678,inf!$A$2:$B$7,2,FALSE)</f>
        <v>Over 90</v>
      </c>
      <c r="F3678" s="12" t="str">
        <f t="shared" si="81"/>
        <v>03/07/2018</v>
      </c>
      <c r="G3678" t="str">
        <f>VLOOKUP(A3678,inf!$D$2:$E$76,2,FALSE)</f>
        <v>Target</v>
      </c>
    </row>
    <row r="3679" spans="1:7" x14ac:dyDescent="0.25">
      <c r="A3679" t="s">
        <v>8</v>
      </c>
      <c r="B3679" s="1">
        <v>43166</v>
      </c>
      <c r="C3679" t="s">
        <v>55</v>
      </c>
      <c r="D3679">
        <v>366856.21000000014</v>
      </c>
      <c r="E3679" s="12" t="str">
        <f>VLOOKUP(C3679,inf!$A$2:$B$7,2,FALSE)</f>
        <v>Current</v>
      </c>
      <c r="F3679" s="12" t="str">
        <f t="shared" si="81"/>
        <v>03/07/2018</v>
      </c>
      <c r="G3679" t="str">
        <f>VLOOKUP(A3679,inf!$D$2:$E$76,2,FALSE)</f>
        <v>Target</v>
      </c>
    </row>
    <row r="3680" spans="1:7" x14ac:dyDescent="0.25">
      <c r="A3680" t="s">
        <v>8</v>
      </c>
      <c r="B3680" s="1">
        <v>43166</v>
      </c>
      <c r="C3680" t="s">
        <v>56</v>
      </c>
      <c r="D3680">
        <v>27855.699999999993</v>
      </c>
      <c r="E3680" s="12" t="str">
        <f>VLOOKUP(C3680,inf!$A$2:$B$7,2,FALSE)</f>
        <v>Current</v>
      </c>
      <c r="F3680" s="12" t="str">
        <f t="shared" si="81"/>
        <v>03/07/2018</v>
      </c>
      <c r="G3680" t="str">
        <f>VLOOKUP(A3680,inf!$D$2:$E$76,2,FALSE)</f>
        <v>Target</v>
      </c>
    </row>
    <row r="3681" spans="1:7" x14ac:dyDescent="0.25">
      <c r="A3681" t="s">
        <v>8</v>
      </c>
      <c r="B3681" s="1">
        <v>43166</v>
      </c>
      <c r="C3681" t="s">
        <v>57</v>
      </c>
      <c r="D3681">
        <v>8631.3999999999978</v>
      </c>
      <c r="E3681" s="12" t="str">
        <f>VLOOKUP(C3681,inf!$A$2:$B$7,2,FALSE)</f>
        <v>31 to 60</v>
      </c>
      <c r="F3681" s="12" t="str">
        <f t="shared" si="81"/>
        <v>03/07/2018</v>
      </c>
      <c r="G3681" t="str">
        <f>VLOOKUP(A3681,inf!$D$2:$E$76,2,FALSE)</f>
        <v>Target</v>
      </c>
    </row>
    <row r="3682" spans="1:7" x14ac:dyDescent="0.25">
      <c r="A3682" t="s">
        <v>8</v>
      </c>
      <c r="B3682" s="1">
        <v>43166</v>
      </c>
      <c r="C3682" t="s">
        <v>58</v>
      </c>
      <c r="D3682">
        <v>10055.810000000001</v>
      </c>
      <c r="E3682" s="12" t="str">
        <f>VLOOKUP(C3682,inf!$A$2:$B$7,2,FALSE)</f>
        <v>61 to 90</v>
      </c>
      <c r="F3682" s="12" t="str">
        <f t="shared" si="81"/>
        <v>03/07/2018</v>
      </c>
      <c r="G3682" t="str">
        <f>VLOOKUP(A3682,inf!$D$2:$E$76,2,FALSE)</f>
        <v>Target</v>
      </c>
    </row>
    <row r="3683" spans="1:7" x14ac:dyDescent="0.25">
      <c r="A3683" t="s">
        <v>8</v>
      </c>
      <c r="B3683" s="1">
        <v>43166</v>
      </c>
      <c r="C3683" t="s">
        <v>59</v>
      </c>
      <c r="D3683">
        <v>6497.8500000000022</v>
      </c>
      <c r="E3683" s="12" t="str">
        <f>VLOOKUP(C3683,inf!$A$2:$B$7,2,FALSE)</f>
        <v>Over 90</v>
      </c>
      <c r="F3683" s="12" t="str">
        <f t="shared" si="81"/>
        <v>03/07/2018</v>
      </c>
      <c r="G3683" t="str">
        <f>VLOOKUP(A3683,inf!$D$2:$E$76,2,FALSE)</f>
        <v>Target</v>
      </c>
    </row>
    <row r="3684" spans="1:7" x14ac:dyDescent="0.25">
      <c r="A3684" t="s">
        <v>8</v>
      </c>
      <c r="B3684" s="1">
        <v>43166</v>
      </c>
      <c r="C3684" t="s">
        <v>60</v>
      </c>
      <c r="D3684">
        <v>12204.37</v>
      </c>
      <c r="E3684" s="12" t="str">
        <f>VLOOKUP(C3684,inf!$A$2:$B$7,2,FALSE)</f>
        <v>Over 90</v>
      </c>
      <c r="F3684" s="12" t="str">
        <f t="shared" si="81"/>
        <v>03/07/2018</v>
      </c>
      <c r="G3684" t="str">
        <f>VLOOKUP(A3684,inf!$D$2:$E$76,2,FALSE)</f>
        <v>Target</v>
      </c>
    </row>
    <row r="3685" spans="1:7" x14ac:dyDescent="0.25">
      <c r="A3685" t="s">
        <v>54</v>
      </c>
      <c r="B3685" s="1">
        <v>43166</v>
      </c>
      <c r="C3685" t="s">
        <v>55</v>
      </c>
      <c r="D3685">
        <v>583.93000000000006</v>
      </c>
      <c r="E3685" s="12" t="str">
        <f>VLOOKUP(C3685,inf!$A$2:$B$7,2,FALSE)</f>
        <v>Current</v>
      </c>
      <c r="F3685" s="12" t="str">
        <f t="shared" si="81"/>
        <v>03/07/2018</v>
      </c>
      <c r="G3685" t="str">
        <f>VLOOKUP(A3685,inf!$D$2:$E$76,2,FALSE)</f>
        <v>Other</v>
      </c>
    </row>
    <row r="3686" spans="1:7" x14ac:dyDescent="0.25">
      <c r="A3686" t="s">
        <v>54</v>
      </c>
      <c r="B3686" s="1">
        <v>43166</v>
      </c>
      <c r="C3686" t="s">
        <v>56</v>
      </c>
      <c r="D3686">
        <v>497.05</v>
      </c>
      <c r="E3686" s="12" t="str">
        <f>VLOOKUP(C3686,inf!$A$2:$B$7,2,FALSE)</f>
        <v>Current</v>
      </c>
      <c r="F3686" s="12" t="str">
        <f t="shared" si="81"/>
        <v>03/07/2018</v>
      </c>
      <c r="G3686" t="str">
        <f>VLOOKUP(A3686,inf!$D$2:$E$76,2,FALSE)</f>
        <v>Other</v>
      </c>
    </row>
    <row r="3687" spans="1:7" x14ac:dyDescent="0.25">
      <c r="A3687" t="s">
        <v>54</v>
      </c>
      <c r="B3687" s="1">
        <v>43166</v>
      </c>
      <c r="C3687" t="s">
        <v>60</v>
      </c>
      <c r="D3687">
        <v>122.72</v>
      </c>
      <c r="E3687" s="12" t="str">
        <f>VLOOKUP(C3687,inf!$A$2:$B$7,2,FALSE)</f>
        <v>Over 90</v>
      </c>
      <c r="F3687" s="12" t="str">
        <f t="shared" ref="F3687:F3691" si="82">TEXT(B3687,"MM/DD/YYYY")</f>
        <v>03/07/2018</v>
      </c>
      <c r="G3687" t="str">
        <f>VLOOKUP(A3687,inf!$D$2:$E$76,2,FALSE)</f>
        <v>Other</v>
      </c>
    </row>
    <row r="3688" spans="1:7" x14ac:dyDescent="0.25">
      <c r="A3688" t="s">
        <v>28</v>
      </c>
      <c r="B3688" s="1">
        <v>43166</v>
      </c>
      <c r="C3688" t="s">
        <v>55</v>
      </c>
      <c r="D3688">
        <v>1440.74</v>
      </c>
      <c r="E3688" s="12" t="str">
        <f>VLOOKUP(C3688,inf!$A$2:$B$7,2,FALSE)</f>
        <v>Current</v>
      </c>
      <c r="F3688" s="12" t="str">
        <f t="shared" si="82"/>
        <v>03/07/2018</v>
      </c>
      <c r="G3688" t="str">
        <f>VLOOKUP(A3688,inf!$D$2:$E$76,2,FALSE)</f>
        <v>Other</v>
      </c>
    </row>
    <row r="3689" spans="1:7" x14ac:dyDescent="0.25">
      <c r="A3689" t="s">
        <v>28</v>
      </c>
      <c r="B3689" s="1">
        <v>43166</v>
      </c>
      <c r="C3689" t="s">
        <v>56</v>
      </c>
      <c r="D3689">
        <v>220.52999999999997</v>
      </c>
      <c r="E3689" s="12" t="str">
        <f>VLOOKUP(C3689,inf!$A$2:$B$7,2,FALSE)</f>
        <v>Current</v>
      </c>
      <c r="F3689" s="12" t="str">
        <f t="shared" si="82"/>
        <v>03/07/2018</v>
      </c>
      <c r="G3689" t="str">
        <f>VLOOKUP(A3689,inf!$D$2:$E$76,2,FALSE)</f>
        <v>Other</v>
      </c>
    </row>
    <row r="3690" spans="1:7" x14ac:dyDescent="0.25">
      <c r="A3690" t="s">
        <v>28</v>
      </c>
      <c r="B3690" s="1">
        <v>43166</v>
      </c>
      <c r="C3690" t="s">
        <v>57</v>
      </c>
      <c r="D3690">
        <v>279.53999999999996</v>
      </c>
      <c r="E3690" s="12" t="str">
        <f>VLOOKUP(C3690,inf!$A$2:$B$7,2,FALSE)</f>
        <v>31 to 60</v>
      </c>
      <c r="F3690" s="12" t="str">
        <f t="shared" si="82"/>
        <v>03/07/2018</v>
      </c>
      <c r="G3690" t="str">
        <f>VLOOKUP(A3690,inf!$D$2:$E$76,2,FALSE)</f>
        <v>Other</v>
      </c>
    </row>
    <row r="3691" spans="1:7" x14ac:dyDescent="0.25">
      <c r="A3691" t="s">
        <v>28</v>
      </c>
      <c r="B3691" s="1">
        <v>43166</v>
      </c>
      <c r="C3691" t="s">
        <v>58</v>
      </c>
      <c r="D3691">
        <v>152.51</v>
      </c>
      <c r="E3691" s="12" t="str">
        <f>VLOOKUP(C3691,inf!$A$2:$B$7,2,FALSE)</f>
        <v>61 to 90</v>
      </c>
      <c r="F3691" s="12" t="str">
        <f t="shared" si="82"/>
        <v>03/07/2018</v>
      </c>
      <c r="G3691" t="str">
        <f>VLOOKUP(A3691,inf!$D$2:$E$76,2,FALSE)</f>
        <v>Other</v>
      </c>
    </row>
    <row r="3692" spans="1:7" x14ac:dyDescent="0.25">
      <c r="A3692" t="s">
        <v>15</v>
      </c>
      <c r="B3692" s="1">
        <v>43166</v>
      </c>
      <c r="C3692" t="s">
        <v>55</v>
      </c>
      <c r="D3692">
        <v>1296.1499999999999</v>
      </c>
      <c r="E3692" s="12" t="str">
        <f>VLOOKUP(C3692,inf!$A$2:$B$7,2,FALSE)</f>
        <v>Current</v>
      </c>
      <c r="F3692" s="12" t="str">
        <f>TEXT(B3692,"MM/DD/YYYY")</f>
        <v>03/07/2018</v>
      </c>
      <c r="G3692" t="str">
        <f>VLOOKUP(A3692,inf!$D$2:$E$76,2,FALSE)</f>
        <v>Other</v>
      </c>
    </row>
    <row r="3693" spans="1:7" x14ac:dyDescent="0.25">
      <c r="A3693" t="s">
        <v>15</v>
      </c>
      <c r="B3693" s="1">
        <v>43166</v>
      </c>
      <c r="C3693" t="s">
        <v>58</v>
      </c>
      <c r="D3693">
        <v>317.29000000000002</v>
      </c>
      <c r="E3693" s="12" t="str">
        <f>VLOOKUP(C3693,inf!$A$2:$B$7,2,FALSE)</f>
        <v>61 to 90</v>
      </c>
      <c r="F3693" s="12" t="str">
        <f>TEXT(B3693,"MM/DD/YYYY")</f>
        <v>03/07/2018</v>
      </c>
      <c r="G3693" t="str">
        <f>VLOOKUP(A3693,inf!$D$2:$E$76,2,FALSE)</f>
        <v>Other</v>
      </c>
    </row>
    <row r="3694" spans="1:7" x14ac:dyDescent="0.25">
      <c r="A3694" t="s">
        <v>15</v>
      </c>
      <c r="B3694" s="1">
        <v>43166</v>
      </c>
      <c r="C3694" t="s">
        <v>60</v>
      </c>
      <c r="D3694">
        <v>653.86</v>
      </c>
      <c r="E3694" s="12" t="str">
        <f>VLOOKUP(C3694,inf!$A$2:$B$7,2,FALSE)</f>
        <v>Over 90</v>
      </c>
      <c r="F3694" s="12" t="str">
        <f>TEXT(B3694,"MM/DD/YYYY")</f>
        <v>03/07/2018</v>
      </c>
      <c r="G3694" t="str">
        <f>VLOOKUP(A3694,inf!$D$2:$E$76,2,FALSE)</f>
        <v>Other</v>
      </c>
    </row>
    <row r="3695" spans="1:7" x14ac:dyDescent="0.25">
      <c r="A3695" t="s">
        <v>121</v>
      </c>
      <c r="B3695" s="1">
        <v>43173</v>
      </c>
      <c r="C3695" t="s">
        <v>55</v>
      </c>
      <c r="D3695">
        <v>232.28</v>
      </c>
      <c r="E3695" s="12" t="str">
        <f>VLOOKUP(C3695,inf!$A$2:$B$7,2,FALSE)</f>
        <v>Current</v>
      </c>
      <c r="F3695" s="12" t="str">
        <f>TEXT(B3695,"MM/DD/YYYY")</f>
        <v>03/14/2018</v>
      </c>
      <c r="G3695" t="str">
        <f>VLOOKUP(A3695,inf!$D$2:$E$76,2,FALSE)</f>
        <v>Other</v>
      </c>
    </row>
    <row r="3696" spans="1:7" x14ac:dyDescent="0.25">
      <c r="A3696" t="s">
        <v>22</v>
      </c>
      <c r="B3696" s="1">
        <v>43173</v>
      </c>
      <c r="C3696" t="s">
        <v>57</v>
      </c>
      <c r="D3696">
        <v>114.85</v>
      </c>
      <c r="E3696" s="12" t="str">
        <f>VLOOKUP(C3696,inf!$A$2:$B$7,2,FALSE)</f>
        <v>31 to 60</v>
      </c>
      <c r="F3696" s="12" t="str">
        <f t="shared" ref="F3696:F3697" si="83">TEXT(B3696,"MM/DD/YYYY")</f>
        <v>03/14/2018</v>
      </c>
      <c r="G3696" t="str">
        <f>VLOOKUP(A3696,inf!$D$2:$E$76,2,FALSE)</f>
        <v>Other</v>
      </c>
    </row>
    <row r="3697" spans="1:7" x14ac:dyDescent="0.25">
      <c r="A3697" t="s">
        <v>22</v>
      </c>
      <c r="B3697" s="1">
        <v>43173</v>
      </c>
      <c r="C3697" t="s">
        <v>58</v>
      </c>
      <c r="D3697">
        <v>114.85</v>
      </c>
      <c r="E3697" s="12" t="str">
        <f>VLOOKUP(C3697,inf!$A$2:$B$7,2,FALSE)</f>
        <v>61 to 90</v>
      </c>
      <c r="F3697" s="12" t="str">
        <f t="shared" si="83"/>
        <v>03/14/2018</v>
      </c>
      <c r="G3697" t="str">
        <f>VLOOKUP(A3697,inf!$D$2:$E$76,2,FALSE)</f>
        <v>Other</v>
      </c>
    </row>
    <row r="3698" spans="1:7" x14ac:dyDescent="0.25">
      <c r="A3698" t="s">
        <v>103</v>
      </c>
      <c r="B3698" s="1">
        <v>43173</v>
      </c>
      <c r="C3698" t="s">
        <v>55</v>
      </c>
      <c r="D3698">
        <v>360.43</v>
      </c>
      <c r="E3698" s="12" t="str">
        <f>VLOOKUP(C3698,inf!$A$2:$B$7,2,FALSE)</f>
        <v>Current</v>
      </c>
      <c r="F3698" s="12" t="str">
        <f t="shared" ref="F3698:F3699" si="84">TEXT(B3698,"MM/DD/YYYY")</f>
        <v>03/14/2018</v>
      </c>
      <c r="G3698" t="str">
        <f>VLOOKUP(A3698,inf!$D$2:$E$76,2,FALSE)</f>
        <v>Other</v>
      </c>
    </row>
    <row r="3699" spans="1:7" x14ac:dyDescent="0.25">
      <c r="A3699" t="s">
        <v>103</v>
      </c>
      <c r="B3699" s="1">
        <v>43173</v>
      </c>
      <c r="C3699" t="s">
        <v>56</v>
      </c>
      <c r="D3699">
        <v>416.33</v>
      </c>
      <c r="E3699" s="12" t="str">
        <f>VLOOKUP(C3699,inf!$A$2:$B$7,2,FALSE)</f>
        <v>Current</v>
      </c>
      <c r="F3699" s="12" t="str">
        <f t="shared" si="84"/>
        <v>03/14/2018</v>
      </c>
      <c r="G3699" t="str">
        <f>VLOOKUP(A3699,inf!$D$2:$E$76,2,FALSE)</f>
        <v>Other</v>
      </c>
    </row>
    <row r="3700" spans="1:7" x14ac:dyDescent="0.25">
      <c r="A3700" t="s">
        <v>80</v>
      </c>
      <c r="B3700" s="1">
        <v>43173</v>
      </c>
      <c r="C3700" t="s">
        <v>55</v>
      </c>
      <c r="D3700">
        <v>1331.85</v>
      </c>
      <c r="E3700" s="12" t="str">
        <f>VLOOKUP(C3700,inf!$A$2:$B$7,2,FALSE)</f>
        <v>Current</v>
      </c>
      <c r="F3700" s="12" t="str">
        <f>TEXT(B3700,"MM/DD/YYYY")</f>
        <v>03/14/2018</v>
      </c>
      <c r="G3700" t="str">
        <f>VLOOKUP(A3700,inf!$D$2:$E$76,2,FALSE)</f>
        <v>Other</v>
      </c>
    </row>
    <row r="3701" spans="1:7" x14ac:dyDescent="0.25">
      <c r="A3701" t="s">
        <v>4</v>
      </c>
      <c r="B3701" s="1">
        <v>43173</v>
      </c>
      <c r="C3701" t="s">
        <v>55</v>
      </c>
      <c r="D3701">
        <v>4070.8199999999997</v>
      </c>
      <c r="E3701" s="12" t="str">
        <f>VLOOKUP(C3701,inf!$A$2:$B$7,2,FALSE)</f>
        <v>Current</v>
      </c>
      <c r="F3701" s="12" t="str">
        <f t="shared" ref="F3701:F3702" si="85">TEXT(B3701,"MM/DD/YYYY")</f>
        <v>03/14/2018</v>
      </c>
      <c r="G3701" t="str">
        <f>VLOOKUP(A3701,inf!$D$2:$E$76,2,FALSE)</f>
        <v>Other</v>
      </c>
    </row>
    <row r="3702" spans="1:7" x14ac:dyDescent="0.25">
      <c r="A3702" t="s">
        <v>4</v>
      </c>
      <c r="B3702" s="1">
        <v>43173</v>
      </c>
      <c r="C3702" t="s">
        <v>56</v>
      </c>
      <c r="D3702">
        <v>4149.8</v>
      </c>
      <c r="E3702" s="12" t="str">
        <f>VLOOKUP(C3702,inf!$A$2:$B$7,2,FALSE)</f>
        <v>Current</v>
      </c>
      <c r="F3702" s="12" t="str">
        <f t="shared" si="85"/>
        <v>03/14/2018</v>
      </c>
      <c r="G3702" t="str">
        <f>VLOOKUP(A3702,inf!$D$2:$E$76,2,FALSE)</f>
        <v>Other</v>
      </c>
    </row>
    <row r="3703" spans="1:7" x14ac:dyDescent="0.25">
      <c r="A3703" t="s">
        <v>4</v>
      </c>
      <c r="B3703" s="1">
        <v>43173</v>
      </c>
      <c r="C3703" t="s">
        <v>59</v>
      </c>
      <c r="D3703">
        <v>52.5</v>
      </c>
      <c r="E3703" s="12" t="str">
        <f>VLOOKUP(C3703,inf!$A$2:$B$7,2,FALSE)</f>
        <v>Over 90</v>
      </c>
      <c r="F3703" s="12" t="str">
        <f t="shared" ref="F3703:F3704" si="86">TEXT(B3703,"MM/DD/YYYY")</f>
        <v>03/14/2018</v>
      </c>
      <c r="G3703" t="str">
        <f>VLOOKUP(A3703,inf!$D$2:$E$76,2,FALSE)</f>
        <v>Other</v>
      </c>
    </row>
    <row r="3704" spans="1:7" x14ac:dyDescent="0.25">
      <c r="A3704" t="s">
        <v>4</v>
      </c>
      <c r="B3704" s="1">
        <v>43173</v>
      </c>
      <c r="C3704" t="s">
        <v>60</v>
      </c>
      <c r="D3704">
        <v>526.84</v>
      </c>
      <c r="E3704" s="12" t="str">
        <f>VLOOKUP(C3704,inf!$A$2:$B$7,2,FALSE)</f>
        <v>Over 90</v>
      </c>
      <c r="F3704" s="12" t="str">
        <f t="shared" si="86"/>
        <v>03/14/2018</v>
      </c>
      <c r="G3704" t="str">
        <f>VLOOKUP(A3704,inf!$D$2:$E$76,2,FALSE)</f>
        <v>Other</v>
      </c>
    </row>
    <row r="3705" spans="1:7" x14ac:dyDescent="0.25">
      <c r="A3705" t="s">
        <v>77</v>
      </c>
      <c r="B3705" s="1">
        <v>43173</v>
      </c>
      <c r="C3705" t="s">
        <v>58</v>
      </c>
      <c r="D3705">
        <v>834.05</v>
      </c>
      <c r="E3705" s="12" t="str">
        <f>VLOOKUP(C3705,inf!$A$2:$B$7,2,FALSE)</f>
        <v>61 to 90</v>
      </c>
      <c r="F3705" s="12" t="str">
        <f t="shared" ref="F3705:F3712" si="87">TEXT(B3705,"MM/DD/YYYY")</f>
        <v>03/14/2018</v>
      </c>
      <c r="G3705" t="str">
        <f>VLOOKUP(A3705,inf!$D$2:$E$76,2,FALSE)</f>
        <v>Other</v>
      </c>
    </row>
    <row r="3706" spans="1:7" x14ac:dyDescent="0.25">
      <c r="A3706" t="s">
        <v>11</v>
      </c>
      <c r="B3706" s="1">
        <v>43173</v>
      </c>
      <c r="C3706" t="s">
        <v>57</v>
      </c>
      <c r="D3706">
        <v>331.6</v>
      </c>
      <c r="E3706" s="12" t="str">
        <f>VLOOKUP(C3706,inf!$A$2:$B$7,2,FALSE)</f>
        <v>31 to 60</v>
      </c>
      <c r="F3706" s="12" t="str">
        <f t="shared" si="87"/>
        <v>03/14/2018</v>
      </c>
      <c r="G3706" t="str">
        <f>VLOOKUP(A3706,inf!$D$2:$E$76,2,FALSE)</f>
        <v>Other</v>
      </c>
    </row>
    <row r="3707" spans="1:7" x14ac:dyDescent="0.25">
      <c r="A3707" t="s">
        <v>19</v>
      </c>
      <c r="B3707" s="1">
        <v>43173</v>
      </c>
      <c r="C3707" t="s">
        <v>55</v>
      </c>
      <c r="D3707">
        <v>114.85</v>
      </c>
      <c r="E3707" s="12" t="str">
        <f>VLOOKUP(C3707,inf!$A$2:$B$7,2,FALSE)</f>
        <v>Current</v>
      </c>
      <c r="F3707" s="12" t="str">
        <f t="shared" si="87"/>
        <v>03/14/2018</v>
      </c>
      <c r="G3707" t="str">
        <f>VLOOKUP(A3707,inf!$D$2:$E$76,2,FALSE)</f>
        <v>Other</v>
      </c>
    </row>
    <row r="3708" spans="1:7" x14ac:dyDescent="0.25">
      <c r="A3708" t="s">
        <v>25</v>
      </c>
      <c r="B3708" s="1">
        <v>43173</v>
      </c>
      <c r="C3708" t="s">
        <v>55</v>
      </c>
      <c r="D3708">
        <v>583.23</v>
      </c>
      <c r="E3708" s="12" t="str">
        <f>VLOOKUP(C3708,inf!$A$2:$B$7,2,FALSE)</f>
        <v>Current</v>
      </c>
      <c r="F3708" s="12" t="str">
        <f t="shared" si="87"/>
        <v>03/14/2018</v>
      </c>
      <c r="G3708" t="str">
        <f>VLOOKUP(A3708,inf!$D$2:$E$76,2,FALSE)</f>
        <v>Other</v>
      </c>
    </row>
    <row r="3709" spans="1:7" x14ac:dyDescent="0.25">
      <c r="A3709" t="s">
        <v>31</v>
      </c>
      <c r="B3709" s="1">
        <v>43173</v>
      </c>
      <c r="C3709" t="s">
        <v>55</v>
      </c>
      <c r="D3709">
        <v>818.33</v>
      </c>
      <c r="E3709" s="12" t="str">
        <f>VLOOKUP(C3709,inf!$A$2:$B$7,2,FALSE)</f>
        <v>Current</v>
      </c>
      <c r="F3709" s="12" t="str">
        <f t="shared" si="87"/>
        <v>03/14/2018</v>
      </c>
      <c r="G3709" t="str">
        <f>VLOOKUP(A3709,inf!$D$2:$E$76,2,FALSE)</f>
        <v>Other</v>
      </c>
    </row>
    <row r="3710" spans="1:7" x14ac:dyDescent="0.25">
      <c r="A3710" t="s">
        <v>24</v>
      </c>
      <c r="B3710" s="1">
        <v>43173</v>
      </c>
      <c r="C3710" t="s">
        <v>55</v>
      </c>
      <c r="D3710">
        <v>601.92999999999995</v>
      </c>
      <c r="E3710" s="12" t="str">
        <f>VLOOKUP(C3710,inf!$A$2:$B$7,2,FALSE)</f>
        <v>Current</v>
      </c>
      <c r="F3710" s="12" t="str">
        <f t="shared" si="87"/>
        <v>03/14/2018</v>
      </c>
      <c r="G3710" t="str">
        <f>VLOOKUP(A3710,inf!$D$2:$E$76,2,FALSE)</f>
        <v>Other</v>
      </c>
    </row>
    <row r="3711" spans="1:7" x14ac:dyDescent="0.25">
      <c r="A3711" t="s">
        <v>65</v>
      </c>
      <c r="B3711" s="1">
        <v>43173</v>
      </c>
      <c r="C3711" t="s">
        <v>56</v>
      </c>
      <c r="D3711">
        <v>190</v>
      </c>
      <c r="E3711" s="12" t="str">
        <f>VLOOKUP(C3711,inf!$A$2:$B$7,2,FALSE)</f>
        <v>Current</v>
      </c>
      <c r="F3711" s="12" t="str">
        <f t="shared" si="87"/>
        <v>03/14/2018</v>
      </c>
      <c r="G3711" t="str">
        <f>VLOOKUP(A3711,inf!$D$2:$E$76,2,FALSE)</f>
        <v>Other</v>
      </c>
    </row>
    <row r="3712" spans="1:7" x14ac:dyDescent="0.25">
      <c r="A3712" t="s">
        <v>27</v>
      </c>
      <c r="B3712" s="1">
        <v>43173</v>
      </c>
      <c r="C3712" t="s">
        <v>55</v>
      </c>
      <c r="D3712">
        <v>2336.56</v>
      </c>
      <c r="E3712" s="12" t="str">
        <f>VLOOKUP(C3712,inf!$A$2:$B$7,2,FALSE)</f>
        <v>Current</v>
      </c>
      <c r="F3712" s="12" t="str">
        <f t="shared" si="87"/>
        <v>03/14/2018</v>
      </c>
      <c r="G3712" t="str">
        <f>VLOOKUP(A3712,inf!$D$2:$E$76,2,FALSE)</f>
        <v>Other</v>
      </c>
    </row>
    <row r="3713" spans="1:7" x14ac:dyDescent="0.25">
      <c r="A3713" t="s">
        <v>82</v>
      </c>
      <c r="B3713" s="1">
        <v>43173</v>
      </c>
      <c r="C3713" t="s">
        <v>55</v>
      </c>
      <c r="D3713">
        <v>358.84</v>
      </c>
      <c r="E3713" s="12" t="str">
        <f>VLOOKUP(C3713,inf!$A$2:$B$7,2,FALSE)</f>
        <v>Current</v>
      </c>
      <c r="F3713" s="12" t="str">
        <f t="shared" ref="F3713:F3715" si="88">TEXT(B3713,"MM/DD/YYYY")</f>
        <v>03/14/2018</v>
      </c>
      <c r="G3713" t="str">
        <f>VLOOKUP(A3713,inf!$D$2:$E$76,2,FALSE)</f>
        <v>Other</v>
      </c>
    </row>
    <row r="3714" spans="1:7" x14ac:dyDescent="0.25">
      <c r="A3714" t="s">
        <v>82</v>
      </c>
      <c r="B3714" s="1">
        <v>43173</v>
      </c>
      <c r="C3714" t="s">
        <v>56</v>
      </c>
      <c r="D3714">
        <v>123.79</v>
      </c>
      <c r="E3714" s="12" t="str">
        <f>VLOOKUP(C3714,inf!$A$2:$B$7,2,FALSE)</f>
        <v>Current</v>
      </c>
      <c r="F3714" s="12" t="str">
        <f t="shared" si="88"/>
        <v>03/14/2018</v>
      </c>
      <c r="G3714" t="str">
        <f>VLOOKUP(A3714,inf!$D$2:$E$76,2,FALSE)</f>
        <v>Other</v>
      </c>
    </row>
    <row r="3715" spans="1:7" x14ac:dyDescent="0.25">
      <c r="A3715" t="s">
        <v>82</v>
      </c>
      <c r="B3715" s="1">
        <v>43173</v>
      </c>
      <c r="C3715" t="s">
        <v>57</v>
      </c>
      <c r="D3715">
        <v>114.85</v>
      </c>
      <c r="E3715" s="12" t="str">
        <f>VLOOKUP(C3715,inf!$A$2:$B$7,2,FALSE)</f>
        <v>31 to 60</v>
      </c>
      <c r="F3715" s="12" t="str">
        <f t="shared" si="88"/>
        <v>03/14/2018</v>
      </c>
      <c r="G3715" t="str">
        <f>VLOOKUP(A3715,inf!$D$2:$E$76,2,FALSE)</f>
        <v>Other</v>
      </c>
    </row>
    <row r="3716" spans="1:7" x14ac:dyDescent="0.25">
      <c r="A3716" t="s">
        <v>53</v>
      </c>
      <c r="B3716" s="1">
        <v>43173</v>
      </c>
      <c r="C3716" t="s">
        <v>55</v>
      </c>
      <c r="D3716">
        <v>165.05</v>
      </c>
      <c r="E3716" s="12" t="str">
        <f>VLOOKUP(C3716,inf!$A$2:$B$7,2,FALSE)</f>
        <v>Current</v>
      </c>
      <c r="F3716" s="12" t="str">
        <f>TEXT(B3716,"MM/DD/YYYY")</f>
        <v>03/14/2018</v>
      </c>
      <c r="G3716" t="str">
        <f>VLOOKUP(A3716,inf!$D$2:$E$76,2,FALSE)</f>
        <v>Other</v>
      </c>
    </row>
    <row r="3717" spans="1:7" x14ac:dyDescent="0.25">
      <c r="A3717" t="s">
        <v>3</v>
      </c>
      <c r="B3717" s="1">
        <v>43173</v>
      </c>
      <c r="C3717" t="s">
        <v>55</v>
      </c>
      <c r="D3717">
        <v>653.75</v>
      </c>
      <c r="E3717" s="12" t="str">
        <f>VLOOKUP(C3717,inf!$A$2:$B$7,2,FALSE)</f>
        <v>Current</v>
      </c>
      <c r="F3717" s="12" t="str">
        <f>TEXT(B3717,"MM/DD/YYYY")</f>
        <v>03/14/2018</v>
      </c>
      <c r="G3717" t="str">
        <f>VLOOKUP(A3717,inf!$D$2:$E$76,2,FALSE)</f>
        <v>Other</v>
      </c>
    </row>
    <row r="3718" spans="1:7" x14ac:dyDescent="0.25">
      <c r="A3718" t="s">
        <v>3</v>
      </c>
      <c r="B3718" s="1">
        <v>43173</v>
      </c>
      <c r="C3718" t="s">
        <v>58</v>
      </c>
      <c r="D3718">
        <v>62.5</v>
      </c>
      <c r="E3718" s="12" t="str">
        <f>VLOOKUP(C3718,inf!$A$2:$B$7,2,FALSE)</f>
        <v>61 to 90</v>
      </c>
      <c r="F3718" s="12" t="str">
        <f t="shared" ref="F3718:F3719" si="89">TEXT(B3718,"MM/DD/YYYY")</f>
        <v>03/14/2018</v>
      </c>
      <c r="G3718" t="str">
        <f>VLOOKUP(A3718,inf!$D$2:$E$76,2,FALSE)</f>
        <v>Other</v>
      </c>
    </row>
    <row r="3719" spans="1:7" x14ac:dyDescent="0.25">
      <c r="A3719" t="s">
        <v>3</v>
      </c>
      <c r="B3719" s="1">
        <v>43173</v>
      </c>
      <c r="C3719" t="s">
        <v>59</v>
      </c>
      <c r="D3719">
        <v>345.82</v>
      </c>
      <c r="E3719" s="12" t="str">
        <f>VLOOKUP(C3719,inf!$A$2:$B$7,2,FALSE)</f>
        <v>Over 90</v>
      </c>
      <c r="F3719" s="12" t="str">
        <f t="shared" si="89"/>
        <v>03/14/2018</v>
      </c>
      <c r="G3719" t="str">
        <f>VLOOKUP(A3719,inf!$D$2:$E$76,2,FALSE)</f>
        <v>Other</v>
      </c>
    </row>
    <row r="3720" spans="1:7" x14ac:dyDescent="0.25">
      <c r="A3720" t="s">
        <v>78</v>
      </c>
      <c r="B3720" s="1">
        <v>43173</v>
      </c>
      <c r="C3720" t="s">
        <v>55</v>
      </c>
      <c r="D3720">
        <v>125.04</v>
      </c>
      <c r="E3720" s="12" t="str">
        <f>VLOOKUP(C3720,inf!$A$2:$B$7,2,FALSE)</f>
        <v>Current</v>
      </c>
      <c r="F3720" s="12" t="str">
        <f t="shared" ref="F3720:F3726" si="90">TEXT(B3720,"MM/DD/YYYY")</f>
        <v>03/14/2018</v>
      </c>
      <c r="G3720" t="str">
        <f>VLOOKUP(A3720,inf!$D$2:$E$76,2,FALSE)</f>
        <v>Other</v>
      </c>
    </row>
    <row r="3721" spans="1:7" x14ac:dyDescent="0.25">
      <c r="A3721" t="s">
        <v>79</v>
      </c>
      <c r="B3721" s="1">
        <v>43173</v>
      </c>
      <c r="C3721" t="s">
        <v>56</v>
      </c>
      <c r="D3721">
        <v>275.3</v>
      </c>
      <c r="E3721" s="12" t="str">
        <f>VLOOKUP(C3721,inf!$A$2:$B$7,2,FALSE)</f>
        <v>Current</v>
      </c>
      <c r="F3721" s="12" t="str">
        <f t="shared" si="90"/>
        <v>03/14/2018</v>
      </c>
      <c r="G3721" t="str">
        <f>VLOOKUP(A3721,inf!$D$2:$E$76,2,FALSE)</f>
        <v>Other</v>
      </c>
    </row>
    <row r="3722" spans="1:7" x14ac:dyDescent="0.25">
      <c r="A3722" t="s">
        <v>30</v>
      </c>
      <c r="B3722" s="1">
        <v>43173</v>
      </c>
      <c r="C3722" t="s">
        <v>55</v>
      </c>
      <c r="D3722">
        <v>3845.79</v>
      </c>
      <c r="E3722" s="12" t="str">
        <f>VLOOKUP(C3722,inf!$A$2:$B$7,2,FALSE)</f>
        <v>Current</v>
      </c>
      <c r="F3722" s="12" t="str">
        <f t="shared" si="90"/>
        <v>03/14/2018</v>
      </c>
      <c r="G3722" t="str">
        <f>VLOOKUP(A3722,inf!$D$2:$E$76,2,FALSE)</f>
        <v>Other</v>
      </c>
    </row>
    <row r="3723" spans="1:7" x14ac:dyDescent="0.25">
      <c r="A3723" t="s">
        <v>30</v>
      </c>
      <c r="B3723" s="1">
        <v>43173</v>
      </c>
      <c r="C3723" t="s">
        <v>57</v>
      </c>
      <c r="D3723">
        <v>129.21</v>
      </c>
      <c r="E3723" s="12" t="str">
        <f>VLOOKUP(C3723,inf!$A$2:$B$7,2,FALSE)</f>
        <v>31 to 60</v>
      </c>
      <c r="F3723" s="12" t="str">
        <f t="shared" si="90"/>
        <v>03/14/2018</v>
      </c>
      <c r="G3723" t="str">
        <f>VLOOKUP(A3723,inf!$D$2:$E$76,2,FALSE)</f>
        <v>Other</v>
      </c>
    </row>
    <row r="3724" spans="1:7" x14ac:dyDescent="0.25">
      <c r="A3724" t="s">
        <v>112</v>
      </c>
      <c r="B3724" s="1">
        <v>43173</v>
      </c>
      <c r="C3724" t="s">
        <v>55</v>
      </c>
      <c r="D3724">
        <v>270.11</v>
      </c>
      <c r="E3724" s="12" t="str">
        <f>VLOOKUP(C3724,inf!$A$2:$B$7,2,FALSE)</f>
        <v>Current</v>
      </c>
      <c r="F3724" s="12" t="str">
        <f t="shared" si="90"/>
        <v>03/14/2018</v>
      </c>
      <c r="G3724" t="str">
        <f>VLOOKUP(A3724,inf!$D$2:$E$76,2,FALSE)</f>
        <v>Other</v>
      </c>
    </row>
    <row r="3725" spans="1:7" x14ac:dyDescent="0.25">
      <c r="A3725" t="s">
        <v>63</v>
      </c>
      <c r="B3725" s="1">
        <v>43173</v>
      </c>
      <c r="C3725" t="s">
        <v>55</v>
      </c>
      <c r="D3725">
        <v>563.72</v>
      </c>
      <c r="E3725" s="12" t="str">
        <f>VLOOKUP(C3725,inf!$A$2:$B$7,2,FALSE)</f>
        <v>Current</v>
      </c>
      <c r="F3725" s="12" t="str">
        <f t="shared" si="90"/>
        <v>03/14/2018</v>
      </c>
      <c r="G3725" t="str">
        <f>VLOOKUP(A3725,inf!$D$2:$E$76,2,FALSE)</f>
        <v>Other</v>
      </c>
    </row>
    <row r="3726" spans="1:7" x14ac:dyDescent="0.25">
      <c r="A3726" t="s">
        <v>104</v>
      </c>
      <c r="B3726" s="1">
        <v>43173</v>
      </c>
      <c r="C3726" t="s">
        <v>56</v>
      </c>
      <c r="D3726">
        <v>2087.54</v>
      </c>
      <c r="E3726" s="12" t="str">
        <f>VLOOKUP(C3726,inf!$A$2:$B$7,2,FALSE)</f>
        <v>Current</v>
      </c>
      <c r="F3726" s="12" t="str">
        <f t="shared" si="90"/>
        <v>03/14/2018</v>
      </c>
      <c r="G3726" t="str">
        <f>VLOOKUP(A3726,inf!$D$2:$E$76,2,FALSE)</f>
        <v>Other</v>
      </c>
    </row>
    <row r="3727" spans="1:7" x14ac:dyDescent="0.25">
      <c r="A3727" t="s">
        <v>12</v>
      </c>
      <c r="B3727" s="1">
        <v>43173</v>
      </c>
      <c r="C3727" t="s">
        <v>55</v>
      </c>
      <c r="D3727">
        <v>1415</v>
      </c>
      <c r="E3727" s="12" t="str">
        <f>VLOOKUP(C3727,inf!$A$2:$B$7,2,FALSE)</f>
        <v>Current</v>
      </c>
      <c r="F3727" s="12" t="str">
        <f t="shared" ref="F3727:F3728" si="91">TEXT(B3727,"MM/DD/YYYY")</f>
        <v>03/14/2018</v>
      </c>
      <c r="G3727" t="str">
        <f>VLOOKUP(A3727,inf!$D$2:$E$76,2,FALSE)</f>
        <v>Other</v>
      </c>
    </row>
    <row r="3728" spans="1:7" x14ac:dyDescent="0.25">
      <c r="A3728" t="s">
        <v>12</v>
      </c>
      <c r="B3728" s="1">
        <v>43173</v>
      </c>
      <c r="C3728" t="s">
        <v>56</v>
      </c>
      <c r="D3728">
        <v>237.46</v>
      </c>
      <c r="E3728" s="12" t="str">
        <f>VLOOKUP(C3728,inf!$A$2:$B$7,2,FALSE)</f>
        <v>Current</v>
      </c>
      <c r="F3728" s="12" t="str">
        <f t="shared" si="91"/>
        <v>03/14/2018</v>
      </c>
      <c r="G3728" t="str">
        <f>VLOOKUP(A3728,inf!$D$2:$E$76,2,FALSE)</f>
        <v>Other</v>
      </c>
    </row>
    <row r="3729" spans="1:7" x14ac:dyDescent="0.25">
      <c r="A3729" t="s">
        <v>50</v>
      </c>
      <c r="B3729" s="1">
        <v>43173</v>
      </c>
      <c r="C3729" t="s">
        <v>55</v>
      </c>
      <c r="D3729">
        <v>573.12</v>
      </c>
      <c r="E3729" s="12" t="str">
        <f>VLOOKUP(C3729,inf!$A$2:$B$7,2,FALSE)</f>
        <v>Current</v>
      </c>
      <c r="F3729" s="12" t="str">
        <f>TEXT(B3729,"MM/DD/YYYY")</f>
        <v>03/14/2018</v>
      </c>
      <c r="G3729" t="str">
        <f>VLOOKUP(A3729,inf!$D$2:$E$76,2,FALSE)</f>
        <v>Other</v>
      </c>
    </row>
    <row r="3730" spans="1:7" x14ac:dyDescent="0.25">
      <c r="A3730" t="s">
        <v>107</v>
      </c>
      <c r="B3730" s="1">
        <v>43173</v>
      </c>
      <c r="C3730" t="s">
        <v>56</v>
      </c>
      <c r="D3730">
        <v>196.62</v>
      </c>
      <c r="E3730" s="12" t="str">
        <f>VLOOKUP(C3730,inf!$A$2:$B$7,2,FALSE)</f>
        <v>Current</v>
      </c>
      <c r="F3730" s="12" t="str">
        <f>TEXT(B3730,"MM/DD/YYYY")</f>
        <v>03/14/2018</v>
      </c>
      <c r="G3730" t="str">
        <f>VLOOKUP(A3730,inf!$D$2:$E$76,2,FALSE)</f>
        <v>Other</v>
      </c>
    </row>
    <row r="3731" spans="1:7" x14ac:dyDescent="0.25">
      <c r="A3731" t="s">
        <v>113</v>
      </c>
      <c r="B3731" s="1">
        <v>43173</v>
      </c>
      <c r="C3731" t="s">
        <v>55</v>
      </c>
      <c r="D3731">
        <v>723.17</v>
      </c>
      <c r="E3731" s="12" t="str">
        <f>VLOOKUP(C3731,inf!$A$2:$B$7,2,FALSE)</f>
        <v>Current</v>
      </c>
      <c r="F3731" s="12" t="str">
        <f>TEXT(B3731,"MM/DD/YYYY")</f>
        <v>03/14/2018</v>
      </c>
      <c r="G3731" t="str">
        <f>VLOOKUP(A3731,inf!$D$2:$E$76,2,FALSE)</f>
        <v>Other</v>
      </c>
    </row>
    <row r="3732" spans="1:7" x14ac:dyDescent="0.25">
      <c r="A3732" t="s">
        <v>83</v>
      </c>
      <c r="B3732" s="1">
        <v>43173</v>
      </c>
      <c r="C3732" t="s">
        <v>55</v>
      </c>
      <c r="D3732">
        <v>1039.96</v>
      </c>
      <c r="E3732" s="12" t="str">
        <f>VLOOKUP(C3732,inf!$A$2:$B$7,2,FALSE)</f>
        <v>Current</v>
      </c>
      <c r="F3732" s="12" t="str">
        <f t="shared" ref="F3732:F3733" si="92">TEXT(B3732,"MM/DD/YYYY")</f>
        <v>03/14/2018</v>
      </c>
      <c r="G3732" t="str">
        <f>VLOOKUP(A3732,inf!$D$2:$E$76,2,FALSE)</f>
        <v>Other</v>
      </c>
    </row>
    <row r="3733" spans="1:7" x14ac:dyDescent="0.25">
      <c r="A3733" t="s">
        <v>83</v>
      </c>
      <c r="B3733" s="1">
        <v>43173</v>
      </c>
      <c r="C3733" t="s">
        <v>56</v>
      </c>
      <c r="D3733">
        <v>391.08</v>
      </c>
      <c r="E3733" s="12" t="str">
        <f>VLOOKUP(C3733,inf!$A$2:$B$7,2,FALSE)</f>
        <v>Current</v>
      </c>
      <c r="F3733" s="12" t="str">
        <f t="shared" si="92"/>
        <v>03/14/2018</v>
      </c>
      <c r="G3733" t="str">
        <f>VLOOKUP(A3733,inf!$D$2:$E$76,2,FALSE)</f>
        <v>Other</v>
      </c>
    </row>
    <row r="3734" spans="1:7" x14ac:dyDescent="0.25">
      <c r="A3734" t="s">
        <v>7</v>
      </c>
      <c r="B3734" s="1">
        <v>43173</v>
      </c>
      <c r="C3734" t="s">
        <v>55</v>
      </c>
      <c r="D3734">
        <v>93763.329999999958</v>
      </c>
      <c r="E3734" s="12" t="str">
        <f>VLOOKUP(C3734,inf!$A$2:$B$7,2,FALSE)</f>
        <v>Current</v>
      </c>
      <c r="F3734" s="12" t="str">
        <f t="shared" ref="F3734:F3742" si="93">TEXT(B3734,"MM/DD/YYYY")</f>
        <v>03/14/2018</v>
      </c>
      <c r="G3734" t="str">
        <f>VLOOKUP(A3734,inf!$D$2:$E$76,2,FALSE)</f>
        <v>SAFEWAY</v>
      </c>
    </row>
    <row r="3735" spans="1:7" x14ac:dyDescent="0.25">
      <c r="A3735" t="s">
        <v>7</v>
      </c>
      <c r="B3735" s="1">
        <v>43173</v>
      </c>
      <c r="C3735" t="s">
        <v>56</v>
      </c>
      <c r="D3735">
        <v>25966.15</v>
      </c>
      <c r="E3735" s="12" t="str">
        <f>VLOOKUP(C3735,inf!$A$2:$B$7,2,FALSE)</f>
        <v>Current</v>
      </c>
      <c r="F3735" s="12" t="str">
        <f t="shared" si="93"/>
        <v>03/14/2018</v>
      </c>
      <c r="G3735" t="str">
        <f>VLOOKUP(A3735,inf!$D$2:$E$76,2,FALSE)</f>
        <v>SAFEWAY</v>
      </c>
    </row>
    <row r="3736" spans="1:7" x14ac:dyDescent="0.25">
      <c r="A3736" t="s">
        <v>7</v>
      </c>
      <c r="B3736" s="1">
        <v>43173</v>
      </c>
      <c r="C3736" t="s">
        <v>57</v>
      </c>
      <c r="D3736">
        <v>8909.4299999999985</v>
      </c>
      <c r="E3736" s="12" t="str">
        <f>VLOOKUP(C3736,inf!$A$2:$B$7,2,FALSE)</f>
        <v>31 to 60</v>
      </c>
      <c r="F3736" s="12" t="str">
        <f t="shared" si="93"/>
        <v>03/14/2018</v>
      </c>
      <c r="G3736" t="str">
        <f>VLOOKUP(A3736,inf!$D$2:$E$76,2,FALSE)</f>
        <v>SAFEWAY</v>
      </c>
    </row>
    <row r="3737" spans="1:7" x14ac:dyDescent="0.25">
      <c r="A3737" t="s">
        <v>7</v>
      </c>
      <c r="B3737" s="1">
        <v>43173</v>
      </c>
      <c r="C3737" t="s">
        <v>58</v>
      </c>
      <c r="D3737">
        <v>1968.19</v>
      </c>
      <c r="E3737" s="12" t="str">
        <f>VLOOKUP(C3737,inf!$A$2:$B$7,2,FALSE)</f>
        <v>61 to 90</v>
      </c>
      <c r="F3737" s="12" t="str">
        <f t="shared" si="93"/>
        <v>03/14/2018</v>
      </c>
      <c r="G3737" t="str">
        <f>VLOOKUP(A3737,inf!$D$2:$E$76,2,FALSE)</f>
        <v>SAFEWAY</v>
      </c>
    </row>
    <row r="3738" spans="1:7" x14ac:dyDescent="0.25">
      <c r="A3738" t="s">
        <v>7</v>
      </c>
      <c r="B3738" s="1">
        <v>43173</v>
      </c>
      <c r="C3738" t="s">
        <v>59</v>
      </c>
      <c r="D3738">
        <v>7393.7100000000009</v>
      </c>
      <c r="E3738" s="12" t="str">
        <f>VLOOKUP(C3738,inf!$A$2:$B$7,2,FALSE)</f>
        <v>Over 90</v>
      </c>
      <c r="F3738" s="12" t="str">
        <f t="shared" si="93"/>
        <v>03/14/2018</v>
      </c>
      <c r="G3738" t="str">
        <f>VLOOKUP(A3738,inf!$D$2:$E$76,2,FALSE)</f>
        <v>SAFEWAY</v>
      </c>
    </row>
    <row r="3739" spans="1:7" x14ac:dyDescent="0.25">
      <c r="A3739" t="s">
        <v>7</v>
      </c>
      <c r="B3739" s="1">
        <v>43173</v>
      </c>
      <c r="C3739" t="s">
        <v>60</v>
      </c>
      <c r="D3739">
        <v>2247.4600000000005</v>
      </c>
      <c r="E3739" s="12" t="str">
        <f>VLOOKUP(C3739,inf!$A$2:$B$7,2,FALSE)</f>
        <v>Over 90</v>
      </c>
      <c r="F3739" s="12" t="str">
        <f t="shared" si="93"/>
        <v>03/14/2018</v>
      </c>
      <c r="G3739" t="str">
        <f>VLOOKUP(A3739,inf!$D$2:$E$76,2,FALSE)</f>
        <v>SAFEWAY</v>
      </c>
    </row>
    <row r="3740" spans="1:7" x14ac:dyDescent="0.25">
      <c r="A3740" t="s">
        <v>81</v>
      </c>
      <c r="B3740" s="1">
        <v>43173</v>
      </c>
      <c r="C3740" t="s">
        <v>55</v>
      </c>
      <c r="D3740">
        <v>1002.07</v>
      </c>
      <c r="E3740" s="12" t="str">
        <f>VLOOKUP(C3740,inf!$A$2:$B$7,2,FALSE)</f>
        <v>Current</v>
      </c>
      <c r="F3740" s="12" t="str">
        <f t="shared" si="93"/>
        <v>03/14/2018</v>
      </c>
      <c r="G3740" t="str">
        <f>VLOOKUP(A3740,inf!$D$2:$E$76,2,FALSE)</f>
        <v>Other</v>
      </c>
    </row>
    <row r="3741" spans="1:7" x14ac:dyDescent="0.25">
      <c r="A3741" t="s">
        <v>81</v>
      </c>
      <c r="B3741" s="1">
        <v>43173</v>
      </c>
      <c r="C3741" t="s">
        <v>56</v>
      </c>
      <c r="D3741">
        <v>255.25</v>
      </c>
      <c r="E3741" s="12" t="str">
        <f>VLOOKUP(C3741,inf!$A$2:$B$7,2,FALSE)</f>
        <v>Current</v>
      </c>
      <c r="F3741" s="12" t="str">
        <f t="shared" si="93"/>
        <v>03/14/2018</v>
      </c>
      <c r="G3741" t="str">
        <f>VLOOKUP(A3741,inf!$D$2:$E$76,2,FALSE)</f>
        <v>Other</v>
      </c>
    </row>
    <row r="3742" spans="1:7" x14ac:dyDescent="0.25">
      <c r="A3742" t="s">
        <v>81</v>
      </c>
      <c r="B3742" s="1">
        <v>43173</v>
      </c>
      <c r="C3742" t="s">
        <v>57</v>
      </c>
      <c r="D3742">
        <v>174.98</v>
      </c>
      <c r="E3742" s="12" t="str">
        <f>VLOOKUP(C3742,inf!$A$2:$B$7,2,FALSE)</f>
        <v>31 to 60</v>
      </c>
      <c r="F3742" s="12" t="str">
        <f t="shared" si="93"/>
        <v>03/14/2018</v>
      </c>
      <c r="G3742" t="str">
        <f>VLOOKUP(A3742,inf!$D$2:$E$76,2,FALSE)</f>
        <v>Other</v>
      </c>
    </row>
    <row r="3743" spans="1:7" x14ac:dyDescent="0.25">
      <c r="A3743" t="s">
        <v>74</v>
      </c>
      <c r="B3743" s="1">
        <v>43173</v>
      </c>
      <c r="C3743" t="s">
        <v>60</v>
      </c>
      <c r="D3743">
        <v>60.5</v>
      </c>
      <c r="E3743" s="12" t="str">
        <f>VLOOKUP(C3743,inf!$A$2:$B$7,2,FALSE)</f>
        <v>Over 90</v>
      </c>
      <c r="F3743" s="12" t="str">
        <f t="shared" ref="F3743:F3756" si="94">TEXT(B3743,"MM/DD/YYYY")</f>
        <v>03/14/2018</v>
      </c>
      <c r="G3743" t="str">
        <f>VLOOKUP(A3743,inf!$D$2:$E$76,2,FALSE)</f>
        <v>Other</v>
      </c>
    </row>
    <row r="3744" spans="1:7" x14ac:dyDescent="0.25">
      <c r="A3744" t="s">
        <v>5</v>
      </c>
      <c r="B3744" s="1">
        <v>43173</v>
      </c>
      <c r="C3744" t="s">
        <v>55</v>
      </c>
      <c r="D3744">
        <v>8759050.9000000823</v>
      </c>
      <c r="E3744" s="12" t="str">
        <f>VLOOKUP(C3744,inf!$A$2:$B$7,2,FALSE)</f>
        <v>Current</v>
      </c>
      <c r="F3744" s="12" t="str">
        <f t="shared" si="94"/>
        <v>03/14/2018</v>
      </c>
      <c r="G3744" t="str">
        <f>VLOOKUP(A3744,inf!$D$2:$E$76,2,FALSE)</f>
        <v>SBUX</v>
      </c>
    </row>
    <row r="3745" spans="1:7" x14ac:dyDescent="0.25">
      <c r="A3745" t="s">
        <v>5</v>
      </c>
      <c r="B3745" s="1">
        <v>43173</v>
      </c>
      <c r="C3745" t="s">
        <v>56</v>
      </c>
      <c r="D3745">
        <v>142169.91999999998</v>
      </c>
      <c r="E3745" s="12" t="str">
        <f>VLOOKUP(C3745,inf!$A$2:$B$7,2,FALSE)</f>
        <v>Current</v>
      </c>
      <c r="F3745" s="12" t="str">
        <f t="shared" si="94"/>
        <v>03/14/2018</v>
      </c>
      <c r="G3745" t="str">
        <f>VLOOKUP(A3745,inf!$D$2:$E$76,2,FALSE)</f>
        <v>SBUX</v>
      </c>
    </row>
    <row r="3746" spans="1:7" x14ac:dyDescent="0.25">
      <c r="A3746" t="s">
        <v>5</v>
      </c>
      <c r="B3746" s="1">
        <v>43173</v>
      </c>
      <c r="C3746" t="s">
        <v>57</v>
      </c>
      <c r="D3746">
        <v>45807.680000000008</v>
      </c>
      <c r="E3746" s="12" t="str">
        <f>VLOOKUP(C3746,inf!$A$2:$B$7,2,FALSE)</f>
        <v>31 to 60</v>
      </c>
      <c r="F3746" s="12" t="str">
        <f t="shared" si="94"/>
        <v>03/14/2018</v>
      </c>
      <c r="G3746" t="str">
        <f>VLOOKUP(A3746,inf!$D$2:$E$76,2,FALSE)</f>
        <v>SBUX</v>
      </c>
    </row>
    <row r="3747" spans="1:7" x14ac:dyDescent="0.25">
      <c r="A3747" t="s">
        <v>5</v>
      </c>
      <c r="B3747" s="1">
        <v>43173</v>
      </c>
      <c r="C3747" t="s">
        <v>58</v>
      </c>
      <c r="D3747">
        <v>34804.410000000003</v>
      </c>
      <c r="E3747" s="12" t="str">
        <f>VLOOKUP(C3747,inf!$A$2:$B$7,2,FALSE)</f>
        <v>61 to 90</v>
      </c>
      <c r="F3747" s="12" t="str">
        <f t="shared" si="94"/>
        <v>03/14/2018</v>
      </c>
      <c r="G3747" t="str">
        <f>VLOOKUP(A3747,inf!$D$2:$E$76,2,FALSE)</f>
        <v>SBUX</v>
      </c>
    </row>
    <row r="3748" spans="1:7" x14ac:dyDescent="0.25">
      <c r="A3748" t="s">
        <v>5</v>
      </c>
      <c r="B3748" s="1">
        <v>43173</v>
      </c>
      <c r="C3748" t="s">
        <v>59</v>
      </c>
      <c r="D3748">
        <v>22967.879999999997</v>
      </c>
      <c r="E3748" s="12" t="str">
        <f>VLOOKUP(C3748,inf!$A$2:$B$7,2,FALSE)</f>
        <v>Over 90</v>
      </c>
      <c r="F3748" s="12" t="str">
        <f t="shared" si="94"/>
        <v>03/14/2018</v>
      </c>
      <c r="G3748" t="str">
        <f>VLOOKUP(A3748,inf!$D$2:$E$76,2,FALSE)</f>
        <v>SBUX</v>
      </c>
    </row>
    <row r="3749" spans="1:7" x14ac:dyDescent="0.25">
      <c r="A3749" t="s">
        <v>5</v>
      </c>
      <c r="B3749" s="1">
        <v>43173</v>
      </c>
      <c r="C3749" t="s">
        <v>60</v>
      </c>
      <c r="D3749">
        <v>141801.53999999983</v>
      </c>
      <c r="E3749" s="12" t="str">
        <f>VLOOKUP(C3749,inf!$A$2:$B$7,2,FALSE)</f>
        <v>Over 90</v>
      </c>
      <c r="F3749" s="12" t="str">
        <f t="shared" si="94"/>
        <v>03/14/2018</v>
      </c>
      <c r="G3749" t="str">
        <f>VLOOKUP(A3749,inf!$D$2:$E$76,2,FALSE)</f>
        <v>SBUX</v>
      </c>
    </row>
    <row r="3750" spans="1:7" x14ac:dyDescent="0.25">
      <c r="A3750" t="s">
        <v>6</v>
      </c>
      <c r="B3750" s="1">
        <v>43173</v>
      </c>
      <c r="C3750" t="s">
        <v>55</v>
      </c>
      <c r="D3750">
        <v>769678.54999999097</v>
      </c>
      <c r="E3750" s="12" t="str">
        <f>VLOOKUP(C3750,inf!$A$2:$B$7,2,FALSE)</f>
        <v>Current</v>
      </c>
      <c r="F3750" s="12" t="str">
        <f t="shared" si="94"/>
        <v>03/14/2018</v>
      </c>
      <c r="G3750" t="str">
        <f>VLOOKUP(A3750,inf!$D$2:$E$76,2,FALSE)</f>
        <v>SBUX</v>
      </c>
    </row>
    <row r="3751" spans="1:7" x14ac:dyDescent="0.25">
      <c r="A3751" t="s">
        <v>6</v>
      </c>
      <c r="B3751" s="1">
        <v>43173</v>
      </c>
      <c r="C3751" t="s">
        <v>56</v>
      </c>
      <c r="D3751">
        <v>19818.330000000009</v>
      </c>
      <c r="E3751" s="12" t="str">
        <f>VLOOKUP(C3751,inf!$A$2:$B$7,2,FALSE)</f>
        <v>Current</v>
      </c>
      <c r="F3751" s="12" t="str">
        <f t="shared" si="94"/>
        <v>03/14/2018</v>
      </c>
      <c r="G3751" t="str">
        <f>VLOOKUP(A3751,inf!$D$2:$E$76,2,FALSE)</f>
        <v>SBUX</v>
      </c>
    </row>
    <row r="3752" spans="1:7" x14ac:dyDescent="0.25">
      <c r="A3752" t="s">
        <v>6</v>
      </c>
      <c r="B3752" s="1">
        <v>43173</v>
      </c>
      <c r="C3752" t="s">
        <v>57</v>
      </c>
      <c r="D3752">
        <v>2376.35</v>
      </c>
      <c r="E3752" s="12" t="str">
        <f>VLOOKUP(C3752,inf!$A$2:$B$7,2,FALSE)</f>
        <v>31 to 60</v>
      </c>
      <c r="F3752" s="12" t="str">
        <f t="shared" si="94"/>
        <v>03/14/2018</v>
      </c>
      <c r="G3752" t="str">
        <f>VLOOKUP(A3752,inf!$D$2:$E$76,2,FALSE)</f>
        <v>SBUX</v>
      </c>
    </row>
    <row r="3753" spans="1:7" x14ac:dyDescent="0.25">
      <c r="A3753" t="s">
        <v>6</v>
      </c>
      <c r="B3753" s="1">
        <v>43173</v>
      </c>
      <c r="C3753" t="s">
        <v>58</v>
      </c>
      <c r="D3753">
        <v>3643.1899999999991</v>
      </c>
      <c r="E3753" s="12" t="str">
        <f>VLOOKUP(C3753,inf!$A$2:$B$7,2,FALSE)</f>
        <v>61 to 90</v>
      </c>
      <c r="F3753" s="12" t="str">
        <f t="shared" si="94"/>
        <v>03/14/2018</v>
      </c>
      <c r="G3753" t="str">
        <f>VLOOKUP(A3753,inf!$D$2:$E$76,2,FALSE)</f>
        <v>SBUX</v>
      </c>
    </row>
    <row r="3754" spans="1:7" x14ac:dyDescent="0.25">
      <c r="A3754" t="s">
        <v>6</v>
      </c>
      <c r="B3754" s="1">
        <v>43173</v>
      </c>
      <c r="C3754" t="s">
        <v>59</v>
      </c>
      <c r="D3754">
        <v>445.42</v>
      </c>
      <c r="E3754" s="12" t="str">
        <f>VLOOKUP(C3754,inf!$A$2:$B$7,2,FALSE)</f>
        <v>Over 90</v>
      </c>
      <c r="F3754" s="12" t="str">
        <f t="shared" si="94"/>
        <v>03/14/2018</v>
      </c>
      <c r="G3754" t="str">
        <f>VLOOKUP(A3754,inf!$D$2:$E$76,2,FALSE)</f>
        <v>SBUX</v>
      </c>
    </row>
    <row r="3755" spans="1:7" x14ac:dyDescent="0.25">
      <c r="A3755" t="s">
        <v>6</v>
      </c>
      <c r="B3755" s="1">
        <v>43173</v>
      </c>
      <c r="C3755" t="s">
        <v>60</v>
      </c>
      <c r="D3755">
        <v>6555.420000000001</v>
      </c>
      <c r="E3755" s="12" t="str">
        <f>VLOOKUP(C3755,inf!$A$2:$B$7,2,FALSE)</f>
        <v>Over 90</v>
      </c>
      <c r="F3755" s="12" t="str">
        <f t="shared" si="94"/>
        <v>03/14/2018</v>
      </c>
      <c r="G3755" t="str">
        <f>VLOOKUP(A3755,inf!$D$2:$E$76,2,FALSE)</f>
        <v>SBUX</v>
      </c>
    </row>
    <row r="3756" spans="1:7" x14ac:dyDescent="0.25">
      <c r="A3756" t="s">
        <v>49</v>
      </c>
      <c r="B3756" s="1">
        <v>43173</v>
      </c>
      <c r="C3756" t="s">
        <v>55</v>
      </c>
      <c r="D3756">
        <v>460.3</v>
      </c>
      <c r="E3756" s="12" t="str">
        <f>VLOOKUP(C3756,inf!$A$2:$B$7,2,FALSE)</f>
        <v>Current</v>
      </c>
      <c r="F3756" s="12" t="str">
        <f t="shared" si="94"/>
        <v>03/14/2018</v>
      </c>
      <c r="G3756" t="str">
        <f>VLOOKUP(A3756,inf!$D$2:$E$76,2,FALSE)</f>
        <v>Other</v>
      </c>
    </row>
    <row r="3757" spans="1:7" x14ac:dyDescent="0.25">
      <c r="A3757" t="s">
        <v>48</v>
      </c>
      <c r="B3757" s="1">
        <v>43173</v>
      </c>
      <c r="C3757" t="s">
        <v>55</v>
      </c>
      <c r="D3757">
        <v>289017.31000000006</v>
      </c>
      <c r="E3757" s="12" t="str">
        <f>VLOOKUP(C3757,inf!$A$2:$B$7,2,FALSE)</f>
        <v>Current</v>
      </c>
      <c r="F3757" s="12" t="str">
        <f t="shared" ref="F3757:F3770" si="95">TEXT(B3757,"MM/DD/YYYY")</f>
        <v>03/14/2018</v>
      </c>
      <c r="G3757" t="str">
        <f>VLOOKUP(A3757,inf!$D$2:$E$76,2,FALSE)</f>
        <v>Target</v>
      </c>
    </row>
    <row r="3758" spans="1:7" x14ac:dyDescent="0.25">
      <c r="A3758" t="s">
        <v>48</v>
      </c>
      <c r="B3758" s="1">
        <v>43173</v>
      </c>
      <c r="C3758" t="s">
        <v>56</v>
      </c>
      <c r="D3758">
        <v>22613.850000000002</v>
      </c>
      <c r="E3758" s="12" t="str">
        <f>VLOOKUP(C3758,inf!$A$2:$B$7,2,FALSE)</f>
        <v>Current</v>
      </c>
      <c r="F3758" s="12" t="str">
        <f t="shared" si="95"/>
        <v>03/14/2018</v>
      </c>
      <c r="G3758" t="str">
        <f>VLOOKUP(A3758,inf!$D$2:$E$76,2,FALSE)</f>
        <v>Target</v>
      </c>
    </row>
    <row r="3759" spans="1:7" x14ac:dyDescent="0.25">
      <c r="A3759" t="s">
        <v>48</v>
      </c>
      <c r="B3759" s="1">
        <v>43173</v>
      </c>
      <c r="C3759" t="s">
        <v>57</v>
      </c>
      <c r="D3759">
        <v>3199.56</v>
      </c>
      <c r="E3759" s="12" t="str">
        <f>VLOOKUP(C3759,inf!$A$2:$B$7,2,FALSE)</f>
        <v>31 to 60</v>
      </c>
      <c r="F3759" s="12" t="str">
        <f t="shared" si="95"/>
        <v>03/14/2018</v>
      </c>
      <c r="G3759" t="str">
        <f>VLOOKUP(A3759,inf!$D$2:$E$76,2,FALSE)</f>
        <v>Target</v>
      </c>
    </row>
    <row r="3760" spans="1:7" x14ac:dyDescent="0.25">
      <c r="A3760" t="s">
        <v>48</v>
      </c>
      <c r="B3760" s="1">
        <v>43173</v>
      </c>
      <c r="C3760" t="s">
        <v>58</v>
      </c>
      <c r="D3760">
        <v>26580.93</v>
      </c>
      <c r="E3760" s="12" t="str">
        <f>VLOOKUP(C3760,inf!$A$2:$B$7,2,FALSE)</f>
        <v>61 to 90</v>
      </c>
      <c r="F3760" s="12" t="str">
        <f t="shared" si="95"/>
        <v>03/14/2018</v>
      </c>
      <c r="G3760" t="str">
        <f>VLOOKUP(A3760,inf!$D$2:$E$76,2,FALSE)</f>
        <v>Target</v>
      </c>
    </row>
    <row r="3761" spans="1:7" x14ac:dyDescent="0.25">
      <c r="A3761" t="s">
        <v>48</v>
      </c>
      <c r="B3761" s="1">
        <v>43173</v>
      </c>
      <c r="C3761" t="s">
        <v>59</v>
      </c>
      <c r="D3761">
        <v>17288.990000000002</v>
      </c>
      <c r="E3761" s="12" t="str">
        <f>VLOOKUP(C3761,inf!$A$2:$B$7,2,FALSE)</f>
        <v>Over 90</v>
      </c>
      <c r="F3761" s="12" t="str">
        <f t="shared" si="95"/>
        <v>03/14/2018</v>
      </c>
      <c r="G3761" t="str">
        <f>VLOOKUP(A3761,inf!$D$2:$E$76,2,FALSE)</f>
        <v>Target</v>
      </c>
    </row>
    <row r="3762" spans="1:7" x14ac:dyDescent="0.25">
      <c r="A3762" t="s">
        <v>48</v>
      </c>
      <c r="B3762" s="1">
        <v>43173</v>
      </c>
      <c r="C3762" t="s">
        <v>60</v>
      </c>
      <c r="D3762">
        <v>5433.5300000000007</v>
      </c>
      <c r="E3762" s="12" t="str">
        <f>VLOOKUP(C3762,inf!$A$2:$B$7,2,FALSE)</f>
        <v>Over 90</v>
      </c>
      <c r="F3762" s="12" t="str">
        <f t="shared" si="95"/>
        <v>03/14/2018</v>
      </c>
      <c r="G3762" t="str">
        <f>VLOOKUP(A3762,inf!$D$2:$E$76,2,FALSE)</f>
        <v>Target</v>
      </c>
    </row>
    <row r="3763" spans="1:7" x14ac:dyDescent="0.25">
      <c r="A3763" t="s">
        <v>8</v>
      </c>
      <c r="B3763" s="1">
        <v>43173</v>
      </c>
      <c r="C3763" t="s">
        <v>55</v>
      </c>
      <c r="D3763">
        <v>342007.18000000023</v>
      </c>
      <c r="E3763" s="12" t="str">
        <f>VLOOKUP(C3763,inf!$A$2:$B$7,2,FALSE)</f>
        <v>Current</v>
      </c>
      <c r="F3763" s="12" t="str">
        <f t="shared" si="95"/>
        <v>03/14/2018</v>
      </c>
      <c r="G3763" t="str">
        <f>VLOOKUP(A3763,inf!$D$2:$E$76,2,FALSE)</f>
        <v>Target</v>
      </c>
    </row>
    <row r="3764" spans="1:7" x14ac:dyDescent="0.25">
      <c r="A3764" t="s">
        <v>8</v>
      </c>
      <c r="B3764" s="1">
        <v>43173</v>
      </c>
      <c r="C3764" t="s">
        <v>56</v>
      </c>
      <c r="D3764">
        <v>4376.83</v>
      </c>
      <c r="E3764" s="12" t="str">
        <f>VLOOKUP(C3764,inf!$A$2:$B$7,2,FALSE)</f>
        <v>Current</v>
      </c>
      <c r="F3764" s="12" t="str">
        <f t="shared" si="95"/>
        <v>03/14/2018</v>
      </c>
      <c r="G3764" t="str">
        <f>VLOOKUP(A3764,inf!$D$2:$E$76,2,FALSE)</f>
        <v>Target</v>
      </c>
    </row>
    <row r="3765" spans="1:7" x14ac:dyDescent="0.25">
      <c r="A3765" t="s">
        <v>8</v>
      </c>
      <c r="B3765" s="1">
        <v>43173</v>
      </c>
      <c r="C3765" t="s">
        <v>57</v>
      </c>
      <c r="D3765">
        <v>16207.97</v>
      </c>
      <c r="E3765" s="12" t="str">
        <f>VLOOKUP(C3765,inf!$A$2:$B$7,2,FALSE)</f>
        <v>31 to 60</v>
      </c>
      <c r="F3765" s="12" t="str">
        <f t="shared" si="95"/>
        <v>03/14/2018</v>
      </c>
      <c r="G3765" t="str">
        <f>VLOOKUP(A3765,inf!$D$2:$E$76,2,FALSE)</f>
        <v>Target</v>
      </c>
    </row>
    <row r="3766" spans="1:7" x14ac:dyDescent="0.25">
      <c r="A3766" t="s">
        <v>8</v>
      </c>
      <c r="B3766" s="1">
        <v>43173</v>
      </c>
      <c r="C3766" t="s">
        <v>58</v>
      </c>
      <c r="D3766">
        <v>8780.3000000000011</v>
      </c>
      <c r="E3766" s="12" t="str">
        <f>VLOOKUP(C3766,inf!$A$2:$B$7,2,FALSE)</f>
        <v>61 to 90</v>
      </c>
      <c r="F3766" s="12" t="str">
        <f t="shared" si="95"/>
        <v>03/14/2018</v>
      </c>
      <c r="G3766" t="str">
        <f>VLOOKUP(A3766,inf!$D$2:$E$76,2,FALSE)</f>
        <v>Target</v>
      </c>
    </row>
    <row r="3767" spans="1:7" x14ac:dyDescent="0.25">
      <c r="A3767" t="s">
        <v>8</v>
      </c>
      <c r="B3767" s="1">
        <v>43173</v>
      </c>
      <c r="C3767" t="s">
        <v>59</v>
      </c>
      <c r="D3767">
        <v>11220.36</v>
      </c>
      <c r="E3767" s="12" t="str">
        <f>VLOOKUP(C3767,inf!$A$2:$B$7,2,FALSE)</f>
        <v>Over 90</v>
      </c>
      <c r="F3767" s="12" t="str">
        <f t="shared" si="95"/>
        <v>03/14/2018</v>
      </c>
      <c r="G3767" t="str">
        <f>VLOOKUP(A3767,inf!$D$2:$E$76,2,FALSE)</f>
        <v>Target</v>
      </c>
    </row>
    <row r="3768" spans="1:7" x14ac:dyDescent="0.25">
      <c r="A3768" t="s">
        <v>8</v>
      </c>
      <c r="B3768" s="1">
        <v>43173</v>
      </c>
      <c r="C3768" t="s">
        <v>60</v>
      </c>
      <c r="D3768">
        <v>11794.36</v>
      </c>
      <c r="E3768" s="12" t="str">
        <f>VLOOKUP(C3768,inf!$A$2:$B$7,2,FALSE)</f>
        <v>Over 90</v>
      </c>
      <c r="F3768" s="12" t="str">
        <f t="shared" si="95"/>
        <v>03/14/2018</v>
      </c>
      <c r="G3768" t="str">
        <f>VLOOKUP(A3768,inf!$D$2:$E$76,2,FALSE)</f>
        <v>Target</v>
      </c>
    </row>
    <row r="3769" spans="1:7" x14ac:dyDescent="0.25">
      <c r="A3769" t="s">
        <v>54</v>
      </c>
      <c r="B3769" s="1">
        <v>43173</v>
      </c>
      <c r="C3769" t="s">
        <v>55</v>
      </c>
      <c r="D3769">
        <v>583.93000000000006</v>
      </c>
      <c r="E3769" s="12" t="str">
        <f>VLOOKUP(C3769,inf!$A$2:$B$7,2,FALSE)</f>
        <v>Current</v>
      </c>
      <c r="F3769" s="12" t="str">
        <f t="shared" si="95"/>
        <v>03/14/2018</v>
      </c>
      <c r="G3769" t="str">
        <f>VLOOKUP(A3769,inf!$D$2:$E$76,2,FALSE)</f>
        <v>Other</v>
      </c>
    </row>
    <row r="3770" spans="1:7" x14ac:dyDescent="0.25">
      <c r="A3770" t="s">
        <v>54</v>
      </c>
      <c r="B3770" s="1">
        <v>43173</v>
      </c>
      <c r="C3770" t="s">
        <v>56</v>
      </c>
      <c r="D3770">
        <v>497.05</v>
      </c>
      <c r="E3770" s="12" t="str">
        <f>VLOOKUP(C3770,inf!$A$2:$B$7,2,FALSE)</f>
        <v>Current</v>
      </c>
      <c r="F3770" s="12" t="str">
        <f t="shared" si="95"/>
        <v>03/14/2018</v>
      </c>
      <c r="G3770" t="str">
        <f>VLOOKUP(A3770,inf!$D$2:$E$76,2,FALSE)</f>
        <v>Other</v>
      </c>
    </row>
    <row r="3771" spans="1:7" x14ac:dyDescent="0.25">
      <c r="A3771" t="s">
        <v>54</v>
      </c>
      <c r="B3771" s="1">
        <v>43173</v>
      </c>
      <c r="C3771" t="s">
        <v>60</v>
      </c>
      <c r="D3771">
        <v>122.72</v>
      </c>
      <c r="E3771" s="12" t="str">
        <f>VLOOKUP(C3771,inf!$A$2:$B$7,2,FALSE)</f>
        <v>Over 90</v>
      </c>
      <c r="F3771" s="12" t="str">
        <f t="shared" ref="F3771:F3776" si="96">TEXT(B3771,"MM/DD/YYYY")</f>
        <v>03/14/2018</v>
      </c>
      <c r="G3771" t="str">
        <f>VLOOKUP(A3771,inf!$D$2:$E$76,2,FALSE)</f>
        <v>Other</v>
      </c>
    </row>
    <row r="3772" spans="1:7" x14ac:dyDescent="0.25">
      <c r="A3772" t="s">
        <v>28</v>
      </c>
      <c r="B3772" s="1">
        <v>43173</v>
      </c>
      <c r="C3772" t="s">
        <v>55</v>
      </c>
      <c r="D3772">
        <v>1433.37</v>
      </c>
      <c r="E3772" s="12" t="str">
        <f>VLOOKUP(C3772,inf!$A$2:$B$7,2,FALSE)</f>
        <v>Current</v>
      </c>
      <c r="F3772" s="12" t="str">
        <f t="shared" si="96"/>
        <v>03/14/2018</v>
      </c>
      <c r="G3772" t="str">
        <f>VLOOKUP(A3772,inf!$D$2:$E$76,2,FALSE)</f>
        <v>Other</v>
      </c>
    </row>
    <row r="3773" spans="1:7" x14ac:dyDescent="0.25">
      <c r="A3773" t="s">
        <v>28</v>
      </c>
      <c r="B3773" s="1">
        <v>43173</v>
      </c>
      <c r="C3773" t="s">
        <v>56</v>
      </c>
      <c r="D3773">
        <v>310.86999999999995</v>
      </c>
      <c r="E3773" s="12" t="str">
        <f>VLOOKUP(C3773,inf!$A$2:$B$7,2,FALSE)</f>
        <v>Current</v>
      </c>
      <c r="F3773" s="12" t="str">
        <f t="shared" si="96"/>
        <v>03/14/2018</v>
      </c>
      <c r="G3773" t="str">
        <f>VLOOKUP(A3773,inf!$D$2:$E$76,2,FALSE)</f>
        <v>Other</v>
      </c>
    </row>
    <row r="3774" spans="1:7" x14ac:dyDescent="0.25">
      <c r="A3774" t="s">
        <v>28</v>
      </c>
      <c r="B3774" s="1">
        <v>43173</v>
      </c>
      <c r="C3774" t="s">
        <v>57</v>
      </c>
      <c r="D3774">
        <v>130.66</v>
      </c>
      <c r="E3774" s="12" t="str">
        <f>VLOOKUP(C3774,inf!$A$2:$B$7,2,FALSE)</f>
        <v>31 to 60</v>
      </c>
      <c r="F3774" s="12" t="str">
        <f t="shared" si="96"/>
        <v>03/14/2018</v>
      </c>
      <c r="G3774" t="str">
        <f>VLOOKUP(A3774,inf!$D$2:$E$76,2,FALSE)</f>
        <v>Other</v>
      </c>
    </row>
    <row r="3775" spans="1:7" x14ac:dyDescent="0.25">
      <c r="A3775" t="s">
        <v>28</v>
      </c>
      <c r="B3775" s="1">
        <v>43173</v>
      </c>
      <c r="C3775" t="s">
        <v>58</v>
      </c>
      <c r="D3775">
        <v>148.88</v>
      </c>
      <c r="E3775" s="12" t="str">
        <f>VLOOKUP(C3775,inf!$A$2:$B$7,2,FALSE)</f>
        <v>61 to 90</v>
      </c>
      <c r="F3775" s="12" t="str">
        <f t="shared" si="96"/>
        <v>03/14/2018</v>
      </c>
      <c r="G3775" t="str">
        <f>VLOOKUP(A3775,inf!$D$2:$E$76,2,FALSE)</f>
        <v>Other</v>
      </c>
    </row>
    <row r="3776" spans="1:7" x14ac:dyDescent="0.25">
      <c r="A3776" t="s">
        <v>28</v>
      </c>
      <c r="B3776" s="1">
        <v>43173</v>
      </c>
      <c r="C3776" t="s">
        <v>59</v>
      </c>
      <c r="D3776">
        <v>152.51</v>
      </c>
      <c r="E3776" s="12" t="str">
        <f>VLOOKUP(C3776,inf!$A$2:$B$7,2,FALSE)</f>
        <v>Over 90</v>
      </c>
      <c r="F3776" s="12" t="str">
        <f t="shared" si="96"/>
        <v>03/14/2018</v>
      </c>
      <c r="G3776" t="str">
        <f>VLOOKUP(A3776,inf!$D$2:$E$76,2,FALSE)</f>
        <v>Other</v>
      </c>
    </row>
    <row r="3777" spans="1:7" x14ac:dyDescent="0.25">
      <c r="A3777" t="s">
        <v>15</v>
      </c>
      <c r="B3777" s="1">
        <v>43173</v>
      </c>
      <c r="C3777" t="s">
        <v>55</v>
      </c>
      <c r="D3777">
        <v>1296.1499999999999</v>
      </c>
      <c r="E3777" s="12" t="str">
        <f>VLOOKUP(C3777,inf!$A$2:$B$7,2,FALSE)</f>
        <v>Current</v>
      </c>
      <c r="F3777" s="12" t="str">
        <f>TEXT(B3777,"MM/DD/YYYY")</f>
        <v>03/14/2018</v>
      </c>
      <c r="G3777" t="str">
        <f>VLOOKUP(A3777,inf!$D$2:$E$76,2,FALSE)</f>
        <v>Other</v>
      </c>
    </row>
    <row r="3778" spans="1:7" x14ac:dyDescent="0.25">
      <c r="A3778" t="s">
        <v>15</v>
      </c>
      <c r="B3778" s="1">
        <v>43173</v>
      </c>
      <c r="C3778" t="s">
        <v>59</v>
      </c>
      <c r="D3778">
        <v>317.29000000000002</v>
      </c>
      <c r="E3778" s="12" t="str">
        <f>VLOOKUP(C3778,inf!$A$2:$B$7,2,FALSE)</f>
        <v>Over 90</v>
      </c>
      <c r="F3778" s="12" t="str">
        <f t="shared" ref="F3778:F3779" si="97">TEXT(B3778,"MM/DD/YYYY")</f>
        <v>03/14/2018</v>
      </c>
      <c r="G3778" t="str">
        <f>VLOOKUP(A3778,inf!$D$2:$E$76,2,FALSE)</f>
        <v>Other</v>
      </c>
    </row>
    <row r="3779" spans="1:7" x14ac:dyDescent="0.25">
      <c r="A3779" t="s">
        <v>15</v>
      </c>
      <c r="B3779" s="1">
        <v>43173</v>
      </c>
      <c r="C3779" t="s">
        <v>60</v>
      </c>
      <c r="D3779">
        <v>653.86</v>
      </c>
      <c r="E3779" s="12" t="str">
        <f>VLOOKUP(C3779,inf!$A$2:$B$7,2,FALSE)</f>
        <v>Over 90</v>
      </c>
      <c r="F3779" s="12" t="str">
        <f t="shared" si="97"/>
        <v>03/14/2018</v>
      </c>
      <c r="G3779" t="str">
        <f>VLOOKUP(A3779,inf!$D$2:$E$76,2,FALSE)</f>
        <v>Other</v>
      </c>
    </row>
    <row r="3780" spans="1:7" x14ac:dyDescent="0.25">
      <c r="A3780" t="s">
        <v>121</v>
      </c>
      <c r="B3780" s="1">
        <v>43180</v>
      </c>
      <c r="C3780" t="s">
        <v>55</v>
      </c>
      <c r="D3780">
        <v>232.28</v>
      </c>
      <c r="E3780" s="12" t="str">
        <f>VLOOKUP(C3780,inf!$A$2:$B$7,2,FALSE)</f>
        <v>Current</v>
      </c>
      <c r="F3780" s="12" t="str">
        <f>TEXT(B3780,"MM/DD/YYYY")</f>
        <v>03/21/2018</v>
      </c>
      <c r="G3780" t="str">
        <f>VLOOKUP(A3780,inf!$D$2:$E$76,2,FALSE)</f>
        <v>Other</v>
      </c>
    </row>
    <row r="3781" spans="1:7" x14ac:dyDescent="0.25">
      <c r="A3781" t="s">
        <v>22</v>
      </c>
      <c r="B3781" s="1">
        <v>43180</v>
      </c>
      <c r="C3781" t="s">
        <v>57</v>
      </c>
      <c r="D3781">
        <v>114.85</v>
      </c>
      <c r="E3781" s="12" t="str">
        <f>VLOOKUP(C3781,inf!$A$2:$B$7,2,FALSE)</f>
        <v>31 to 60</v>
      </c>
      <c r="F3781" s="12" t="str">
        <f t="shared" ref="F3781:F3782" si="98">TEXT(B3781,"MM/DD/YYYY")</f>
        <v>03/21/2018</v>
      </c>
      <c r="G3781" t="str">
        <f>VLOOKUP(A3781,inf!$D$2:$E$76,2,FALSE)</f>
        <v>Other</v>
      </c>
    </row>
    <row r="3782" spans="1:7" x14ac:dyDescent="0.25">
      <c r="A3782" t="s">
        <v>22</v>
      </c>
      <c r="B3782" s="1">
        <v>43180</v>
      </c>
      <c r="C3782" t="s">
        <v>58</v>
      </c>
      <c r="D3782">
        <v>114.85</v>
      </c>
      <c r="E3782" s="12" t="str">
        <f>VLOOKUP(C3782,inf!$A$2:$B$7,2,FALSE)</f>
        <v>61 to 90</v>
      </c>
      <c r="F3782" s="12" t="str">
        <f t="shared" si="98"/>
        <v>03/21/2018</v>
      </c>
      <c r="G3782" t="str">
        <f>VLOOKUP(A3782,inf!$D$2:$E$76,2,FALSE)</f>
        <v>Other</v>
      </c>
    </row>
    <row r="3783" spans="1:7" x14ac:dyDescent="0.25">
      <c r="A3783" t="s">
        <v>103</v>
      </c>
      <c r="B3783" s="1">
        <v>43180</v>
      </c>
      <c r="C3783" t="s">
        <v>55</v>
      </c>
      <c r="D3783">
        <v>360.43</v>
      </c>
      <c r="E3783" s="12" t="str">
        <f>VLOOKUP(C3783,inf!$A$2:$B$7,2,FALSE)</f>
        <v>Current</v>
      </c>
      <c r="F3783" s="12" t="str">
        <f t="shared" ref="F3783:F3784" si="99">TEXT(B3783,"MM/DD/YYYY")</f>
        <v>03/21/2018</v>
      </c>
      <c r="G3783" t="str">
        <f>VLOOKUP(A3783,inf!$D$2:$E$76,2,FALSE)</f>
        <v>Other</v>
      </c>
    </row>
    <row r="3784" spans="1:7" x14ac:dyDescent="0.25">
      <c r="A3784" t="s">
        <v>103</v>
      </c>
      <c r="B3784" s="1">
        <v>43180</v>
      </c>
      <c r="C3784" t="s">
        <v>56</v>
      </c>
      <c r="D3784">
        <v>103.4</v>
      </c>
      <c r="E3784" s="12" t="str">
        <f>VLOOKUP(C3784,inf!$A$2:$B$7,2,FALSE)</f>
        <v>Current</v>
      </c>
      <c r="F3784" s="12" t="str">
        <f t="shared" si="99"/>
        <v>03/21/2018</v>
      </c>
      <c r="G3784" t="str">
        <f>VLOOKUP(A3784,inf!$D$2:$E$76,2,FALSE)</f>
        <v>Other</v>
      </c>
    </row>
    <row r="3785" spans="1:7" x14ac:dyDescent="0.25">
      <c r="A3785" t="s">
        <v>80</v>
      </c>
      <c r="B3785" s="1">
        <v>43180</v>
      </c>
      <c r="C3785" t="s">
        <v>55</v>
      </c>
      <c r="D3785">
        <v>1217</v>
      </c>
      <c r="E3785" s="12" t="str">
        <f>VLOOKUP(C3785,inf!$A$2:$B$7,2,FALSE)</f>
        <v>Current</v>
      </c>
      <c r="F3785" s="12" t="str">
        <f t="shared" ref="F3785:F3786" si="100">TEXT(B3785,"MM/DD/YYYY")</f>
        <v>03/21/2018</v>
      </c>
      <c r="G3785" t="str">
        <f>VLOOKUP(A3785,inf!$D$2:$E$76,2,FALSE)</f>
        <v>Other</v>
      </c>
    </row>
    <row r="3786" spans="1:7" x14ac:dyDescent="0.25">
      <c r="A3786" t="s">
        <v>80</v>
      </c>
      <c r="B3786" s="1">
        <v>43180</v>
      </c>
      <c r="C3786" t="s">
        <v>56</v>
      </c>
      <c r="D3786">
        <v>114.85</v>
      </c>
      <c r="E3786" s="12" t="str">
        <f>VLOOKUP(C3786,inf!$A$2:$B$7,2,FALSE)</f>
        <v>Current</v>
      </c>
      <c r="F3786" s="12" t="str">
        <f t="shared" si="100"/>
        <v>03/21/2018</v>
      </c>
      <c r="G3786" t="str">
        <f>VLOOKUP(A3786,inf!$D$2:$E$76,2,FALSE)</f>
        <v>Other</v>
      </c>
    </row>
    <row r="3787" spans="1:7" x14ac:dyDescent="0.25">
      <c r="A3787" t="s">
        <v>4</v>
      </c>
      <c r="B3787" s="1">
        <v>43180</v>
      </c>
      <c r="C3787" t="s">
        <v>55</v>
      </c>
      <c r="D3787">
        <v>4284.5400000000009</v>
      </c>
      <c r="E3787" s="12" t="str">
        <f>VLOOKUP(C3787,inf!$A$2:$B$7,2,FALSE)</f>
        <v>Current</v>
      </c>
      <c r="F3787" s="12" t="str">
        <f t="shared" ref="F3787:F3788" si="101">TEXT(B3787,"MM/DD/YYYY")</f>
        <v>03/21/2018</v>
      </c>
      <c r="G3787" t="str">
        <f>VLOOKUP(A3787,inf!$D$2:$E$76,2,FALSE)</f>
        <v>Other</v>
      </c>
    </row>
    <row r="3788" spans="1:7" x14ac:dyDescent="0.25">
      <c r="A3788" t="s">
        <v>4</v>
      </c>
      <c r="B3788" s="1">
        <v>43180</v>
      </c>
      <c r="C3788" t="s">
        <v>56</v>
      </c>
      <c r="D3788">
        <v>4812.82</v>
      </c>
      <c r="E3788" s="12" t="str">
        <f>VLOOKUP(C3788,inf!$A$2:$B$7,2,FALSE)</f>
        <v>Current</v>
      </c>
      <c r="F3788" s="12" t="str">
        <f t="shared" si="101"/>
        <v>03/21/2018</v>
      </c>
      <c r="G3788" t="str">
        <f>VLOOKUP(A3788,inf!$D$2:$E$76,2,FALSE)</f>
        <v>Other</v>
      </c>
    </row>
    <row r="3789" spans="1:7" x14ac:dyDescent="0.25">
      <c r="A3789" t="s">
        <v>4</v>
      </c>
      <c r="B3789" s="1">
        <v>43180</v>
      </c>
      <c r="C3789" t="s">
        <v>59</v>
      </c>
      <c r="D3789">
        <v>52.5</v>
      </c>
      <c r="E3789" s="12" t="str">
        <f>VLOOKUP(C3789,inf!$A$2:$B$7,2,FALSE)</f>
        <v>Over 90</v>
      </c>
      <c r="F3789" s="12" t="str">
        <f t="shared" ref="F3789:F3790" si="102">TEXT(B3789,"MM/DD/YYYY")</f>
        <v>03/21/2018</v>
      </c>
      <c r="G3789" t="str">
        <f>VLOOKUP(A3789,inf!$D$2:$E$76,2,FALSE)</f>
        <v>Other</v>
      </c>
    </row>
    <row r="3790" spans="1:7" x14ac:dyDescent="0.25">
      <c r="A3790" t="s">
        <v>4</v>
      </c>
      <c r="B3790" s="1">
        <v>43180</v>
      </c>
      <c r="C3790" t="s">
        <v>60</v>
      </c>
      <c r="D3790">
        <v>526.84</v>
      </c>
      <c r="E3790" s="12" t="str">
        <f>VLOOKUP(C3790,inf!$A$2:$B$7,2,FALSE)</f>
        <v>Over 90</v>
      </c>
      <c r="F3790" s="12" t="str">
        <f t="shared" si="102"/>
        <v>03/21/2018</v>
      </c>
      <c r="G3790" t="str">
        <f>VLOOKUP(A3790,inf!$D$2:$E$76,2,FALSE)</f>
        <v>Other</v>
      </c>
    </row>
    <row r="3791" spans="1:7" x14ac:dyDescent="0.25">
      <c r="A3791" t="s">
        <v>77</v>
      </c>
      <c r="B3791" s="1">
        <v>43180</v>
      </c>
      <c r="C3791" t="s">
        <v>58</v>
      </c>
      <c r="D3791">
        <v>834.05</v>
      </c>
      <c r="E3791" s="12" t="str">
        <f>VLOOKUP(C3791,inf!$A$2:$B$7,2,FALSE)</f>
        <v>61 to 90</v>
      </c>
      <c r="F3791" s="12" t="str">
        <f t="shared" ref="F3791:F3799" si="103">TEXT(B3791,"MM/DD/YYYY")</f>
        <v>03/21/2018</v>
      </c>
      <c r="G3791" t="str">
        <f>VLOOKUP(A3791,inf!$D$2:$E$76,2,FALSE)</f>
        <v>Other</v>
      </c>
    </row>
    <row r="3792" spans="1:7" x14ac:dyDescent="0.25">
      <c r="A3792" t="s">
        <v>11</v>
      </c>
      <c r="B3792" s="1">
        <v>43180</v>
      </c>
      <c r="C3792" t="s">
        <v>55</v>
      </c>
      <c r="D3792">
        <v>114.85</v>
      </c>
      <c r="E3792" s="12" t="str">
        <f>VLOOKUP(C3792,inf!$A$2:$B$7,2,FALSE)</f>
        <v>Current</v>
      </c>
      <c r="F3792" s="12" t="str">
        <f t="shared" si="103"/>
        <v>03/21/2018</v>
      </c>
      <c r="G3792" t="str">
        <f>VLOOKUP(A3792,inf!$D$2:$E$76,2,FALSE)</f>
        <v>Other</v>
      </c>
    </row>
    <row r="3793" spans="1:7" x14ac:dyDescent="0.25">
      <c r="A3793" t="s">
        <v>11</v>
      </c>
      <c r="B3793" s="1">
        <v>43180</v>
      </c>
      <c r="C3793" t="s">
        <v>57</v>
      </c>
      <c r="D3793">
        <v>331.6</v>
      </c>
      <c r="E3793" s="12" t="str">
        <f>VLOOKUP(C3793,inf!$A$2:$B$7,2,FALSE)</f>
        <v>31 to 60</v>
      </c>
      <c r="F3793" s="12" t="str">
        <f t="shared" si="103"/>
        <v>03/21/2018</v>
      </c>
      <c r="G3793" t="str">
        <f>VLOOKUP(A3793,inf!$D$2:$E$76,2,FALSE)</f>
        <v>Other</v>
      </c>
    </row>
    <row r="3794" spans="1:7" x14ac:dyDescent="0.25">
      <c r="A3794" t="s">
        <v>47</v>
      </c>
      <c r="B3794" s="1">
        <v>43180</v>
      </c>
      <c r="C3794" t="s">
        <v>55</v>
      </c>
      <c r="D3794">
        <v>126.45</v>
      </c>
      <c r="E3794" s="12" t="str">
        <f>VLOOKUP(C3794,inf!$A$2:$B$7,2,FALSE)</f>
        <v>Current</v>
      </c>
      <c r="F3794" s="12" t="str">
        <f t="shared" si="103"/>
        <v>03/21/2018</v>
      </c>
      <c r="G3794" t="str">
        <f>VLOOKUP(A3794,inf!$D$2:$E$76,2,FALSE)</f>
        <v>Other</v>
      </c>
    </row>
    <row r="3795" spans="1:7" x14ac:dyDescent="0.25">
      <c r="A3795" t="s">
        <v>19</v>
      </c>
      <c r="B3795" s="1">
        <v>43180</v>
      </c>
      <c r="C3795" t="s">
        <v>55</v>
      </c>
      <c r="D3795">
        <v>114.85</v>
      </c>
      <c r="E3795" s="12" t="str">
        <f>VLOOKUP(C3795,inf!$A$2:$B$7,2,FALSE)</f>
        <v>Current</v>
      </c>
      <c r="F3795" s="12" t="str">
        <f t="shared" si="103"/>
        <v>03/21/2018</v>
      </c>
      <c r="G3795" t="str">
        <f>VLOOKUP(A3795,inf!$D$2:$E$76,2,FALSE)</f>
        <v>Other</v>
      </c>
    </row>
    <row r="3796" spans="1:7" x14ac:dyDescent="0.25">
      <c r="A3796" t="s">
        <v>31</v>
      </c>
      <c r="B3796" s="1">
        <v>43180</v>
      </c>
      <c r="C3796" t="s">
        <v>55</v>
      </c>
      <c r="D3796">
        <v>961.8900000000001</v>
      </c>
      <c r="E3796" s="12" t="str">
        <f>VLOOKUP(C3796,inf!$A$2:$B$7,2,FALSE)</f>
        <v>Current</v>
      </c>
      <c r="F3796" s="12" t="str">
        <f t="shared" si="103"/>
        <v>03/21/2018</v>
      </c>
      <c r="G3796" t="str">
        <f>VLOOKUP(A3796,inf!$D$2:$E$76,2,FALSE)</f>
        <v>Other</v>
      </c>
    </row>
    <row r="3797" spans="1:7" x14ac:dyDescent="0.25">
      <c r="A3797" t="s">
        <v>24</v>
      </c>
      <c r="B3797" s="1">
        <v>43180</v>
      </c>
      <c r="C3797" t="s">
        <v>55</v>
      </c>
      <c r="D3797">
        <v>601.92999999999995</v>
      </c>
      <c r="E3797" s="12" t="str">
        <f>VLOOKUP(C3797,inf!$A$2:$B$7,2,FALSE)</f>
        <v>Current</v>
      </c>
      <c r="F3797" s="12" t="str">
        <f t="shared" si="103"/>
        <v>03/21/2018</v>
      </c>
      <c r="G3797" t="str">
        <f>VLOOKUP(A3797,inf!$D$2:$E$76,2,FALSE)</f>
        <v>Other</v>
      </c>
    </row>
    <row r="3798" spans="1:7" x14ac:dyDescent="0.25">
      <c r="A3798" t="s">
        <v>65</v>
      </c>
      <c r="B3798" s="1">
        <v>43180</v>
      </c>
      <c r="C3798" t="s">
        <v>56</v>
      </c>
      <c r="D3798">
        <v>190</v>
      </c>
      <c r="E3798" s="12" t="str">
        <f>VLOOKUP(C3798,inf!$A$2:$B$7,2,FALSE)</f>
        <v>Current</v>
      </c>
      <c r="F3798" s="12" t="str">
        <f t="shared" si="103"/>
        <v>03/21/2018</v>
      </c>
      <c r="G3798" t="str">
        <f>VLOOKUP(A3798,inf!$D$2:$E$76,2,FALSE)</f>
        <v>Other</v>
      </c>
    </row>
    <row r="3799" spans="1:7" x14ac:dyDescent="0.25">
      <c r="A3799" t="s">
        <v>27</v>
      </c>
      <c r="B3799" s="1">
        <v>43180</v>
      </c>
      <c r="C3799" t="s">
        <v>55</v>
      </c>
      <c r="D3799">
        <v>2708</v>
      </c>
      <c r="E3799" s="12" t="str">
        <f>VLOOKUP(C3799,inf!$A$2:$B$7,2,FALSE)</f>
        <v>Current</v>
      </c>
      <c r="F3799" s="12" t="str">
        <f t="shared" si="103"/>
        <v>03/21/2018</v>
      </c>
      <c r="G3799" t="str">
        <f>VLOOKUP(A3799,inf!$D$2:$E$76,2,FALSE)</f>
        <v>Other</v>
      </c>
    </row>
    <row r="3800" spans="1:7" x14ac:dyDescent="0.25">
      <c r="A3800" t="s">
        <v>82</v>
      </c>
      <c r="B3800" s="1">
        <v>43180</v>
      </c>
      <c r="C3800" t="s">
        <v>55</v>
      </c>
      <c r="D3800">
        <v>358.84</v>
      </c>
      <c r="E3800" s="12" t="str">
        <f>VLOOKUP(C3800,inf!$A$2:$B$7,2,FALSE)</f>
        <v>Current</v>
      </c>
      <c r="F3800" s="12" t="str">
        <f t="shared" ref="F3800:F3802" si="104">TEXT(B3800,"MM/DD/YYYY")</f>
        <v>03/21/2018</v>
      </c>
      <c r="G3800" t="str">
        <f>VLOOKUP(A3800,inf!$D$2:$E$76,2,FALSE)</f>
        <v>Other</v>
      </c>
    </row>
    <row r="3801" spans="1:7" x14ac:dyDescent="0.25">
      <c r="A3801" t="s">
        <v>82</v>
      </c>
      <c r="B3801" s="1">
        <v>43180</v>
      </c>
      <c r="C3801" t="s">
        <v>56</v>
      </c>
      <c r="D3801">
        <v>123.79</v>
      </c>
      <c r="E3801" s="12" t="str">
        <f>VLOOKUP(C3801,inf!$A$2:$B$7,2,FALSE)</f>
        <v>Current</v>
      </c>
      <c r="F3801" s="12" t="str">
        <f t="shared" si="104"/>
        <v>03/21/2018</v>
      </c>
      <c r="G3801" t="str">
        <f>VLOOKUP(A3801,inf!$D$2:$E$76,2,FALSE)</f>
        <v>Other</v>
      </c>
    </row>
    <row r="3802" spans="1:7" x14ac:dyDescent="0.25">
      <c r="A3802" t="s">
        <v>82</v>
      </c>
      <c r="B3802" s="1">
        <v>43180</v>
      </c>
      <c r="C3802" t="s">
        <v>57</v>
      </c>
      <c r="D3802">
        <v>114.85</v>
      </c>
      <c r="E3802" s="12" t="str">
        <f>VLOOKUP(C3802,inf!$A$2:$B$7,2,FALSE)</f>
        <v>31 to 60</v>
      </c>
      <c r="F3802" s="12" t="str">
        <f t="shared" si="104"/>
        <v>03/21/2018</v>
      </c>
      <c r="G3802" t="str">
        <f>VLOOKUP(A3802,inf!$D$2:$E$76,2,FALSE)</f>
        <v>Other</v>
      </c>
    </row>
    <row r="3803" spans="1:7" x14ac:dyDescent="0.25">
      <c r="A3803" t="s">
        <v>53</v>
      </c>
      <c r="B3803" s="1">
        <v>43180</v>
      </c>
      <c r="C3803" t="s">
        <v>55</v>
      </c>
      <c r="D3803">
        <v>165.05</v>
      </c>
      <c r="E3803" s="12" t="str">
        <f>VLOOKUP(C3803,inf!$A$2:$B$7,2,FALSE)</f>
        <v>Current</v>
      </c>
      <c r="F3803" s="12" t="str">
        <f>TEXT(B3803,"MM/DD/YYYY")</f>
        <v>03/21/2018</v>
      </c>
      <c r="G3803" t="str">
        <f>VLOOKUP(A3803,inf!$D$2:$E$76,2,FALSE)</f>
        <v>Other</v>
      </c>
    </row>
    <row r="3804" spans="1:7" x14ac:dyDescent="0.25">
      <c r="A3804" t="s">
        <v>3</v>
      </c>
      <c r="B3804" s="1">
        <v>43180</v>
      </c>
      <c r="C3804" t="s">
        <v>55</v>
      </c>
      <c r="D3804">
        <v>2039.83</v>
      </c>
      <c r="E3804" s="12" t="str">
        <f>VLOOKUP(C3804,inf!$A$2:$B$7,2,FALSE)</f>
        <v>Current</v>
      </c>
      <c r="F3804" s="12" t="str">
        <f t="shared" ref="F3804:F3805" si="105">TEXT(B3804,"MM/DD/YYYY")</f>
        <v>03/21/2018</v>
      </c>
      <c r="G3804" t="str">
        <f>VLOOKUP(A3804,inf!$D$2:$E$76,2,FALSE)</f>
        <v>Other</v>
      </c>
    </row>
    <row r="3805" spans="1:7" x14ac:dyDescent="0.25">
      <c r="A3805" t="s">
        <v>3</v>
      </c>
      <c r="B3805" s="1">
        <v>43180</v>
      </c>
      <c r="C3805" t="s">
        <v>56</v>
      </c>
      <c r="D3805">
        <v>99.16</v>
      </c>
      <c r="E3805" s="12" t="str">
        <f>VLOOKUP(C3805,inf!$A$2:$B$7,2,FALSE)</f>
        <v>Current</v>
      </c>
      <c r="F3805" s="12" t="str">
        <f t="shared" si="105"/>
        <v>03/21/2018</v>
      </c>
      <c r="G3805" t="str">
        <f>VLOOKUP(A3805,inf!$D$2:$E$76,2,FALSE)</f>
        <v>Other</v>
      </c>
    </row>
    <row r="3806" spans="1:7" x14ac:dyDescent="0.25">
      <c r="A3806" t="s">
        <v>3</v>
      </c>
      <c r="B3806" s="1">
        <v>43180</v>
      </c>
      <c r="C3806" t="s">
        <v>58</v>
      </c>
      <c r="D3806">
        <v>62.5</v>
      </c>
      <c r="E3806" s="12" t="str">
        <f>VLOOKUP(C3806,inf!$A$2:$B$7,2,FALSE)</f>
        <v>61 to 90</v>
      </c>
      <c r="F3806" s="12" t="str">
        <f t="shared" ref="F3806:F3807" si="106">TEXT(B3806,"MM/DD/YYYY")</f>
        <v>03/21/2018</v>
      </c>
      <c r="G3806" t="str">
        <f>VLOOKUP(A3806,inf!$D$2:$E$76,2,FALSE)</f>
        <v>Other</v>
      </c>
    </row>
    <row r="3807" spans="1:7" x14ac:dyDescent="0.25">
      <c r="A3807" t="s">
        <v>3</v>
      </c>
      <c r="B3807" s="1">
        <v>43180</v>
      </c>
      <c r="C3807" t="s">
        <v>59</v>
      </c>
      <c r="D3807">
        <v>345.82</v>
      </c>
      <c r="E3807" s="12" t="str">
        <f>VLOOKUP(C3807,inf!$A$2:$B$7,2,FALSE)</f>
        <v>Over 90</v>
      </c>
      <c r="F3807" s="12" t="str">
        <f t="shared" si="106"/>
        <v>03/21/2018</v>
      </c>
      <c r="G3807" t="str">
        <f>VLOOKUP(A3807,inf!$D$2:$E$76,2,FALSE)</f>
        <v>Other</v>
      </c>
    </row>
    <row r="3808" spans="1:7" x14ac:dyDescent="0.25">
      <c r="A3808" t="s">
        <v>78</v>
      </c>
      <c r="B3808" s="1">
        <v>43180</v>
      </c>
      <c r="C3808" t="s">
        <v>55</v>
      </c>
      <c r="D3808">
        <v>281.35000000000002</v>
      </c>
      <c r="E3808" s="12" t="str">
        <f>VLOOKUP(C3808,inf!$A$2:$B$7,2,FALSE)</f>
        <v>Current</v>
      </c>
      <c r="F3808" s="12" t="str">
        <f t="shared" ref="F3808:F3818" si="107">TEXT(B3808,"MM/DD/YYYY")</f>
        <v>03/21/2018</v>
      </c>
      <c r="G3808" t="str">
        <f>VLOOKUP(A3808,inf!$D$2:$E$76,2,FALSE)</f>
        <v>Other</v>
      </c>
    </row>
    <row r="3809" spans="1:7" x14ac:dyDescent="0.25">
      <c r="A3809" t="s">
        <v>79</v>
      </c>
      <c r="B3809" s="1">
        <v>43180</v>
      </c>
      <c r="C3809" t="s">
        <v>55</v>
      </c>
      <c r="D3809">
        <v>275.3</v>
      </c>
      <c r="E3809" s="12" t="str">
        <f>VLOOKUP(C3809,inf!$A$2:$B$7,2,FALSE)</f>
        <v>Current</v>
      </c>
      <c r="F3809" s="12" t="str">
        <f t="shared" si="107"/>
        <v>03/21/2018</v>
      </c>
      <c r="G3809" t="str">
        <f>VLOOKUP(A3809,inf!$D$2:$E$76,2,FALSE)</f>
        <v>Other</v>
      </c>
    </row>
    <row r="3810" spans="1:7" x14ac:dyDescent="0.25">
      <c r="A3810" t="s">
        <v>30</v>
      </c>
      <c r="B3810" s="1">
        <v>43180</v>
      </c>
      <c r="C3810" t="s">
        <v>55</v>
      </c>
      <c r="D3810">
        <v>4479.8500000000004</v>
      </c>
      <c r="E3810" s="12" t="str">
        <f>VLOOKUP(C3810,inf!$A$2:$B$7,2,FALSE)</f>
        <v>Current</v>
      </c>
      <c r="F3810" s="12" t="str">
        <f t="shared" si="107"/>
        <v>03/21/2018</v>
      </c>
      <c r="G3810" t="str">
        <f>VLOOKUP(A3810,inf!$D$2:$E$76,2,FALSE)</f>
        <v>Other</v>
      </c>
    </row>
    <row r="3811" spans="1:7" x14ac:dyDescent="0.25">
      <c r="A3811" t="s">
        <v>30</v>
      </c>
      <c r="B3811" s="1">
        <v>43180</v>
      </c>
      <c r="C3811" t="s">
        <v>57</v>
      </c>
      <c r="D3811">
        <v>129.21</v>
      </c>
      <c r="E3811" s="12" t="str">
        <f>VLOOKUP(C3811,inf!$A$2:$B$7,2,FALSE)</f>
        <v>31 to 60</v>
      </c>
      <c r="F3811" s="12" t="str">
        <f t="shared" si="107"/>
        <v>03/21/2018</v>
      </c>
      <c r="G3811" t="str">
        <f>VLOOKUP(A3811,inf!$D$2:$E$76,2,FALSE)</f>
        <v>Other</v>
      </c>
    </row>
    <row r="3812" spans="1:7" x14ac:dyDescent="0.25">
      <c r="A3812" t="s">
        <v>112</v>
      </c>
      <c r="B3812" s="1">
        <v>43180</v>
      </c>
      <c r="C3812" t="s">
        <v>55</v>
      </c>
      <c r="D3812">
        <v>270.11</v>
      </c>
      <c r="E3812" s="12" t="str">
        <f>VLOOKUP(C3812,inf!$A$2:$B$7,2,FALSE)</f>
        <v>Current</v>
      </c>
      <c r="F3812" s="12" t="str">
        <f t="shared" si="107"/>
        <v>03/21/2018</v>
      </c>
      <c r="G3812" t="str">
        <f>VLOOKUP(A3812,inf!$D$2:$E$76,2,FALSE)</f>
        <v>Other</v>
      </c>
    </row>
    <row r="3813" spans="1:7" x14ac:dyDescent="0.25">
      <c r="A3813" t="s">
        <v>63</v>
      </c>
      <c r="B3813" s="1">
        <v>43180</v>
      </c>
      <c r="C3813" t="s">
        <v>55</v>
      </c>
      <c r="D3813">
        <v>563.72</v>
      </c>
      <c r="E3813" s="12" t="str">
        <f>VLOOKUP(C3813,inf!$A$2:$B$7,2,FALSE)</f>
        <v>Current</v>
      </c>
      <c r="F3813" s="12" t="str">
        <f t="shared" si="107"/>
        <v>03/21/2018</v>
      </c>
      <c r="G3813" t="str">
        <f>VLOOKUP(A3813,inf!$D$2:$E$76,2,FALSE)</f>
        <v>Other</v>
      </c>
    </row>
    <row r="3814" spans="1:7" x14ac:dyDescent="0.25">
      <c r="A3814" t="s">
        <v>104</v>
      </c>
      <c r="B3814" s="1">
        <v>43180</v>
      </c>
      <c r="C3814" t="s">
        <v>56</v>
      </c>
      <c r="D3814">
        <v>2087.54</v>
      </c>
      <c r="E3814" s="12" t="str">
        <f>VLOOKUP(C3814,inf!$A$2:$B$7,2,FALSE)</f>
        <v>Current</v>
      </c>
      <c r="F3814" s="12" t="str">
        <f t="shared" si="107"/>
        <v>03/21/2018</v>
      </c>
      <c r="G3814" t="str">
        <f>VLOOKUP(A3814,inf!$D$2:$E$76,2,FALSE)</f>
        <v>Other</v>
      </c>
    </row>
    <row r="3815" spans="1:7" x14ac:dyDescent="0.25">
      <c r="A3815" t="s">
        <v>12</v>
      </c>
      <c r="B3815" s="1">
        <v>43180</v>
      </c>
      <c r="C3815" t="s">
        <v>55</v>
      </c>
      <c r="D3815">
        <v>1715</v>
      </c>
      <c r="E3815" s="12" t="str">
        <f>VLOOKUP(C3815,inf!$A$2:$B$7,2,FALSE)</f>
        <v>Current</v>
      </c>
      <c r="F3815" s="12" t="str">
        <f t="shared" si="107"/>
        <v>03/21/2018</v>
      </c>
      <c r="G3815" t="str">
        <f>VLOOKUP(A3815,inf!$D$2:$E$76,2,FALSE)</f>
        <v>Other</v>
      </c>
    </row>
    <row r="3816" spans="1:7" x14ac:dyDescent="0.25">
      <c r="A3816" t="s">
        <v>50</v>
      </c>
      <c r="B3816" s="1">
        <v>43180</v>
      </c>
      <c r="C3816" t="s">
        <v>55</v>
      </c>
      <c r="D3816">
        <v>936.73</v>
      </c>
      <c r="E3816" s="12" t="str">
        <f>VLOOKUP(C3816,inf!$A$2:$B$7,2,FALSE)</f>
        <v>Current</v>
      </c>
      <c r="F3816" s="12" t="str">
        <f t="shared" si="107"/>
        <v>03/21/2018</v>
      </c>
      <c r="G3816" t="str">
        <f>VLOOKUP(A3816,inf!$D$2:$E$76,2,FALSE)</f>
        <v>Other</v>
      </c>
    </row>
    <row r="3817" spans="1:7" x14ac:dyDescent="0.25">
      <c r="A3817" t="s">
        <v>107</v>
      </c>
      <c r="B3817" s="1">
        <v>43180</v>
      </c>
      <c r="C3817" t="s">
        <v>56</v>
      </c>
      <c r="D3817">
        <v>196.62</v>
      </c>
      <c r="E3817" s="12" t="str">
        <f>VLOOKUP(C3817,inf!$A$2:$B$7,2,FALSE)</f>
        <v>Current</v>
      </c>
      <c r="F3817" s="12" t="str">
        <f t="shared" si="107"/>
        <v>03/21/2018</v>
      </c>
      <c r="G3817" t="str">
        <f>VLOOKUP(A3817,inf!$D$2:$E$76,2,FALSE)</f>
        <v>Other</v>
      </c>
    </row>
    <row r="3818" spans="1:7" x14ac:dyDescent="0.25">
      <c r="A3818" t="s">
        <v>113</v>
      </c>
      <c r="B3818" s="1">
        <v>43180</v>
      </c>
      <c r="C3818" t="s">
        <v>55</v>
      </c>
      <c r="D3818">
        <v>723.17</v>
      </c>
      <c r="E3818" s="12" t="str">
        <f>VLOOKUP(C3818,inf!$A$2:$B$7,2,FALSE)</f>
        <v>Current</v>
      </c>
      <c r="F3818" s="12" t="str">
        <f t="shared" si="107"/>
        <v>03/21/2018</v>
      </c>
      <c r="G3818" t="str">
        <f>VLOOKUP(A3818,inf!$D$2:$E$76,2,FALSE)</f>
        <v>Other</v>
      </c>
    </row>
    <row r="3819" spans="1:7" x14ac:dyDescent="0.25">
      <c r="A3819" t="s">
        <v>83</v>
      </c>
      <c r="B3819" s="1">
        <v>43180</v>
      </c>
      <c r="C3819" t="s">
        <v>55</v>
      </c>
      <c r="D3819">
        <v>652.33000000000004</v>
      </c>
      <c r="E3819" s="12" t="str">
        <f>VLOOKUP(C3819,inf!$A$2:$B$7,2,FALSE)</f>
        <v>Current</v>
      </c>
      <c r="F3819" s="12" t="str">
        <f t="shared" ref="F3819:F3820" si="108">TEXT(B3819,"MM/DD/YYYY")</f>
        <v>03/21/2018</v>
      </c>
      <c r="G3819" t="str">
        <f>VLOOKUP(A3819,inf!$D$2:$E$76,2,FALSE)</f>
        <v>Other</v>
      </c>
    </row>
    <row r="3820" spans="1:7" x14ac:dyDescent="0.25">
      <c r="A3820" t="s">
        <v>83</v>
      </c>
      <c r="B3820" s="1">
        <v>43180</v>
      </c>
      <c r="C3820" t="s">
        <v>56</v>
      </c>
      <c r="D3820">
        <v>778.71</v>
      </c>
      <c r="E3820" s="12" t="str">
        <f>VLOOKUP(C3820,inf!$A$2:$B$7,2,FALSE)</f>
        <v>Current</v>
      </c>
      <c r="F3820" s="12" t="str">
        <f t="shared" si="108"/>
        <v>03/21/2018</v>
      </c>
      <c r="G3820" t="str">
        <f>VLOOKUP(A3820,inf!$D$2:$E$76,2,FALSE)</f>
        <v>Other</v>
      </c>
    </row>
    <row r="3821" spans="1:7" x14ac:dyDescent="0.25">
      <c r="A3821" t="s">
        <v>7</v>
      </c>
      <c r="B3821" s="1">
        <v>43180</v>
      </c>
      <c r="C3821" t="s">
        <v>55</v>
      </c>
      <c r="D3821">
        <v>82908.72</v>
      </c>
      <c r="E3821" s="12" t="str">
        <f>VLOOKUP(C3821,inf!$A$2:$B$7,2,FALSE)</f>
        <v>Current</v>
      </c>
      <c r="F3821" s="12" t="str">
        <f t="shared" ref="F3821:F3829" si="109">TEXT(B3821,"MM/DD/YYYY")</f>
        <v>03/21/2018</v>
      </c>
      <c r="G3821" t="str">
        <f>VLOOKUP(A3821,inf!$D$2:$E$76,2,FALSE)</f>
        <v>SAFEWAY</v>
      </c>
    </row>
    <row r="3822" spans="1:7" x14ac:dyDescent="0.25">
      <c r="A3822" t="s">
        <v>7</v>
      </c>
      <c r="B3822" s="1">
        <v>43180</v>
      </c>
      <c r="C3822" t="s">
        <v>56</v>
      </c>
      <c r="D3822">
        <v>31733.96999999999</v>
      </c>
      <c r="E3822" s="12" t="str">
        <f>VLOOKUP(C3822,inf!$A$2:$B$7,2,FALSE)</f>
        <v>Current</v>
      </c>
      <c r="F3822" s="12" t="str">
        <f t="shared" si="109"/>
        <v>03/21/2018</v>
      </c>
      <c r="G3822" t="str">
        <f>VLOOKUP(A3822,inf!$D$2:$E$76,2,FALSE)</f>
        <v>SAFEWAY</v>
      </c>
    </row>
    <row r="3823" spans="1:7" x14ac:dyDescent="0.25">
      <c r="A3823" t="s">
        <v>7</v>
      </c>
      <c r="B3823" s="1">
        <v>43180</v>
      </c>
      <c r="C3823" t="s">
        <v>57</v>
      </c>
      <c r="D3823">
        <v>7563.5199999999986</v>
      </c>
      <c r="E3823" s="12" t="str">
        <f>VLOOKUP(C3823,inf!$A$2:$B$7,2,FALSE)</f>
        <v>31 to 60</v>
      </c>
      <c r="F3823" s="12" t="str">
        <f t="shared" si="109"/>
        <v>03/21/2018</v>
      </c>
      <c r="G3823" t="str">
        <f>VLOOKUP(A3823,inf!$D$2:$E$76,2,FALSE)</f>
        <v>SAFEWAY</v>
      </c>
    </row>
    <row r="3824" spans="1:7" x14ac:dyDescent="0.25">
      <c r="A3824" t="s">
        <v>7</v>
      </c>
      <c r="B3824" s="1">
        <v>43180</v>
      </c>
      <c r="C3824" t="s">
        <v>58</v>
      </c>
      <c r="D3824">
        <v>5141.2700000000004</v>
      </c>
      <c r="E3824" s="12" t="str">
        <f>VLOOKUP(C3824,inf!$A$2:$B$7,2,FALSE)</f>
        <v>61 to 90</v>
      </c>
      <c r="F3824" s="12" t="str">
        <f t="shared" si="109"/>
        <v>03/21/2018</v>
      </c>
      <c r="G3824" t="str">
        <f>VLOOKUP(A3824,inf!$D$2:$E$76,2,FALSE)</f>
        <v>SAFEWAY</v>
      </c>
    </row>
    <row r="3825" spans="1:7" x14ac:dyDescent="0.25">
      <c r="A3825" t="s">
        <v>7</v>
      </c>
      <c r="B3825" s="1">
        <v>43180</v>
      </c>
      <c r="C3825" t="s">
        <v>59</v>
      </c>
      <c r="D3825">
        <v>5314.4400000000005</v>
      </c>
      <c r="E3825" s="12" t="str">
        <f>VLOOKUP(C3825,inf!$A$2:$B$7,2,FALSE)</f>
        <v>Over 90</v>
      </c>
      <c r="F3825" s="12" t="str">
        <f t="shared" si="109"/>
        <v>03/21/2018</v>
      </c>
      <c r="G3825" t="str">
        <f>VLOOKUP(A3825,inf!$D$2:$E$76,2,FALSE)</f>
        <v>SAFEWAY</v>
      </c>
    </row>
    <row r="3826" spans="1:7" x14ac:dyDescent="0.25">
      <c r="A3826" t="s">
        <v>7</v>
      </c>
      <c r="B3826" s="1">
        <v>43180</v>
      </c>
      <c r="C3826" t="s">
        <v>60</v>
      </c>
      <c r="D3826">
        <v>3992.3199999999997</v>
      </c>
      <c r="E3826" s="12" t="str">
        <f>VLOOKUP(C3826,inf!$A$2:$B$7,2,FALSE)</f>
        <v>Over 90</v>
      </c>
      <c r="F3826" s="12" t="str">
        <f t="shared" si="109"/>
        <v>03/21/2018</v>
      </c>
      <c r="G3826" t="str">
        <f>VLOOKUP(A3826,inf!$D$2:$E$76,2,FALSE)</f>
        <v>SAFEWAY</v>
      </c>
    </row>
    <row r="3827" spans="1:7" x14ac:dyDescent="0.25">
      <c r="A3827" t="s">
        <v>81</v>
      </c>
      <c r="B3827" s="1">
        <v>43180</v>
      </c>
      <c r="C3827" t="s">
        <v>55</v>
      </c>
      <c r="D3827">
        <v>1177.05</v>
      </c>
      <c r="E3827" s="12" t="str">
        <f>VLOOKUP(C3827,inf!$A$2:$B$7,2,FALSE)</f>
        <v>Current</v>
      </c>
      <c r="F3827" s="12" t="str">
        <f t="shared" si="109"/>
        <v>03/21/2018</v>
      </c>
      <c r="G3827" t="str">
        <f>VLOOKUP(A3827,inf!$D$2:$E$76,2,FALSE)</f>
        <v>Other</v>
      </c>
    </row>
    <row r="3828" spans="1:7" x14ac:dyDescent="0.25">
      <c r="A3828" t="s">
        <v>81</v>
      </c>
      <c r="B3828" s="1">
        <v>43180</v>
      </c>
      <c r="C3828" t="s">
        <v>56</v>
      </c>
      <c r="D3828">
        <v>255.25</v>
      </c>
      <c r="E3828" s="12" t="str">
        <f>VLOOKUP(C3828,inf!$A$2:$B$7,2,FALSE)</f>
        <v>Current</v>
      </c>
      <c r="F3828" s="12" t="str">
        <f t="shared" si="109"/>
        <v>03/21/2018</v>
      </c>
      <c r="G3828" t="str">
        <f>VLOOKUP(A3828,inf!$D$2:$E$76,2,FALSE)</f>
        <v>Other</v>
      </c>
    </row>
    <row r="3829" spans="1:7" x14ac:dyDescent="0.25">
      <c r="A3829" t="s">
        <v>81</v>
      </c>
      <c r="B3829" s="1">
        <v>43180</v>
      </c>
      <c r="C3829" t="s">
        <v>57</v>
      </c>
      <c r="D3829">
        <v>174.98</v>
      </c>
      <c r="E3829" s="12" t="str">
        <f>VLOOKUP(C3829,inf!$A$2:$B$7,2,FALSE)</f>
        <v>31 to 60</v>
      </c>
      <c r="F3829" s="12" t="str">
        <f t="shared" si="109"/>
        <v>03/21/2018</v>
      </c>
      <c r="G3829" t="str">
        <f>VLOOKUP(A3829,inf!$D$2:$E$76,2,FALSE)</f>
        <v>Other</v>
      </c>
    </row>
    <row r="3830" spans="1:7" x14ac:dyDescent="0.25">
      <c r="A3830" t="s">
        <v>74</v>
      </c>
      <c r="B3830" s="1">
        <v>43180</v>
      </c>
      <c r="C3830" t="s">
        <v>60</v>
      </c>
      <c r="D3830">
        <v>60.5</v>
      </c>
      <c r="E3830" s="12" t="str">
        <f>VLOOKUP(C3830,inf!$A$2:$B$7,2,FALSE)</f>
        <v>Over 90</v>
      </c>
      <c r="F3830" s="12" t="str">
        <f t="shared" ref="F3830:F3843" si="110">TEXT(B3830,"MM/DD/YYYY")</f>
        <v>03/21/2018</v>
      </c>
      <c r="G3830" t="str">
        <f>VLOOKUP(A3830,inf!$D$2:$E$76,2,FALSE)</f>
        <v>Other</v>
      </c>
    </row>
    <row r="3831" spans="1:7" x14ac:dyDescent="0.25">
      <c r="A3831" t="s">
        <v>5</v>
      </c>
      <c r="B3831" s="1">
        <v>43180</v>
      </c>
      <c r="C3831" t="s">
        <v>55</v>
      </c>
      <c r="D3831">
        <v>8401288.7800000291</v>
      </c>
      <c r="E3831" s="12" t="str">
        <f>VLOOKUP(C3831,inf!$A$2:$B$7,2,FALSE)</f>
        <v>Current</v>
      </c>
      <c r="F3831" s="12" t="str">
        <f t="shared" si="110"/>
        <v>03/21/2018</v>
      </c>
      <c r="G3831" t="str">
        <f>VLOOKUP(A3831,inf!$D$2:$E$76,2,FALSE)</f>
        <v>SBUX</v>
      </c>
    </row>
    <row r="3832" spans="1:7" x14ac:dyDescent="0.25">
      <c r="A3832" t="s">
        <v>5</v>
      </c>
      <c r="B3832" s="1">
        <v>43180</v>
      </c>
      <c r="C3832" t="s">
        <v>56</v>
      </c>
      <c r="D3832">
        <v>229083.44999999995</v>
      </c>
      <c r="E3832" s="12" t="str">
        <f>VLOOKUP(C3832,inf!$A$2:$B$7,2,FALSE)</f>
        <v>Current</v>
      </c>
      <c r="F3832" s="12" t="str">
        <f t="shared" si="110"/>
        <v>03/21/2018</v>
      </c>
      <c r="G3832" t="str">
        <f>VLOOKUP(A3832,inf!$D$2:$E$76,2,FALSE)</f>
        <v>SBUX</v>
      </c>
    </row>
    <row r="3833" spans="1:7" x14ac:dyDescent="0.25">
      <c r="A3833" t="s">
        <v>5</v>
      </c>
      <c r="B3833" s="1">
        <v>43180</v>
      </c>
      <c r="C3833" t="s">
        <v>57</v>
      </c>
      <c r="D3833">
        <v>38206.979999999996</v>
      </c>
      <c r="E3833" s="12" t="str">
        <f>VLOOKUP(C3833,inf!$A$2:$B$7,2,FALSE)</f>
        <v>31 to 60</v>
      </c>
      <c r="F3833" s="12" t="str">
        <f t="shared" si="110"/>
        <v>03/21/2018</v>
      </c>
      <c r="G3833" t="str">
        <f>VLOOKUP(A3833,inf!$D$2:$E$76,2,FALSE)</f>
        <v>SBUX</v>
      </c>
    </row>
    <row r="3834" spans="1:7" x14ac:dyDescent="0.25">
      <c r="A3834" t="s">
        <v>5</v>
      </c>
      <c r="B3834" s="1">
        <v>43180</v>
      </c>
      <c r="C3834" t="s">
        <v>58</v>
      </c>
      <c r="D3834">
        <v>28195.800000000003</v>
      </c>
      <c r="E3834" s="12" t="str">
        <f>VLOOKUP(C3834,inf!$A$2:$B$7,2,FALSE)</f>
        <v>61 to 90</v>
      </c>
      <c r="F3834" s="12" t="str">
        <f t="shared" si="110"/>
        <v>03/21/2018</v>
      </c>
      <c r="G3834" t="str">
        <f>VLOOKUP(A3834,inf!$D$2:$E$76,2,FALSE)</f>
        <v>SBUX</v>
      </c>
    </row>
    <row r="3835" spans="1:7" x14ac:dyDescent="0.25">
      <c r="A3835" t="s">
        <v>5</v>
      </c>
      <c r="B3835" s="1">
        <v>43180</v>
      </c>
      <c r="C3835" t="s">
        <v>59</v>
      </c>
      <c r="D3835">
        <v>17524.03</v>
      </c>
      <c r="E3835" s="12" t="str">
        <f>VLOOKUP(C3835,inf!$A$2:$B$7,2,FALSE)</f>
        <v>Over 90</v>
      </c>
      <c r="F3835" s="12" t="str">
        <f t="shared" si="110"/>
        <v>03/21/2018</v>
      </c>
      <c r="G3835" t="str">
        <f>VLOOKUP(A3835,inf!$D$2:$E$76,2,FALSE)</f>
        <v>SBUX</v>
      </c>
    </row>
    <row r="3836" spans="1:7" x14ac:dyDescent="0.25">
      <c r="A3836" t="s">
        <v>5</v>
      </c>
      <c r="B3836" s="1">
        <v>43180</v>
      </c>
      <c r="C3836" t="s">
        <v>60</v>
      </c>
      <c r="D3836">
        <v>119102.18</v>
      </c>
      <c r="E3836" s="12" t="str">
        <f>VLOOKUP(C3836,inf!$A$2:$B$7,2,FALSE)</f>
        <v>Over 90</v>
      </c>
      <c r="F3836" s="12" t="str">
        <f t="shared" si="110"/>
        <v>03/21/2018</v>
      </c>
      <c r="G3836" t="str">
        <f>VLOOKUP(A3836,inf!$D$2:$E$76,2,FALSE)</f>
        <v>SBUX</v>
      </c>
    </row>
    <row r="3837" spans="1:7" x14ac:dyDescent="0.25">
      <c r="A3837" t="s">
        <v>6</v>
      </c>
      <c r="B3837" s="1">
        <v>43180</v>
      </c>
      <c r="C3837" t="s">
        <v>55</v>
      </c>
      <c r="D3837">
        <v>736585.73999999231</v>
      </c>
      <c r="E3837" s="12" t="str">
        <f>VLOOKUP(C3837,inf!$A$2:$B$7,2,FALSE)</f>
        <v>Current</v>
      </c>
      <c r="F3837" s="12" t="str">
        <f t="shared" si="110"/>
        <v>03/21/2018</v>
      </c>
      <c r="G3837" t="str">
        <f>VLOOKUP(A3837,inf!$D$2:$E$76,2,FALSE)</f>
        <v>SBUX</v>
      </c>
    </row>
    <row r="3838" spans="1:7" x14ac:dyDescent="0.25">
      <c r="A3838" t="s">
        <v>6</v>
      </c>
      <c r="B3838" s="1">
        <v>43180</v>
      </c>
      <c r="C3838" t="s">
        <v>56</v>
      </c>
      <c r="D3838">
        <v>12808.909999999996</v>
      </c>
      <c r="E3838" s="12" t="str">
        <f>VLOOKUP(C3838,inf!$A$2:$B$7,2,FALSE)</f>
        <v>Current</v>
      </c>
      <c r="F3838" s="12" t="str">
        <f t="shared" si="110"/>
        <v>03/21/2018</v>
      </c>
      <c r="G3838" t="str">
        <f>VLOOKUP(A3838,inf!$D$2:$E$76,2,FALSE)</f>
        <v>SBUX</v>
      </c>
    </row>
    <row r="3839" spans="1:7" x14ac:dyDescent="0.25">
      <c r="A3839" t="s">
        <v>6</v>
      </c>
      <c r="B3839" s="1">
        <v>43180</v>
      </c>
      <c r="C3839" t="s">
        <v>57</v>
      </c>
      <c r="D3839">
        <v>18122.080000000002</v>
      </c>
      <c r="E3839" s="12" t="str">
        <f>VLOOKUP(C3839,inf!$A$2:$B$7,2,FALSE)</f>
        <v>31 to 60</v>
      </c>
      <c r="F3839" s="12" t="str">
        <f t="shared" si="110"/>
        <v>03/21/2018</v>
      </c>
      <c r="G3839" t="str">
        <f>VLOOKUP(A3839,inf!$D$2:$E$76,2,FALSE)</f>
        <v>SBUX</v>
      </c>
    </row>
    <row r="3840" spans="1:7" x14ac:dyDescent="0.25">
      <c r="A3840" t="s">
        <v>6</v>
      </c>
      <c r="B3840" s="1">
        <v>43180</v>
      </c>
      <c r="C3840" t="s">
        <v>58</v>
      </c>
      <c r="D3840">
        <v>3440.2699999999986</v>
      </c>
      <c r="E3840" s="12" t="str">
        <f>VLOOKUP(C3840,inf!$A$2:$B$7,2,FALSE)</f>
        <v>61 to 90</v>
      </c>
      <c r="F3840" s="12" t="str">
        <f t="shared" si="110"/>
        <v>03/21/2018</v>
      </c>
      <c r="G3840" t="str">
        <f>VLOOKUP(A3840,inf!$D$2:$E$76,2,FALSE)</f>
        <v>SBUX</v>
      </c>
    </row>
    <row r="3841" spans="1:7" x14ac:dyDescent="0.25">
      <c r="A3841" t="s">
        <v>6</v>
      </c>
      <c r="B3841" s="1">
        <v>43180</v>
      </c>
      <c r="C3841" t="s">
        <v>59</v>
      </c>
      <c r="D3841">
        <v>733.11</v>
      </c>
      <c r="E3841" s="12" t="str">
        <f>VLOOKUP(C3841,inf!$A$2:$B$7,2,FALSE)</f>
        <v>Over 90</v>
      </c>
      <c r="F3841" s="12" t="str">
        <f t="shared" si="110"/>
        <v>03/21/2018</v>
      </c>
      <c r="G3841" t="str">
        <f>VLOOKUP(A3841,inf!$D$2:$E$76,2,FALSE)</f>
        <v>SBUX</v>
      </c>
    </row>
    <row r="3842" spans="1:7" x14ac:dyDescent="0.25">
      <c r="A3842" t="s">
        <v>6</v>
      </c>
      <c r="B3842" s="1">
        <v>43180</v>
      </c>
      <c r="C3842" t="s">
        <v>60</v>
      </c>
      <c r="D3842">
        <v>6329.6100000000015</v>
      </c>
      <c r="E3842" s="12" t="str">
        <f>VLOOKUP(C3842,inf!$A$2:$B$7,2,FALSE)</f>
        <v>Over 90</v>
      </c>
      <c r="F3842" s="12" t="str">
        <f t="shared" si="110"/>
        <v>03/21/2018</v>
      </c>
      <c r="G3842" t="str">
        <f>VLOOKUP(A3842,inf!$D$2:$E$76,2,FALSE)</f>
        <v>SBUX</v>
      </c>
    </row>
    <row r="3843" spans="1:7" x14ac:dyDescent="0.25">
      <c r="A3843" t="s">
        <v>49</v>
      </c>
      <c r="B3843" s="1">
        <v>43180</v>
      </c>
      <c r="C3843" t="s">
        <v>55</v>
      </c>
      <c r="D3843">
        <v>460.3</v>
      </c>
      <c r="E3843" s="12" t="str">
        <f>VLOOKUP(C3843,inf!$A$2:$B$7,2,FALSE)</f>
        <v>Current</v>
      </c>
      <c r="F3843" s="12" t="str">
        <f t="shared" si="110"/>
        <v>03/21/2018</v>
      </c>
      <c r="G3843" t="str">
        <f>VLOOKUP(A3843,inf!$D$2:$E$76,2,FALSE)</f>
        <v>Other</v>
      </c>
    </row>
    <row r="3844" spans="1:7" x14ac:dyDescent="0.25">
      <c r="A3844" t="s">
        <v>48</v>
      </c>
      <c r="B3844" s="1">
        <v>43180</v>
      </c>
      <c r="C3844" t="s">
        <v>55</v>
      </c>
      <c r="D3844">
        <v>277858.32999999984</v>
      </c>
      <c r="E3844" s="12" t="str">
        <f>VLOOKUP(C3844,inf!$A$2:$B$7,2,FALSE)</f>
        <v>Current</v>
      </c>
      <c r="F3844" s="12" t="str">
        <f t="shared" ref="F3844:F3856" si="111">TEXT(B3844,"MM/DD/YYYY")</f>
        <v>03/21/2018</v>
      </c>
      <c r="G3844" t="str">
        <f>VLOOKUP(A3844,inf!$D$2:$E$76,2,FALSE)</f>
        <v>Target</v>
      </c>
    </row>
    <row r="3845" spans="1:7" x14ac:dyDescent="0.25">
      <c r="A3845" t="s">
        <v>48</v>
      </c>
      <c r="B3845" s="1">
        <v>43180</v>
      </c>
      <c r="C3845" t="s">
        <v>56</v>
      </c>
      <c r="D3845">
        <v>27693.269999999997</v>
      </c>
      <c r="E3845" s="12" t="str">
        <f>VLOOKUP(C3845,inf!$A$2:$B$7,2,FALSE)</f>
        <v>Current</v>
      </c>
      <c r="F3845" s="12" t="str">
        <f t="shared" si="111"/>
        <v>03/21/2018</v>
      </c>
      <c r="G3845" t="str">
        <f>VLOOKUP(A3845,inf!$D$2:$E$76,2,FALSE)</f>
        <v>Target</v>
      </c>
    </row>
    <row r="3846" spans="1:7" x14ac:dyDescent="0.25">
      <c r="A3846" t="s">
        <v>48</v>
      </c>
      <c r="B3846" s="1">
        <v>43180</v>
      </c>
      <c r="C3846" t="s">
        <v>57</v>
      </c>
      <c r="D3846">
        <v>7403.75</v>
      </c>
      <c r="E3846" s="12" t="str">
        <f>VLOOKUP(C3846,inf!$A$2:$B$7,2,FALSE)</f>
        <v>31 to 60</v>
      </c>
      <c r="F3846" s="12" t="str">
        <f t="shared" si="111"/>
        <v>03/21/2018</v>
      </c>
      <c r="G3846" t="str">
        <f>VLOOKUP(A3846,inf!$D$2:$E$76,2,FALSE)</f>
        <v>Target</v>
      </c>
    </row>
    <row r="3847" spans="1:7" x14ac:dyDescent="0.25">
      <c r="A3847" t="s">
        <v>48</v>
      </c>
      <c r="B3847" s="1">
        <v>43180</v>
      </c>
      <c r="C3847" t="s">
        <v>58</v>
      </c>
      <c r="D3847">
        <v>24017.739999999998</v>
      </c>
      <c r="E3847" s="12" t="str">
        <f>VLOOKUP(C3847,inf!$A$2:$B$7,2,FALSE)</f>
        <v>61 to 90</v>
      </c>
      <c r="F3847" s="12" t="str">
        <f t="shared" si="111"/>
        <v>03/21/2018</v>
      </c>
      <c r="G3847" t="str">
        <f>VLOOKUP(A3847,inf!$D$2:$E$76,2,FALSE)</f>
        <v>Target</v>
      </c>
    </row>
    <row r="3848" spans="1:7" x14ac:dyDescent="0.25">
      <c r="A3848" t="s">
        <v>48</v>
      </c>
      <c r="B3848" s="1">
        <v>43180</v>
      </c>
      <c r="C3848" t="s">
        <v>59</v>
      </c>
      <c r="D3848">
        <v>19852.180000000004</v>
      </c>
      <c r="E3848" s="12" t="str">
        <f>VLOOKUP(C3848,inf!$A$2:$B$7,2,FALSE)</f>
        <v>Over 90</v>
      </c>
      <c r="F3848" s="12" t="str">
        <f t="shared" si="111"/>
        <v>03/21/2018</v>
      </c>
      <c r="G3848" t="str">
        <f>VLOOKUP(A3848,inf!$D$2:$E$76,2,FALSE)</f>
        <v>Target</v>
      </c>
    </row>
    <row r="3849" spans="1:7" x14ac:dyDescent="0.25">
      <c r="A3849" t="s">
        <v>48</v>
      </c>
      <c r="B3849" s="1">
        <v>43180</v>
      </c>
      <c r="C3849" t="s">
        <v>60</v>
      </c>
      <c r="D3849">
        <v>5433.5300000000007</v>
      </c>
      <c r="E3849" s="12" t="str">
        <f>VLOOKUP(C3849,inf!$A$2:$B$7,2,FALSE)</f>
        <v>Over 90</v>
      </c>
      <c r="F3849" s="12" t="str">
        <f t="shared" si="111"/>
        <v>03/21/2018</v>
      </c>
      <c r="G3849" t="str">
        <f>VLOOKUP(A3849,inf!$D$2:$E$76,2,FALSE)</f>
        <v>Target</v>
      </c>
    </row>
    <row r="3850" spans="1:7" x14ac:dyDescent="0.25">
      <c r="A3850" t="s">
        <v>8</v>
      </c>
      <c r="B3850" s="1">
        <v>43180</v>
      </c>
      <c r="C3850" t="s">
        <v>55</v>
      </c>
      <c r="D3850">
        <v>338455.42999999988</v>
      </c>
      <c r="E3850" s="12" t="str">
        <f>VLOOKUP(C3850,inf!$A$2:$B$7,2,FALSE)</f>
        <v>Current</v>
      </c>
      <c r="F3850" s="12" t="str">
        <f t="shared" si="111"/>
        <v>03/21/2018</v>
      </c>
      <c r="G3850" t="str">
        <f>VLOOKUP(A3850,inf!$D$2:$E$76,2,FALSE)</f>
        <v>Target</v>
      </c>
    </row>
    <row r="3851" spans="1:7" x14ac:dyDescent="0.25">
      <c r="A3851" t="s">
        <v>8</v>
      </c>
      <c r="B3851" s="1">
        <v>43180</v>
      </c>
      <c r="C3851" t="s">
        <v>56</v>
      </c>
      <c r="D3851">
        <v>26853.119999999995</v>
      </c>
      <c r="E3851" s="12" t="str">
        <f>VLOOKUP(C3851,inf!$A$2:$B$7,2,FALSE)</f>
        <v>Current</v>
      </c>
      <c r="F3851" s="12" t="str">
        <f t="shared" si="111"/>
        <v>03/21/2018</v>
      </c>
      <c r="G3851" t="str">
        <f>VLOOKUP(A3851,inf!$D$2:$E$76,2,FALSE)</f>
        <v>Target</v>
      </c>
    </row>
    <row r="3852" spans="1:7" x14ac:dyDescent="0.25">
      <c r="A3852" t="s">
        <v>8</v>
      </c>
      <c r="B3852" s="1">
        <v>43180</v>
      </c>
      <c r="C3852" t="s">
        <v>57</v>
      </c>
      <c r="D3852">
        <v>16375.57</v>
      </c>
      <c r="E3852" s="12" t="str">
        <f>VLOOKUP(C3852,inf!$A$2:$B$7,2,FALSE)</f>
        <v>31 to 60</v>
      </c>
      <c r="F3852" s="12" t="str">
        <f t="shared" si="111"/>
        <v>03/21/2018</v>
      </c>
      <c r="G3852" t="str">
        <f>VLOOKUP(A3852,inf!$D$2:$E$76,2,FALSE)</f>
        <v>Target</v>
      </c>
    </row>
    <row r="3853" spans="1:7" x14ac:dyDescent="0.25">
      <c r="A3853" t="s">
        <v>8</v>
      </c>
      <c r="B3853" s="1">
        <v>43180</v>
      </c>
      <c r="C3853" t="s">
        <v>58</v>
      </c>
      <c r="D3853">
        <v>6107.5999999999995</v>
      </c>
      <c r="E3853" s="12" t="str">
        <f>VLOOKUP(C3853,inf!$A$2:$B$7,2,FALSE)</f>
        <v>61 to 90</v>
      </c>
      <c r="F3853" s="12" t="str">
        <f t="shared" si="111"/>
        <v>03/21/2018</v>
      </c>
      <c r="G3853" t="str">
        <f>VLOOKUP(A3853,inf!$D$2:$E$76,2,FALSE)</f>
        <v>Target</v>
      </c>
    </row>
    <row r="3854" spans="1:7" x14ac:dyDescent="0.25">
      <c r="A3854" t="s">
        <v>8</v>
      </c>
      <c r="B3854" s="1">
        <v>43180</v>
      </c>
      <c r="C3854" t="s">
        <v>59</v>
      </c>
      <c r="D3854">
        <v>13893.060000000001</v>
      </c>
      <c r="E3854" s="12" t="str">
        <f>VLOOKUP(C3854,inf!$A$2:$B$7,2,FALSE)</f>
        <v>Over 90</v>
      </c>
      <c r="F3854" s="12" t="str">
        <f t="shared" si="111"/>
        <v>03/21/2018</v>
      </c>
      <c r="G3854" t="str">
        <f>VLOOKUP(A3854,inf!$D$2:$E$76,2,FALSE)</f>
        <v>Target</v>
      </c>
    </row>
    <row r="3855" spans="1:7" x14ac:dyDescent="0.25">
      <c r="A3855" t="s">
        <v>8</v>
      </c>
      <c r="B3855" s="1">
        <v>43180</v>
      </c>
      <c r="C3855" t="s">
        <v>60</v>
      </c>
      <c r="D3855">
        <v>11794.36</v>
      </c>
      <c r="E3855" s="12" t="str">
        <f>VLOOKUP(C3855,inf!$A$2:$B$7,2,FALSE)</f>
        <v>Over 90</v>
      </c>
      <c r="F3855" s="12" t="str">
        <f t="shared" si="111"/>
        <v>03/21/2018</v>
      </c>
      <c r="G3855" t="str">
        <f>VLOOKUP(A3855,inf!$D$2:$E$76,2,FALSE)</f>
        <v>Target</v>
      </c>
    </row>
    <row r="3856" spans="1:7" x14ac:dyDescent="0.25">
      <c r="A3856" t="s">
        <v>54</v>
      </c>
      <c r="B3856" s="1">
        <v>43180</v>
      </c>
      <c r="C3856" t="s">
        <v>55</v>
      </c>
      <c r="D3856">
        <v>583.93000000000006</v>
      </c>
      <c r="E3856" s="12" t="str">
        <f>VLOOKUP(C3856,inf!$A$2:$B$7,2,FALSE)</f>
        <v>Current</v>
      </c>
      <c r="F3856" s="12" t="str">
        <f t="shared" si="111"/>
        <v>03/21/2018</v>
      </c>
      <c r="G3856" t="str">
        <f>VLOOKUP(A3856,inf!$D$2:$E$76,2,FALSE)</f>
        <v>Other</v>
      </c>
    </row>
    <row r="3857" spans="1:7" x14ac:dyDescent="0.25">
      <c r="A3857" t="s">
        <v>54</v>
      </c>
      <c r="B3857" s="1">
        <v>43180</v>
      </c>
      <c r="C3857" t="s">
        <v>57</v>
      </c>
      <c r="D3857">
        <v>497.05</v>
      </c>
      <c r="E3857" s="12" t="str">
        <f>VLOOKUP(C3857,inf!$A$2:$B$7,2,FALSE)</f>
        <v>31 to 60</v>
      </c>
      <c r="F3857" s="12" t="str">
        <f>TEXT(B3857,"MM/DD/YYYY")</f>
        <v>03/21/2018</v>
      </c>
      <c r="G3857" t="str">
        <f>VLOOKUP(A3857,inf!$D$2:$E$76,2,FALSE)</f>
        <v>Other</v>
      </c>
    </row>
    <row r="3858" spans="1:7" x14ac:dyDescent="0.25">
      <c r="A3858" t="s">
        <v>54</v>
      </c>
      <c r="B3858" s="1">
        <v>43180</v>
      </c>
      <c r="C3858" t="s">
        <v>60</v>
      </c>
      <c r="D3858">
        <v>122.72</v>
      </c>
      <c r="E3858" s="12" t="str">
        <f>VLOOKUP(C3858,inf!$A$2:$B$7,2,FALSE)</f>
        <v>Over 90</v>
      </c>
      <c r="F3858" s="12" t="str">
        <f t="shared" ref="F3858:F3863" si="112">TEXT(B3858,"MM/DD/YYYY")</f>
        <v>03/21/2018</v>
      </c>
      <c r="G3858" t="str">
        <f>VLOOKUP(A3858,inf!$D$2:$E$76,2,FALSE)</f>
        <v>Other</v>
      </c>
    </row>
    <row r="3859" spans="1:7" x14ac:dyDescent="0.25">
      <c r="A3859" t="s">
        <v>28</v>
      </c>
      <c r="B3859" s="1">
        <v>43180</v>
      </c>
      <c r="C3859" t="s">
        <v>55</v>
      </c>
      <c r="D3859">
        <v>2429.17</v>
      </c>
      <c r="E3859" s="12" t="str">
        <f>VLOOKUP(C3859,inf!$A$2:$B$7,2,FALSE)</f>
        <v>Current</v>
      </c>
      <c r="F3859" s="12" t="str">
        <f t="shared" si="112"/>
        <v>03/21/2018</v>
      </c>
      <c r="G3859" t="str">
        <f>VLOOKUP(A3859,inf!$D$2:$E$76,2,FALSE)</f>
        <v>Other</v>
      </c>
    </row>
    <row r="3860" spans="1:7" x14ac:dyDescent="0.25">
      <c r="A3860" t="s">
        <v>28</v>
      </c>
      <c r="B3860" s="1">
        <v>43180</v>
      </c>
      <c r="C3860" t="s">
        <v>56</v>
      </c>
      <c r="D3860">
        <v>673.95999999999992</v>
      </c>
      <c r="E3860" s="12" t="str">
        <f>VLOOKUP(C3860,inf!$A$2:$B$7,2,FALSE)</f>
        <v>Current</v>
      </c>
      <c r="F3860" s="12" t="str">
        <f t="shared" si="112"/>
        <v>03/21/2018</v>
      </c>
      <c r="G3860" t="str">
        <f>VLOOKUP(A3860,inf!$D$2:$E$76,2,FALSE)</f>
        <v>Other</v>
      </c>
    </row>
    <row r="3861" spans="1:7" x14ac:dyDescent="0.25">
      <c r="A3861" t="s">
        <v>28</v>
      </c>
      <c r="B3861" s="1">
        <v>43180</v>
      </c>
      <c r="C3861" t="s">
        <v>57</v>
      </c>
      <c r="D3861">
        <v>130.66</v>
      </c>
      <c r="E3861" s="12" t="str">
        <f>VLOOKUP(C3861,inf!$A$2:$B$7,2,FALSE)</f>
        <v>31 to 60</v>
      </c>
      <c r="F3861" s="12" t="str">
        <f t="shared" si="112"/>
        <v>03/21/2018</v>
      </c>
      <c r="G3861" t="str">
        <f>VLOOKUP(A3861,inf!$D$2:$E$76,2,FALSE)</f>
        <v>Other</v>
      </c>
    </row>
    <row r="3862" spans="1:7" x14ac:dyDescent="0.25">
      <c r="A3862" t="s">
        <v>28</v>
      </c>
      <c r="B3862" s="1">
        <v>43180</v>
      </c>
      <c r="C3862" t="s">
        <v>58</v>
      </c>
      <c r="D3862">
        <v>148.88</v>
      </c>
      <c r="E3862" s="12" t="str">
        <f>VLOOKUP(C3862,inf!$A$2:$B$7,2,FALSE)</f>
        <v>61 to 90</v>
      </c>
      <c r="F3862" s="12" t="str">
        <f t="shared" si="112"/>
        <v>03/21/2018</v>
      </c>
      <c r="G3862" t="str">
        <f>VLOOKUP(A3862,inf!$D$2:$E$76,2,FALSE)</f>
        <v>Other</v>
      </c>
    </row>
    <row r="3863" spans="1:7" x14ac:dyDescent="0.25">
      <c r="A3863" t="s">
        <v>28</v>
      </c>
      <c r="B3863" s="1">
        <v>43180</v>
      </c>
      <c r="C3863" t="s">
        <v>59</v>
      </c>
      <c r="D3863">
        <v>152.51</v>
      </c>
      <c r="E3863" s="12" t="str">
        <f>VLOOKUP(C3863,inf!$A$2:$B$7,2,FALSE)</f>
        <v>Over 90</v>
      </c>
      <c r="F3863" s="12" t="str">
        <f t="shared" si="112"/>
        <v>03/21/2018</v>
      </c>
      <c r="G3863" t="str">
        <f>VLOOKUP(A3863,inf!$D$2:$E$76,2,FALSE)</f>
        <v>Other</v>
      </c>
    </row>
    <row r="3864" spans="1:7" x14ac:dyDescent="0.25">
      <c r="A3864" t="s">
        <v>15</v>
      </c>
      <c r="B3864" s="1">
        <v>43180</v>
      </c>
      <c r="C3864" t="s">
        <v>55</v>
      </c>
      <c r="D3864">
        <v>1296.1499999999999</v>
      </c>
      <c r="E3864" s="12" t="str">
        <f>VLOOKUP(C3864,inf!$A$2:$B$7,2,FALSE)</f>
        <v>Current</v>
      </c>
      <c r="F3864" s="12" t="str">
        <f>TEXT(B3864,"MM/DD/YYYY")</f>
        <v>03/21/2018</v>
      </c>
      <c r="G3864" t="str">
        <f>VLOOKUP(A3864,inf!$D$2:$E$76,2,FALSE)</f>
        <v>Other</v>
      </c>
    </row>
    <row r="3865" spans="1:7" x14ac:dyDescent="0.25">
      <c r="A3865" t="s">
        <v>15</v>
      </c>
      <c r="B3865" s="1">
        <v>43180</v>
      </c>
      <c r="C3865" t="s">
        <v>59</v>
      </c>
      <c r="D3865">
        <v>317.29000000000002</v>
      </c>
      <c r="E3865" s="12" t="str">
        <f>VLOOKUP(C3865,inf!$A$2:$B$7,2,FALSE)</f>
        <v>Over 90</v>
      </c>
      <c r="F3865" s="12" t="str">
        <f t="shared" ref="F3865:F3866" si="113">TEXT(B3865,"MM/DD/YYYY")</f>
        <v>03/21/2018</v>
      </c>
      <c r="G3865" t="str">
        <f>VLOOKUP(A3865,inf!$D$2:$E$76,2,FALSE)</f>
        <v>Other</v>
      </c>
    </row>
    <row r="3866" spans="1:7" x14ac:dyDescent="0.25">
      <c r="A3866" t="s">
        <v>15</v>
      </c>
      <c r="B3866" s="1">
        <v>43180</v>
      </c>
      <c r="C3866" t="s">
        <v>60</v>
      </c>
      <c r="D3866">
        <v>653.86</v>
      </c>
      <c r="E3866" s="12" t="str">
        <f>VLOOKUP(C3866,inf!$A$2:$B$7,2,FALSE)</f>
        <v>Over 90</v>
      </c>
      <c r="F3866" s="12" t="str">
        <f t="shared" si="113"/>
        <v>03/21/2018</v>
      </c>
      <c r="G3866" t="str">
        <f>VLOOKUP(A3866,inf!$D$2:$E$76,2,FALSE)</f>
        <v>Other</v>
      </c>
    </row>
    <row r="3867" spans="1:7" x14ac:dyDescent="0.25">
      <c r="A3867" t="s">
        <v>142</v>
      </c>
      <c r="B3867" s="1">
        <v>43201</v>
      </c>
      <c r="C3867" t="s">
        <v>55</v>
      </c>
      <c r="D3867">
        <v>503</v>
      </c>
      <c r="E3867" s="12" t="str">
        <f>VLOOKUP(C3867,inf!$A$2:$B$7,2,FALSE)</f>
        <v>Current</v>
      </c>
      <c r="F3867" s="12" t="str">
        <f t="shared" ref="F3867" si="114">TEXT(B3867,"MM/DD/YYYY")</f>
        <v>04/11/2018</v>
      </c>
      <c r="G3867" t="str">
        <f>VLOOKUP(A3867,inf!$D$2:$E$76,2,FALSE)</f>
        <v>Other</v>
      </c>
    </row>
    <row r="3868" spans="1:7" x14ac:dyDescent="0.25">
      <c r="A3868" t="s">
        <v>121</v>
      </c>
      <c r="B3868" s="1">
        <v>43201</v>
      </c>
      <c r="C3868" t="s">
        <v>56</v>
      </c>
      <c r="D3868">
        <v>232.28</v>
      </c>
      <c r="E3868" s="12" t="str">
        <f>VLOOKUP(C3868,inf!$A$2:$B$7,2,FALSE)</f>
        <v>Current</v>
      </c>
      <c r="F3868" s="12" t="str">
        <f>TEXT(B3868,"MM/DD/YYYY")</f>
        <v>04/11/2018</v>
      </c>
      <c r="G3868" t="str">
        <f>VLOOKUP(A3868,inf!$D$2:$E$76,2,FALSE)</f>
        <v>Other</v>
      </c>
    </row>
    <row r="3869" spans="1:7" x14ac:dyDescent="0.25">
      <c r="A3869" t="s">
        <v>22</v>
      </c>
      <c r="B3869" s="1">
        <v>43201</v>
      </c>
      <c r="C3869" t="s">
        <v>58</v>
      </c>
      <c r="D3869">
        <v>114.85</v>
      </c>
      <c r="E3869" s="12" t="str">
        <f>VLOOKUP(C3869,inf!$A$2:$B$7,2,FALSE)</f>
        <v>61 to 90</v>
      </c>
      <c r="F3869" s="12" t="str">
        <f>TEXT(B3869,"MM/DD/YYYY")</f>
        <v>04/11/2018</v>
      </c>
      <c r="G3869" t="str">
        <f>VLOOKUP(A3869,inf!$D$2:$E$76,2,FALSE)</f>
        <v>Other</v>
      </c>
    </row>
    <row r="3870" spans="1:7" x14ac:dyDescent="0.25">
      <c r="A3870" t="s">
        <v>80</v>
      </c>
      <c r="B3870" s="1">
        <v>43201</v>
      </c>
      <c r="C3870" t="s">
        <v>55</v>
      </c>
      <c r="D3870">
        <v>1217</v>
      </c>
      <c r="E3870" s="12" t="str">
        <f>VLOOKUP(C3870,inf!$A$2:$B$7,2,FALSE)</f>
        <v>Current</v>
      </c>
      <c r="F3870" s="12" t="str">
        <f t="shared" ref="F3870:F3871" si="115">TEXT(B3870,"MM/DD/YYYY")</f>
        <v>04/11/2018</v>
      </c>
      <c r="G3870" t="str">
        <f>VLOOKUP(A3870,inf!$D$2:$E$76,2,FALSE)</f>
        <v>Other</v>
      </c>
    </row>
    <row r="3871" spans="1:7" x14ac:dyDescent="0.25">
      <c r="A3871" t="s">
        <v>80</v>
      </c>
      <c r="B3871" s="1">
        <v>43201</v>
      </c>
      <c r="C3871" t="s">
        <v>56</v>
      </c>
      <c r="D3871">
        <v>114.85</v>
      </c>
      <c r="E3871" s="12" t="str">
        <f>VLOOKUP(C3871,inf!$A$2:$B$7,2,FALSE)</f>
        <v>Current</v>
      </c>
      <c r="F3871" s="12" t="str">
        <f t="shared" si="115"/>
        <v>04/11/2018</v>
      </c>
      <c r="G3871" t="str">
        <f>VLOOKUP(A3871,inf!$D$2:$E$76,2,FALSE)</f>
        <v>Other</v>
      </c>
    </row>
    <row r="3872" spans="1:7" x14ac:dyDescent="0.25">
      <c r="A3872" t="s">
        <v>4</v>
      </c>
      <c r="B3872" s="1">
        <v>43201</v>
      </c>
      <c r="C3872" t="s">
        <v>55</v>
      </c>
      <c r="D3872">
        <v>3058.55</v>
      </c>
      <c r="E3872" s="12" t="str">
        <f>VLOOKUP(C3872,inf!$A$2:$B$7,2,FALSE)</f>
        <v>Current</v>
      </c>
      <c r="F3872" s="12" t="str">
        <f t="shared" ref="F3872:F3873" si="116">TEXT(B3872,"MM/DD/YYYY")</f>
        <v>04/11/2018</v>
      </c>
      <c r="G3872" t="str">
        <f>VLOOKUP(A3872,inf!$D$2:$E$76,2,FALSE)</f>
        <v>Other</v>
      </c>
    </row>
    <row r="3873" spans="1:7" x14ac:dyDescent="0.25">
      <c r="A3873" t="s">
        <v>4</v>
      </c>
      <c r="B3873" s="1">
        <v>43201</v>
      </c>
      <c r="C3873" t="s">
        <v>56</v>
      </c>
      <c r="D3873">
        <v>4070.8199999999997</v>
      </c>
      <c r="E3873" s="12" t="str">
        <f>VLOOKUP(C3873,inf!$A$2:$B$7,2,FALSE)</f>
        <v>Current</v>
      </c>
      <c r="F3873" s="12" t="str">
        <f t="shared" si="116"/>
        <v>04/11/2018</v>
      </c>
      <c r="G3873" t="str">
        <f>VLOOKUP(A3873,inf!$D$2:$E$76,2,FALSE)</f>
        <v>Other</v>
      </c>
    </row>
    <row r="3874" spans="1:7" x14ac:dyDescent="0.25">
      <c r="A3874" t="s">
        <v>4</v>
      </c>
      <c r="B3874" s="1">
        <v>43201</v>
      </c>
      <c r="C3874" t="s">
        <v>60</v>
      </c>
      <c r="D3874">
        <v>579.34</v>
      </c>
      <c r="E3874" s="12" t="str">
        <f>VLOOKUP(C3874,inf!$A$2:$B$7,2,FALSE)</f>
        <v>Over 90</v>
      </c>
      <c r="F3874" s="12" t="str">
        <f t="shared" ref="F3874:F3880" si="117">TEXT(B3874,"MM/DD/YYYY")</f>
        <v>04/11/2018</v>
      </c>
      <c r="G3874" t="str">
        <f>VLOOKUP(A3874,inf!$D$2:$E$76,2,FALSE)</f>
        <v>Other</v>
      </c>
    </row>
    <row r="3875" spans="1:7" x14ac:dyDescent="0.25">
      <c r="A3875" t="s">
        <v>77</v>
      </c>
      <c r="B3875" s="1">
        <v>43201</v>
      </c>
      <c r="C3875" t="s">
        <v>59</v>
      </c>
      <c r="D3875">
        <v>834.05</v>
      </c>
      <c r="E3875" s="12" t="str">
        <f>VLOOKUP(C3875,inf!$A$2:$B$7,2,FALSE)</f>
        <v>Over 90</v>
      </c>
      <c r="F3875" s="12" t="str">
        <f t="shared" si="117"/>
        <v>04/11/2018</v>
      </c>
      <c r="G3875" t="str">
        <f>VLOOKUP(A3875,inf!$D$2:$E$76,2,FALSE)</f>
        <v>Other</v>
      </c>
    </row>
    <row r="3876" spans="1:7" x14ac:dyDescent="0.25">
      <c r="A3876" t="s">
        <v>11</v>
      </c>
      <c r="B3876" s="1">
        <v>43201</v>
      </c>
      <c r="C3876" t="s">
        <v>55</v>
      </c>
      <c r="D3876">
        <v>114.85</v>
      </c>
      <c r="E3876" s="12" t="str">
        <f>VLOOKUP(C3876,inf!$A$2:$B$7,2,FALSE)</f>
        <v>Current</v>
      </c>
      <c r="F3876" s="12" t="str">
        <f t="shared" si="117"/>
        <v>04/11/2018</v>
      </c>
      <c r="G3876" t="str">
        <f>VLOOKUP(A3876,inf!$D$2:$E$76,2,FALSE)</f>
        <v>Other</v>
      </c>
    </row>
    <row r="3877" spans="1:7" x14ac:dyDescent="0.25">
      <c r="A3877" t="s">
        <v>11</v>
      </c>
      <c r="B3877" s="1">
        <v>43201</v>
      </c>
      <c r="C3877" t="s">
        <v>58</v>
      </c>
      <c r="D3877">
        <v>331.6</v>
      </c>
      <c r="E3877" s="12" t="str">
        <f>VLOOKUP(C3877,inf!$A$2:$B$7,2,FALSE)</f>
        <v>61 to 90</v>
      </c>
      <c r="F3877" s="12" t="str">
        <f t="shared" si="117"/>
        <v>04/11/2018</v>
      </c>
      <c r="G3877" t="str">
        <f>VLOOKUP(A3877,inf!$D$2:$E$76,2,FALSE)</f>
        <v>Other</v>
      </c>
    </row>
    <row r="3878" spans="1:7" x14ac:dyDescent="0.25">
      <c r="A3878" t="s">
        <v>47</v>
      </c>
      <c r="B3878" s="1">
        <v>43201</v>
      </c>
      <c r="C3878" t="s">
        <v>55</v>
      </c>
      <c r="D3878">
        <v>126.45</v>
      </c>
      <c r="E3878" s="12" t="str">
        <f>VLOOKUP(C3878,inf!$A$2:$B$7,2,FALSE)</f>
        <v>Current</v>
      </c>
      <c r="F3878" s="12" t="str">
        <f t="shared" si="117"/>
        <v>04/11/2018</v>
      </c>
      <c r="G3878" t="str">
        <f>VLOOKUP(A3878,inf!$D$2:$E$76,2,FALSE)</f>
        <v>Other</v>
      </c>
    </row>
    <row r="3879" spans="1:7" x14ac:dyDescent="0.25">
      <c r="A3879" t="s">
        <v>19</v>
      </c>
      <c r="B3879" s="1">
        <v>43201</v>
      </c>
      <c r="C3879" t="s">
        <v>55</v>
      </c>
      <c r="D3879">
        <v>1415.49</v>
      </c>
      <c r="E3879" s="12" t="str">
        <f>VLOOKUP(C3879,inf!$A$2:$B$7,2,FALSE)</f>
        <v>Current</v>
      </c>
      <c r="F3879" s="12" t="str">
        <f t="shared" si="117"/>
        <v>04/11/2018</v>
      </c>
      <c r="G3879" t="str">
        <f>VLOOKUP(A3879,inf!$D$2:$E$76,2,FALSE)</f>
        <v>Other</v>
      </c>
    </row>
    <row r="3880" spans="1:7" x14ac:dyDescent="0.25">
      <c r="A3880" t="s">
        <v>25</v>
      </c>
      <c r="B3880" s="1">
        <v>43201</v>
      </c>
      <c r="C3880" t="s">
        <v>55</v>
      </c>
      <c r="D3880">
        <v>415.26</v>
      </c>
      <c r="E3880" s="12" t="str">
        <f>VLOOKUP(C3880,inf!$A$2:$B$7,2,FALSE)</f>
        <v>Current</v>
      </c>
      <c r="F3880" s="12" t="str">
        <f t="shared" si="117"/>
        <v>04/11/2018</v>
      </c>
      <c r="G3880" t="str">
        <f>VLOOKUP(A3880,inf!$D$2:$E$76,2,FALSE)</f>
        <v>Other</v>
      </c>
    </row>
    <row r="3881" spans="1:7" x14ac:dyDescent="0.25">
      <c r="A3881" t="s">
        <v>31</v>
      </c>
      <c r="B3881" s="1">
        <v>43201</v>
      </c>
      <c r="C3881" t="s">
        <v>55</v>
      </c>
      <c r="D3881">
        <v>143.56</v>
      </c>
      <c r="E3881" s="12" t="str">
        <f>VLOOKUP(C3881,inf!$A$2:$B$7,2,FALSE)</f>
        <v>Current</v>
      </c>
      <c r="F3881" s="12" t="str">
        <f t="shared" ref="F3881:F3882" si="118">TEXT(B3881,"MM/DD/YYYY")</f>
        <v>04/11/2018</v>
      </c>
      <c r="G3881" t="str">
        <f>VLOOKUP(A3881,inf!$D$2:$E$76,2,FALSE)</f>
        <v>Other</v>
      </c>
    </row>
    <row r="3882" spans="1:7" x14ac:dyDescent="0.25">
      <c r="A3882" t="s">
        <v>31</v>
      </c>
      <c r="B3882" s="1">
        <v>43201</v>
      </c>
      <c r="C3882" t="s">
        <v>56</v>
      </c>
      <c r="D3882">
        <v>818.33</v>
      </c>
      <c r="E3882" s="12" t="str">
        <f>VLOOKUP(C3882,inf!$A$2:$B$7,2,FALSE)</f>
        <v>Current</v>
      </c>
      <c r="F3882" s="12" t="str">
        <f t="shared" si="118"/>
        <v>04/11/2018</v>
      </c>
      <c r="G3882" t="str">
        <f>VLOOKUP(A3882,inf!$D$2:$E$76,2,FALSE)</f>
        <v>Other</v>
      </c>
    </row>
    <row r="3883" spans="1:7" x14ac:dyDescent="0.25">
      <c r="A3883" t="s">
        <v>65</v>
      </c>
      <c r="B3883" s="1">
        <v>43201</v>
      </c>
      <c r="C3883" t="s">
        <v>56</v>
      </c>
      <c r="D3883">
        <v>190</v>
      </c>
      <c r="E3883" s="12" t="str">
        <f>VLOOKUP(C3883,inf!$A$2:$B$7,2,FALSE)</f>
        <v>Current</v>
      </c>
      <c r="F3883" s="12" t="str">
        <f>TEXT(B3883,"MM/DD/YYYY")</f>
        <v>04/11/2018</v>
      </c>
      <c r="G3883" t="str">
        <f>VLOOKUP(A3883,inf!$D$2:$E$76,2,FALSE)</f>
        <v>Other</v>
      </c>
    </row>
    <row r="3884" spans="1:7" x14ac:dyDescent="0.25">
      <c r="A3884" t="s">
        <v>27</v>
      </c>
      <c r="B3884" s="1">
        <v>43201</v>
      </c>
      <c r="C3884" t="s">
        <v>55</v>
      </c>
      <c r="D3884">
        <v>1062.58</v>
      </c>
      <c r="E3884" s="12" t="str">
        <f>VLOOKUP(C3884,inf!$A$2:$B$7,2,FALSE)</f>
        <v>Current</v>
      </c>
      <c r="F3884" s="12" t="str">
        <f>TEXT(B3884,"MM/DD/YYYY")</f>
        <v>04/11/2018</v>
      </c>
      <c r="G3884" t="str">
        <f>VLOOKUP(A3884,inf!$D$2:$E$76,2,FALSE)</f>
        <v>Other</v>
      </c>
    </row>
    <row r="3885" spans="1:7" x14ac:dyDescent="0.25">
      <c r="A3885" t="s">
        <v>82</v>
      </c>
      <c r="B3885" s="1">
        <v>43201</v>
      </c>
      <c r="C3885" t="s">
        <v>55</v>
      </c>
      <c r="D3885">
        <v>287.13</v>
      </c>
      <c r="E3885" s="12" t="str">
        <f>VLOOKUP(C3885,inf!$A$2:$B$7,2,FALSE)</f>
        <v>Current</v>
      </c>
      <c r="F3885" s="12" t="str">
        <f t="shared" ref="F3885:F3888" si="119">TEXT(B3885,"MM/DD/YYYY")</f>
        <v>04/11/2018</v>
      </c>
      <c r="G3885" t="str">
        <f>VLOOKUP(A3885,inf!$D$2:$E$76,2,FALSE)</f>
        <v>Other</v>
      </c>
    </row>
    <row r="3886" spans="1:7" x14ac:dyDescent="0.25">
      <c r="A3886" t="s">
        <v>82</v>
      </c>
      <c r="B3886" s="1">
        <v>43201</v>
      </c>
      <c r="C3886" t="s">
        <v>56</v>
      </c>
      <c r="D3886">
        <v>358.84</v>
      </c>
      <c r="E3886" s="12" t="str">
        <f>VLOOKUP(C3886,inf!$A$2:$B$7,2,FALSE)</f>
        <v>Current</v>
      </c>
      <c r="F3886" s="12" t="str">
        <f t="shared" si="119"/>
        <v>04/11/2018</v>
      </c>
      <c r="G3886" t="str">
        <f>VLOOKUP(A3886,inf!$D$2:$E$76,2,FALSE)</f>
        <v>Other</v>
      </c>
    </row>
    <row r="3887" spans="1:7" x14ac:dyDescent="0.25">
      <c r="A3887" t="s">
        <v>82</v>
      </c>
      <c r="B3887" s="1">
        <v>43201</v>
      </c>
      <c r="C3887" t="s">
        <v>57</v>
      </c>
      <c r="D3887">
        <v>123.79</v>
      </c>
      <c r="E3887" s="12" t="str">
        <f>VLOOKUP(C3887,inf!$A$2:$B$7,2,FALSE)</f>
        <v>31 to 60</v>
      </c>
      <c r="F3887" s="12" t="str">
        <f t="shared" si="119"/>
        <v>04/11/2018</v>
      </c>
      <c r="G3887" t="str">
        <f>VLOOKUP(A3887,inf!$D$2:$E$76,2,FALSE)</f>
        <v>Other</v>
      </c>
    </row>
    <row r="3888" spans="1:7" x14ac:dyDescent="0.25">
      <c r="A3888" t="s">
        <v>82</v>
      </c>
      <c r="B3888" s="1">
        <v>43201</v>
      </c>
      <c r="C3888" t="s">
        <v>58</v>
      </c>
      <c r="D3888">
        <v>114.85</v>
      </c>
      <c r="E3888" s="12" t="str">
        <f>VLOOKUP(C3888,inf!$A$2:$B$7,2,FALSE)</f>
        <v>61 to 90</v>
      </c>
      <c r="F3888" s="12" t="str">
        <f t="shared" si="119"/>
        <v>04/11/2018</v>
      </c>
      <c r="G3888" t="str">
        <f>VLOOKUP(A3888,inf!$D$2:$E$76,2,FALSE)</f>
        <v>Other</v>
      </c>
    </row>
    <row r="3889" spans="1:7" x14ac:dyDescent="0.25">
      <c r="A3889" t="s">
        <v>53</v>
      </c>
      <c r="B3889" s="1">
        <v>43201</v>
      </c>
      <c r="C3889" t="s">
        <v>56</v>
      </c>
      <c r="D3889">
        <v>165.05</v>
      </c>
      <c r="E3889" s="12" t="str">
        <f>VLOOKUP(C3889,inf!$A$2:$B$7,2,FALSE)</f>
        <v>Current</v>
      </c>
      <c r="F3889" s="12" t="str">
        <f>TEXT(B3889,"MM/DD/YYYY")</f>
        <v>04/11/2018</v>
      </c>
      <c r="G3889" t="str">
        <f>VLOOKUP(A3889,inf!$D$2:$E$76,2,FALSE)</f>
        <v>Other</v>
      </c>
    </row>
    <row r="3890" spans="1:7" x14ac:dyDescent="0.25">
      <c r="A3890" t="s">
        <v>3</v>
      </c>
      <c r="B3890" s="1">
        <v>43201</v>
      </c>
      <c r="C3890" t="s">
        <v>55</v>
      </c>
      <c r="D3890">
        <v>2017.2000000000003</v>
      </c>
      <c r="E3890" s="12" t="str">
        <f>VLOOKUP(C3890,inf!$A$2:$B$7,2,FALSE)</f>
        <v>Current</v>
      </c>
      <c r="F3890" s="12" t="str">
        <f t="shared" ref="F3890:F3891" si="120">TEXT(B3890,"MM/DD/YYYY")</f>
        <v>04/11/2018</v>
      </c>
      <c r="G3890" t="str">
        <f>VLOOKUP(A3890,inf!$D$2:$E$76,2,FALSE)</f>
        <v>Other</v>
      </c>
    </row>
    <row r="3891" spans="1:7" x14ac:dyDescent="0.25">
      <c r="A3891" t="s">
        <v>3</v>
      </c>
      <c r="B3891" s="1">
        <v>43201</v>
      </c>
      <c r="C3891" t="s">
        <v>56</v>
      </c>
      <c r="D3891">
        <v>288.61</v>
      </c>
      <c r="E3891" s="12" t="str">
        <f>VLOOKUP(C3891,inf!$A$2:$B$7,2,FALSE)</f>
        <v>Current</v>
      </c>
      <c r="F3891" s="12" t="str">
        <f t="shared" si="120"/>
        <v>04/11/2018</v>
      </c>
      <c r="G3891" t="str">
        <f>VLOOKUP(A3891,inf!$D$2:$E$76,2,FALSE)</f>
        <v>Other</v>
      </c>
    </row>
    <row r="3892" spans="1:7" x14ac:dyDescent="0.25">
      <c r="A3892" t="s">
        <v>3</v>
      </c>
      <c r="B3892" s="1">
        <v>43201</v>
      </c>
      <c r="C3892" t="s">
        <v>59</v>
      </c>
      <c r="D3892">
        <v>62.5</v>
      </c>
      <c r="E3892" s="12" t="str">
        <f>VLOOKUP(C3892,inf!$A$2:$B$7,2,FALSE)</f>
        <v>Over 90</v>
      </c>
      <c r="F3892" s="12" t="str">
        <f t="shared" ref="F3892:F3894" si="121">TEXT(B3892,"MM/DD/YYYY")</f>
        <v>04/11/2018</v>
      </c>
      <c r="G3892" t="str">
        <f>VLOOKUP(A3892,inf!$D$2:$E$76,2,FALSE)</f>
        <v>Other</v>
      </c>
    </row>
    <row r="3893" spans="1:7" x14ac:dyDescent="0.25">
      <c r="A3893" t="s">
        <v>3</v>
      </c>
      <c r="B3893" s="1">
        <v>43201</v>
      </c>
      <c r="C3893" t="s">
        <v>60</v>
      </c>
      <c r="D3893">
        <v>345.82</v>
      </c>
      <c r="E3893" s="12" t="str">
        <f>VLOOKUP(C3893,inf!$A$2:$B$7,2,FALSE)</f>
        <v>Over 90</v>
      </c>
      <c r="F3893" s="12" t="str">
        <f t="shared" si="121"/>
        <v>04/11/2018</v>
      </c>
      <c r="G3893" t="str">
        <f>VLOOKUP(A3893,inf!$D$2:$E$76,2,FALSE)</f>
        <v>Other</v>
      </c>
    </row>
    <row r="3894" spans="1:7" x14ac:dyDescent="0.25">
      <c r="A3894" t="s">
        <v>78</v>
      </c>
      <c r="B3894" s="1">
        <v>43201</v>
      </c>
      <c r="C3894" t="s">
        <v>55</v>
      </c>
      <c r="D3894">
        <v>281.35000000000002</v>
      </c>
      <c r="E3894" s="12" t="str">
        <f>VLOOKUP(C3894,inf!$A$2:$B$7,2,FALSE)</f>
        <v>Current</v>
      </c>
      <c r="F3894" s="12" t="str">
        <f t="shared" si="121"/>
        <v>04/11/2018</v>
      </c>
      <c r="G3894" t="str">
        <f>VLOOKUP(A3894,inf!$D$2:$E$76,2,FALSE)</f>
        <v>Other</v>
      </c>
    </row>
    <row r="3895" spans="1:7" x14ac:dyDescent="0.25">
      <c r="A3895" t="s">
        <v>30</v>
      </c>
      <c r="B3895" s="1">
        <v>43201</v>
      </c>
      <c r="C3895" t="s">
        <v>55</v>
      </c>
      <c r="D3895">
        <v>1805.22</v>
      </c>
      <c r="E3895" s="12" t="str">
        <f>VLOOKUP(C3895,inf!$A$2:$B$7,2,FALSE)</f>
        <v>Current</v>
      </c>
      <c r="F3895" s="12" t="str">
        <f t="shared" ref="F3895:F3896" si="122">TEXT(B3895,"MM/DD/YYYY")</f>
        <v>04/11/2018</v>
      </c>
      <c r="G3895" t="str">
        <f>VLOOKUP(A3895,inf!$D$2:$E$76,2,FALSE)</f>
        <v>Other</v>
      </c>
    </row>
    <row r="3896" spans="1:7" x14ac:dyDescent="0.25">
      <c r="A3896" t="s">
        <v>30</v>
      </c>
      <c r="B3896" s="1">
        <v>43201</v>
      </c>
      <c r="C3896" t="s">
        <v>56</v>
      </c>
      <c r="D3896">
        <v>172.28</v>
      </c>
      <c r="E3896" s="12" t="str">
        <f>VLOOKUP(C3896,inf!$A$2:$B$7,2,FALSE)</f>
        <v>Current</v>
      </c>
      <c r="F3896" s="12" t="str">
        <f t="shared" si="122"/>
        <v>04/11/2018</v>
      </c>
      <c r="G3896" t="str">
        <f>VLOOKUP(A3896,inf!$D$2:$E$76,2,FALSE)</f>
        <v>Other</v>
      </c>
    </row>
    <row r="3897" spans="1:7" x14ac:dyDescent="0.25">
      <c r="A3897" t="s">
        <v>63</v>
      </c>
      <c r="B3897" s="1">
        <v>43201</v>
      </c>
      <c r="C3897" t="s">
        <v>56</v>
      </c>
      <c r="D3897">
        <v>563.72</v>
      </c>
      <c r="E3897" s="12" t="str">
        <f>VLOOKUP(C3897,inf!$A$2:$B$7,2,FALSE)</f>
        <v>Current</v>
      </c>
      <c r="F3897" s="12" t="str">
        <f>TEXT(B3897,"MM/DD/YYYY")</f>
        <v>04/11/2018</v>
      </c>
      <c r="G3897" t="str">
        <f>VLOOKUP(A3897,inf!$D$2:$E$76,2,FALSE)</f>
        <v>Other</v>
      </c>
    </row>
    <row r="3898" spans="1:7" x14ac:dyDescent="0.25">
      <c r="A3898" t="s">
        <v>104</v>
      </c>
      <c r="B3898" s="1">
        <v>43201</v>
      </c>
      <c r="C3898" t="s">
        <v>57</v>
      </c>
      <c r="D3898">
        <v>2087.54</v>
      </c>
      <c r="E3898" s="12" t="str">
        <f>VLOOKUP(C3898,inf!$A$2:$B$7,2,FALSE)</f>
        <v>31 to 60</v>
      </c>
      <c r="F3898" s="12" t="str">
        <f>TEXT(B3898,"MM/DD/YYYY")</f>
        <v>04/11/2018</v>
      </c>
      <c r="G3898" t="str">
        <f>VLOOKUP(A3898,inf!$D$2:$E$76,2,FALSE)</f>
        <v>Other</v>
      </c>
    </row>
    <row r="3899" spans="1:7" x14ac:dyDescent="0.25">
      <c r="A3899" t="s">
        <v>12</v>
      </c>
      <c r="B3899" s="1">
        <v>43201</v>
      </c>
      <c r="C3899" t="s">
        <v>55</v>
      </c>
      <c r="D3899">
        <v>880</v>
      </c>
      <c r="E3899" s="12" t="str">
        <f>VLOOKUP(C3899,inf!$A$2:$B$7,2,FALSE)</f>
        <v>Current</v>
      </c>
      <c r="F3899" s="12" t="str">
        <f t="shared" ref="F3899:F3900" si="123">TEXT(B3899,"MM/DD/YYYY")</f>
        <v>04/11/2018</v>
      </c>
      <c r="G3899" t="str">
        <f>VLOOKUP(A3899,inf!$D$2:$E$76,2,FALSE)</f>
        <v>Other</v>
      </c>
    </row>
    <row r="3900" spans="1:7" x14ac:dyDescent="0.25">
      <c r="A3900" t="s">
        <v>12</v>
      </c>
      <c r="B3900" s="1">
        <v>43201</v>
      </c>
      <c r="C3900" t="s">
        <v>56</v>
      </c>
      <c r="D3900">
        <v>915</v>
      </c>
      <c r="E3900" s="12" t="str">
        <f>VLOOKUP(C3900,inf!$A$2:$B$7,2,FALSE)</f>
        <v>Current</v>
      </c>
      <c r="F3900" s="12" t="str">
        <f t="shared" si="123"/>
        <v>04/11/2018</v>
      </c>
      <c r="G3900" t="str">
        <f>VLOOKUP(A3900,inf!$D$2:$E$76,2,FALSE)</f>
        <v>Other</v>
      </c>
    </row>
    <row r="3901" spans="1:7" x14ac:dyDescent="0.25">
      <c r="A3901" t="s">
        <v>50</v>
      </c>
      <c r="B3901" s="1">
        <v>43201</v>
      </c>
      <c r="C3901" t="s">
        <v>55</v>
      </c>
      <c r="D3901">
        <v>693.24</v>
      </c>
      <c r="E3901" s="12" t="str">
        <f>VLOOKUP(C3901,inf!$A$2:$B$7,2,FALSE)</f>
        <v>Current</v>
      </c>
      <c r="F3901" s="12" t="str">
        <f>TEXT(B3901,"MM/DD/YYYY")</f>
        <v>04/11/2018</v>
      </c>
      <c r="G3901" t="str">
        <f>VLOOKUP(A3901,inf!$D$2:$E$76,2,FALSE)</f>
        <v>Other</v>
      </c>
    </row>
    <row r="3902" spans="1:7" x14ac:dyDescent="0.25">
      <c r="A3902" t="s">
        <v>107</v>
      </c>
      <c r="B3902" s="1">
        <v>43201</v>
      </c>
      <c r="C3902" t="s">
        <v>57</v>
      </c>
      <c r="D3902">
        <v>196.62</v>
      </c>
      <c r="E3902" s="12" t="str">
        <f>VLOOKUP(C3902,inf!$A$2:$B$7,2,FALSE)</f>
        <v>31 to 60</v>
      </c>
      <c r="F3902" s="12" t="str">
        <f>TEXT(B3902,"MM/DD/YYYY")</f>
        <v>04/11/2018</v>
      </c>
      <c r="G3902" t="str">
        <f>VLOOKUP(A3902,inf!$D$2:$E$76,2,FALSE)</f>
        <v>Other</v>
      </c>
    </row>
    <row r="3903" spans="1:7" x14ac:dyDescent="0.25">
      <c r="A3903" t="s">
        <v>113</v>
      </c>
      <c r="B3903" s="1">
        <v>43201</v>
      </c>
      <c r="C3903" t="s">
        <v>56</v>
      </c>
      <c r="D3903">
        <v>723.17</v>
      </c>
      <c r="E3903" s="12" t="str">
        <f>VLOOKUP(C3903,inf!$A$2:$B$7,2,FALSE)</f>
        <v>Current</v>
      </c>
      <c r="F3903" s="12" t="str">
        <f>TEXT(B3903,"MM/DD/YYYY")</f>
        <v>04/11/2018</v>
      </c>
      <c r="G3903" t="str">
        <f>VLOOKUP(A3903,inf!$D$2:$E$76,2,FALSE)</f>
        <v>Other</v>
      </c>
    </row>
    <row r="3904" spans="1:7" x14ac:dyDescent="0.25">
      <c r="A3904" t="s">
        <v>83</v>
      </c>
      <c r="B3904" s="1">
        <v>43201</v>
      </c>
      <c r="C3904" t="s">
        <v>55</v>
      </c>
      <c r="D3904">
        <v>297.73</v>
      </c>
      <c r="E3904" s="12" t="str">
        <f>VLOOKUP(C3904,inf!$A$2:$B$7,2,FALSE)</f>
        <v>Current</v>
      </c>
      <c r="F3904" s="12" t="str">
        <f>TEXT(B3904,"MM/DD/YYYY")</f>
        <v>04/11/2018</v>
      </c>
      <c r="G3904" t="str">
        <f>VLOOKUP(A3904,inf!$D$2:$E$76,2,FALSE)</f>
        <v>Other</v>
      </c>
    </row>
    <row r="3905" spans="1:7" x14ac:dyDescent="0.25">
      <c r="A3905" t="s">
        <v>7</v>
      </c>
      <c r="B3905" s="1">
        <v>43201</v>
      </c>
      <c r="C3905" t="s">
        <v>55</v>
      </c>
      <c r="D3905">
        <v>61792.589999999989</v>
      </c>
      <c r="E3905" s="12" t="str">
        <f>VLOOKUP(C3905,inf!$A$2:$B$7,2,FALSE)</f>
        <v>Current</v>
      </c>
      <c r="F3905" s="12" t="str">
        <f t="shared" ref="F3905:F3914" si="124">TEXT(B3905,"MM/DD/YYYY")</f>
        <v>04/11/2018</v>
      </c>
      <c r="G3905" t="str">
        <f>VLOOKUP(A3905,inf!$D$2:$E$76,2,FALSE)</f>
        <v>SAFEWAY</v>
      </c>
    </row>
    <row r="3906" spans="1:7" x14ac:dyDescent="0.25">
      <c r="A3906" t="s">
        <v>7</v>
      </c>
      <c r="B3906" s="1">
        <v>43201</v>
      </c>
      <c r="C3906" t="s">
        <v>56</v>
      </c>
      <c r="D3906">
        <v>35877.919999999984</v>
      </c>
      <c r="E3906" s="12" t="str">
        <f>VLOOKUP(C3906,inf!$A$2:$B$7,2,FALSE)</f>
        <v>Current</v>
      </c>
      <c r="F3906" s="12" t="str">
        <f t="shared" si="124"/>
        <v>04/11/2018</v>
      </c>
      <c r="G3906" t="str">
        <f>VLOOKUP(A3906,inf!$D$2:$E$76,2,FALSE)</f>
        <v>SAFEWAY</v>
      </c>
    </row>
    <row r="3907" spans="1:7" x14ac:dyDescent="0.25">
      <c r="A3907" t="s">
        <v>7</v>
      </c>
      <c r="B3907" s="1">
        <v>43201</v>
      </c>
      <c r="C3907" t="s">
        <v>57</v>
      </c>
      <c r="D3907">
        <v>15445.54</v>
      </c>
      <c r="E3907" s="12" t="str">
        <f>VLOOKUP(C3907,inf!$A$2:$B$7,2,FALSE)</f>
        <v>31 to 60</v>
      </c>
      <c r="F3907" s="12" t="str">
        <f t="shared" si="124"/>
        <v>04/11/2018</v>
      </c>
      <c r="G3907" t="str">
        <f>VLOOKUP(A3907,inf!$D$2:$E$76,2,FALSE)</f>
        <v>SAFEWAY</v>
      </c>
    </row>
    <row r="3908" spans="1:7" x14ac:dyDescent="0.25">
      <c r="A3908" t="s">
        <v>7</v>
      </c>
      <c r="B3908" s="1">
        <v>43201</v>
      </c>
      <c r="C3908" t="s">
        <v>58</v>
      </c>
      <c r="D3908">
        <v>7029.91</v>
      </c>
      <c r="E3908" s="12" t="str">
        <f>VLOOKUP(C3908,inf!$A$2:$B$7,2,FALSE)</f>
        <v>61 to 90</v>
      </c>
      <c r="F3908" s="12" t="str">
        <f t="shared" si="124"/>
        <v>04/11/2018</v>
      </c>
      <c r="G3908" t="str">
        <f>VLOOKUP(A3908,inf!$D$2:$E$76,2,FALSE)</f>
        <v>SAFEWAY</v>
      </c>
    </row>
    <row r="3909" spans="1:7" x14ac:dyDescent="0.25">
      <c r="A3909" t="s">
        <v>7</v>
      </c>
      <c r="B3909" s="1">
        <v>43201</v>
      </c>
      <c r="C3909" t="s">
        <v>59</v>
      </c>
      <c r="D3909">
        <v>3055.33</v>
      </c>
      <c r="E3909" s="12" t="str">
        <f>VLOOKUP(C3909,inf!$A$2:$B$7,2,FALSE)</f>
        <v>Over 90</v>
      </c>
      <c r="F3909" s="12" t="str">
        <f t="shared" si="124"/>
        <v>04/11/2018</v>
      </c>
      <c r="G3909" t="str">
        <f>VLOOKUP(A3909,inf!$D$2:$E$76,2,FALSE)</f>
        <v>SAFEWAY</v>
      </c>
    </row>
    <row r="3910" spans="1:7" x14ac:dyDescent="0.25">
      <c r="A3910" t="s">
        <v>7</v>
      </c>
      <c r="B3910" s="1">
        <v>43201</v>
      </c>
      <c r="C3910" t="s">
        <v>60</v>
      </c>
      <c r="D3910">
        <v>5762.0300000000007</v>
      </c>
      <c r="E3910" s="12" t="str">
        <f>VLOOKUP(C3910,inf!$A$2:$B$7,2,FALSE)</f>
        <v>Over 90</v>
      </c>
      <c r="F3910" s="12" t="str">
        <f t="shared" si="124"/>
        <v>04/11/2018</v>
      </c>
      <c r="G3910" t="str">
        <f>VLOOKUP(A3910,inf!$D$2:$E$76,2,FALSE)</f>
        <v>SAFEWAY</v>
      </c>
    </row>
    <row r="3911" spans="1:7" x14ac:dyDescent="0.25">
      <c r="A3911" t="s">
        <v>81</v>
      </c>
      <c r="B3911" s="1">
        <v>43201</v>
      </c>
      <c r="C3911" t="s">
        <v>55</v>
      </c>
      <c r="D3911">
        <v>647.70000000000005</v>
      </c>
      <c r="E3911" s="12" t="str">
        <f>VLOOKUP(C3911,inf!$A$2:$B$7,2,FALSE)</f>
        <v>Current</v>
      </c>
      <c r="F3911" s="12" t="str">
        <f t="shared" si="124"/>
        <v>04/11/2018</v>
      </c>
      <c r="G3911" t="str">
        <f>VLOOKUP(A3911,inf!$D$2:$E$76,2,FALSE)</f>
        <v>Other</v>
      </c>
    </row>
    <row r="3912" spans="1:7" x14ac:dyDescent="0.25">
      <c r="A3912" t="s">
        <v>81</v>
      </c>
      <c r="B3912" s="1">
        <v>43201</v>
      </c>
      <c r="C3912" t="s">
        <v>56</v>
      </c>
      <c r="D3912">
        <v>529.35</v>
      </c>
      <c r="E3912" s="12" t="str">
        <f>VLOOKUP(C3912,inf!$A$2:$B$7,2,FALSE)</f>
        <v>Current</v>
      </c>
      <c r="F3912" s="12" t="str">
        <f t="shared" si="124"/>
        <v>04/11/2018</v>
      </c>
      <c r="G3912" t="str">
        <f>VLOOKUP(A3912,inf!$D$2:$E$76,2,FALSE)</f>
        <v>Other</v>
      </c>
    </row>
    <row r="3913" spans="1:7" x14ac:dyDescent="0.25">
      <c r="A3913" t="s">
        <v>81</v>
      </c>
      <c r="B3913" s="1">
        <v>43201</v>
      </c>
      <c r="C3913" t="s">
        <v>57</v>
      </c>
      <c r="D3913">
        <v>255.25</v>
      </c>
      <c r="E3913" s="12" t="str">
        <f>VLOOKUP(C3913,inf!$A$2:$B$7,2,FALSE)</f>
        <v>31 to 60</v>
      </c>
      <c r="F3913" s="12" t="str">
        <f t="shared" si="124"/>
        <v>04/11/2018</v>
      </c>
      <c r="G3913" t="str">
        <f>VLOOKUP(A3913,inf!$D$2:$E$76,2,FALSE)</f>
        <v>Other</v>
      </c>
    </row>
    <row r="3914" spans="1:7" x14ac:dyDescent="0.25">
      <c r="A3914" t="s">
        <v>81</v>
      </c>
      <c r="B3914" s="1">
        <v>43201</v>
      </c>
      <c r="C3914" t="s">
        <v>58</v>
      </c>
      <c r="D3914">
        <v>174.98</v>
      </c>
      <c r="E3914" s="12" t="str">
        <f>VLOOKUP(C3914,inf!$A$2:$B$7,2,FALSE)</f>
        <v>61 to 90</v>
      </c>
      <c r="F3914" s="12" t="str">
        <f t="shared" si="124"/>
        <v>04/11/2018</v>
      </c>
      <c r="G3914" t="str">
        <f>VLOOKUP(A3914,inf!$D$2:$E$76,2,FALSE)</f>
        <v>Other</v>
      </c>
    </row>
    <row r="3915" spans="1:7" x14ac:dyDescent="0.25">
      <c r="A3915" t="s">
        <v>5</v>
      </c>
      <c r="B3915" s="1">
        <v>43201</v>
      </c>
      <c r="C3915" t="s">
        <v>55</v>
      </c>
      <c r="D3915">
        <v>7419194.2999999812</v>
      </c>
      <c r="E3915" s="12" t="str">
        <f>VLOOKUP(C3915,inf!$A$2:$B$7,2,FALSE)</f>
        <v>Current</v>
      </c>
      <c r="F3915" s="12" t="str">
        <f t="shared" ref="F3915:F3926" si="125">TEXT(B3915,"MM/DD/YYYY")</f>
        <v>04/11/2018</v>
      </c>
      <c r="G3915" t="str">
        <f>VLOOKUP(A3915,inf!$D$2:$E$76,2,FALSE)</f>
        <v>SBUX</v>
      </c>
    </row>
    <row r="3916" spans="1:7" x14ac:dyDescent="0.25">
      <c r="A3916" t="s">
        <v>5</v>
      </c>
      <c r="B3916" s="1">
        <v>43201</v>
      </c>
      <c r="C3916" t="s">
        <v>56</v>
      </c>
      <c r="D3916">
        <v>135966.05999999997</v>
      </c>
      <c r="E3916" s="12" t="str">
        <f>VLOOKUP(C3916,inf!$A$2:$B$7,2,FALSE)</f>
        <v>Current</v>
      </c>
      <c r="F3916" s="12" t="str">
        <f t="shared" si="125"/>
        <v>04/11/2018</v>
      </c>
      <c r="G3916" t="str">
        <f>VLOOKUP(A3916,inf!$D$2:$E$76,2,FALSE)</f>
        <v>SBUX</v>
      </c>
    </row>
    <row r="3917" spans="1:7" x14ac:dyDescent="0.25">
      <c r="A3917" t="s">
        <v>5</v>
      </c>
      <c r="B3917" s="1">
        <v>43201</v>
      </c>
      <c r="C3917" t="s">
        <v>57</v>
      </c>
      <c r="D3917">
        <v>130741.47000000002</v>
      </c>
      <c r="E3917" s="12" t="str">
        <f>VLOOKUP(C3917,inf!$A$2:$B$7,2,FALSE)</f>
        <v>31 to 60</v>
      </c>
      <c r="F3917" s="12" t="str">
        <f t="shared" si="125"/>
        <v>04/11/2018</v>
      </c>
      <c r="G3917" t="str">
        <f>VLOOKUP(A3917,inf!$D$2:$E$76,2,FALSE)</f>
        <v>SBUX</v>
      </c>
    </row>
    <row r="3918" spans="1:7" x14ac:dyDescent="0.25">
      <c r="A3918" t="s">
        <v>5</v>
      </c>
      <c r="B3918" s="1">
        <v>43201</v>
      </c>
      <c r="C3918" t="s">
        <v>58</v>
      </c>
      <c r="D3918">
        <v>48647.810000000027</v>
      </c>
      <c r="E3918" s="12" t="str">
        <f>VLOOKUP(C3918,inf!$A$2:$B$7,2,FALSE)</f>
        <v>61 to 90</v>
      </c>
      <c r="F3918" s="12" t="str">
        <f t="shared" si="125"/>
        <v>04/11/2018</v>
      </c>
      <c r="G3918" t="str">
        <f>VLOOKUP(A3918,inf!$D$2:$E$76,2,FALSE)</f>
        <v>SBUX</v>
      </c>
    </row>
    <row r="3919" spans="1:7" x14ac:dyDescent="0.25">
      <c r="A3919" t="s">
        <v>5</v>
      </c>
      <c r="B3919" s="1">
        <v>43201</v>
      </c>
      <c r="C3919" t="s">
        <v>59</v>
      </c>
      <c r="D3919">
        <v>17061.729999999996</v>
      </c>
      <c r="E3919" s="12" t="str">
        <f>VLOOKUP(C3919,inf!$A$2:$B$7,2,FALSE)</f>
        <v>Over 90</v>
      </c>
      <c r="F3919" s="12" t="str">
        <f t="shared" si="125"/>
        <v>04/11/2018</v>
      </c>
      <c r="G3919" t="str">
        <f>VLOOKUP(A3919,inf!$D$2:$E$76,2,FALSE)</f>
        <v>SBUX</v>
      </c>
    </row>
    <row r="3920" spans="1:7" x14ac:dyDescent="0.25">
      <c r="A3920" t="s">
        <v>5</v>
      </c>
      <c r="B3920" s="1">
        <v>43201</v>
      </c>
      <c r="C3920" t="s">
        <v>60</v>
      </c>
      <c r="D3920">
        <v>100600.10000000005</v>
      </c>
      <c r="E3920" s="12" t="str">
        <f>VLOOKUP(C3920,inf!$A$2:$B$7,2,FALSE)</f>
        <v>Over 90</v>
      </c>
      <c r="F3920" s="12" t="str">
        <f t="shared" si="125"/>
        <v>04/11/2018</v>
      </c>
      <c r="G3920" t="str">
        <f>VLOOKUP(A3920,inf!$D$2:$E$76,2,FALSE)</f>
        <v>SBUX</v>
      </c>
    </row>
    <row r="3921" spans="1:7" x14ac:dyDescent="0.25">
      <c r="A3921" t="s">
        <v>6</v>
      </c>
      <c r="B3921" s="1">
        <v>43201</v>
      </c>
      <c r="C3921" t="s">
        <v>55</v>
      </c>
      <c r="D3921">
        <v>620104.52999999688</v>
      </c>
      <c r="E3921" s="12" t="str">
        <f>VLOOKUP(C3921,inf!$A$2:$B$7,2,FALSE)</f>
        <v>Current</v>
      </c>
      <c r="F3921" s="12" t="str">
        <f t="shared" si="125"/>
        <v>04/11/2018</v>
      </c>
      <c r="G3921" t="str">
        <f>VLOOKUP(A3921,inf!$D$2:$E$76,2,FALSE)</f>
        <v>SBUX</v>
      </c>
    </row>
    <row r="3922" spans="1:7" x14ac:dyDescent="0.25">
      <c r="A3922" t="s">
        <v>6</v>
      </c>
      <c r="B3922" s="1">
        <v>43201</v>
      </c>
      <c r="C3922" t="s">
        <v>56</v>
      </c>
      <c r="D3922">
        <v>22323.639999999996</v>
      </c>
      <c r="E3922" s="12" t="str">
        <f>VLOOKUP(C3922,inf!$A$2:$B$7,2,FALSE)</f>
        <v>Current</v>
      </c>
      <c r="F3922" s="12" t="str">
        <f t="shared" si="125"/>
        <v>04/11/2018</v>
      </c>
      <c r="G3922" t="str">
        <f>VLOOKUP(A3922,inf!$D$2:$E$76,2,FALSE)</f>
        <v>SBUX</v>
      </c>
    </row>
    <row r="3923" spans="1:7" x14ac:dyDescent="0.25">
      <c r="A3923" t="s">
        <v>6</v>
      </c>
      <c r="B3923" s="1">
        <v>43201</v>
      </c>
      <c r="C3923" t="s">
        <v>57</v>
      </c>
      <c r="D3923">
        <v>16871</v>
      </c>
      <c r="E3923" s="12" t="str">
        <f>VLOOKUP(C3923,inf!$A$2:$B$7,2,FALSE)</f>
        <v>31 to 60</v>
      </c>
      <c r="F3923" s="12" t="str">
        <f t="shared" si="125"/>
        <v>04/11/2018</v>
      </c>
      <c r="G3923" t="str">
        <f>VLOOKUP(A3923,inf!$D$2:$E$76,2,FALSE)</f>
        <v>SBUX</v>
      </c>
    </row>
    <row r="3924" spans="1:7" x14ac:dyDescent="0.25">
      <c r="A3924" t="s">
        <v>6</v>
      </c>
      <c r="B3924" s="1">
        <v>43201</v>
      </c>
      <c r="C3924" t="s">
        <v>58</v>
      </c>
      <c r="D3924">
        <v>2333.21</v>
      </c>
      <c r="E3924" s="12" t="str">
        <f>VLOOKUP(C3924,inf!$A$2:$B$7,2,FALSE)</f>
        <v>61 to 90</v>
      </c>
      <c r="F3924" s="12" t="str">
        <f t="shared" si="125"/>
        <v>04/11/2018</v>
      </c>
      <c r="G3924" t="str">
        <f>VLOOKUP(A3924,inf!$D$2:$E$76,2,FALSE)</f>
        <v>SBUX</v>
      </c>
    </row>
    <row r="3925" spans="1:7" x14ac:dyDescent="0.25">
      <c r="A3925" t="s">
        <v>6</v>
      </c>
      <c r="B3925" s="1">
        <v>43201</v>
      </c>
      <c r="C3925" t="s">
        <v>59</v>
      </c>
      <c r="D3925">
        <v>3860.9699999999993</v>
      </c>
      <c r="E3925" s="12" t="str">
        <f>VLOOKUP(C3925,inf!$A$2:$B$7,2,FALSE)</f>
        <v>Over 90</v>
      </c>
      <c r="F3925" s="12" t="str">
        <f t="shared" si="125"/>
        <v>04/11/2018</v>
      </c>
      <c r="G3925" t="str">
        <f>VLOOKUP(A3925,inf!$D$2:$E$76,2,FALSE)</f>
        <v>SBUX</v>
      </c>
    </row>
    <row r="3926" spans="1:7" x14ac:dyDescent="0.25">
      <c r="A3926" t="s">
        <v>6</v>
      </c>
      <c r="B3926" s="1">
        <v>43201</v>
      </c>
      <c r="C3926" t="s">
        <v>60</v>
      </c>
      <c r="D3926">
        <v>6369.4400000000014</v>
      </c>
      <c r="E3926" s="12" t="str">
        <f>VLOOKUP(C3926,inf!$A$2:$B$7,2,FALSE)</f>
        <v>Over 90</v>
      </c>
      <c r="F3926" s="12" t="str">
        <f t="shared" si="125"/>
        <v>04/11/2018</v>
      </c>
      <c r="G3926" t="str">
        <f>VLOOKUP(A3926,inf!$D$2:$E$76,2,FALSE)</f>
        <v>SBUX</v>
      </c>
    </row>
    <row r="3927" spans="1:7" x14ac:dyDescent="0.25">
      <c r="A3927" t="s">
        <v>49</v>
      </c>
      <c r="B3927" s="1">
        <v>43201</v>
      </c>
      <c r="C3927" t="s">
        <v>56</v>
      </c>
      <c r="D3927">
        <v>460.3</v>
      </c>
      <c r="E3927" s="12" t="str">
        <f>VLOOKUP(C3927,inf!$A$2:$B$7,2,FALSE)</f>
        <v>Current</v>
      </c>
      <c r="F3927" s="12" t="str">
        <f>TEXT(B3927,"MM/DD/YYYY")</f>
        <v>04/11/2018</v>
      </c>
      <c r="G3927" t="str">
        <f>VLOOKUP(A3927,inf!$D$2:$E$76,2,FALSE)</f>
        <v>Other</v>
      </c>
    </row>
    <row r="3928" spans="1:7" x14ac:dyDescent="0.25">
      <c r="A3928" t="s">
        <v>48</v>
      </c>
      <c r="B3928" s="1">
        <v>43201</v>
      </c>
      <c r="C3928" t="s">
        <v>55</v>
      </c>
      <c r="D3928">
        <v>216081.13999999993</v>
      </c>
      <c r="E3928" s="12" t="str">
        <f>VLOOKUP(C3928,inf!$A$2:$B$7,2,FALSE)</f>
        <v>Current</v>
      </c>
      <c r="F3928" s="12" t="str">
        <f t="shared" ref="F3928:F3942" si="126">TEXT(B3928,"MM/DD/YYYY")</f>
        <v>04/11/2018</v>
      </c>
      <c r="G3928" t="str">
        <f>VLOOKUP(A3928,inf!$D$2:$E$76,2,FALSE)</f>
        <v>Target</v>
      </c>
    </row>
    <row r="3929" spans="1:7" x14ac:dyDescent="0.25">
      <c r="A3929" t="s">
        <v>48</v>
      </c>
      <c r="B3929" s="1">
        <v>43201</v>
      </c>
      <c r="C3929" t="s">
        <v>56</v>
      </c>
      <c r="D3929">
        <v>15669.670000000002</v>
      </c>
      <c r="E3929" s="12" t="str">
        <f>VLOOKUP(C3929,inf!$A$2:$B$7,2,FALSE)</f>
        <v>Current</v>
      </c>
      <c r="F3929" s="12" t="str">
        <f t="shared" si="126"/>
        <v>04/11/2018</v>
      </c>
      <c r="G3929" t="str">
        <f>VLOOKUP(A3929,inf!$D$2:$E$76,2,FALSE)</f>
        <v>Target</v>
      </c>
    </row>
    <row r="3930" spans="1:7" x14ac:dyDescent="0.25">
      <c r="A3930" t="s">
        <v>48</v>
      </c>
      <c r="B3930" s="1">
        <v>43201</v>
      </c>
      <c r="C3930" t="s">
        <v>57</v>
      </c>
      <c r="D3930">
        <v>20798.8</v>
      </c>
      <c r="E3930" s="12" t="str">
        <f>VLOOKUP(C3930,inf!$A$2:$B$7,2,FALSE)</f>
        <v>31 to 60</v>
      </c>
      <c r="F3930" s="12" t="str">
        <f t="shared" si="126"/>
        <v>04/11/2018</v>
      </c>
      <c r="G3930" t="str">
        <f>VLOOKUP(A3930,inf!$D$2:$E$76,2,FALSE)</f>
        <v>Target</v>
      </c>
    </row>
    <row r="3931" spans="1:7" x14ac:dyDescent="0.25">
      <c r="A3931" t="s">
        <v>48</v>
      </c>
      <c r="B3931" s="1">
        <v>43201</v>
      </c>
      <c r="C3931" t="s">
        <v>58</v>
      </c>
      <c r="D3931">
        <v>3611.85</v>
      </c>
      <c r="E3931" s="12" t="str">
        <f>VLOOKUP(C3931,inf!$A$2:$B$7,2,FALSE)</f>
        <v>61 to 90</v>
      </c>
      <c r="F3931" s="12" t="str">
        <f t="shared" si="126"/>
        <v>04/11/2018</v>
      </c>
      <c r="G3931" t="str">
        <f>VLOOKUP(A3931,inf!$D$2:$E$76,2,FALSE)</f>
        <v>Target</v>
      </c>
    </row>
    <row r="3932" spans="1:7" x14ac:dyDescent="0.25">
      <c r="A3932" t="s">
        <v>48</v>
      </c>
      <c r="B3932" s="1">
        <v>43201</v>
      </c>
      <c r="C3932" t="s">
        <v>59</v>
      </c>
      <c r="D3932">
        <v>29290.529999999992</v>
      </c>
      <c r="E3932" s="12" t="str">
        <f>VLOOKUP(C3932,inf!$A$2:$B$7,2,FALSE)</f>
        <v>Over 90</v>
      </c>
      <c r="F3932" s="12" t="str">
        <f t="shared" si="126"/>
        <v>04/11/2018</v>
      </c>
      <c r="G3932" t="str">
        <f>VLOOKUP(A3932,inf!$D$2:$E$76,2,FALSE)</f>
        <v>Target</v>
      </c>
    </row>
    <row r="3933" spans="1:7" x14ac:dyDescent="0.25">
      <c r="A3933" t="s">
        <v>48</v>
      </c>
      <c r="B3933" s="1">
        <v>43201</v>
      </c>
      <c r="C3933" t="s">
        <v>60</v>
      </c>
      <c r="D3933">
        <v>18964.349999999999</v>
      </c>
      <c r="E3933" s="12" t="str">
        <f>VLOOKUP(C3933,inf!$A$2:$B$7,2,FALSE)</f>
        <v>Over 90</v>
      </c>
      <c r="F3933" s="12" t="str">
        <f t="shared" si="126"/>
        <v>04/11/2018</v>
      </c>
      <c r="G3933" t="str">
        <f>VLOOKUP(A3933,inf!$D$2:$E$76,2,FALSE)</f>
        <v>Target</v>
      </c>
    </row>
    <row r="3934" spans="1:7" x14ac:dyDescent="0.25">
      <c r="A3934" t="s">
        <v>8</v>
      </c>
      <c r="B3934" s="1">
        <v>43201</v>
      </c>
      <c r="C3934" t="s">
        <v>55</v>
      </c>
      <c r="D3934">
        <v>328024.75000000017</v>
      </c>
      <c r="E3934" s="12" t="str">
        <f>VLOOKUP(C3934,inf!$A$2:$B$7,2,FALSE)</f>
        <v>Current</v>
      </c>
      <c r="F3934" s="12" t="str">
        <f t="shared" si="126"/>
        <v>04/11/2018</v>
      </c>
      <c r="G3934" t="str">
        <f>VLOOKUP(A3934,inf!$D$2:$E$76,2,FALSE)</f>
        <v>Target</v>
      </c>
    </row>
    <row r="3935" spans="1:7" x14ac:dyDescent="0.25">
      <c r="A3935" t="s">
        <v>8</v>
      </c>
      <c r="B3935" s="1">
        <v>43201</v>
      </c>
      <c r="C3935" t="s">
        <v>56</v>
      </c>
      <c r="D3935">
        <v>15959.689999999999</v>
      </c>
      <c r="E3935" s="12" t="str">
        <f>VLOOKUP(C3935,inf!$A$2:$B$7,2,FALSE)</f>
        <v>Current</v>
      </c>
      <c r="F3935" s="12" t="str">
        <f t="shared" si="126"/>
        <v>04/11/2018</v>
      </c>
      <c r="G3935" t="str">
        <f>VLOOKUP(A3935,inf!$D$2:$E$76,2,FALSE)</f>
        <v>Target</v>
      </c>
    </row>
    <row r="3936" spans="1:7" x14ac:dyDescent="0.25">
      <c r="A3936" t="s">
        <v>8</v>
      </c>
      <c r="B3936" s="1">
        <v>43201</v>
      </c>
      <c r="C3936" t="s">
        <v>57</v>
      </c>
      <c r="D3936">
        <v>1856.52</v>
      </c>
      <c r="E3936" s="12" t="str">
        <f>VLOOKUP(C3936,inf!$A$2:$B$7,2,FALSE)</f>
        <v>31 to 60</v>
      </c>
      <c r="F3936" s="12" t="str">
        <f t="shared" si="126"/>
        <v>04/11/2018</v>
      </c>
      <c r="G3936" t="str">
        <f>VLOOKUP(A3936,inf!$D$2:$E$76,2,FALSE)</f>
        <v>Target</v>
      </c>
    </row>
    <row r="3937" spans="1:7" x14ac:dyDescent="0.25">
      <c r="A3937" t="s">
        <v>8</v>
      </c>
      <c r="B3937" s="1">
        <v>43201</v>
      </c>
      <c r="C3937" t="s">
        <v>58</v>
      </c>
      <c r="D3937">
        <v>16048.97</v>
      </c>
      <c r="E3937" s="12" t="str">
        <f>VLOOKUP(C3937,inf!$A$2:$B$7,2,FALSE)</f>
        <v>61 to 90</v>
      </c>
      <c r="F3937" s="12" t="str">
        <f t="shared" si="126"/>
        <v>04/11/2018</v>
      </c>
      <c r="G3937" t="str">
        <f>VLOOKUP(A3937,inf!$D$2:$E$76,2,FALSE)</f>
        <v>Target</v>
      </c>
    </row>
    <row r="3938" spans="1:7" x14ac:dyDescent="0.25">
      <c r="A3938" t="s">
        <v>8</v>
      </c>
      <c r="B3938" s="1">
        <v>43201</v>
      </c>
      <c r="C3938" t="s">
        <v>59</v>
      </c>
      <c r="D3938">
        <v>8780.3000000000011</v>
      </c>
      <c r="E3938" s="12" t="str">
        <f>VLOOKUP(C3938,inf!$A$2:$B$7,2,FALSE)</f>
        <v>Over 90</v>
      </c>
      <c r="F3938" s="12" t="str">
        <f t="shared" si="126"/>
        <v>04/11/2018</v>
      </c>
      <c r="G3938" t="str">
        <f>VLOOKUP(A3938,inf!$D$2:$E$76,2,FALSE)</f>
        <v>Target</v>
      </c>
    </row>
    <row r="3939" spans="1:7" x14ac:dyDescent="0.25">
      <c r="A3939" t="s">
        <v>8</v>
      </c>
      <c r="B3939" s="1">
        <v>43201</v>
      </c>
      <c r="C3939" t="s">
        <v>60</v>
      </c>
      <c r="D3939">
        <v>22834.600000000006</v>
      </c>
      <c r="E3939" s="12" t="str">
        <f>VLOOKUP(C3939,inf!$A$2:$B$7,2,FALSE)</f>
        <v>Over 90</v>
      </c>
      <c r="F3939" s="12" t="str">
        <f t="shared" si="126"/>
        <v>04/11/2018</v>
      </c>
      <c r="G3939" t="str">
        <f>VLOOKUP(A3939,inf!$D$2:$E$76,2,FALSE)</f>
        <v>Target</v>
      </c>
    </row>
    <row r="3940" spans="1:7" x14ac:dyDescent="0.25">
      <c r="A3940" t="s">
        <v>54</v>
      </c>
      <c r="B3940" s="1">
        <v>43201</v>
      </c>
      <c r="C3940" t="s">
        <v>55</v>
      </c>
      <c r="D3940">
        <v>370.93</v>
      </c>
      <c r="E3940" s="12" t="str">
        <f>VLOOKUP(C3940,inf!$A$2:$B$7,2,FALSE)</f>
        <v>Current</v>
      </c>
      <c r="F3940" s="12" t="str">
        <f t="shared" si="126"/>
        <v>04/11/2018</v>
      </c>
      <c r="G3940" t="str">
        <f>VLOOKUP(A3940,inf!$D$2:$E$76,2,FALSE)</f>
        <v>Other</v>
      </c>
    </row>
    <row r="3941" spans="1:7" x14ac:dyDescent="0.25">
      <c r="A3941" t="s">
        <v>54</v>
      </c>
      <c r="B3941" s="1">
        <v>43201</v>
      </c>
      <c r="C3941" t="s">
        <v>56</v>
      </c>
      <c r="D3941">
        <v>213</v>
      </c>
      <c r="E3941" s="12" t="str">
        <f>VLOOKUP(C3941,inf!$A$2:$B$7,2,FALSE)</f>
        <v>Current</v>
      </c>
      <c r="F3941" s="12" t="str">
        <f t="shared" si="126"/>
        <v>04/11/2018</v>
      </c>
      <c r="G3941" t="str">
        <f>VLOOKUP(A3941,inf!$D$2:$E$76,2,FALSE)</f>
        <v>Other</v>
      </c>
    </row>
    <row r="3942" spans="1:7" x14ac:dyDescent="0.25">
      <c r="A3942" t="s">
        <v>54</v>
      </c>
      <c r="B3942" s="1">
        <v>43201</v>
      </c>
      <c r="C3942" t="s">
        <v>57</v>
      </c>
      <c r="D3942">
        <v>497.05</v>
      </c>
      <c r="E3942" s="12" t="str">
        <f>VLOOKUP(C3942,inf!$A$2:$B$7,2,FALSE)</f>
        <v>31 to 60</v>
      </c>
      <c r="F3942" s="12" t="str">
        <f t="shared" si="126"/>
        <v>04/11/2018</v>
      </c>
      <c r="G3942" t="str">
        <f>VLOOKUP(A3942,inf!$D$2:$E$76,2,FALSE)</f>
        <v>Other</v>
      </c>
    </row>
    <row r="3943" spans="1:7" x14ac:dyDescent="0.25">
      <c r="A3943" t="s">
        <v>54</v>
      </c>
      <c r="B3943" s="1">
        <v>43201</v>
      </c>
      <c r="C3943" t="s">
        <v>60</v>
      </c>
      <c r="D3943">
        <v>122.72</v>
      </c>
      <c r="E3943" s="12" t="str">
        <f>VLOOKUP(C3943,inf!$A$2:$B$7,2,FALSE)</f>
        <v>Over 90</v>
      </c>
      <c r="F3943" s="12" t="str">
        <f>TEXT(B3943,"MM/DD/YYYY")</f>
        <v>04/11/2018</v>
      </c>
      <c r="G3943" t="str">
        <f>VLOOKUP(A3943,inf!$D$2:$E$76,2,FALSE)</f>
        <v>Other</v>
      </c>
    </row>
    <row r="3944" spans="1:7" x14ac:dyDescent="0.25">
      <c r="A3944" t="s">
        <v>28</v>
      </c>
      <c r="B3944" s="1">
        <v>43201</v>
      </c>
      <c r="C3944" t="s">
        <v>56</v>
      </c>
      <c r="D3944">
        <v>270.33</v>
      </c>
      <c r="E3944" s="12" t="str">
        <f>VLOOKUP(C3944,inf!$A$2:$B$7,2,FALSE)</f>
        <v>Current</v>
      </c>
      <c r="F3944" s="12" t="str">
        <f t="shared" ref="F3944:F3947" si="127">TEXT(B3944,"MM/DD/YYYY")</f>
        <v>04/11/2018</v>
      </c>
      <c r="G3944" t="str">
        <f>VLOOKUP(A3944,inf!$D$2:$E$76,2,FALSE)</f>
        <v>Other</v>
      </c>
    </row>
    <row r="3945" spans="1:7" x14ac:dyDescent="0.25">
      <c r="A3945" t="s">
        <v>28</v>
      </c>
      <c r="B3945" s="1">
        <v>43201</v>
      </c>
      <c r="C3945" t="s">
        <v>57</v>
      </c>
      <c r="D3945">
        <v>72.819999999999993</v>
      </c>
      <c r="E3945" s="12" t="str">
        <f>VLOOKUP(C3945,inf!$A$2:$B$7,2,FALSE)</f>
        <v>31 to 60</v>
      </c>
      <c r="F3945" s="12" t="str">
        <f t="shared" si="127"/>
        <v>04/11/2018</v>
      </c>
      <c r="G3945" t="str">
        <f>VLOOKUP(A3945,inf!$D$2:$E$76,2,FALSE)</f>
        <v>Other</v>
      </c>
    </row>
    <row r="3946" spans="1:7" x14ac:dyDescent="0.25">
      <c r="A3946" t="s">
        <v>28</v>
      </c>
      <c r="B3946" s="1">
        <v>43201</v>
      </c>
      <c r="C3946" t="s">
        <v>58</v>
      </c>
      <c r="D3946">
        <v>130.66</v>
      </c>
      <c r="E3946" s="12" t="str">
        <f>VLOOKUP(C3946,inf!$A$2:$B$7,2,FALSE)</f>
        <v>61 to 90</v>
      </c>
      <c r="F3946" s="12" t="str">
        <f t="shared" si="127"/>
        <v>04/11/2018</v>
      </c>
      <c r="G3946" t="str">
        <f>VLOOKUP(A3946,inf!$D$2:$E$76,2,FALSE)</f>
        <v>Other</v>
      </c>
    </row>
    <row r="3947" spans="1:7" x14ac:dyDescent="0.25">
      <c r="A3947" t="s">
        <v>28</v>
      </c>
      <c r="B3947" s="1">
        <v>43201</v>
      </c>
      <c r="C3947" t="s">
        <v>59</v>
      </c>
      <c r="D3947">
        <v>290.22000000000003</v>
      </c>
      <c r="E3947" s="12" t="str">
        <f>VLOOKUP(C3947,inf!$A$2:$B$7,2,FALSE)</f>
        <v>Over 90</v>
      </c>
      <c r="F3947" s="12" t="str">
        <f t="shared" si="127"/>
        <v>04/11/2018</v>
      </c>
      <c r="G3947" t="str">
        <f>VLOOKUP(A3947,inf!$D$2:$E$76,2,FALSE)</f>
        <v>Other</v>
      </c>
    </row>
    <row r="3948" spans="1:7" x14ac:dyDescent="0.25">
      <c r="A3948" t="s">
        <v>15</v>
      </c>
      <c r="B3948" s="1">
        <v>43201</v>
      </c>
      <c r="C3948" t="s">
        <v>55</v>
      </c>
      <c r="D3948">
        <v>128.72999999999999</v>
      </c>
      <c r="E3948" s="12" t="str">
        <f>VLOOKUP(C3948,inf!$A$2:$B$7,2,FALSE)</f>
        <v>Current</v>
      </c>
      <c r="F3948" s="12" t="str">
        <f t="shared" ref="F3948:F3949" si="128">TEXT(B3948,"MM/DD/YYYY")</f>
        <v>04/11/2018</v>
      </c>
      <c r="G3948" t="str">
        <f>VLOOKUP(A3948,inf!$D$2:$E$76,2,FALSE)</f>
        <v>Other</v>
      </c>
    </row>
    <row r="3949" spans="1:7" x14ac:dyDescent="0.25">
      <c r="A3949" t="s">
        <v>15</v>
      </c>
      <c r="B3949" s="1">
        <v>43201</v>
      </c>
      <c r="C3949" t="s">
        <v>56</v>
      </c>
      <c r="D3949">
        <v>1296.1499999999999</v>
      </c>
      <c r="E3949" s="12" t="str">
        <f>VLOOKUP(C3949,inf!$A$2:$B$7,2,FALSE)</f>
        <v>Current</v>
      </c>
      <c r="F3949" s="12" t="str">
        <f t="shared" si="128"/>
        <v>04/11/2018</v>
      </c>
      <c r="G3949" t="str">
        <f>VLOOKUP(A3949,inf!$D$2:$E$76,2,FALSE)</f>
        <v>Other</v>
      </c>
    </row>
    <row r="3950" spans="1:7" x14ac:dyDescent="0.25">
      <c r="A3950" t="s">
        <v>15</v>
      </c>
      <c r="B3950" s="1">
        <v>43201</v>
      </c>
      <c r="C3950" t="s">
        <v>60</v>
      </c>
      <c r="D3950">
        <v>971.15000000000009</v>
      </c>
      <c r="E3950" s="12" t="str">
        <f>VLOOKUP(C3950,inf!$A$2:$B$7,2,FALSE)</f>
        <v>Over 90</v>
      </c>
      <c r="F3950" s="12" t="str">
        <f>TEXT(B3950,"MM/DD/YYYY")</f>
        <v>04/11/2018</v>
      </c>
      <c r="G3950" t="str">
        <f>VLOOKUP(A3950,inf!$D$2:$E$76,2,FALSE)</f>
        <v>Other</v>
      </c>
    </row>
    <row r="3951" spans="1:7" x14ac:dyDescent="0.25">
      <c r="A3951" t="s">
        <v>142</v>
      </c>
      <c r="B3951" s="1">
        <v>43194</v>
      </c>
      <c r="C3951" t="s">
        <v>55</v>
      </c>
      <c r="D3951">
        <v>503</v>
      </c>
      <c r="E3951" s="12" t="str">
        <f>VLOOKUP(C3951,inf!$A$2:$B$7,2,FALSE)</f>
        <v>Current</v>
      </c>
      <c r="F3951" s="12" t="str">
        <f>TEXT(B3951,"MM/DD/YYYY")</f>
        <v>04/04/2018</v>
      </c>
      <c r="G3951" t="str">
        <f>VLOOKUP(A3951,inf!$D$2:$E$76,2,FALSE)</f>
        <v>Other</v>
      </c>
    </row>
    <row r="3952" spans="1:7" x14ac:dyDescent="0.25">
      <c r="A3952" t="s">
        <v>121</v>
      </c>
      <c r="B3952" s="1">
        <v>43194</v>
      </c>
      <c r="C3952" t="s">
        <v>56</v>
      </c>
      <c r="D3952">
        <v>232.28</v>
      </c>
      <c r="E3952" s="12" t="str">
        <f>VLOOKUP(C3952,inf!$A$2:$B$7,2,FALSE)</f>
        <v>Current</v>
      </c>
      <c r="F3952" s="12" t="str">
        <f>TEXT(B3952,"MM/DD/YYYY")</f>
        <v>04/04/2018</v>
      </c>
      <c r="G3952" t="str">
        <f>VLOOKUP(A3952,inf!$D$2:$E$76,2,FALSE)</f>
        <v>Other</v>
      </c>
    </row>
    <row r="3953" spans="1:7" x14ac:dyDescent="0.25">
      <c r="A3953" t="s">
        <v>22</v>
      </c>
      <c r="B3953" s="1">
        <v>43194</v>
      </c>
      <c r="C3953" t="s">
        <v>57</v>
      </c>
      <c r="D3953">
        <v>114.85</v>
      </c>
      <c r="E3953" s="12" t="str">
        <f>VLOOKUP(C3953,inf!$A$2:$B$7,2,FALSE)</f>
        <v>31 to 60</v>
      </c>
      <c r="F3953" s="12" t="str">
        <f>TEXT(B3953,"MM/DD/YYYY")</f>
        <v>04/04/2018</v>
      </c>
      <c r="G3953" t="str">
        <f>VLOOKUP(A3953,inf!$D$2:$E$76,2,FALSE)</f>
        <v>Other</v>
      </c>
    </row>
    <row r="3954" spans="1:7" x14ac:dyDescent="0.25">
      <c r="A3954" t="s">
        <v>103</v>
      </c>
      <c r="B3954" s="1">
        <v>43194</v>
      </c>
      <c r="C3954" t="s">
        <v>56</v>
      </c>
      <c r="D3954">
        <v>463.83000000000004</v>
      </c>
      <c r="E3954" s="12" t="str">
        <f>VLOOKUP(C3954,inf!$A$2:$B$7,2,FALSE)</f>
        <v>Current</v>
      </c>
      <c r="F3954" s="12" t="str">
        <f>TEXT(B3954,"MM/DD/YYYY")</f>
        <v>04/04/2018</v>
      </c>
      <c r="G3954" t="str">
        <f>VLOOKUP(A3954,inf!$D$2:$E$76,2,FALSE)</f>
        <v>Other</v>
      </c>
    </row>
    <row r="3955" spans="1:7" x14ac:dyDescent="0.25">
      <c r="A3955" t="s">
        <v>80</v>
      </c>
      <c r="B3955" s="1">
        <v>43194</v>
      </c>
      <c r="C3955" t="s">
        <v>55</v>
      </c>
      <c r="D3955">
        <v>1217</v>
      </c>
      <c r="E3955" s="12" t="str">
        <f>VLOOKUP(C3955,inf!$A$2:$B$7,2,FALSE)</f>
        <v>Current</v>
      </c>
      <c r="F3955" s="12" t="str">
        <f t="shared" ref="F3955:F3956" si="129">TEXT(B3955,"MM/DD/YYYY")</f>
        <v>04/04/2018</v>
      </c>
      <c r="G3955" t="str">
        <f>VLOOKUP(A3955,inf!$D$2:$E$76,2,FALSE)</f>
        <v>Other</v>
      </c>
    </row>
    <row r="3956" spans="1:7" x14ac:dyDescent="0.25">
      <c r="A3956" t="s">
        <v>80</v>
      </c>
      <c r="B3956" s="1">
        <v>43194</v>
      </c>
      <c r="C3956" t="s">
        <v>56</v>
      </c>
      <c r="D3956">
        <v>114.85</v>
      </c>
      <c r="E3956" s="12" t="str">
        <f>VLOOKUP(C3956,inf!$A$2:$B$7,2,FALSE)</f>
        <v>Current</v>
      </c>
      <c r="F3956" s="12" t="str">
        <f t="shared" si="129"/>
        <v>04/04/2018</v>
      </c>
      <c r="G3956" t="str">
        <f>VLOOKUP(A3956,inf!$D$2:$E$76,2,FALSE)</f>
        <v>Other</v>
      </c>
    </row>
    <row r="3957" spans="1:7" x14ac:dyDescent="0.25">
      <c r="A3957" t="s">
        <v>4</v>
      </c>
      <c r="B3957" s="1">
        <v>43194</v>
      </c>
      <c r="C3957" t="s">
        <v>55</v>
      </c>
      <c r="D3957">
        <v>3428.6399999999994</v>
      </c>
      <c r="E3957" s="12" t="str">
        <f>VLOOKUP(C3957,inf!$A$2:$B$7,2,FALSE)</f>
        <v>Current</v>
      </c>
      <c r="F3957" s="12" t="str">
        <f t="shared" ref="F3957:F3958" si="130">TEXT(B3957,"MM/DD/YYYY")</f>
        <v>04/04/2018</v>
      </c>
      <c r="G3957" t="str">
        <f>VLOOKUP(A3957,inf!$D$2:$E$76,2,FALSE)</f>
        <v>Other</v>
      </c>
    </row>
    <row r="3958" spans="1:7" x14ac:dyDescent="0.25">
      <c r="A3958" t="s">
        <v>4</v>
      </c>
      <c r="B3958" s="1">
        <v>43194</v>
      </c>
      <c r="C3958" t="s">
        <v>56</v>
      </c>
      <c r="D3958">
        <v>3395.8099999999995</v>
      </c>
      <c r="E3958" s="12" t="str">
        <f>VLOOKUP(C3958,inf!$A$2:$B$7,2,FALSE)</f>
        <v>Current</v>
      </c>
      <c r="F3958" s="12" t="str">
        <f t="shared" si="130"/>
        <v>04/04/2018</v>
      </c>
      <c r="G3958" t="str">
        <f>VLOOKUP(A3958,inf!$D$2:$E$76,2,FALSE)</f>
        <v>Other</v>
      </c>
    </row>
    <row r="3959" spans="1:7" x14ac:dyDescent="0.25">
      <c r="A3959" t="s">
        <v>4</v>
      </c>
      <c r="B3959" s="1">
        <v>43194</v>
      </c>
      <c r="C3959" t="s">
        <v>60</v>
      </c>
      <c r="D3959">
        <v>579.34</v>
      </c>
      <c r="E3959" s="12" t="str">
        <f>VLOOKUP(C3959,inf!$A$2:$B$7,2,FALSE)</f>
        <v>Over 90</v>
      </c>
      <c r="F3959" s="12" t="str">
        <f t="shared" ref="F3959:F3965" si="131">TEXT(B3959,"MM/DD/YYYY")</f>
        <v>04/04/2018</v>
      </c>
      <c r="G3959" t="str">
        <f>VLOOKUP(A3959,inf!$D$2:$E$76,2,FALSE)</f>
        <v>Other</v>
      </c>
    </row>
    <row r="3960" spans="1:7" x14ac:dyDescent="0.25">
      <c r="A3960" t="s">
        <v>77</v>
      </c>
      <c r="B3960" s="1">
        <v>43194</v>
      </c>
      <c r="C3960" t="s">
        <v>58</v>
      </c>
      <c r="D3960">
        <v>834.05</v>
      </c>
      <c r="E3960" s="12" t="str">
        <f>VLOOKUP(C3960,inf!$A$2:$B$7,2,FALSE)</f>
        <v>61 to 90</v>
      </c>
      <c r="F3960" s="12" t="str">
        <f t="shared" si="131"/>
        <v>04/04/2018</v>
      </c>
      <c r="G3960" t="str">
        <f>VLOOKUP(A3960,inf!$D$2:$E$76,2,FALSE)</f>
        <v>Other</v>
      </c>
    </row>
    <row r="3961" spans="1:7" x14ac:dyDescent="0.25">
      <c r="A3961" t="s">
        <v>11</v>
      </c>
      <c r="B3961" s="1">
        <v>43194</v>
      </c>
      <c r="C3961" t="s">
        <v>55</v>
      </c>
      <c r="D3961">
        <v>114.85</v>
      </c>
      <c r="E3961" s="12" t="str">
        <f>VLOOKUP(C3961,inf!$A$2:$B$7,2,FALSE)</f>
        <v>Current</v>
      </c>
      <c r="F3961" s="12" t="str">
        <f t="shared" si="131"/>
        <v>04/04/2018</v>
      </c>
      <c r="G3961" t="str">
        <f>VLOOKUP(A3961,inf!$D$2:$E$76,2,FALSE)</f>
        <v>Other</v>
      </c>
    </row>
    <row r="3962" spans="1:7" x14ac:dyDescent="0.25">
      <c r="A3962" t="s">
        <v>11</v>
      </c>
      <c r="B3962" s="1">
        <v>43194</v>
      </c>
      <c r="C3962" t="s">
        <v>58</v>
      </c>
      <c r="D3962">
        <v>331.6</v>
      </c>
      <c r="E3962" s="12" t="str">
        <f>VLOOKUP(C3962,inf!$A$2:$B$7,2,FALSE)</f>
        <v>61 to 90</v>
      </c>
      <c r="F3962" s="12" t="str">
        <f t="shared" si="131"/>
        <v>04/04/2018</v>
      </c>
      <c r="G3962" t="str">
        <f>VLOOKUP(A3962,inf!$D$2:$E$76,2,FALSE)</f>
        <v>Other</v>
      </c>
    </row>
    <row r="3963" spans="1:7" x14ac:dyDescent="0.25">
      <c r="A3963" t="s">
        <v>47</v>
      </c>
      <c r="B3963" s="1">
        <v>43194</v>
      </c>
      <c r="C3963" t="s">
        <v>55</v>
      </c>
      <c r="D3963">
        <v>126.45</v>
      </c>
      <c r="E3963" s="12" t="str">
        <f>VLOOKUP(C3963,inf!$A$2:$B$7,2,FALSE)</f>
        <v>Current</v>
      </c>
      <c r="F3963" s="12" t="str">
        <f t="shared" si="131"/>
        <v>04/04/2018</v>
      </c>
      <c r="G3963" t="str">
        <f>VLOOKUP(A3963,inf!$D$2:$E$76,2,FALSE)</f>
        <v>Other</v>
      </c>
    </row>
    <row r="3964" spans="1:7" x14ac:dyDescent="0.25">
      <c r="A3964" t="s">
        <v>19</v>
      </c>
      <c r="B3964" s="1">
        <v>43194</v>
      </c>
      <c r="C3964" t="s">
        <v>55</v>
      </c>
      <c r="D3964">
        <v>1415.49</v>
      </c>
      <c r="E3964" s="12" t="str">
        <f>VLOOKUP(C3964,inf!$A$2:$B$7,2,FALSE)</f>
        <v>Current</v>
      </c>
      <c r="F3964" s="12" t="str">
        <f t="shared" si="131"/>
        <v>04/04/2018</v>
      </c>
      <c r="G3964" t="str">
        <f>VLOOKUP(A3964,inf!$D$2:$E$76,2,FALSE)</f>
        <v>Other</v>
      </c>
    </row>
    <row r="3965" spans="1:7" x14ac:dyDescent="0.25">
      <c r="A3965" t="s">
        <v>25</v>
      </c>
      <c r="B3965" s="1">
        <v>43194</v>
      </c>
      <c r="C3965" t="s">
        <v>55</v>
      </c>
      <c r="D3965">
        <v>415.26</v>
      </c>
      <c r="E3965" s="12" t="str">
        <f>VLOOKUP(C3965,inf!$A$2:$B$7,2,FALSE)</f>
        <v>Current</v>
      </c>
      <c r="F3965" s="12" t="str">
        <f t="shared" si="131"/>
        <v>04/04/2018</v>
      </c>
      <c r="G3965" t="str">
        <f>VLOOKUP(A3965,inf!$D$2:$E$76,2,FALSE)</f>
        <v>Other</v>
      </c>
    </row>
    <row r="3966" spans="1:7" x14ac:dyDescent="0.25">
      <c r="A3966" t="s">
        <v>31</v>
      </c>
      <c r="B3966" s="1">
        <v>43194</v>
      </c>
      <c r="C3966" t="s">
        <v>55</v>
      </c>
      <c r="D3966">
        <v>143.56</v>
      </c>
      <c r="E3966" s="12" t="str">
        <f>VLOOKUP(C3966,inf!$A$2:$B$7,2,FALSE)</f>
        <v>Current</v>
      </c>
      <c r="F3966" s="12" t="str">
        <f t="shared" ref="F3966:F3967" si="132">TEXT(B3966,"MM/DD/YYYY")</f>
        <v>04/04/2018</v>
      </c>
      <c r="G3966" t="str">
        <f>VLOOKUP(A3966,inf!$D$2:$E$76,2,FALSE)</f>
        <v>Other</v>
      </c>
    </row>
    <row r="3967" spans="1:7" x14ac:dyDescent="0.25">
      <c r="A3967" t="s">
        <v>31</v>
      </c>
      <c r="B3967" s="1">
        <v>43194</v>
      </c>
      <c r="C3967" t="s">
        <v>56</v>
      </c>
      <c r="D3967">
        <v>818.33</v>
      </c>
      <c r="E3967" s="12" t="str">
        <f>VLOOKUP(C3967,inf!$A$2:$B$7,2,FALSE)</f>
        <v>Current</v>
      </c>
      <c r="F3967" s="12" t="str">
        <f t="shared" si="132"/>
        <v>04/04/2018</v>
      </c>
      <c r="G3967" t="str">
        <f>VLOOKUP(A3967,inf!$D$2:$E$76,2,FALSE)</f>
        <v>Other</v>
      </c>
    </row>
    <row r="3968" spans="1:7" x14ac:dyDescent="0.25">
      <c r="A3968" t="s">
        <v>65</v>
      </c>
      <c r="B3968" s="1">
        <v>43194</v>
      </c>
      <c r="C3968" t="s">
        <v>56</v>
      </c>
      <c r="D3968">
        <v>190</v>
      </c>
      <c r="E3968" s="12" t="str">
        <f>VLOOKUP(C3968,inf!$A$2:$B$7,2,FALSE)</f>
        <v>Current</v>
      </c>
      <c r="F3968" s="12" t="str">
        <f>TEXT(B3968,"MM/DD/YYYY")</f>
        <v>04/04/2018</v>
      </c>
      <c r="G3968" t="str">
        <f>VLOOKUP(A3968,inf!$D$2:$E$76,2,FALSE)</f>
        <v>Other</v>
      </c>
    </row>
    <row r="3969" spans="1:7" x14ac:dyDescent="0.25">
      <c r="A3969" t="s">
        <v>27</v>
      </c>
      <c r="B3969" s="1">
        <v>43194</v>
      </c>
      <c r="C3969" t="s">
        <v>55</v>
      </c>
      <c r="D3969">
        <v>486.28999999999996</v>
      </c>
      <c r="E3969" s="12" t="str">
        <f>VLOOKUP(C3969,inf!$A$2:$B$7,2,FALSE)</f>
        <v>Current</v>
      </c>
      <c r="F3969" s="12" t="str">
        <f>TEXT(B3969,"MM/DD/YYYY")</f>
        <v>04/04/2018</v>
      </c>
      <c r="G3969" t="str">
        <f>VLOOKUP(A3969,inf!$D$2:$E$76,2,FALSE)</f>
        <v>Other</v>
      </c>
    </row>
    <row r="3970" spans="1:7" x14ac:dyDescent="0.25">
      <c r="A3970" t="s">
        <v>82</v>
      </c>
      <c r="B3970" s="1">
        <v>43194</v>
      </c>
      <c r="C3970" t="s">
        <v>55</v>
      </c>
      <c r="D3970">
        <v>287.13</v>
      </c>
      <c r="E3970" s="12" t="str">
        <f>VLOOKUP(C3970,inf!$A$2:$B$7,2,FALSE)</f>
        <v>Current</v>
      </c>
      <c r="F3970" s="12" t="str">
        <f t="shared" ref="F3970:F3972" si="133">TEXT(B3970,"MM/DD/YYYY")</f>
        <v>04/04/2018</v>
      </c>
      <c r="G3970" t="str">
        <f>VLOOKUP(A3970,inf!$D$2:$E$76,2,FALSE)</f>
        <v>Other</v>
      </c>
    </row>
    <row r="3971" spans="1:7" x14ac:dyDescent="0.25">
      <c r="A3971" t="s">
        <v>82</v>
      </c>
      <c r="B3971" s="1">
        <v>43194</v>
      </c>
      <c r="C3971" t="s">
        <v>56</v>
      </c>
      <c r="D3971">
        <v>358.84</v>
      </c>
      <c r="E3971" s="12" t="str">
        <f>VLOOKUP(C3971,inf!$A$2:$B$7,2,FALSE)</f>
        <v>Current</v>
      </c>
      <c r="F3971" s="12" t="str">
        <f t="shared" si="133"/>
        <v>04/04/2018</v>
      </c>
      <c r="G3971" t="str">
        <f>VLOOKUP(A3971,inf!$D$2:$E$76,2,FALSE)</f>
        <v>Other</v>
      </c>
    </row>
    <row r="3972" spans="1:7" x14ac:dyDescent="0.25">
      <c r="A3972" t="s">
        <v>82</v>
      </c>
      <c r="B3972" s="1">
        <v>43194</v>
      </c>
      <c r="C3972" t="s">
        <v>57</v>
      </c>
      <c r="D3972">
        <v>238.64</v>
      </c>
      <c r="E3972" s="12" t="str">
        <f>VLOOKUP(C3972,inf!$A$2:$B$7,2,FALSE)</f>
        <v>31 to 60</v>
      </c>
      <c r="F3972" s="12" t="str">
        <f t="shared" si="133"/>
        <v>04/04/2018</v>
      </c>
      <c r="G3972" t="str">
        <f>VLOOKUP(A3972,inf!$D$2:$E$76,2,FALSE)</f>
        <v>Other</v>
      </c>
    </row>
    <row r="3973" spans="1:7" x14ac:dyDescent="0.25">
      <c r="A3973" t="s">
        <v>53</v>
      </c>
      <c r="B3973" s="1">
        <v>43194</v>
      </c>
      <c r="C3973" t="s">
        <v>56</v>
      </c>
      <c r="D3973">
        <v>165.05</v>
      </c>
      <c r="E3973" s="12" t="str">
        <f>VLOOKUP(C3973,inf!$A$2:$B$7,2,FALSE)</f>
        <v>Current</v>
      </c>
      <c r="F3973" s="12" t="str">
        <f>TEXT(B3973,"MM/DD/YYYY")</f>
        <v>04/04/2018</v>
      </c>
      <c r="G3973" t="str">
        <f>VLOOKUP(A3973,inf!$D$2:$E$76,2,FALSE)</f>
        <v>Other</v>
      </c>
    </row>
    <row r="3974" spans="1:7" x14ac:dyDescent="0.25">
      <c r="A3974" t="s">
        <v>3</v>
      </c>
      <c r="B3974" s="1">
        <v>43194</v>
      </c>
      <c r="C3974" t="s">
        <v>55</v>
      </c>
      <c r="D3974">
        <v>1918.0400000000002</v>
      </c>
      <c r="E3974" s="12" t="str">
        <f>VLOOKUP(C3974,inf!$A$2:$B$7,2,FALSE)</f>
        <v>Current</v>
      </c>
      <c r="F3974" s="12" t="str">
        <f t="shared" ref="F3974:F3975" si="134">TEXT(B3974,"MM/DD/YYYY")</f>
        <v>04/04/2018</v>
      </c>
      <c r="G3974" t="str">
        <f>VLOOKUP(A3974,inf!$D$2:$E$76,2,FALSE)</f>
        <v>Other</v>
      </c>
    </row>
    <row r="3975" spans="1:7" x14ac:dyDescent="0.25">
      <c r="A3975" t="s">
        <v>3</v>
      </c>
      <c r="B3975" s="1">
        <v>43194</v>
      </c>
      <c r="C3975" t="s">
        <v>56</v>
      </c>
      <c r="D3975">
        <v>288.61</v>
      </c>
      <c r="E3975" s="12" t="str">
        <f>VLOOKUP(C3975,inf!$A$2:$B$7,2,FALSE)</f>
        <v>Current</v>
      </c>
      <c r="F3975" s="12" t="str">
        <f t="shared" si="134"/>
        <v>04/04/2018</v>
      </c>
      <c r="G3975" t="str">
        <f>VLOOKUP(A3975,inf!$D$2:$E$76,2,FALSE)</f>
        <v>Other</v>
      </c>
    </row>
    <row r="3976" spans="1:7" x14ac:dyDescent="0.25">
      <c r="A3976" t="s">
        <v>3</v>
      </c>
      <c r="B3976" s="1">
        <v>43194</v>
      </c>
      <c r="C3976" t="s">
        <v>58</v>
      </c>
      <c r="D3976">
        <v>62.5</v>
      </c>
      <c r="E3976" s="12" t="str">
        <f>VLOOKUP(C3976,inf!$A$2:$B$7,2,FALSE)</f>
        <v>61 to 90</v>
      </c>
      <c r="F3976" s="12" t="str">
        <f t="shared" ref="F3976:F3977" si="135">TEXT(B3976,"MM/DD/YYYY")</f>
        <v>04/04/2018</v>
      </c>
      <c r="G3976" t="str">
        <f>VLOOKUP(A3976,inf!$D$2:$E$76,2,FALSE)</f>
        <v>Other</v>
      </c>
    </row>
    <row r="3977" spans="1:7" x14ac:dyDescent="0.25">
      <c r="A3977" t="s">
        <v>3</v>
      </c>
      <c r="B3977" s="1">
        <v>43194</v>
      </c>
      <c r="C3977" t="s">
        <v>59</v>
      </c>
      <c r="D3977">
        <v>345.82</v>
      </c>
      <c r="E3977" s="12" t="str">
        <f>VLOOKUP(C3977,inf!$A$2:$B$7,2,FALSE)</f>
        <v>Over 90</v>
      </c>
      <c r="F3977" s="12" t="str">
        <f t="shared" si="135"/>
        <v>04/04/2018</v>
      </c>
      <c r="G3977" t="str">
        <f>VLOOKUP(A3977,inf!$D$2:$E$76,2,FALSE)</f>
        <v>Other</v>
      </c>
    </row>
    <row r="3978" spans="1:7" x14ac:dyDescent="0.25">
      <c r="A3978" t="s">
        <v>78</v>
      </c>
      <c r="B3978" s="1">
        <v>43194</v>
      </c>
      <c r="C3978" t="s">
        <v>55</v>
      </c>
      <c r="D3978">
        <v>281.35000000000002</v>
      </c>
      <c r="E3978" s="12" t="str">
        <f>VLOOKUP(C3978,inf!$A$2:$B$7,2,FALSE)</f>
        <v>Current</v>
      </c>
      <c r="F3978" s="12" t="str">
        <f>TEXT(B3978,"MM/DD/YYYY")</f>
        <v>04/04/2018</v>
      </c>
      <c r="G3978" t="str">
        <f>VLOOKUP(A3978,inf!$D$2:$E$76,2,FALSE)</f>
        <v>Other</v>
      </c>
    </row>
    <row r="3979" spans="1:7" x14ac:dyDescent="0.25">
      <c r="A3979" t="s">
        <v>30</v>
      </c>
      <c r="B3979" s="1">
        <v>43194</v>
      </c>
      <c r="C3979" t="s">
        <v>55</v>
      </c>
      <c r="D3979">
        <v>3386.23</v>
      </c>
      <c r="E3979" s="12" t="str">
        <f>VLOOKUP(C3979,inf!$A$2:$B$7,2,FALSE)</f>
        <v>Current</v>
      </c>
      <c r="F3979" s="12" t="str">
        <f t="shared" ref="F3979:F3981" si="136">TEXT(B3979,"MM/DD/YYYY")</f>
        <v>04/04/2018</v>
      </c>
      <c r="G3979" t="str">
        <f>VLOOKUP(A3979,inf!$D$2:$E$76,2,FALSE)</f>
        <v>Other</v>
      </c>
    </row>
    <row r="3980" spans="1:7" x14ac:dyDescent="0.25">
      <c r="A3980" t="s">
        <v>30</v>
      </c>
      <c r="B3980" s="1">
        <v>43194</v>
      </c>
      <c r="C3980" t="s">
        <v>56</v>
      </c>
      <c r="D3980">
        <v>172.28</v>
      </c>
      <c r="E3980" s="12" t="str">
        <f>VLOOKUP(C3980,inf!$A$2:$B$7,2,FALSE)</f>
        <v>Current</v>
      </c>
      <c r="F3980" s="12" t="str">
        <f t="shared" si="136"/>
        <v>04/04/2018</v>
      </c>
      <c r="G3980" t="str">
        <f>VLOOKUP(A3980,inf!$D$2:$E$76,2,FALSE)</f>
        <v>Other</v>
      </c>
    </row>
    <row r="3981" spans="1:7" x14ac:dyDescent="0.25">
      <c r="A3981" t="s">
        <v>30</v>
      </c>
      <c r="B3981" s="1">
        <v>43194</v>
      </c>
      <c r="C3981" t="s">
        <v>57</v>
      </c>
      <c r="D3981">
        <v>129.21</v>
      </c>
      <c r="E3981" s="12" t="str">
        <f>VLOOKUP(C3981,inf!$A$2:$B$7,2,FALSE)</f>
        <v>31 to 60</v>
      </c>
      <c r="F3981" s="12" t="str">
        <f t="shared" si="136"/>
        <v>04/04/2018</v>
      </c>
      <c r="G3981" t="str">
        <f>VLOOKUP(A3981,inf!$D$2:$E$76,2,FALSE)</f>
        <v>Other</v>
      </c>
    </row>
    <row r="3982" spans="1:7" x14ac:dyDescent="0.25">
      <c r="A3982" t="s">
        <v>112</v>
      </c>
      <c r="B3982" s="1">
        <v>43194</v>
      </c>
      <c r="C3982" t="s">
        <v>56</v>
      </c>
      <c r="D3982">
        <v>270.11</v>
      </c>
      <c r="E3982" s="12" t="str">
        <f>VLOOKUP(C3982,inf!$A$2:$B$7,2,FALSE)</f>
        <v>Current</v>
      </c>
      <c r="F3982" s="12" t="str">
        <f>TEXT(B3982,"MM/DD/YYYY")</f>
        <v>04/04/2018</v>
      </c>
      <c r="G3982" t="str">
        <f>VLOOKUP(A3982,inf!$D$2:$E$76,2,FALSE)</f>
        <v>Other</v>
      </c>
    </row>
    <row r="3983" spans="1:7" x14ac:dyDescent="0.25">
      <c r="A3983" t="s">
        <v>63</v>
      </c>
      <c r="B3983" s="1">
        <v>43194</v>
      </c>
      <c r="C3983" t="s">
        <v>56</v>
      </c>
      <c r="D3983">
        <v>563.72</v>
      </c>
      <c r="E3983" s="12" t="str">
        <f>VLOOKUP(C3983,inf!$A$2:$B$7,2,FALSE)</f>
        <v>Current</v>
      </c>
      <c r="F3983" s="12" t="str">
        <f>TEXT(B3983,"MM/DD/YYYY")</f>
        <v>04/04/2018</v>
      </c>
      <c r="G3983" t="str">
        <f>VLOOKUP(A3983,inf!$D$2:$E$76,2,FALSE)</f>
        <v>Other</v>
      </c>
    </row>
    <row r="3984" spans="1:7" x14ac:dyDescent="0.25">
      <c r="A3984" t="s">
        <v>104</v>
      </c>
      <c r="B3984" s="1">
        <v>43194</v>
      </c>
      <c r="C3984" t="s">
        <v>56</v>
      </c>
      <c r="D3984">
        <v>2087.54</v>
      </c>
      <c r="E3984" s="12" t="str">
        <f>VLOOKUP(C3984,inf!$A$2:$B$7,2,FALSE)</f>
        <v>Current</v>
      </c>
      <c r="F3984" s="12" t="str">
        <f>TEXT(B3984,"MM/DD/YYYY")</f>
        <v>04/04/2018</v>
      </c>
      <c r="G3984" t="str">
        <f>VLOOKUP(A3984,inf!$D$2:$E$76,2,FALSE)</f>
        <v>Other</v>
      </c>
    </row>
    <row r="3985" spans="1:7" x14ac:dyDescent="0.25">
      <c r="A3985" t="s">
        <v>12</v>
      </c>
      <c r="B3985" s="1">
        <v>43194</v>
      </c>
      <c r="C3985" t="s">
        <v>55</v>
      </c>
      <c r="D3985">
        <v>630</v>
      </c>
      <c r="E3985" s="12" t="str">
        <f>VLOOKUP(C3985,inf!$A$2:$B$7,2,FALSE)</f>
        <v>Current</v>
      </c>
      <c r="F3985" s="12" t="str">
        <f t="shared" ref="F3985:F3986" si="137">TEXT(B3985,"MM/DD/YYYY")</f>
        <v>04/04/2018</v>
      </c>
      <c r="G3985" t="str">
        <f>VLOOKUP(A3985,inf!$D$2:$E$76,2,FALSE)</f>
        <v>Other</v>
      </c>
    </row>
    <row r="3986" spans="1:7" x14ac:dyDescent="0.25">
      <c r="A3986" t="s">
        <v>12</v>
      </c>
      <c r="B3986" s="1">
        <v>43194</v>
      </c>
      <c r="C3986" t="s">
        <v>56</v>
      </c>
      <c r="D3986">
        <v>1085</v>
      </c>
      <c r="E3986" s="12" t="str">
        <f>VLOOKUP(C3986,inf!$A$2:$B$7,2,FALSE)</f>
        <v>Current</v>
      </c>
      <c r="F3986" s="12" t="str">
        <f t="shared" si="137"/>
        <v>04/04/2018</v>
      </c>
      <c r="G3986" t="str">
        <f>VLOOKUP(A3986,inf!$D$2:$E$76,2,FALSE)</f>
        <v>Other</v>
      </c>
    </row>
    <row r="3987" spans="1:7" x14ac:dyDescent="0.25">
      <c r="A3987" t="s">
        <v>50</v>
      </c>
      <c r="B3987" s="1">
        <v>43194</v>
      </c>
      <c r="C3987" t="s">
        <v>55</v>
      </c>
      <c r="D3987">
        <v>693.24</v>
      </c>
      <c r="E3987" s="12" t="str">
        <f>VLOOKUP(C3987,inf!$A$2:$B$7,2,FALSE)</f>
        <v>Current</v>
      </c>
      <c r="F3987" s="12" t="str">
        <f t="shared" ref="F3987:F3988" si="138">TEXT(B3987,"MM/DD/YYYY")</f>
        <v>04/04/2018</v>
      </c>
      <c r="G3987" t="str">
        <f>VLOOKUP(A3987,inf!$D$2:$E$76,2,FALSE)</f>
        <v>Other</v>
      </c>
    </row>
    <row r="3988" spans="1:7" x14ac:dyDescent="0.25">
      <c r="A3988" t="s">
        <v>50</v>
      </c>
      <c r="B3988" s="1">
        <v>43194</v>
      </c>
      <c r="C3988" t="s">
        <v>56</v>
      </c>
      <c r="D3988">
        <v>243.49</v>
      </c>
      <c r="E3988" s="12" t="str">
        <f>VLOOKUP(C3988,inf!$A$2:$B$7,2,FALSE)</f>
        <v>Current</v>
      </c>
      <c r="F3988" s="12" t="str">
        <f t="shared" si="138"/>
        <v>04/04/2018</v>
      </c>
      <c r="G3988" t="str">
        <f>VLOOKUP(A3988,inf!$D$2:$E$76,2,FALSE)</f>
        <v>Other</v>
      </c>
    </row>
    <row r="3989" spans="1:7" x14ac:dyDescent="0.25">
      <c r="A3989" t="s">
        <v>107</v>
      </c>
      <c r="B3989" s="1">
        <v>43194</v>
      </c>
      <c r="C3989" t="s">
        <v>56</v>
      </c>
      <c r="D3989">
        <v>196.62</v>
      </c>
      <c r="E3989" s="12" t="str">
        <f>VLOOKUP(C3989,inf!$A$2:$B$7,2,FALSE)</f>
        <v>Current</v>
      </c>
      <c r="F3989" s="12" t="str">
        <f>TEXT(B3989,"MM/DD/YYYY")</f>
        <v>04/04/2018</v>
      </c>
      <c r="G3989" t="str">
        <f>VLOOKUP(A3989,inf!$D$2:$E$76,2,FALSE)</f>
        <v>Other</v>
      </c>
    </row>
    <row r="3990" spans="1:7" x14ac:dyDescent="0.25">
      <c r="A3990" t="s">
        <v>113</v>
      </c>
      <c r="B3990" s="1">
        <v>43194</v>
      </c>
      <c r="C3990" t="s">
        <v>56</v>
      </c>
      <c r="D3990">
        <v>723.17</v>
      </c>
      <c r="E3990" s="12" t="str">
        <f>VLOOKUP(C3990,inf!$A$2:$B$7,2,FALSE)</f>
        <v>Current</v>
      </c>
      <c r="F3990" s="12" t="str">
        <f>TEXT(B3990,"MM/DD/YYYY")</f>
        <v>04/04/2018</v>
      </c>
      <c r="G3990" t="str">
        <f>VLOOKUP(A3990,inf!$D$2:$E$76,2,FALSE)</f>
        <v>Other</v>
      </c>
    </row>
    <row r="3991" spans="1:7" x14ac:dyDescent="0.25">
      <c r="A3991" t="s">
        <v>83</v>
      </c>
      <c r="B3991" s="1">
        <v>43194</v>
      </c>
      <c r="C3991" t="s">
        <v>55</v>
      </c>
      <c r="D3991">
        <v>297.73</v>
      </c>
      <c r="E3991" s="12" t="str">
        <f>VLOOKUP(C3991,inf!$A$2:$B$7,2,FALSE)</f>
        <v>Current</v>
      </c>
      <c r="F3991" s="12" t="str">
        <f t="shared" ref="F3991:F3992" si="139">TEXT(B3991,"MM/DD/YYYY")</f>
        <v>04/04/2018</v>
      </c>
      <c r="G3991" t="str">
        <f>VLOOKUP(A3991,inf!$D$2:$E$76,2,FALSE)</f>
        <v>Other</v>
      </c>
    </row>
    <row r="3992" spans="1:7" x14ac:dyDescent="0.25">
      <c r="A3992" t="s">
        <v>83</v>
      </c>
      <c r="B3992" s="1">
        <v>43194</v>
      </c>
      <c r="C3992" t="s">
        <v>56</v>
      </c>
      <c r="D3992">
        <v>1039.96</v>
      </c>
      <c r="E3992" s="12" t="str">
        <f>VLOOKUP(C3992,inf!$A$2:$B$7,2,FALSE)</f>
        <v>Current</v>
      </c>
      <c r="F3992" s="12" t="str">
        <f t="shared" si="139"/>
        <v>04/04/2018</v>
      </c>
      <c r="G3992" t="str">
        <f>VLOOKUP(A3992,inf!$D$2:$E$76,2,FALSE)</f>
        <v>Other</v>
      </c>
    </row>
    <row r="3993" spans="1:7" x14ac:dyDescent="0.25">
      <c r="A3993" t="s">
        <v>7</v>
      </c>
      <c r="B3993" s="1">
        <v>43194</v>
      </c>
      <c r="C3993" t="s">
        <v>55</v>
      </c>
      <c r="D3993">
        <v>76282.219999999987</v>
      </c>
      <c r="E3993" s="12" t="str">
        <f>VLOOKUP(C3993,inf!$A$2:$B$7,2,FALSE)</f>
        <v>Current</v>
      </c>
      <c r="F3993" s="12" t="str">
        <f t="shared" ref="F3993:F4002" si="140">TEXT(B3993,"MM/DD/YYYY")</f>
        <v>04/04/2018</v>
      </c>
      <c r="G3993" t="str">
        <f>VLOOKUP(A3993,inf!$D$2:$E$76,2,FALSE)</f>
        <v>SAFEWAY</v>
      </c>
    </row>
    <row r="3994" spans="1:7" x14ac:dyDescent="0.25">
      <c r="A3994" t="s">
        <v>7</v>
      </c>
      <c r="B3994" s="1">
        <v>43194</v>
      </c>
      <c r="C3994" t="s">
        <v>56</v>
      </c>
      <c r="D3994">
        <v>52039.90999999996</v>
      </c>
      <c r="E3994" s="12" t="str">
        <f>VLOOKUP(C3994,inf!$A$2:$B$7,2,FALSE)</f>
        <v>Current</v>
      </c>
      <c r="F3994" s="12" t="str">
        <f t="shared" si="140"/>
        <v>04/04/2018</v>
      </c>
      <c r="G3994" t="str">
        <f>VLOOKUP(A3994,inf!$D$2:$E$76,2,FALSE)</f>
        <v>SAFEWAY</v>
      </c>
    </row>
    <row r="3995" spans="1:7" x14ac:dyDescent="0.25">
      <c r="A3995" t="s">
        <v>7</v>
      </c>
      <c r="B3995" s="1">
        <v>43194</v>
      </c>
      <c r="C3995" t="s">
        <v>57</v>
      </c>
      <c r="D3995">
        <v>5441.9299999999994</v>
      </c>
      <c r="E3995" s="12" t="str">
        <f>VLOOKUP(C3995,inf!$A$2:$B$7,2,FALSE)</f>
        <v>31 to 60</v>
      </c>
      <c r="F3995" s="12" t="str">
        <f t="shared" si="140"/>
        <v>04/04/2018</v>
      </c>
      <c r="G3995" t="str">
        <f>VLOOKUP(A3995,inf!$D$2:$E$76,2,FALSE)</f>
        <v>SAFEWAY</v>
      </c>
    </row>
    <row r="3996" spans="1:7" x14ac:dyDescent="0.25">
      <c r="A3996" t="s">
        <v>7</v>
      </c>
      <c r="B3996" s="1">
        <v>43194</v>
      </c>
      <c r="C3996" t="s">
        <v>58</v>
      </c>
      <c r="D3996">
        <v>6162.0199999999995</v>
      </c>
      <c r="E3996" s="12" t="str">
        <f>VLOOKUP(C3996,inf!$A$2:$B$7,2,FALSE)</f>
        <v>61 to 90</v>
      </c>
      <c r="F3996" s="12" t="str">
        <f t="shared" si="140"/>
        <v>04/04/2018</v>
      </c>
      <c r="G3996" t="str">
        <f>VLOOKUP(A3996,inf!$D$2:$E$76,2,FALSE)</f>
        <v>SAFEWAY</v>
      </c>
    </row>
    <row r="3997" spans="1:7" x14ac:dyDescent="0.25">
      <c r="A3997" t="s">
        <v>7</v>
      </c>
      <c r="B3997" s="1">
        <v>43194</v>
      </c>
      <c r="C3997" t="s">
        <v>59</v>
      </c>
      <c r="D3997">
        <v>3987.22</v>
      </c>
      <c r="E3997" s="12" t="str">
        <f>VLOOKUP(C3997,inf!$A$2:$B$7,2,FALSE)</f>
        <v>Over 90</v>
      </c>
      <c r="F3997" s="12" t="str">
        <f t="shared" si="140"/>
        <v>04/04/2018</v>
      </c>
      <c r="G3997" t="str">
        <f>VLOOKUP(A3997,inf!$D$2:$E$76,2,FALSE)</f>
        <v>SAFEWAY</v>
      </c>
    </row>
    <row r="3998" spans="1:7" x14ac:dyDescent="0.25">
      <c r="A3998" t="s">
        <v>7</v>
      </c>
      <c r="B3998" s="1">
        <v>43194</v>
      </c>
      <c r="C3998" t="s">
        <v>60</v>
      </c>
      <c r="D3998">
        <v>6337.69</v>
      </c>
      <c r="E3998" s="12" t="str">
        <f>VLOOKUP(C3998,inf!$A$2:$B$7,2,FALSE)</f>
        <v>Over 90</v>
      </c>
      <c r="F3998" s="12" t="str">
        <f t="shared" si="140"/>
        <v>04/04/2018</v>
      </c>
      <c r="G3998" t="str">
        <f>VLOOKUP(A3998,inf!$D$2:$E$76,2,FALSE)</f>
        <v>SAFEWAY</v>
      </c>
    </row>
    <row r="3999" spans="1:7" x14ac:dyDescent="0.25">
      <c r="A3999" t="s">
        <v>81</v>
      </c>
      <c r="B3999" s="1">
        <v>43194</v>
      </c>
      <c r="C3999" t="s">
        <v>55</v>
      </c>
      <c r="D3999">
        <v>647.70000000000005</v>
      </c>
      <c r="E3999" s="12" t="str">
        <f>VLOOKUP(C3999,inf!$A$2:$B$7,2,FALSE)</f>
        <v>Current</v>
      </c>
      <c r="F3999" s="12" t="str">
        <f t="shared" si="140"/>
        <v>04/04/2018</v>
      </c>
      <c r="G3999" t="str">
        <f>VLOOKUP(A3999,inf!$D$2:$E$76,2,FALSE)</f>
        <v>Other</v>
      </c>
    </row>
    <row r="4000" spans="1:7" x14ac:dyDescent="0.25">
      <c r="A4000" t="s">
        <v>81</v>
      </c>
      <c r="B4000" s="1">
        <v>43194</v>
      </c>
      <c r="C4000" t="s">
        <v>56</v>
      </c>
      <c r="D4000">
        <v>529.35</v>
      </c>
      <c r="E4000" s="12" t="str">
        <f>VLOOKUP(C4000,inf!$A$2:$B$7,2,FALSE)</f>
        <v>Current</v>
      </c>
      <c r="F4000" s="12" t="str">
        <f t="shared" si="140"/>
        <v>04/04/2018</v>
      </c>
      <c r="G4000" t="str">
        <f>VLOOKUP(A4000,inf!$D$2:$E$76,2,FALSE)</f>
        <v>Other</v>
      </c>
    </row>
    <row r="4001" spans="1:7" x14ac:dyDescent="0.25">
      <c r="A4001" t="s">
        <v>81</v>
      </c>
      <c r="B4001" s="1">
        <v>43194</v>
      </c>
      <c r="C4001" t="s">
        <v>57</v>
      </c>
      <c r="D4001">
        <v>255.25</v>
      </c>
      <c r="E4001" s="12" t="str">
        <f>VLOOKUP(C4001,inf!$A$2:$B$7,2,FALSE)</f>
        <v>31 to 60</v>
      </c>
      <c r="F4001" s="12" t="str">
        <f t="shared" si="140"/>
        <v>04/04/2018</v>
      </c>
      <c r="G4001" t="str">
        <f>VLOOKUP(A4001,inf!$D$2:$E$76,2,FALSE)</f>
        <v>Other</v>
      </c>
    </row>
    <row r="4002" spans="1:7" x14ac:dyDescent="0.25">
      <c r="A4002" t="s">
        <v>81</v>
      </c>
      <c r="B4002" s="1">
        <v>43194</v>
      </c>
      <c r="C4002" t="s">
        <v>58</v>
      </c>
      <c r="D4002">
        <v>174.98</v>
      </c>
      <c r="E4002" s="12" t="str">
        <f>VLOOKUP(C4002,inf!$A$2:$B$7,2,FALSE)</f>
        <v>61 to 90</v>
      </c>
      <c r="F4002" s="12" t="str">
        <f t="shared" si="140"/>
        <v>04/04/2018</v>
      </c>
      <c r="G4002" t="str">
        <f>VLOOKUP(A4002,inf!$D$2:$E$76,2,FALSE)</f>
        <v>Other</v>
      </c>
    </row>
    <row r="4003" spans="1:7" x14ac:dyDescent="0.25">
      <c r="A4003" t="s">
        <v>5</v>
      </c>
      <c r="B4003" s="1">
        <v>43194</v>
      </c>
      <c r="C4003" t="s">
        <v>55</v>
      </c>
      <c r="D4003">
        <v>7489228.8199999593</v>
      </c>
      <c r="E4003" s="12" t="str">
        <f>VLOOKUP(C4003,inf!$A$2:$B$7,2,FALSE)</f>
        <v>Current</v>
      </c>
      <c r="F4003" s="12" t="str">
        <f t="shared" ref="F4003:F4014" si="141">TEXT(B4003,"MM/DD/YYYY")</f>
        <v>04/04/2018</v>
      </c>
      <c r="G4003" t="str">
        <f>VLOOKUP(A4003,inf!$D$2:$E$76,2,FALSE)</f>
        <v>SBUX</v>
      </c>
    </row>
    <row r="4004" spans="1:7" x14ac:dyDescent="0.25">
      <c r="A4004" t="s">
        <v>5</v>
      </c>
      <c r="B4004" s="1">
        <v>43194</v>
      </c>
      <c r="C4004" t="s">
        <v>56</v>
      </c>
      <c r="D4004">
        <v>121413.74</v>
      </c>
      <c r="E4004" s="12" t="str">
        <f>VLOOKUP(C4004,inf!$A$2:$B$7,2,FALSE)</f>
        <v>Current</v>
      </c>
      <c r="F4004" s="12" t="str">
        <f t="shared" si="141"/>
        <v>04/04/2018</v>
      </c>
      <c r="G4004" t="str">
        <f>VLOOKUP(A4004,inf!$D$2:$E$76,2,FALSE)</f>
        <v>SBUX</v>
      </c>
    </row>
    <row r="4005" spans="1:7" x14ac:dyDescent="0.25">
      <c r="A4005" t="s">
        <v>5</v>
      </c>
      <c r="B4005" s="1">
        <v>43194</v>
      </c>
      <c r="C4005" t="s">
        <v>57</v>
      </c>
      <c r="D4005">
        <v>135829.19999999998</v>
      </c>
      <c r="E4005" s="12" t="str">
        <f>VLOOKUP(C4005,inf!$A$2:$B$7,2,FALSE)</f>
        <v>31 to 60</v>
      </c>
      <c r="F4005" s="12" t="str">
        <f t="shared" si="141"/>
        <v>04/04/2018</v>
      </c>
      <c r="G4005" t="str">
        <f>VLOOKUP(A4005,inf!$D$2:$E$76,2,FALSE)</f>
        <v>SBUX</v>
      </c>
    </row>
    <row r="4006" spans="1:7" x14ac:dyDescent="0.25">
      <c r="A4006" t="s">
        <v>5</v>
      </c>
      <c r="B4006" s="1">
        <v>43194</v>
      </c>
      <c r="C4006" t="s">
        <v>58</v>
      </c>
      <c r="D4006">
        <v>43604.710000000006</v>
      </c>
      <c r="E4006" s="12" t="str">
        <f>VLOOKUP(C4006,inf!$A$2:$B$7,2,FALSE)</f>
        <v>61 to 90</v>
      </c>
      <c r="F4006" s="12" t="str">
        <f t="shared" si="141"/>
        <v>04/04/2018</v>
      </c>
      <c r="G4006" t="str">
        <f>VLOOKUP(A4006,inf!$D$2:$E$76,2,FALSE)</f>
        <v>SBUX</v>
      </c>
    </row>
    <row r="4007" spans="1:7" x14ac:dyDescent="0.25">
      <c r="A4007" t="s">
        <v>5</v>
      </c>
      <c r="B4007" s="1">
        <v>43194</v>
      </c>
      <c r="C4007" t="s">
        <v>59</v>
      </c>
      <c r="D4007">
        <v>22026.389999999992</v>
      </c>
      <c r="E4007" s="12" t="str">
        <f>VLOOKUP(C4007,inf!$A$2:$B$7,2,FALSE)</f>
        <v>Over 90</v>
      </c>
      <c r="F4007" s="12" t="str">
        <f t="shared" si="141"/>
        <v>04/04/2018</v>
      </c>
      <c r="G4007" t="str">
        <f>VLOOKUP(A4007,inf!$D$2:$E$76,2,FALSE)</f>
        <v>SBUX</v>
      </c>
    </row>
    <row r="4008" spans="1:7" x14ac:dyDescent="0.25">
      <c r="A4008" t="s">
        <v>5</v>
      </c>
      <c r="B4008" s="1">
        <v>43194</v>
      </c>
      <c r="C4008" t="s">
        <v>60</v>
      </c>
      <c r="D4008">
        <v>108971.89999999997</v>
      </c>
      <c r="E4008" s="12" t="str">
        <f>VLOOKUP(C4008,inf!$A$2:$B$7,2,FALSE)</f>
        <v>Over 90</v>
      </c>
      <c r="F4008" s="12" t="str">
        <f t="shared" si="141"/>
        <v>04/04/2018</v>
      </c>
      <c r="G4008" t="str">
        <f>VLOOKUP(A4008,inf!$D$2:$E$76,2,FALSE)</f>
        <v>SBUX</v>
      </c>
    </row>
    <row r="4009" spans="1:7" x14ac:dyDescent="0.25">
      <c r="A4009" t="s">
        <v>6</v>
      </c>
      <c r="B4009" s="1">
        <v>43194</v>
      </c>
      <c r="C4009" t="s">
        <v>55</v>
      </c>
      <c r="D4009">
        <v>734248.13999999186</v>
      </c>
      <c r="E4009" s="12" t="str">
        <f>VLOOKUP(C4009,inf!$A$2:$B$7,2,FALSE)</f>
        <v>Current</v>
      </c>
      <c r="F4009" s="12" t="str">
        <f t="shared" si="141"/>
        <v>04/04/2018</v>
      </c>
      <c r="G4009" t="str">
        <f>VLOOKUP(A4009,inf!$D$2:$E$76,2,FALSE)</f>
        <v>SBUX</v>
      </c>
    </row>
    <row r="4010" spans="1:7" x14ac:dyDescent="0.25">
      <c r="A4010" t="s">
        <v>6</v>
      </c>
      <c r="B4010" s="1">
        <v>43194</v>
      </c>
      <c r="C4010" t="s">
        <v>56</v>
      </c>
      <c r="D4010">
        <v>19416.109999999997</v>
      </c>
      <c r="E4010" s="12" t="str">
        <f>VLOOKUP(C4010,inf!$A$2:$B$7,2,FALSE)</f>
        <v>Current</v>
      </c>
      <c r="F4010" s="12" t="str">
        <f t="shared" si="141"/>
        <v>04/04/2018</v>
      </c>
      <c r="G4010" t="str">
        <f>VLOOKUP(A4010,inf!$D$2:$E$76,2,FALSE)</f>
        <v>SBUX</v>
      </c>
    </row>
    <row r="4011" spans="1:7" x14ac:dyDescent="0.25">
      <c r="A4011" t="s">
        <v>6</v>
      </c>
      <c r="B4011" s="1">
        <v>43194</v>
      </c>
      <c r="C4011" t="s">
        <v>57</v>
      </c>
      <c r="D4011">
        <v>17090.260000000002</v>
      </c>
      <c r="E4011" s="12" t="str">
        <f>VLOOKUP(C4011,inf!$A$2:$B$7,2,FALSE)</f>
        <v>31 to 60</v>
      </c>
      <c r="F4011" s="12" t="str">
        <f t="shared" si="141"/>
        <v>04/04/2018</v>
      </c>
      <c r="G4011" t="str">
        <f>VLOOKUP(A4011,inf!$D$2:$E$76,2,FALSE)</f>
        <v>SBUX</v>
      </c>
    </row>
    <row r="4012" spans="1:7" x14ac:dyDescent="0.25">
      <c r="A4012" t="s">
        <v>6</v>
      </c>
      <c r="B4012" s="1">
        <v>43194</v>
      </c>
      <c r="C4012" t="s">
        <v>58</v>
      </c>
      <c r="D4012">
        <v>3868.2699999999991</v>
      </c>
      <c r="E4012" s="12" t="str">
        <f>VLOOKUP(C4012,inf!$A$2:$B$7,2,FALSE)</f>
        <v>61 to 90</v>
      </c>
      <c r="F4012" s="12" t="str">
        <f t="shared" si="141"/>
        <v>04/04/2018</v>
      </c>
      <c r="G4012" t="str">
        <f>VLOOKUP(A4012,inf!$D$2:$E$76,2,FALSE)</f>
        <v>SBUX</v>
      </c>
    </row>
    <row r="4013" spans="1:7" x14ac:dyDescent="0.25">
      <c r="A4013" t="s">
        <v>6</v>
      </c>
      <c r="B4013" s="1">
        <v>43194</v>
      </c>
      <c r="C4013" t="s">
        <v>59</v>
      </c>
      <c r="D4013">
        <v>1754.3899999999999</v>
      </c>
      <c r="E4013" s="12" t="str">
        <f>VLOOKUP(C4013,inf!$A$2:$B$7,2,FALSE)</f>
        <v>Over 90</v>
      </c>
      <c r="F4013" s="12" t="str">
        <f t="shared" si="141"/>
        <v>04/04/2018</v>
      </c>
      <c r="G4013" t="str">
        <f>VLOOKUP(A4013,inf!$D$2:$E$76,2,FALSE)</f>
        <v>SBUX</v>
      </c>
    </row>
    <row r="4014" spans="1:7" x14ac:dyDescent="0.25">
      <c r="A4014" t="s">
        <v>6</v>
      </c>
      <c r="B4014" s="1">
        <v>43194</v>
      </c>
      <c r="C4014" t="s">
        <v>60</v>
      </c>
      <c r="D4014">
        <v>6369.4400000000014</v>
      </c>
      <c r="E4014" s="12" t="str">
        <f>VLOOKUP(C4014,inf!$A$2:$B$7,2,FALSE)</f>
        <v>Over 90</v>
      </c>
      <c r="F4014" s="12" t="str">
        <f t="shared" si="141"/>
        <v>04/04/2018</v>
      </c>
      <c r="G4014" t="str">
        <f>VLOOKUP(A4014,inf!$D$2:$E$76,2,FALSE)</f>
        <v>SBUX</v>
      </c>
    </row>
    <row r="4015" spans="1:7" x14ac:dyDescent="0.25">
      <c r="A4015" t="s">
        <v>49</v>
      </c>
      <c r="B4015" s="1">
        <v>43194</v>
      </c>
      <c r="C4015" t="s">
        <v>56</v>
      </c>
      <c r="D4015">
        <v>460.3</v>
      </c>
      <c r="E4015" s="12" t="str">
        <f>VLOOKUP(C4015,inf!$A$2:$B$7,2,FALSE)</f>
        <v>Current</v>
      </c>
      <c r="F4015" s="12" t="str">
        <f>TEXT(B4015,"MM/DD/YYYY")</f>
        <v>04/04/2018</v>
      </c>
      <c r="G4015" t="str">
        <f>VLOOKUP(A4015,inf!$D$2:$E$76,2,FALSE)</f>
        <v>Other</v>
      </c>
    </row>
    <row r="4016" spans="1:7" x14ac:dyDescent="0.25">
      <c r="A4016" t="s">
        <v>48</v>
      </c>
      <c r="B4016" s="1">
        <v>43194</v>
      </c>
      <c r="C4016" t="s">
        <v>55</v>
      </c>
      <c r="D4016">
        <v>265861.7699999999</v>
      </c>
      <c r="E4016" s="12" t="str">
        <f>VLOOKUP(C4016,inf!$A$2:$B$7,2,FALSE)</f>
        <v>Current</v>
      </c>
      <c r="F4016" s="12" t="str">
        <f t="shared" ref="F4016:F4030" si="142">TEXT(B4016,"MM/DD/YYYY")</f>
        <v>04/04/2018</v>
      </c>
      <c r="G4016" t="str">
        <f>VLOOKUP(A4016,inf!$D$2:$E$76,2,FALSE)</f>
        <v>Target</v>
      </c>
    </row>
    <row r="4017" spans="1:7" x14ac:dyDescent="0.25">
      <c r="A4017" t="s">
        <v>48</v>
      </c>
      <c r="B4017" s="1">
        <v>43194</v>
      </c>
      <c r="C4017" t="s">
        <v>56</v>
      </c>
      <c r="D4017">
        <v>18507.220000000005</v>
      </c>
      <c r="E4017" s="12" t="str">
        <f>VLOOKUP(C4017,inf!$A$2:$B$7,2,FALSE)</f>
        <v>Current</v>
      </c>
      <c r="F4017" s="12" t="str">
        <f t="shared" si="142"/>
        <v>04/04/2018</v>
      </c>
      <c r="G4017" t="str">
        <f>VLOOKUP(A4017,inf!$D$2:$E$76,2,FALSE)</f>
        <v>Target</v>
      </c>
    </row>
    <row r="4018" spans="1:7" x14ac:dyDescent="0.25">
      <c r="A4018" t="s">
        <v>48</v>
      </c>
      <c r="B4018" s="1">
        <v>43194</v>
      </c>
      <c r="C4018" t="s">
        <v>57</v>
      </c>
      <c r="D4018">
        <v>17545.3</v>
      </c>
      <c r="E4018" s="12" t="str">
        <f>VLOOKUP(C4018,inf!$A$2:$B$7,2,FALSE)</f>
        <v>31 to 60</v>
      </c>
      <c r="F4018" s="12" t="str">
        <f t="shared" si="142"/>
        <v>04/04/2018</v>
      </c>
      <c r="G4018" t="str">
        <f>VLOOKUP(A4018,inf!$D$2:$E$76,2,FALSE)</f>
        <v>Target</v>
      </c>
    </row>
    <row r="4019" spans="1:7" x14ac:dyDescent="0.25">
      <c r="A4019" t="s">
        <v>48</v>
      </c>
      <c r="B4019" s="1">
        <v>43194</v>
      </c>
      <c r="C4019" t="s">
        <v>58</v>
      </c>
      <c r="D4019">
        <v>18778.46</v>
      </c>
      <c r="E4019" s="12" t="str">
        <f>VLOOKUP(C4019,inf!$A$2:$B$7,2,FALSE)</f>
        <v>61 to 90</v>
      </c>
      <c r="F4019" s="12" t="str">
        <f t="shared" si="142"/>
        <v>04/04/2018</v>
      </c>
      <c r="G4019" t="str">
        <f>VLOOKUP(A4019,inf!$D$2:$E$76,2,FALSE)</f>
        <v>Target</v>
      </c>
    </row>
    <row r="4020" spans="1:7" x14ac:dyDescent="0.25">
      <c r="A4020" t="s">
        <v>48</v>
      </c>
      <c r="B4020" s="1">
        <v>43194</v>
      </c>
      <c r="C4020" t="s">
        <v>59</v>
      </c>
      <c r="D4020">
        <v>18515.940000000006</v>
      </c>
      <c r="E4020" s="12" t="str">
        <f>VLOOKUP(C4020,inf!$A$2:$B$7,2,FALSE)</f>
        <v>Over 90</v>
      </c>
      <c r="F4020" s="12" t="str">
        <f t="shared" si="142"/>
        <v>04/04/2018</v>
      </c>
      <c r="G4020" t="str">
        <f>VLOOKUP(A4020,inf!$D$2:$E$76,2,FALSE)</f>
        <v>Target</v>
      </c>
    </row>
    <row r="4021" spans="1:7" x14ac:dyDescent="0.25">
      <c r="A4021" t="s">
        <v>48</v>
      </c>
      <c r="B4021" s="1">
        <v>43194</v>
      </c>
      <c r="C4021" t="s">
        <v>60</v>
      </c>
      <c r="D4021">
        <v>14235.169999999998</v>
      </c>
      <c r="E4021" s="12" t="str">
        <f>VLOOKUP(C4021,inf!$A$2:$B$7,2,FALSE)</f>
        <v>Over 90</v>
      </c>
      <c r="F4021" s="12" t="str">
        <f t="shared" si="142"/>
        <v>04/04/2018</v>
      </c>
      <c r="G4021" t="str">
        <f>VLOOKUP(A4021,inf!$D$2:$E$76,2,FALSE)</f>
        <v>Target</v>
      </c>
    </row>
    <row r="4022" spans="1:7" x14ac:dyDescent="0.25">
      <c r="A4022" t="s">
        <v>8</v>
      </c>
      <c r="B4022" s="1">
        <v>43194</v>
      </c>
      <c r="C4022" t="s">
        <v>55</v>
      </c>
      <c r="D4022">
        <v>368912.68000000023</v>
      </c>
      <c r="E4022" s="12" t="str">
        <f>VLOOKUP(C4022,inf!$A$2:$B$7,2,FALSE)</f>
        <v>Current</v>
      </c>
      <c r="F4022" s="12" t="str">
        <f t="shared" si="142"/>
        <v>04/04/2018</v>
      </c>
      <c r="G4022" t="str">
        <f>VLOOKUP(A4022,inf!$D$2:$E$76,2,FALSE)</f>
        <v>Target</v>
      </c>
    </row>
    <row r="4023" spans="1:7" x14ac:dyDescent="0.25">
      <c r="A4023" t="s">
        <v>8</v>
      </c>
      <c r="B4023" s="1">
        <v>43194</v>
      </c>
      <c r="C4023" t="s">
        <v>56</v>
      </c>
      <c r="D4023">
        <v>5510.4099999999989</v>
      </c>
      <c r="E4023" s="12" t="str">
        <f>VLOOKUP(C4023,inf!$A$2:$B$7,2,FALSE)</f>
        <v>Current</v>
      </c>
      <c r="F4023" s="12" t="str">
        <f t="shared" si="142"/>
        <v>04/04/2018</v>
      </c>
      <c r="G4023" t="str">
        <f>VLOOKUP(A4023,inf!$D$2:$E$76,2,FALSE)</f>
        <v>Target</v>
      </c>
    </row>
    <row r="4024" spans="1:7" x14ac:dyDescent="0.25">
      <c r="A4024" t="s">
        <v>8</v>
      </c>
      <c r="B4024" s="1">
        <v>43194</v>
      </c>
      <c r="C4024" t="s">
        <v>57</v>
      </c>
      <c r="D4024">
        <v>12979.92</v>
      </c>
      <c r="E4024" s="12" t="str">
        <f>VLOOKUP(C4024,inf!$A$2:$B$7,2,FALSE)</f>
        <v>31 to 60</v>
      </c>
      <c r="F4024" s="12" t="str">
        <f t="shared" si="142"/>
        <v>04/04/2018</v>
      </c>
      <c r="G4024" t="str">
        <f>VLOOKUP(A4024,inf!$D$2:$E$76,2,FALSE)</f>
        <v>Target</v>
      </c>
    </row>
    <row r="4025" spans="1:7" x14ac:dyDescent="0.25">
      <c r="A4025" t="s">
        <v>8</v>
      </c>
      <c r="B4025" s="1">
        <v>43194</v>
      </c>
      <c r="C4025" t="s">
        <v>58</v>
      </c>
      <c r="D4025">
        <v>8416.3999999999978</v>
      </c>
      <c r="E4025" s="12" t="str">
        <f>VLOOKUP(C4025,inf!$A$2:$B$7,2,FALSE)</f>
        <v>61 to 90</v>
      </c>
      <c r="F4025" s="12" t="str">
        <f t="shared" si="142"/>
        <v>04/04/2018</v>
      </c>
      <c r="G4025" t="str">
        <f>VLOOKUP(A4025,inf!$D$2:$E$76,2,FALSE)</f>
        <v>Target</v>
      </c>
    </row>
    <row r="4026" spans="1:7" x14ac:dyDescent="0.25">
      <c r="A4026" t="s">
        <v>8</v>
      </c>
      <c r="B4026" s="1">
        <v>43194</v>
      </c>
      <c r="C4026" t="s">
        <v>59</v>
      </c>
      <c r="D4026">
        <v>10055.810000000001</v>
      </c>
      <c r="E4026" s="12" t="str">
        <f>VLOOKUP(C4026,inf!$A$2:$B$7,2,FALSE)</f>
        <v>Over 90</v>
      </c>
      <c r="F4026" s="12" t="str">
        <f t="shared" si="142"/>
        <v>04/04/2018</v>
      </c>
      <c r="G4026" t="str">
        <f>VLOOKUP(A4026,inf!$D$2:$E$76,2,FALSE)</f>
        <v>Target</v>
      </c>
    </row>
    <row r="4027" spans="1:7" x14ac:dyDescent="0.25">
      <c r="A4027" t="s">
        <v>8</v>
      </c>
      <c r="B4027" s="1">
        <v>43194</v>
      </c>
      <c r="C4027" t="s">
        <v>60</v>
      </c>
      <c r="D4027">
        <v>17441.210000000003</v>
      </c>
      <c r="E4027" s="12" t="str">
        <f>VLOOKUP(C4027,inf!$A$2:$B$7,2,FALSE)</f>
        <v>Over 90</v>
      </c>
      <c r="F4027" s="12" t="str">
        <f t="shared" si="142"/>
        <v>04/04/2018</v>
      </c>
      <c r="G4027" t="str">
        <f>VLOOKUP(A4027,inf!$D$2:$E$76,2,FALSE)</f>
        <v>Target</v>
      </c>
    </row>
    <row r="4028" spans="1:7" x14ac:dyDescent="0.25">
      <c r="A4028" t="s">
        <v>54</v>
      </c>
      <c r="B4028" s="1">
        <v>43194</v>
      </c>
      <c r="C4028" t="s">
        <v>55</v>
      </c>
      <c r="D4028">
        <v>370.93</v>
      </c>
      <c r="E4028" s="12" t="str">
        <f>VLOOKUP(C4028,inf!$A$2:$B$7,2,FALSE)</f>
        <v>Current</v>
      </c>
      <c r="F4028" s="12" t="str">
        <f t="shared" si="142"/>
        <v>04/04/2018</v>
      </c>
      <c r="G4028" t="str">
        <f>VLOOKUP(A4028,inf!$D$2:$E$76,2,FALSE)</f>
        <v>Other</v>
      </c>
    </row>
    <row r="4029" spans="1:7" x14ac:dyDescent="0.25">
      <c r="A4029" t="s">
        <v>54</v>
      </c>
      <c r="B4029" s="1">
        <v>43194</v>
      </c>
      <c r="C4029" t="s">
        <v>56</v>
      </c>
      <c r="D4029">
        <v>213</v>
      </c>
      <c r="E4029" s="12" t="str">
        <f>VLOOKUP(C4029,inf!$A$2:$B$7,2,FALSE)</f>
        <v>Current</v>
      </c>
      <c r="F4029" s="12" t="str">
        <f t="shared" si="142"/>
        <v>04/04/2018</v>
      </c>
      <c r="G4029" t="str">
        <f>VLOOKUP(A4029,inf!$D$2:$E$76,2,FALSE)</f>
        <v>Other</v>
      </c>
    </row>
    <row r="4030" spans="1:7" x14ac:dyDescent="0.25">
      <c r="A4030" t="s">
        <v>54</v>
      </c>
      <c r="B4030" s="1">
        <v>43194</v>
      </c>
      <c r="C4030" t="s">
        <v>57</v>
      </c>
      <c r="D4030">
        <v>497.05</v>
      </c>
      <c r="E4030" s="12" t="str">
        <f>VLOOKUP(C4030,inf!$A$2:$B$7,2,FALSE)</f>
        <v>31 to 60</v>
      </c>
      <c r="F4030" s="12" t="str">
        <f t="shared" si="142"/>
        <v>04/04/2018</v>
      </c>
      <c r="G4030" t="str">
        <f>VLOOKUP(A4030,inf!$D$2:$E$76,2,FALSE)</f>
        <v>Other</v>
      </c>
    </row>
    <row r="4031" spans="1:7" x14ac:dyDescent="0.25">
      <c r="A4031" t="s">
        <v>54</v>
      </c>
      <c r="B4031" s="1">
        <v>43194</v>
      </c>
      <c r="C4031" t="s">
        <v>60</v>
      </c>
      <c r="D4031">
        <v>122.72</v>
      </c>
      <c r="E4031" s="12" t="str">
        <f>VLOOKUP(C4031,inf!$A$2:$B$7,2,FALSE)</f>
        <v>Over 90</v>
      </c>
      <c r="F4031" s="12" t="str">
        <f t="shared" ref="F4031:F4036" si="143">TEXT(B4031,"MM/DD/YYYY")</f>
        <v>04/04/2018</v>
      </c>
      <c r="G4031" t="str">
        <f>VLOOKUP(A4031,inf!$D$2:$E$76,2,FALSE)</f>
        <v>Other</v>
      </c>
    </row>
    <row r="4032" spans="1:7" x14ac:dyDescent="0.25">
      <c r="A4032" t="s">
        <v>28</v>
      </c>
      <c r="B4032" s="1">
        <v>43194</v>
      </c>
      <c r="C4032" t="s">
        <v>55</v>
      </c>
      <c r="D4032">
        <v>2381.48</v>
      </c>
      <c r="E4032" s="12" t="str">
        <f>VLOOKUP(C4032,inf!$A$2:$B$7,2,FALSE)</f>
        <v>Current</v>
      </c>
      <c r="F4032" s="12" t="str">
        <f t="shared" si="143"/>
        <v>04/04/2018</v>
      </c>
      <c r="G4032" t="str">
        <f>VLOOKUP(A4032,inf!$D$2:$E$76,2,FALSE)</f>
        <v>Other</v>
      </c>
    </row>
    <row r="4033" spans="1:7" x14ac:dyDescent="0.25">
      <c r="A4033" t="s">
        <v>28</v>
      </c>
      <c r="B4033" s="1">
        <v>43194</v>
      </c>
      <c r="C4033" t="s">
        <v>56</v>
      </c>
      <c r="D4033">
        <v>187.36</v>
      </c>
      <c r="E4033" s="12" t="str">
        <f>VLOOKUP(C4033,inf!$A$2:$B$7,2,FALSE)</f>
        <v>Current</v>
      </c>
      <c r="F4033" s="12" t="str">
        <f t="shared" si="143"/>
        <v>04/04/2018</v>
      </c>
      <c r="G4033" t="str">
        <f>VLOOKUP(A4033,inf!$D$2:$E$76,2,FALSE)</f>
        <v>Other</v>
      </c>
    </row>
    <row r="4034" spans="1:7" x14ac:dyDescent="0.25">
      <c r="A4034" t="s">
        <v>28</v>
      </c>
      <c r="B4034" s="1">
        <v>43194</v>
      </c>
      <c r="C4034" t="s">
        <v>57</v>
      </c>
      <c r="D4034">
        <v>145.63999999999999</v>
      </c>
      <c r="E4034" s="12" t="str">
        <f>VLOOKUP(C4034,inf!$A$2:$B$7,2,FALSE)</f>
        <v>31 to 60</v>
      </c>
      <c r="F4034" s="12" t="str">
        <f t="shared" si="143"/>
        <v>04/04/2018</v>
      </c>
      <c r="G4034" t="str">
        <f>VLOOKUP(A4034,inf!$D$2:$E$76,2,FALSE)</f>
        <v>Other</v>
      </c>
    </row>
    <row r="4035" spans="1:7" x14ac:dyDescent="0.25">
      <c r="A4035" t="s">
        <v>28</v>
      </c>
      <c r="B4035" s="1">
        <v>43194</v>
      </c>
      <c r="C4035" t="s">
        <v>58</v>
      </c>
      <c r="D4035">
        <v>268.37</v>
      </c>
      <c r="E4035" s="12" t="str">
        <f>VLOOKUP(C4035,inf!$A$2:$B$7,2,FALSE)</f>
        <v>61 to 90</v>
      </c>
      <c r="F4035" s="12" t="str">
        <f t="shared" si="143"/>
        <v>04/04/2018</v>
      </c>
      <c r="G4035" t="str">
        <f>VLOOKUP(A4035,inf!$D$2:$E$76,2,FALSE)</f>
        <v>Other</v>
      </c>
    </row>
    <row r="4036" spans="1:7" x14ac:dyDescent="0.25">
      <c r="A4036" t="s">
        <v>28</v>
      </c>
      <c r="B4036" s="1">
        <v>43194</v>
      </c>
      <c r="C4036" t="s">
        <v>59</v>
      </c>
      <c r="D4036">
        <v>152.51</v>
      </c>
      <c r="E4036" s="12" t="str">
        <f>VLOOKUP(C4036,inf!$A$2:$B$7,2,FALSE)</f>
        <v>Over 90</v>
      </c>
      <c r="F4036" s="12" t="str">
        <f t="shared" si="143"/>
        <v>04/04/2018</v>
      </c>
      <c r="G4036" t="str">
        <f>VLOOKUP(A4036,inf!$D$2:$E$76,2,FALSE)</f>
        <v>Other</v>
      </c>
    </row>
    <row r="4037" spans="1:7" x14ac:dyDescent="0.25">
      <c r="A4037" t="s">
        <v>15</v>
      </c>
      <c r="B4037" s="1">
        <v>43194</v>
      </c>
      <c r="C4037" t="s">
        <v>55</v>
      </c>
      <c r="D4037">
        <v>128.72999999999999</v>
      </c>
      <c r="E4037" s="12" t="str">
        <f>VLOOKUP(C4037,inf!$A$2:$B$7,2,FALSE)</f>
        <v>Current</v>
      </c>
      <c r="F4037" s="12" t="str">
        <f t="shared" ref="F4037:F4038" si="144">TEXT(B4037,"MM/DD/YYYY")</f>
        <v>04/04/2018</v>
      </c>
      <c r="G4037" t="str">
        <f>VLOOKUP(A4037,inf!$D$2:$E$76,2,FALSE)</f>
        <v>Other</v>
      </c>
    </row>
    <row r="4038" spans="1:7" x14ac:dyDescent="0.25">
      <c r="A4038" t="s">
        <v>15</v>
      </c>
      <c r="B4038" s="1">
        <v>43194</v>
      </c>
      <c r="C4038" t="s">
        <v>56</v>
      </c>
      <c r="D4038">
        <v>1296.1499999999999</v>
      </c>
      <c r="E4038" s="12" t="str">
        <f>VLOOKUP(C4038,inf!$A$2:$B$7,2,FALSE)</f>
        <v>Current</v>
      </c>
      <c r="F4038" s="12" t="str">
        <f t="shared" si="144"/>
        <v>04/04/2018</v>
      </c>
      <c r="G4038" t="str">
        <f>VLOOKUP(A4038,inf!$D$2:$E$76,2,FALSE)</f>
        <v>Other</v>
      </c>
    </row>
    <row r="4039" spans="1:7" x14ac:dyDescent="0.25">
      <c r="A4039" t="s">
        <v>15</v>
      </c>
      <c r="B4039" s="1">
        <v>43194</v>
      </c>
      <c r="C4039" t="s">
        <v>59</v>
      </c>
      <c r="D4039">
        <v>317.29000000000002</v>
      </c>
      <c r="E4039" s="12" t="str">
        <f>VLOOKUP(C4039,inf!$A$2:$B$7,2,FALSE)</f>
        <v>Over 90</v>
      </c>
      <c r="F4039" s="12" t="str">
        <f t="shared" ref="F4039:F4040" si="145">TEXT(B4039,"MM/DD/YYYY")</f>
        <v>04/04/2018</v>
      </c>
      <c r="G4039" t="str">
        <f>VLOOKUP(A4039,inf!$D$2:$E$76,2,FALSE)</f>
        <v>Other</v>
      </c>
    </row>
    <row r="4040" spans="1:7" x14ac:dyDescent="0.25">
      <c r="A4040" t="s">
        <v>15</v>
      </c>
      <c r="B4040" s="1">
        <v>43194</v>
      </c>
      <c r="C4040" t="s">
        <v>60</v>
      </c>
      <c r="D4040">
        <v>653.86</v>
      </c>
      <c r="E4040" s="12" t="str">
        <f>VLOOKUP(C4040,inf!$A$2:$B$7,2,FALSE)</f>
        <v>Over 90</v>
      </c>
      <c r="F4040" s="12" t="str">
        <f t="shared" si="145"/>
        <v>04/04/2018</v>
      </c>
      <c r="G4040" t="str">
        <f>VLOOKUP(A4040,inf!$D$2:$E$76,2,FALSE)</f>
        <v>Other</v>
      </c>
    </row>
    <row r="4041" spans="1:7" x14ac:dyDescent="0.25">
      <c r="A4041" t="s">
        <v>121</v>
      </c>
      <c r="B4041" s="1">
        <v>43187</v>
      </c>
      <c r="C4041" t="s">
        <v>55</v>
      </c>
      <c r="D4041">
        <v>232.28</v>
      </c>
      <c r="E4041" s="12" t="str">
        <f>VLOOKUP(C4041,inf!$A$2:$B$7,2,FALSE)</f>
        <v>Current</v>
      </c>
      <c r="F4041" s="12" t="str">
        <f>TEXT(B4041,"MM/DD/YYYY")</f>
        <v>03/28/2018</v>
      </c>
      <c r="G4041" t="str">
        <f>VLOOKUP(A4041,inf!$D$2:$E$76,2,FALSE)</f>
        <v>Other</v>
      </c>
    </row>
    <row r="4042" spans="1:7" x14ac:dyDescent="0.25">
      <c r="A4042" t="s">
        <v>22</v>
      </c>
      <c r="B4042" s="1">
        <v>43187</v>
      </c>
      <c r="C4042" t="s">
        <v>57</v>
      </c>
      <c r="D4042">
        <v>114.85</v>
      </c>
      <c r="E4042" s="12" t="str">
        <f>VLOOKUP(C4042,inf!$A$2:$B$7,2,FALSE)</f>
        <v>31 to 60</v>
      </c>
      <c r="F4042" s="12" t="str">
        <f t="shared" ref="F4042:F4043" si="146">TEXT(B4042,"MM/DD/YYYY")</f>
        <v>03/28/2018</v>
      </c>
      <c r="G4042" t="str">
        <f>VLOOKUP(A4042,inf!$D$2:$E$76,2,FALSE)</f>
        <v>Other</v>
      </c>
    </row>
    <row r="4043" spans="1:7" x14ac:dyDescent="0.25">
      <c r="A4043" t="s">
        <v>22</v>
      </c>
      <c r="B4043" s="1">
        <v>43187</v>
      </c>
      <c r="C4043" t="s">
        <v>58</v>
      </c>
      <c r="D4043">
        <v>114.85</v>
      </c>
      <c r="E4043" s="12" t="str">
        <f>VLOOKUP(C4043,inf!$A$2:$B$7,2,FALSE)</f>
        <v>61 to 90</v>
      </c>
      <c r="F4043" s="12" t="str">
        <f t="shared" si="146"/>
        <v>03/28/2018</v>
      </c>
      <c r="G4043" t="str">
        <f>VLOOKUP(A4043,inf!$D$2:$E$76,2,FALSE)</f>
        <v>Other</v>
      </c>
    </row>
    <row r="4044" spans="1:7" x14ac:dyDescent="0.25">
      <c r="A4044" t="s">
        <v>103</v>
      </c>
      <c r="B4044" s="1">
        <v>43187</v>
      </c>
      <c r="C4044" t="s">
        <v>55</v>
      </c>
      <c r="D4044">
        <v>360.43</v>
      </c>
      <c r="E4044" s="12" t="str">
        <f>VLOOKUP(C4044,inf!$A$2:$B$7,2,FALSE)</f>
        <v>Current</v>
      </c>
      <c r="F4044" s="12" t="str">
        <f t="shared" ref="F4044:F4045" si="147">TEXT(B4044,"MM/DD/YYYY")</f>
        <v>03/28/2018</v>
      </c>
      <c r="G4044" t="str">
        <f>VLOOKUP(A4044,inf!$D$2:$E$76,2,FALSE)</f>
        <v>Other</v>
      </c>
    </row>
    <row r="4045" spans="1:7" x14ac:dyDescent="0.25">
      <c r="A4045" t="s">
        <v>103</v>
      </c>
      <c r="B4045" s="1">
        <v>43187</v>
      </c>
      <c r="C4045" t="s">
        <v>56</v>
      </c>
      <c r="D4045">
        <v>103.4</v>
      </c>
      <c r="E4045" s="12" t="str">
        <f>VLOOKUP(C4045,inf!$A$2:$B$7,2,FALSE)</f>
        <v>Current</v>
      </c>
      <c r="F4045" s="12" t="str">
        <f t="shared" si="147"/>
        <v>03/28/2018</v>
      </c>
      <c r="G4045" t="str">
        <f>VLOOKUP(A4045,inf!$D$2:$E$76,2,FALSE)</f>
        <v>Other</v>
      </c>
    </row>
    <row r="4046" spans="1:7" x14ac:dyDescent="0.25">
      <c r="A4046" t="s">
        <v>80</v>
      </c>
      <c r="B4046" s="1">
        <v>43187</v>
      </c>
      <c r="C4046" t="s">
        <v>55</v>
      </c>
      <c r="D4046">
        <v>1217</v>
      </c>
      <c r="E4046" s="12" t="str">
        <f>VLOOKUP(C4046,inf!$A$2:$B$7,2,FALSE)</f>
        <v>Current</v>
      </c>
      <c r="F4046" s="12" t="str">
        <f t="shared" ref="F4046:F4047" si="148">TEXT(B4046,"MM/DD/YYYY")</f>
        <v>03/28/2018</v>
      </c>
      <c r="G4046" t="str">
        <f>VLOOKUP(A4046,inf!$D$2:$E$76,2,FALSE)</f>
        <v>Other</v>
      </c>
    </row>
    <row r="4047" spans="1:7" x14ac:dyDescent="0.25">
      <c r="A4047" t="s">
        <v>80</v>
      </c>
      <c r="B4047" s="1">
        <v>43187</v>
      </c>
      <c r="C4047" t="s">
        <v>56</v>
      </c>
      <c r="D4047">
        <v>114.85</v>
      </c>
      <c r="E4047" s="12" t="str">
        <f>VLOOKUP(C4047,inf!$A$2:$B$7,2,FALSE)</f>
        <v>Current</v>
      </c>
      <c r="F4047" s="12" t="str">
        <f t="shared" si="148"/>
        <v>03/28/2018</v>
      </c>
      <c r="G4047" t="str">
        <f>VLOOKUP(A4047,inf!$D$2:$E$76,2,FALSE)</f>
        <v>Other</v>
      </c>
    </row>
    <row r="4048" spans="1:7" x14ac:dyDescent="0.25">
      <c r="A4048" t="s">
        <v>4</v>
      </c>
      <c r="B4048" s="1">
        <v>43187</v>
      </c>
      <c r="C4048" t="s">
        <v>55</v>
      </c>
      <c r="D4048">
        <v>5139.8200000000006</v>
      </c>
      <c r="E4048" s="12" t="str">
        <f>VLOOKUP(C4048,inf!$A$2:$B$7,2,FALSE)</f>
        <v>Current</v>
      </c>
      <c r="F4048" s="12" t="str">
        <f t="shared" ref="F4048:F4049" si="149">TEXT(B4048,"MM/DD/YYYY")</f>
        <v>03/28/2018</v>
      </c>
      <c r="G4048" t="str">
        <f>VLOOKUP(A4048,inf!$D$2:$E$76,2,FALSE)</f>
        <v>Other</v>
      </c>
    </row>
    <row r="4049" spans="1:7" x14ac:dyDescent="0.25">
      <c r="A4049" t="s">
        <v>4</v>
      </c>
      <c r="B4049" s="1">
        <v>43187</v>
      </c>
      <c r="C4049" t="s">
        <v>56</v>
      </c>
      <c r="D4049">
        <v>5419.33</v>
      </c>
      <c r="E4049" s="12" t="str">
        <f>VLOOKUP(C4049,inf!$A$2:$B$7,2,FALSE)</f>
        <v>Current</v>
      </c>
      <c r="F4049" s="12" t="str">
        <f t="shared" si="149"/>
        <v>03/28/2018</v>
      </c>
      <c r="G4049" t="str">
        <f>VLOOKUP(A4049,inf!$D$2:$E$76,2,FALSE)</f>
        <v>Other</v>
      </c>
    </row>
    <row r="4050" spans="1:7" x14ac:dyDescent="0.25">
      <c r="A4050" t="s">
        <v>4</v>
      </c>
      <c r="B4050" s="1">
        <v>43187</v>
      </c>
      <c r="C4050" t="s">
        <v>59</v>
      </c>
      <c r="D4050">
        <v>52.5</v>
      </c>
      <c r="E4050" s="12" t="str">
        <f>VLOOKUP(C4050,inf!$A$2:$B$7,2,FALSE)</f>
        <v>Over 90</v>
      </c>
      <c r="F4050" s="12" t="str">
        <f t="shared" ref="F4050:F4051" si="150">TEXT(B4050,"MM/DD/YYYY")</f>
        <v>03/28/2018</v>
      </c>
      <c r="G4050" t="str">
        <f>VLOOKUP(A4050,inf!$D$2:$E$76,2,FALSE)</f>
        <v>Other</v>
      </c>
    </row>
    <row r="4051" spans="1:7" x14ac:dyDescent="0.25">
      <c r="A4051" t="s">
        <v>4</v>
      </c>
      <c r="B4051" s="1">
        <v>43187</v>
      </c>
      <c r="C4051" t="s">
        <v>60</v>
      </c>
      <c r="D4051">
        <v>526.84</v>
      </c>
      <c r="E4051" s="12" t="str">
        <f>VLOOKUP(C4051,inf!$A$2:$B$7,2,FALSE)</f>
        <v>Over 90</v>
      </c>
      <c r="F4051" s="12" t="str">
        <f t="shared" si="150"/>
        <v>03/28/2018</v>
      </c>
      <c r="G4051" t="str">
        <f>VLOOKUP(A4051,inf!$D$2:$E$76,2,FALSE)</f>
        <v>Other</v>
      </c>
    </row>
    <row r="4052" spans="1:7" x14ac:dyDescent="0.25">
      <c r="A4052" t="s">
        <v>77</v>
      </c>
      <c r="B4052" s="1">
        <v>43187</v>
      </c>
      <c r="C4052" t="s">
        <v>58</v>
      </c>
      <c r="D4052">
        <v>834.05</v>
      </c>
      <c r="E4052" s="12" t="str">
        <f>VLOOKUP(C4052,inf!$A$2:$B$7,2,FALSE)</f>
        <v>61 to 90</v>
      </c>
      <c r="F4052" s="12" t="str">
        <f t="shared" ref="F4052:F4057" si="151">TEXT(B4052,"MM/DD/YYYY")</f>
        <v>03/28/2018</v>
      </c>
      <c r="G4052" t="str">
        <f>VLOOKUP(A4052,inf!$D$2:$E$76,2,FALSE)</f>
        <v>Other</v>
      </c>
    </row>
    <row r="4053" spans="1:7" x14ac:dyDescent="0.25">
      <c r="A4053" t="s">
        <v>11</v>
      </c>
      <c r="B4053" s="1">
        <v>43187</v>
      </c>
      <c r="C4053" t="s">
        <v>55</v>
      </c>
      <c r="D4053">
        <v>114.85</v>
      </c>
      <c r="E4053" s="12" t="str">
        <f>VLOOKUP(C4053,inf!$A$2:$B$7,2,FALSE)</f>
        <v>Current</v>
      </c>
      <c r="F4053" s="12" t="str">
        <f t="shared" si="151"/>
        <v>03/28/2018</v>
      </c>
      <c r="G4053" t="str">
        <f>VLOOKUP(A4053,inf!$D$2:$E$76,2,FALSE)</f>
        <v>Other</v>
      </c>
    </row>
    <row r="4054" spans="1:7" x14ac:dyDescent="0.25">
      <c r="A4054" t="s">
        <v>11</v>
      </c>
      <c r="B4054" s="1">
        <v>43187</v>
      </c>
      <c r="C4054" t="s">
        <v>58</v>
      </c>
      <c r="D4054">
        <v>331.6</v>
      </c>
      <c r="E4054" s="12" t="str">
        <f>VLOOKUP(C4054,inf!$A$2:$B$7,2,FALSE)</f>
        <v>61 to 90</v>
      </c>
      <c r="F4054" s="12" t="str">
        <f t="shared" si="151"/>
        <v>03/28/2018</v>
      </c>
      <c r="G4054" t="str">
        <f>VLOOKUP(A4054,inf!$D$2:$E$76,2,FALSE)</f>
        <v>Other</v>
      </c>
    </row>
    <row r="4055" spans="1:7" x14ac:dyDescent="0.25">
      <c r="A4055" t="s">
        <v>47</v>
      </c>
      <c r="B4055" s="1">
        <v>43187</v>
      </c>
      <c r="C4055" t="s">
        <v>55</v>
      </c>
      <c r="D4055">
        <v>126.45</v>
      </c>
      <c r="E4055" s="12" t="str">
        <f>VLOOKUP(C4055,inf!$A$2:$B$7,2,FALSE)</f>
        <v>Current</v>
      </c>
      <c r="F4055" s="12" t="str">
        <f t="shared" si="151"/>
        <v>03/28/2018</v>
      </c>
      <c r="G4055" t="str">
        <f>VLOOKUP(A4055,inf!$D$2:$E$76,2,FALSE)</f>
        <v>Other</v>
      </c>
    </row>
    <row r="4056" spans="1:7" x14ac:dyDescent="0.25">
      <c r="A4056" t="s">
        <v>19</v>
      </c>
      <c r="B4056" s="1">
        <v>43187</v>
      </c>
      <c r="C4056" t="s">
        <v>55</v>
      </c>
      <c r="D4056">
        <v>1415.49</v>
      </c>
      <c r="E4056" s="12" t="str">
        <f>VLOOKUP(C4056,inf!$A$2:$B$7,2,FALSE)</f>
        <v>Current</v>
      </c>
      <c r="F4056" s="12" t="str">
        <f t="shared" si="151"/>
        <v>03/28/2018</v>
      </c>
      <c r="G4056" t="str">
        <f>VLOOKUP(A4056,inf!$D$2:$E$76,2,FALSE)</f>
        <v>Other</v>
      </c>
    </row>
    <row r="4057" spans="1:7" x14ac:dyDescent="0.25">
      <c r="A4057" t="s">
        <v>25</v>
      </c>
      <c r="B4057" s="1">
        <v>43187</v>
      </c>
      <c r="C4057" t="s">
        <v>55</v>
      </c>
      <c r="D4057">
        <v>415.26</v>
      </c>
      <c r="E4057" s="12" t="str">
        <f>VLOOKUP(C4057,inf!$A$2:$B$7,2,FALSE)</f>
        <v>Current</v>
      </c>
      <c r="F4057" s="12" t="str">
        <f t="shared" si="151"/>
        <v>03/28/2018</v>
      </c>
      <c r="G4057" t="str">
        <f>VLOOKUP(A4057,inf!$D$2:$E$76,2,FALSE)</f>
        <v>Other</v>
      </c>
    </row>
    <row r="4058" spans="1:7" x14ac:dyDescent="0.25">
      <c r="A4058" t="s">
        <v>31</v>
      </c>
      <c r="B4058" s="1">
        <v>43187</v>
      </c>
      <c r="C4058" t="s">
        <v>55</v>
      </c>
      <c r="D4058">
        <v>143.56</v>
      </c>
      <c r="E4058" s="12" t="str">
        <f>VLOOKUP(C4058,inf!$A$2:$B$7,2,FALSE)</f>
        <v>Current</v>
      </c>
      <c r="F4058" s="12" t="str">
        <f t="shared" ref="F4058:F4059" si="152">TEXT(B4058,"MM/DD/YYYY")</f>
        <v>03/28/2018</v>
      </c>
      <c r="G4058" t="str">
        <f>VLOOKUP(A4058,inf!$D$2:$E$76,2,FALSE)</f>
        <v>Other</v>
      </c>
    </row>
    <row r="4059" spans="1:7" x14ac:dyDescent="0.25">
      <c r="A4059" t="s">
        <v>31</v>
      </c>
      <c r="B4059" s="1">
        <v>43187</v>
      </c>
      <c r="C4059" t="s">
        <v>56</v>
      </c>
      <c r="D4059">
        <v>818.33</v>
      </c>
      <c r="E4059" s="12" t="str">
        <f>VLOOKUP(C4059,inf!$A$2:$B$7,2,FALSE)</f>
        <v>Current</v>
      </c>
      <c r="F4059" s="12" t="str">
        <f t="shared" si="152"/>
        <v>03/28/2018</v>
      </c>
      <c r="G4059" t="str">
        <f>VLOOKUP(A4059,inf!$D$2:$E$76,2,FALSE)</f>
        <v>Other</v>
      </c>
    </row>
    <row r="4060" spans="1:7" x14ac:dyDescent="0.25">
      <c r="A4060" t="s">
        <v>24</v>
      </c>
      <c r="B4060" s="1">
        <v>43187</v>
      </c>
      <c r="C4060" t="s">
        <v>55</v>
      </c>
      <c r="D4060">
        <v>601.92999999999995</v>
      </c>
      <c r="E4060" s="12" t="str">
        <f>VLOOKUP(C4060,inf!$A$2:$B$7,2,FALSE)</f>
        <v>Current</v>
      </c>
      <c r="F4060" s="12" t="str">
        <f t="shared" ref="F4060:F4066" si="153">TEXT(B4060,"MM/DD/YYYY")</f>
        <v>03/28/2018</v>
      </c>
      <c r="G4060" t="str">
        <f>VLOOKUP(A4060,inf!$D$2:$E$76,2,FALSE)</f>
        <v>Other</v>
      </c>
    </row>
    <row r="4061" spans="1:7" x14ac:dyDescent="0.25">
      <c r="A4061" t="s">
        <v>65</v>
      </c>
      <c r="B4061" s="1">
        <v>43187</v>
      </c>
      <c r="C4061" t="s">
        <v>56</v>
      </c>
      <c r="D4061">
        <v>190</v>
      </c>
      <c r="E4061" s="12" t="str">
        <f>VLOOKUP(C4061,inf!$A$2:$B$7,2,FALSE)</f>
        <v>Current</v>
      </c>
      <c r="F4061" s="12" t="str">
        <f t="shared" si="153"/>
        <v>03/28/2018</v>
      </c>
      <c r="G4061" t="str">
        <f>VLOOKUP(A4061,inf!$D$2:$E$76,2,FALSE)</f>
        <v>Other</v>
      </c>
    </row>
    <row r="4062" spans="1:7" x14ac:dyDescent="0.25">
      <c r="A4062" t="s">
        <v>27</v>
      </c>
      <c r="B4062" s="1">
        <v>43187</v>
      </c>
      <c r="C4062" t="s">
        <v>55</v>
      </c>
      <c r="D4062">
        <v>371.44</v>
      </c>
      <c r="E4062" s="12" t="str">
        <f>VLOOKUP(C4062,inf!$A$2:$B$7,2,FALSE)</f>
        <v>Current</v>
      </c>
      <c r="F4062" s="12" t="str">
        <f t="shared" si="153"/>
        <v>03/28/2018</v>
      </c>
      <c r="G4062" t="str">
        <f>VLOOKUP(A4062,inf!$D$2:$E$76,2,FALSE)</f>
        <v>Other</v>
      </c>
    </row>
    <row r="4063" spans="1:7" x14ac:dyDescent="0.25">
      <c r="A4063" t="s">
        <v>82</v>
      </c>
      <c r="B4063" s="1">
        <v>43187</v>
      </c>
      <c r="C4063" t="s">
        <v>55</v>
      </c>
      <c r="D4063">
        <v>358.84</v>
      </c>
      <c r="E4063" s="12" t="str">
        <f>VLOOKUP(C4063,inf!$A$2:$B$7,2,FALSE)</f>
        <v>Current</v>
      </c>
      <c r="F4063" s="12" t="str">
        <f t="shared" si="153"/>
        <v>03/28/2018</v>
      </c>
      <c r="G4063" t="str">
        <f>VLOOKUP(A4063,inf!$D$2:$E$76,2,FALSE)</f>
        <v>Other</v>
      </c>
    </row>
    <row r="4064" spans="1:7" x14ac:dyDescent="0.25">
      <c r="A4064" t="s">
        <v>82</v>
      </c>
      <c r="B4064" s="1">
        <v>43187</v>
      </c>
      <c r="C4064" t="s">
        <v>57</v>
      </c>
      <c r="D4064">
        <v>238.64</v>
      </c>
      <c r="E4064" s="12" t="str">
        <f>VLOOKUP(C4064,inf!$A$2:$B$7,2,FALSE)</f>
        <v>31 to 60</v>
      </c>
      <c r="F4064" s="12" t="str">
        <f t="shared" si="153"/>
        <v>03/28/2018</v>
      </c>
      <c r="G4064" t="str">
        <f>VLOOKUP(A4064,inf!$D$2:$E$76,2,FALSE)</f>
        <v>Other</v>
      </c>
    </row>
    <row r="4065" spans="1:7" x14ac:dyDescent="0.25">
      <c r="A4065" t="s">
        <v>53</v>
      </c>
      <c r="B4065" s="1">
        <v>43187</v>
      </c>
      <c r="C4065" t="s">
        <v>55</v>
      </c>
      <c r="D4065">
        <v>165.05</v>
      </c>
      <c r="E4065" s="12" t="str">
        <f>VLOOKUP(C4065,inf!$A$2:$B$7,2,FALSE)</f>
        <v>Current</v>
      </c>
      <c r="F4065" s="12" t="str">
        <f t="shared" si="153"/>
        <v>03/28/2018</v>
      </c>
      <c r="G4065" t="str">
        <f>VLOOKUP(A4065,inf!$D$2:$E$76,2,FALSE)</f>
        <v>Other</v>
      </c>
    </row>
    <row r="4066" spans="1:7" x14ac:dyDescent="0.25">
      <c r="A4066" t="s">
        <v>3</v>
      </c>
      <c r="B4066" s="1">
        <v>43187</v>
      </c>
      <c r="C4066" t="s">
        <v>55</v>
      </c>
      <c r="D4066">
        <v>2107.4899999999998</v>
      </c>
      <c r="E4066" s="12" t="str">
        <f>VLOOKUP(C4066,inf!$A$2:$B$7,2,FALSE)</f>
        <v>Current</v>
      </c>
      <c r="F4066" s="12" t="str">
        <f t="shared" si="153"/>
        <v>03/28/2018</v>
      </c>
      <c r="G4066" t="str">
        <f>VLOOKUP(A4066,inf!$D$2:$E$76,2,FALSE)</f>
        <v>Other</v>
      </c>
    </row>
    <row r="4067" spans="1:7" x14ac:dyDescent="0.25">
      <c r="A4067" t="s">
        <v>3</v>
      </c>
      <c r="B4067" s="1">
        <v>43187</v>
      </c>
      <c r="C4067" t="s">
        <v>58</v>
      </c>
      <c r="D4067">
        <v>62.5</v>
      </c>
      <c r="E4067" s="12" t="str">
        <f>VLOOKUP(C4067,inf!$A$2:$B$7,2,FALSE)</f>
        <v>61 to 90</v>
      </c>
      <c r="F4067" s="12" t="str">
        <f t="shared" ref="F4067:F4068" si="154">TEXT(B4067,"MM/DD/YYYY")</f>
        <v>03/28/2018</v>
      </c>
      <c r="G4067" t="str">
        <f>VLOOKUP(A4067,inf!$D$2:$E$76,2,FALSE)</f>
        <v>Other</v>
      </c>
    </row>
    <row r="4068" spans="1:7" x14ac:dyDescent="0.25">
      <c r="A4068" t="s">
        <v>3</v>
      </c>
      <c r="B4068" s="1">
        <v>43187</v>
      </c>
      <c r="C4068" t="s">
        <v>59</v>
      </c>
      <c r="D4068">
        <v>345.82</v>
      </c>
      <c r="E4068" s="12" t="str">
        <f>VLOOKUP(C4068,inf!$A$2:$B$7,2,FALSE)</f>
        <v>Over 90</v>
      </c>
      <c r="F4068" s="12" t="str">
        <f t="shared" si="154"/>
        <v>03/28/2018</v>
      </c>
      <c r="G4068" t="str">
        <f>VLOOKUP(A4068,inf!$D$2:$E$76,2,FALSE)</f>
        <v>Other</v>
      </c>
    </row>
    <row r="4069" spans="1:7" x14ac:dyDescent="0.25">
      <c r="A4069" t="s">
        <v>78</v>
      </c>
      <c r="B4069" s="1">
        <v>43187</v>
      </c>
      <c r="C4069" t="s">
        <v>55</v>
      </c>
      <c r="D4069">
        <v>281.35000000000002</v>
      </c>
      <c r="E4069" s="12" t="str">
        <f>VLOOKUP(C4069,inf!$A$2:$B$7,2,FALSE)</f>
        <v>Current</v>
      </c>
      <c r="F4069" s="12" t="str">
        <f t="shared" ref="F4069:F4079" si="155">TEXT(B4069,"MM/DD/YYYY")</f>
        <v>03/28/2018</v>
      </c>
      <c r="G4069" t="str">
        <f>VLOOKUP(A4069,inf!$D$2:$E$76,2,FALSE)</f>
        <v>Other</v>
      </c>
    </row>
    <row r="4070" spans="1:7" x14ac:dyDescent="0.25">
      <c r="A4070" t="s">
        <v>79</v>
      </c>
      <c r="B4070" s="1">
        <v>43187</v>
      </c>
      <c r="C4070" t="s">
        <v>55</v>
      </c>
      <c r="D4070">
        <v>275.3</v>
      </c>
      <c r="E4070" s="12" t="str">
        <f>VLOOKUP(C4070,inf!$A$2:$B$7,2,FALSE)</f>
        <v>Current</v>
      </c>
      <c r="F4070" s="12" t="str">
        <f t="shared" si="155"/>
        <v>03/28/2018</v>
      </c>
      <c r="G4070" t="str">
        <f>VLOOKUP(A4070,inf!$D$2:$E$76,2,FALSE)</f>
        <v>Other</v>
      </c>
    </row>
    <row r="4071" spans="1:7" x14ac:dyDescent="0.25">
      <c r="A4071" t="s">
        <v>30</v>
      </c>
      <c r="B4071" s="1">
        <v>43187</v>
      </c>
      <c r="C4071" t="s">
        <v>55</v>
      </c>
      <c r="D4071">
        <v>4632.7000000000007</v>
      </c>
      <c r="E4071" s="12" t="str">
        <f>VLOOKUP(C4071,inf!$A$2:$B$7,2,FALSE)</f>
        <v>Current</v>
      </c>
      <c r="F4071" s="12" t="str">
        <f t="shared" si="155"/>
        <v>03/28/2018</v>
      </c>
      <c r="G4071" t="str">
        <f>VLOOKUP(A4071,inf!$D$2:$E$76,2,FALSE)</f>
        <v>Other</v>
      </c>
    </row>
    <row r="4072" spans="1:7" x14ac:dyDescent="0.25">
      <c r="A4072" t="s">
        <v>30</v>
      </c>
      <c r="B4072" s="1">
        <v>43187</v>
      </c>
      <c r="C4072" t="s">
        <v>57</v>
      </c>
      <c r="D4072">
        <v>129.21</v>
      </c>
      <c r="E4072" s="12" t="str">
        <f>VLOOKUP(C4072,inf!$A$2:$B$7,2,FALSE)</f>
        <v>31 to 60</v>
      </c>
      <c r="F4072" s="12" t="str">
        <f t="shared" si="155"/>
        <v>03/28/2018</v>
      </c>
      <c r="G4072" t="str">
        <f>VLOOKUP(A4072,inf!$D$2:$E$76,2,FALSE)</f>
        <v>Other</v>
      </c>
    </row>
    <row r="4073" spans="1:7" x14ac:dyDescent="0.25">
      <c r="A4073" t="s">
        <v>112</v>
      </c>
      <c r="B4073" s="1">
        <v>43187</v>
      </c>
      <c r="C4073" t="s">
        <v>55</v>
      </c>
      <c r="D4073">
        <v>270.11</v>
      </c>
      <c r="E4073" s="12" t="str">
        <f>VLOOKUP(C4073,inf!$A$2:$B$7,2,FALSE)</f>
        <v>Current</v>
      </c>
      <c r="F4073" s="12" t="str">
        <f t="shared" si="155"/>
        <v>03/28/2018</v>
      </c>
      <c r="G4073" t="str">
        <f>VLOOKUP(A4073,inf!$D$2:$E$76,2,FALSE)</f>
        <v>Other</v>
      </c>
    </row>
    <row r="4074" spans="1:7" x14ac:dyDescent="0.25">
      <c r="A4074" t="s">
        <v>63</v>
      </c>
      <c r="B4074" s="1">
        <v>43187</v>
      </c>
      <c r="C4074" t="s">
        <v>55</v>
      </c>
      <c r="D4074">
        <v>563.72</v>
      </c>
      <c r="E4074" s="12" t="str">
        <f>VLOOKUP(C4074,inf!$A$2:$B$7,2,FALSE)</f>
        <v>Current</v>
      </c>
      <c r="F4074" s="12" t="str">
        <f t="shared" si="155"/>
        <v>03/28/2018</v>
      </c>
      <c r="G4074" t="str">
        <f>VLOOKUP(A4074,inf!$D$2:$E$76,2,FALSE)</f>
        <v>Other</v>
      </c>
    </row>
    <row r="4075" spans="1:7" x14ac:dyDescent="0.25">
      <c r="A4075" t="s">
        <v>104</v>
      </c>
      <c r="B4075" s="1">
        <v>43187</v>
      </c>
      <c r="C4075" t="s">
        <v>56</v>
      </c>
      <c r="D4075">
        <v>2087.54</v>
      </c>
      <c r="E4075" s="12" t="str">
        <f>VLOOKUP(C4075,inf!$A$2:$B$7,2,FALSE)</f>
        <v>Current</v>
      </c>
      <c r="F4075" s="12" t="str">
        <f t="shared" si="155"/>
        <v>03/28/2018</v>
      </c>
      <c r="G4075" t="str">
        <f>VLOOKUP(A4075,inf!$D$2:$E$76,2,FALSE)</f>
        <v>Other</v>
      </c>
    </row>
    <row r="4076" spans="1:7" x14ac:dyDescent="0.25">
      <c r="A4076" t="s">
        <v>12</v>
      </c>
      <c r="B4076" s="1">
        <v>43187</v>
      </c>
      <c r="C4076" t="s">
        <v>55</v>
      </c>
      <c r="D4076">
        <v>1715</v>
      </c>
      <c r="E4076" s="12" t="str">
        <f>VLOOKUP(C4076,inf!$A$2:$B$7,2,FALSE)</f>
        <v>Current</v>
      </c>
      <c r="F4076" s="12" t="str">
        <f t="shared" si="155"/>
        <v>03/28/2018</v>
      </c>
      <c r="G4076" t="str">
        <f>VLOOKUP(A4076,inf!$D$2:$E$76,2,FALSE)</f>
        <v>Other</v>
      </c>
    </row>
    <row r="4077" spans="1:7" x14ac:dyDescent="0.25">
      <c r="A4077" t="s">
        <v>50</v>
      </c>
      <c r="B4077" s="1">
        <v>43187</v>
      </c>
      <c r="C4077" t="s">
        <v>55</v>
      </c>
      <c r="D4077">
        <v>936.73</v>
      </c>
      <c r="E4077" s="12" t="str">
        <f>VLOOKUP(C4077,inf!$A$2:$B$7,2,FALSE)</f>
        <v>Current</v>
      </c>
      <c r="F4077" s="12" t="str">
        <f t="shared" si="155"/>
        <v>03/28/2018</v>
      </c>
      <c r="G4077" t="str">
        <f>VLOOKUP(A4077,inf!$D$2:$E$76,2,FALSE)</f>
        <v>Other</v>
      </c>
    </row>
    <row r="4078" spans="1:7" x14ac:dyDescent="0.25">
      <c r="A4078" t="s">
        <v>107</v>
      </c>
      <c r="B4078" s="1">
        <v>43187</v>
      </c>
      <c r="C4078" t="s">
        <v>56</v>
      </c>
      <c r="D4078">
        <v>196.62</v>
      </c>
      <c r="E4078" s="12" t="str">
        <f>VLOOKUP(C4078,inf!$A$2:$B$7,2,FALSE)</f>
        <v>Current</v>
      </c>
      <c r="F4078" s="12" t="str">
        <f t="shared" si="155"/>
        <v>03/28/2018</v>
      </c>
      <c r="G4078" t="str">
        <f>VLOOKUP(A4078,inf!$D$2:$E$76,2,FALSE)</f>
        <v>Other</v>
      </c>
    </row>
    <row r="4079" spans="1:7" x14ac:dyDescent="0.25">
      <c r="A4079" t="s">
        <v>113</v>
      </c>
      <c r="B4079" s="1">
        <v>43187</v>
      </c>
      <c r="C4079" t="s">
        <v>55</v>
      </c>
      <c r="D4079">
        <v>723.17</v>
      </c>
      <c r="E4079" s="12" t="str">
        <f>VLOOKUP(C4079,inf!$A$2:$B$7,2,FALSE)</f>
        <v>Current</v>
      </c>
      <c r="F4079" s="12" t="str">
        <f t="shared" si="155"/>
        <v>03/28/2018</v>
      </c>
      <c r="G4079" t="str">
        <f>VLOOKUP(A4079,inf!$D$2:$E$76,2,FALSE)</f>
        <v>Other</v>
      </c>
    </row>
    <row r="4080" spans="1:7" x14ac:dyDescent="0.25">
      <c r="A4080" t="s">
        <v>83</v>
      </c>
      <c r="B4080" s="1">
        <v>43187</v>
      </c>
      <c r="C4080" t="s">
        <v>55</v>
      </c>
      <c r="D4080">
        <v>950.06000000000006</v>
      </c>
      <c r="E4080" s="12" t="str">
        <f>VLOOKUP(C4080,inf!$A$2:$B$7,2,FALSE)</f>
        <v>Current</v>
      </c>
      <c r="F4080" s="12" t="str">
        <f t="shared" ref="F4080:F4081" si="156">TEXT(B4080,"MM/DD/YYYY")</f>
        <v>03/28/2018</v>
      </c>
      <c r="G4080" t="str">
        <f>VLOOKUP(A4080,inf!$D$2:$E$76,2,FALSE)</f>
        <v>Other</v>
      </c>
    </row>
    <row r="4081" spans="1:7" x14ac:dyDescent="0.25">
      <c r="A4081" t="s">
        <v>83</v>
      </c>
      <c r="B4081" s="1">
        <v>43187</v>
      </c>
      <c r="C4081" t="s">
        <v>56</v>
      </c>
      <c r="D4081">
        <v>387.63</v>
      </c>
      <c r="E4081" s="12" t="str">
        <f>VLOOKUP(C4081,inf!$A$2:$B$7,2,FALSE)</f>
        <v>Current</v>
      </c>
      <c r="F4081" s="12" t="str">
        <f t="shared" si="156"/>
        <v>03/28/2018</v>
      </c>
      <c r="G4081" t="str">
        <f>VLOOKUP(A4081,inf!$D$2:$E$76,2,FALSE)</f>
        <v>Other</v>
      </c>
    </row>
    <row r="4082" spans="1:7" x14ac:dyDescent="0.25">
      <c r="A4082" t="s">
        <v>7</v>
      </c>
      <c r="B4082" s="1">
        <v>43187</v>
      </c>
      <c r="C4082" t="s">
        <v>55</v>
      </c>
      <c r="D4082">
        <v>81351.01999999999</v>
      </c>
      <c r="E4082" s="12" t="str">
        <f>VLOOKUP(C4082,inf!$A$2:$B$7,2,FALSE)</f>
        <v>Current</v>
      </c>
      <c r="F4082" s="12" t="str">
        <f t="shared" ref="F4082:F4088" si="157">TEXT(B4082,"MM/DD/YYYY")</f>
        <v>03/28/2018</v>
      </c>
      <c r="G4082" t="str">
        <f>VLOOKUP(A4082,inf!$D$2:$E$76,2,FALSE)</f>
        <v>SAFEWAY</v>
      </c>
    </row>
    <row r="4083" spans="1:7" x14ac:dyDescent="0.25">
      <c r="A4083" t="s">
        <v>7</v>
      </c>
      <c r="B4083" s="1">
        <v>43187</v>
      </c>
      <c r="C4083" t="s">
        <v>56</v>
      </c>
      <c r="D4083">
        <v>37712.929999999978</v>
      </c>
      <c r="E4083" s="12" t="str">
        <f>VLOOKUP(C4083,inf!$A$2:$B$7,2,FALSE)</f>
        <v>Current</v>
      </c>
      <c r="F4083" s="12" t="str">
        <f t="shared" si="157"/>
        <v>03/28/2018</v>
      </c>
      <c r="G4083" t="str">
        <f>VLOOKUP(A4083,inf!$D$2:$E$76,2,FALSE)</f>
        <v>SAFEWAY</v>
      </c>
    </row>
    <row r="4084" spans="1:7" x14ac:dyDescent="0.25">
      <c r="A4084" t="s">
        <v>7</v>
      </c>
      <c r="B4084" s="1">
        <v>43187</v>
      </c>
      <c r="C4084" t="s">
        <v>57</v>
      </c>
      <c r="D4084">
        <v>7840.13</v>
      </c>
      <c r="E4084" s="12" t="str">
        <f>VLOOKUP(C4084,inf!$A$2:$B$7,2,FALSE)</f>
        <v>31 to 60</v>
      </c>
      <c r="F4084" s="12" t="str">
        <f t="shared" si="157"/>
        <v>03/28/2018</v>
      </c>
      <c r="G4084" t="str">
        <f>VLOOKUP(A4084,inf!$D$2:$E$76,2,FALSE)</f>
        <v>SAFEWAY</v>
      </c>
    </row>
    <row r="4085" spans="1:7" x14ac:dyDescent="0.25">
      <c r="A4085" t="s">
        <v>7</v>
      </c>
      <c r="B4085" s="1">
        <v>43187</v>
      </c>
      <c r="C4085" t="s">
        <v>58</v>
      </c>
      <c r="D4085">
        <v>4579.9600000000009</v>
      </c>
      <c r="E4085" s="12" t="str">
        <f>VLOOKUP(C4085,inf!$A$2:$B$7,2,FALSE)</f>
        <v>61 to 90</v>
      </c>
      <c r="F4085" s="12" t="str">
        <f t="shared" si="157"/>
        <v>03/28/2018</v>
      </c>
      <c r="G4085" t="str">
        <f>VLOOKUP(A4085,inf!$D$2:$E$76,2,FALSE)</f>
        <v>SAFEWAY</v>
      </c>
    </row>
    <row r="4086" spans="1:7" x14ac:dyDescent="0.25">
      <c r="A4086" t="s">
        <v>7</v>
      </c>
      <c r="B4086" s="1">
        <v>43187</v>
      </c>
      <c r="C4086" t="s">
        <v>59</v>
      </c>
      <c r="D4086">
        <v>5276.02</v>
      </c>
      <c r="E4086" s="12" t="str">
        <f>VLOOKUP(C4086,inf!$A$2:$B$7,2,FALSE)</f>
        <v>Over 90</v>
      </c>
      <c r="F4086" s="12" t="str">
        <f t="shared" si="157"/>
        <v>03/28/2018</v>
      </c>
      <c r="G4086" t="str">
        <f>VLOOKUP(A4086,inf!$D$2:$E$76,2,FALSE)</f>
        <v>SAFEWAY</v>
      </c>
    </row>
    <row r="4087" spans="1:7" x14ac:dyDescent="0.25">
      <c r="A4087" t="s">
        <v>7</v>
      </c>
      <c r="B4087" s="1">
        <v>43187</v>
      </c>
      <c r="C4087" t="s">
        <v>60</v>
      </c>
      <c r="D4087">
        <v>4592.0499999999993</v>
      </c>
      <c r="E4087" s="12" t="str">
        <f>VLOOKUP(C4087,inf!$A$2:$B$7,2,FALSE)</f>
        <v>Over 90</v>
      </c>
      <c r="F4087" s="12" t="str">
        <f t="shared" si="157"/>
        <v>03/28/2018</v>
      </c>
      <c r="G4087" t="str">
        <f>VLOOKUP(A4087,inf!$D$2:$E$76,2,FALSE)</f>
        <v>SAFEWAY</v>
      </c>
    </row>
    <row r="4088" spans="1:7" x14ac:dyDescent="0.25">
      <c r="A4088" t="s">
        <v>81</v>
      </c>
      <c r="B4088" s="1">
        <v>43187</v>
      </c>
      <c r="C4088" t="s">
        <v>55</v>
      </c>
      <c r="D4088">
        <v>1177.05</v>
      </c>
      <c r="E4088" s="12" t="str">
        <f>VLOOKUP(C4088,inf!$A$2:$B$7,2,FALSE)</f>
        <v>Current</v>
      </c>
      <c r="F4088" s="12" t="str">
        <f t="shared" si="157"/>
        <v>03/28/2018</v>
      </c>
      <c r="G4088" t="str">
        <f>VLOOKUP(A4088,inf!$D$2:$E$76,2,FALSE)</f>
        <v>Other</v>
      </c>
    </row>
    <row r="4089" spans="1:7" x14ac:dyDescent="0.25">
      <c r="A4089" t="s">
        <v>81</v>
      </c>
      <c r="B4089" s="1">
        <v>43187</v>
      </c>
      <c r="C4089" t="s">
        <v>57</v>
      </c>
      <c r="D4089">
        <v>255.25</v>
      </c>
      <c r="E4089" s="12" t="str">
        <f>VLOOKUP(C4089,inf!$A$2:$B$7,2,FALSE)</f>
        <v>31 to 60</v>
      </c>
      <c r="F4089" s="12" t="str">
        <f t="shared" ref="F4089:F4090" si="158">TEXT(B4089,"MM/DD/YYYY")</f>
        <v>03/28/2018</v>
      </c>
      <c r="G4089" t="str">
        <f>VLOOKUP(A4089,inf!$D$2:$E$76,2,FALSE)</f>
        <v>Other</v>
      </c>
    </row>
    <row r="4090" spans="1:7" x14ac:dyDescent="0.25">
      <c r="A4090" t="s">
        <v>81</v>
      </c>
      <c r="B4090" s="1">
        <v>43187</v>
      </c>
      <c r="C4090" t="s">
        <v>58</v>
      </c>
      <c r="D4090">
        <v>174.98</v>
      </c>
      <c r="E4090" s="12" t="str">
        <f>VLOOKUP(C4090,inf!$A$2:$B$7,2,FALSE)</f>
        <v>61 to 90</v>
      </c>
      <c r="F4090" s="12" t="str">
        <f t="shared" si="158"/>
        <v>03/28/2018</v>
      </c>
      <c r="G4090" t="str">
        <f>VLOOKUP(A4090,inf!$D$2:$E$76,2,FALSE)</f>
        <v>Other</v>
      </c>
    </row>
    <row r="4091" spans="1:7" x14ac:dyDescent="0.25">
      <c r="A4091" t="s">
        <v>74</v>
      </c>
      <c r="B4091" s="1">
        <v>43187</v>
      </c>
      <c r="C4091" t="s">
        <v>60</v>
      </c>
      <c r="D4091">
        <v>60.5</v>
      </c>
      <c r="E4091" s="12" t="str">
        <f>VLOOKUP(C4091,inf!$A$2:$B$7,2,FALSE)</f>
        <v>Over 90</v>
      </c>
      <c r="F4091" s="12" t="str">
        <f t="shared" ref="F4091:F4103" si="159">TEXT(B4091,"MM/DD/YYYY")</f>
        <v>03/28/2018</v>
      </c>
      <c r="G4091" t="str">
        <f>VLOOKUP(A4091,inf!$D$2:$E$76,2,FALSE)</f>
        <v>Other</v>
      </c>
    </row>
    <row r="4092" spans="1:7" x14ac:dyDescent="0.25">
      <c r="A4092" t="s">
        <v>5</v>
      </c>
      <c r="B4092" s="1">
        <v>43187</v>
      </c>
      <c r="C4092" t="s">
        <v>55</v>
      </c>
      <c r="D4092">
        <v>7589869.2899999944</v>
      </c>
      <c r="E4092" s="12" t="str">
        <f>VLOOKUP(C4092,inf!$A$2:$B$7,2,FALSE)</f>
        <v>Current</v>
      </c>
      <c r="F4092" s="12" t="str">
        <f t="shared" si="159"/>
        <v>03/28/2018</v>
      </c>
      <c r="G4092" t="str">
        <f>VLOOKUP(A4092,inf!$D$2:$E$76,2,FALSE)</f>
        <v>SBUX</v>
      </c>
    </row>
    <row r="4093" spans="1:7" x14ac:dyDescent="0.25">
      <c r="A4093" t="s">
        <v>5</v>
      </c>
      <c r="B4093" s="1">
        <v>43187</v>
      </c>
      <c r="C4093" t="s">
        <v>56</v>
      </c>
      <c r="D4093">
        <v>217018.58999999982</v>
      </c>
      <c r="E4093" s="12" t="str">
        <f>VLOOKUP(C4093,inf!$A$2:$B$7,2,FALSE)</f>
        <v>Current</v>
      </c>
      <c r="F4093" s="12" t="str">
        <f t="shared" si="159"/>
        <v>03/28/2018</v>
      </c>
      <c r="G4093" t="str">
        <f>VLOOKUP(A4093,inf!$D$2:$E$76,2,FALSE)</f>
        <v>SBUX</v>
      </c>
    </row>
    <row r="4094" spans="1:7" x14ac:dyDescent="0.25">
      <c r="A4094" t="s">
        <v>5</v>
      </c>
      <c r="B4094" s="1">
        <v>43187</v>
      </c>
      <c r="C4094" t="s">
        <v>57</v>
      </c>
      <c r="D4094">
        <v>37549.650000000016</v>
      </c>
      <c r="E4094" s="12" t="str">
        <f>VLOOKUP(C4094,inf!$A$2:$B$7,2,FALSE)</f>
        <v>31 to 60</v>
      </c>
      <c r="F4094" s="12" t="str">
        <f t="shared" si="159"/>
        <v>03/28/2018</v>
      </c>
      <c r="G4094" t="str">
        <f>VLOOKUP(A4094,inf!$D$2:$E$76,2,FALSE)</f>
        <v>SBUX</v>
      </c>
    </row>
    <row r="4095" spans="1:7" x14ac:dyDescent="0.25">
      <c r="A4095" t="s">
        <v>5</v>
      </c>
      <c r="B4095" s="1">
        <v>43187</v>
      </c>
      <c r="C4095" t="s">
        <v>58</v>
      </c>
      <c r="D4095">
        <v>43023.039999999994</v>
      </c>
      <c r="E4095" s="12" t="str">
        <f>VLOOKUP(C4095,inf!$A$2:$B$7,2,FALSE)</f>
        <v>61 to 90</v>
      </c>
      <c r="F4095" s="12" t="str">
        <f t="shared" si="159"/>
        <v>03/28/2018</v>
      </c>
      <c r="G4095" t="str">
        <f>VLOOKUP(A4095,inf!$D$2:$E$76,2,FALSE)</f>
        <v>SBUX</v>
      </c>
    </row>
    <row r="4096" spans="1:7" x14ac:dyDescent="0.25">
      <c r="A4096" t="s">
        <v>5</v>
      </c>
      <c r="B4096" s="1">
        <v>43187</v>
      </c>
      <c r="C4096" t="s">
        <v>59</v>
      </c>
      <c r="D4096">
        <v>18402.889999999996</v>
      </c>
      <c r="E4096" s="12" t="str">
        <f>VLOOKUP(C4096,inf!$A$2:$B$7,2,FALSE)</f>
        <v>Over 90</v>
      </c>
      <c r="F4096" s="12" t="str">
        <f t="shared" si="159"/>
        <v>03/28/2018</v>
      </c>
      <c r="G4096" t="str">
        <f>VLOOKUP(A4096,inf!$D$2:$E$76,2,FALSE)</f>
        <v>SBUX</v>
      </c>
    </row>
    <row r="4097" spans="1:7" x14ac:dyDescent="0.25">
      <c r="A4097" t="s">
        <v>5</v>
      </c>
      <c r="B4097" s="1">
        <v>43187</v>
      </c>
      <c r="C4097" t="s">
        <v>60</v>
      </c>
      <c r="D4097">
        <v>112276.71999999997</v>
      </c>
      <c r="E4097" s="12" t="str">
        <f>VLOOKUP(C4097,inf!$A$2:$B$7,2,FALSE)</f>
        <v>Over 90</v>
      </c>
      <c r="F4097" s="12" t="str">
        <f t="shared" si="159"/>
        <v>03/28/2018</v>
      </c>
      <c r="G4097" t="str">
        <f>VLOOKUP(A4097,inf!$D$2:$E$76,2,FALSE)</f>
        <v>SBUX</v>
      </c>
    </row>
    <row r="4098" spans="1:7" x14ac:dyDescent="0.25">
      <c r="A4098" t="s">
        <v>6</v>
      </c>
      <c r="B4098" s="1">
        <v>43187</v>
      </c>
      <c r="C4098" t="s">
        <v>55</v>
      </c>
      <c r="D4098">
        <v>733420.95999999088</v>
      </c>
      <c r="E4098" s="12" t="str">
        <f>VLOOKUP(C4098,inf!$A$2:$B$7,2,FALSE)</f>
        <v>Current</v>
      </c>
      <c r="F4098" s="12" t="str">
        <f t="shared" si="159"/>
        <v>03/28/2018</v>
      </c>
      <c r="G4098" t="str">
        <f>VLOOKUP(A4098,inf!$D$2:$E$76,2,FALSE)</f>
        <v>SBUX</v>
      </c>
    </row>
    <row r="4099" spans="1:7" x14ac:dyDescent="0.25">
      <c r="A4099" t="s">
        <v>6</v>
      </c>
      <c r="B4099" s="1">
        <v>43187</v>
      </c>
      <c r="C4099" t="s">
        <v>56</v>
      </c>
      <c r="D4099">
        <v>16843.39</v>
      </c>
      <c r="E4099" s="12" t="str">
        <f>VLOOKUP(C4099,inf!$A$2:$B$7,2,FALSE)</f>
        <v>Current</v>
      </c>
      <c r="F4099" s="12" t="str">
        <f t="shared" si="159"/>
        <v>03/28/2018</v>
      </c>
      <c r="G4099" t="str">
        <f>VLOOKUP(A4099,inf!$D$2:$E$76,2,FALSE)</f>
        <v>SBUX</v>
      </c>
    </row>
    <row r="4100" spans="1:7" x14ac:dyDescent="0.25">
      <c r="A4100" t="s">
        <v>6</v>
      </c>
      <c r="B4100" s="1">
        <v>43187</v>
      </c>
      <c r="C4100" t="s">
        <v>57</v>
      </c>
      <c r="D4100">
        <v>17366.34</v>
      </c>
      <c r="E4100" s="12" t="str">
        <f>VLOOKUP(C4100,inf!$A$2:$B$7,2,FALSE)</f>
        <v>31 to 60</v>
      </c>
      <c r="F4100" s="12" t="str">
        <f t="shared" si="159"/>
        <v>03/28/2018</v>
      </c>
      <c r="G4100" t="str">
        <f>VLOOKUP(A4100,inf!$D$2:$E$76,2,FALSE)</f>
        <v>SBUX</v>
      </c>
    </row>
    <row r="4101" spans="1:7" x14ac:dyDescent="0.25">
      <c r="A4101" t="s">
        <v>6</v>
      </c>
      <c r="B4101" s="1">
        <v>43187</v>
      </c>
      <c r="C4101" t="s">
        <v>58</v>
      </c>
      <c r="D4101">
        <v>3174.7299999999991</v>
      </c>
      <c r="E4101" s="12" t="str">
        <f>VLOOKUP(C4101,inf!$A$2:$B$7,2,FALSE)</f>
        <v>61 to 90</v>
      </c>
      <c r="F4101" s="12" t="str">
        <f t="shared" si="159"/>
        <v>03/28/2018</v>
      </c>
      <c r="G4101" t="str">
        <f>VLOOKUP(A4101,inf!$D$2:$E$76,2,FALSE)</f>
        <v>SBUX</v>
      </c>
    </row>
    <row r="4102" spans="1:7" x14ac:dyDescent="0.25">
      <c r="A4102" t="s">
        <v>6</v>
      </c>
      <c r="B4102" s="1">
        <v>43187</v>
      </c>
      <c r="C4102" t="s">
        <v>59</v>
      </c>
      <c r="D4102">
        <v>1714.56</v>
      </c>
      <c r="E4102" s="12" t="str">
        <f>VLOOKUP(C4102,inf!$A$2:$B$7,2,FALSE)</f>
        <v>Over 90</v>
      </c>
      <c r="F4102" s="12" t="str">
        <f t="shared" si="159"/>
        <v>03/28/2018</v>
      </c>
      <c r="G4102" t="str">
        <f>VLOOKUP(A4102,inf!$D$2:$E$76,2,FALSE)</f>
        <v>SBUX</v>
      </c>
    </row>
    <row r="4103" spans="1:7" x14ac:dyDescent="0.25">
      <c r="A4103" t="s">
        <v>6</v>
      </c>
      <c r="B4103" s="1">
        <v>43187</v>
      </c>
      <c r="C4103" t="s">
        <v>60</v>
      </c>
      <c r="D4103">
        <v>6369.4400000000014</v>
      </c>
      <c r="E4103" s="12" t="str">
        <f>VLOOKUP(C4103,inf!$A$2:$B$7,2,FALSE)</f>
        <v>Over 90</v>
      </c>
      <c r="F4103" s="12" t="str">
        <f t="shared" si="159"/>
        <v>03/28/2018</v>
      </c>
      <c r="G4103" t="str">
        <f>VLOOKUP(A4103,inf!$D$2:$E$76,2,FALSE)</f>
        <v>SBUX</v>
      </c>
    </row>
    <row r="4104" spans="1:7" x14ac:dyDescent="0.25">
      <c r="A4104" t="s">
        <v>49</v>
      </c>
      <c r="B4104" s="1">
        <v>43187</v>
      </c>
      <c r="C4104" t="s">
        <v>56</v>
      </c>
      <c r="D4104">
        <v>460.3</v>
      </c>
      <c r="E4104" s="12" t="str">
        <f>VLOOKUP(C4104,inf!$A$2:$B$7,2,FALSE)</f>
        <v>Current</v>
      </c>
      <c r="F4104" s="12" t="str">
        <f>TEXT(B4104,"MM/DD/YYYY")</f>
        <v>03/28/2018</v>
      </c>
      <c r="G4104" t="str">
        <f>VLOOKUP(A4104,inf!$D$2:$E$76,2,FALSE)</f>
        <v>Other</v>
      </c>
    </row>
    <row r="4105" spans="1:7" x14ac:dyDescent="0.25">
      <c r="A4105" t="s">
        <v>48</v>
      </c>
      <c r="B4105" s="1">
        <v>43187</v>
      </c>
      <c r="C4105" t="s">
        <v>55</v>
      </c>
      <c r="D4105">
        <v>258013.62000000002</v>
      </c>
      <c r="E4105" s="12" t="str">
        <f>VLOOKUP(C4105,inf!$A$2:$B$7,2,FALSE)</f>
        <v>Current</v>
      </c>
      <c r="F4105" s="12" t="str">
        <f t="shared" ref="F4105:F4119" si="160">TEXT(B4105,"MM/DD/YYYY")</f>
        <v>03/28/2018</v>
      </c>
      <c r="G4105" t="str">
        <f>VLOOKUP(A4105,inf!$D$2:$E$76,2,FALSE)</f>
        <v>Target</v>
      </c>
    </row>
    <row r="4106" spans="1:7" x14ac:dyDescent="0.25">
      <c r="A4106" t="s">
        <v>48</v>
      </c>
      <c r="B4106" s="1">
        <v>43187</v>
      </c>
      <c r="C4106" t="s">
        <v>56</v>
      </c>
      <c r="D4106">
        <v>23495.89</v>
      </c>
      <c r="E4106" s="12" t="str">
        <f>VLOOKUP(C4106,inf!$A$2:$B$7,2,FALSE)</f>
        <v>Current</v>
      </c>
      <c r="F4106" s="12" t="str">
        <f t="shared" si="160"/>
        <v>03/28/2018</v>
      </c>
      <c r="G4106" t="str">
        <f>VLOOKUP(A4106,inf!$D$2:$E$76,2,FALSE)</f>
        <v>Target</v>
      </c>
    </row>
    <row r="4107" spans="1:7" x14ac:dyDescent="0.25">
      <c r="A4107" t="s">
        <v>48</v>
      </c>
      <c r="B4107" s="1">
        <v>43187</v>
      </c>
      <c r="C4107" t="s">
        <v>57</v>
      </c>
      <c r="D4107">
        <v>9990.18</v>
      </c>
      <c r="E4107" s="12" t="str">
        <f>VLOOKUP(C4107,inf!$A$2:$B$7,2,FALSE)</f>
        <v>31 to 60</v>
      </c>
      <c r="F4107" s="12" t="str">
        <f t="shared" si="160"/>
        <v>03/28/2018</v>
      </c>
      <c r="G4107" t="str">
        <f>VLOOKUP(A4107,inf!$D$2:$E$76,2,FALSE)</f>
        <v>Target</v>
      </c>
    </row>
    <row r="4108" spans="1:7" x14ac:dyDescent="0.25">
      <c r="A4108" t="s">
        <v>48</v>
      </c>
      <c r="B4108" s="1">
        <v>43187</v>
      </c>
      <c r="C4108" t="s">
        <v>58</v>
      </c>
      <c r="D4108">
        <v>22451.419999999995</v>
      </c>
      <c r="E4108" s="12" t="str">
        <f>VLOOKUP(C4108,inf!$A$2:$B$7,2,FALSE)</f>
        <v>61 to 90</v>
      </c>
      <c r="F4108" s="12" t="str">
        <f t="shared" si="160"/>
        <v>03/28/2018</v>
      </c>
      <c r="G4108" t="str">
        <f>VLOOKUP(A4108,inf!$D$2:$E$76,2,FALSE)</f>
        <v>Target</v>
      </c>
    </row>
    <row r="4109" spans="1:7" x14ac:dyDescent="0.25">
      <c r="A4109" t="s">
        <v>48</v>
      </c>
      <c r="B4109" s="1">
        <v>43187</v>
      </c>
      <c r="C4109" t="s">
        <v>59</v>
      </c>
      <c r="D4109">
        <v>15119.490000000002</v>
      </c>
      <c r="E4109" s="12" t="str">
        <f>VLOOKUP(C4109,inf!$A$2:$B$7,2,FALSE)</f>
        <v>Over 90</v>
      </c>
      <c r="F4109" s="12" t="str">
        <f t="shared" si="160"/>
        <v>03/28/2018</v>
      </c>
      <c r="G4109" t="str">
        <f>VLOOKUP(A4109,inf!$D$2:$E$76,2,FALSE)</f>
        <v>Target</v>
      </c>
    </row>
    <row r="4110" spans="1:7" x14ac:dyDescent="0.25">
      <c r="A4110" t="s">
        <v>48</v>
      </c>
      <c r="B4110" s="1">
        <v>43187</v>
      </c>
      <c r="C4110" t="s">
        <v>60</v>
      </c>
      <c r="D4110">
        <v>13417.949999999999</v>
      </c>
      <c r="E4110" s="12" t="str">
        <f>VLOOKUP(C4110,inf!$A$2:$B$7,2,FALSE)</f>
        <v>Over 90</v>
      </c>
      <c r="F4110" s="12" t="str">
        <f t="shared" si="160"/>
        <v>03/28/2018</v>
      </c>
      <c r="G4110" t="str">
        <f>VLOOKUP(A4110,inf!$D$2:$E$76,2,FALSE)</f>
        <v>Target</v>
      </c>
    </row>
    <row r="4111" spans="1:7" x14ac:dyDescent="0.25">
      <c r="A4111" t="s">
        <v>8</v>
      </c>
      <c r="B4111" s="1">
        <v>43187</v>
      </c>
      <c r="C4111" t="s">
        <v>55</v>
      </c>
      <c r="D4111">
        <v>325754.03999999986</v>
      </c>
      <c r="E4111" s="12" t="str">
        <f>VLOOKUP(C4111,inf!$A$2:$B$7,2,FALSE)</f>
        <v>Current</v>
      </c>
      <c r="F4111" s="12" t="str">
        <f t="shared" si="160"/>
        <v>03/28/2018</v>
      </c>
      <c r="G4111" t="str">
        <f>VLOOKUP(A4111,inf!$D$2:$E$76,2,FALSE)</f>
        <v>Target</v>
      </c>
    </row>
    <row r="4112" spans="1:7" x14ac:dyDescent="0.25">
      <c r="A4112" t="s">
        <v>8</v>
      </c>
      <c r="B4112" s="1">
        <v>43187</v>
      </c>
      <c r="C4112" t="s">
        <v>56</v>
      </c>
      <c r="D4112">
        <v>30393.719999999994</v>
      </c>
      <c r="E4112" s="12" t="str">
        <f>VLOOKUP(C4112,inf!$A$2:$B$7,2,FALSE)</f>
        <v>Current</v>
      </c>
      <c r="F4112" s="12" t="str">
        <f t="shared" si="160"/>
        <v>03/28/2018</v>
      </c>
      <c r="G4112" t="str">
        <f>VLOOKUP(A4112,inf!$D$2:$E$76,2,FALSE)</f>
        <v>Target</v>
      </c>
    </row>
    <row r="4113" spans="1:7" x14ac:dyDescent="0.25">
      <c r="A4113" t="s">
        <v>8</v>
      </c>
      <c r="B4113" s="1">
        <v>43187</v>
      </c>
      <c r="C4113" t="s">
        <v>57</v>
      </c>
      <c r="D4113">
        <v>15977.57</v>
      </c>
      <c r="E4113" s="12" t="str">
        <f>VLOOKUP(C4113,inf!$A$2:$B$7,2,FALSE)</f>
        <v>31 to 60</v>
      </c>
      <c r="F4113" s="12" t="str">
        <f t="shared" si="160"/>
        <v>03/28/2018</v>
      </c>
      <c r="G4113" t="str">
        <f>VLOOKUP(A4113,inf!$D$2:$E$76,2,FALSE)</f>
        <v>Target</v>
      </c>
    </row>
    <row r="4114" spans="1:7" x14ac:dyDescent="0.25">
      <c r="A4114" t="s">
        <v>8</v>
      </c>
      <c r="B4114" s="1">
        <v>43187</v>
      </c>
      <c r="C4114" t="s">
        <v>58</v>
      </c>
      <c r="D4114">
        <v>5146</v>
      </c>
      <c r="E4114" s="12" t="str">
        <f>VLOOKUP(C4114,inf!$A$2:$B$7,2,FALSE)</f>
        <v>61 to 90</v>
      </c>
      <c r="F4114" s="12" t="str">
        <f t="shared" si="160"/>
        <v>03/28/2018</v>
      </c>
      <c r="G4114" t="str">
        <f>VLOOKUP(A4114,inf!$D$2:$E$76,2,FALSE)</f>
        <v>Target</v>
      </c>
    </row>
    <row r="4115" spans="1:7" x14ac:dyDescent="0.25">
      <c r="A4115" t="s">
        <v>8</v>
      </c>
      <c r="B4115" s="1">
        <v>43187</v>
      </c>
      <c r="C4115" t="s">
        <v>59</v>
      </c>
      <c r="D4115">
        <v>11633.27</v>
      </c>
      <c r="E4115" s="12" t="str">
        <f>VLOOKUP(C4115,inf!$A$2:$B$7,2,FALSE)</f>
        <v>Over 90</v>
      </c>
      <c r="F4115" s="12" t="str">
        <f t="shared" si="160"/>
        <v>03/28/2018</v>
      </c>
      <c r="G4115" t="str">
        <f>VLOOKUP(A4115,inf!$D$2:$E$76,2,FALSE)</f>
        <v>Target</v>
      </c>
    </row>
    <row r="4116" spans="1:7" x14ac:dyDescent="0.25">
      <c r="A4116" t="s">
        <v>8</v>
      </c>
      <c r="B4116" s="1">
        <v>43187</v>
      </c>
      <c r="C4116" t="s">
        <v>60</v>
      </c>
      <c r="D4116">
        <v>15863.750000000002</v>
      </c>
      <c r="E4116" s="12" t="str">
        <f>VLOOKUP(C4116,inf!$A$2:$B$7,2,FALSE)</f>
        <v>Over 90</v>
      </c>
      <c r="F4116" s="12" t="str">
        <f t="shared" si="160"/>
        <v>03/28/2018</v>
      </c>
      <c r="G4116" t="str">
        <f>VLOOKUP(A4116,inf!$D$2:$E$76,2,FALSE)</f>
        <v>Target</v>
      </c>
    </row>
    <row r="4117" spans="1:7" x14ac:dyDescent="0.25">
      <c r="A4117" t="s">
        <v>54</v>
      </c>
      <c r="B4117" s="1">
        <v>43187</v>
      </c>
      <c r="C4117" t="s">
        <v>55</v>
      </c>
      <c r="D4117">
        <v>370.93</v>
      </c>
      <c r="E4117" s="12" t="str">
        <f>VLOOKUP(C4117,inf!$A$2:$B$7,2,FALSE)</f>
        <v>Current</v>
      </c>
      <c r="F4117" s="12" t="str">
        <f t="shared" si="160"/>
        <v>03/28/2018</v>
      </c>
      <c r="G4117" t="str">
        <f>VLOOKUP(A4117,inf!$D$2:$E$76,2,FALSE)</f>
        <v>Other</v>
      </c>
    </row>
    <row r="4118" spans="1:7" x14ac:dyDescent="0.25">
      <c r="A4118" t="s">
        <v>54</v>
      </c>
      <c r="B4118" s="1">
        <v>43187</v>
      </c>
      <c r="C4118" t="s">
        <v>56</v>
      </c>
      <c r="D4118">
        <v>213</v>
      </c>
      <c r="E4118" s="12" t="str">
        <f>VLOOKUP(C4118,inf!$A$2:$B$7,2,FALSE)</f>
        <v>Current</v>
      </c>
      <c r="F4118" s="12" t="str">
        <f t="shared" si="160"/>
        <v>03/28/2018</v>
      </c>
      <c r="G4118" t="str">
        <f>VLOOKUP(A4118,inf!$D$2:$E$76,2,FALSE)</f>
        <v>Other</v>
      </c>
    </row>
    <row r="4119" spans="1:7" x14ac:dyDescent="0.25">
      <c r="A4119" t="s">
        <v>54</v>
      </c>
      <c r="B4119" s="1">
        <v>43187</v>
      </c>
      <c r="C4119" t="s">
        <v>57</v>
      </c>
      <c r="D4119">
        <v>497.05</v>
      </c>
      <c r="E4119" s="12" t="str">
        <f>VLOOKUP(C4119,inf!$A$2:$B$7,2,FALSE)</f>
        <v>31 to 60</v>
      </c>
      <c r="F4119" s="12" t="str">
        <f t="shared" si="160"/>
        <v>03/28/2018</v>
      </c>
      <c r="G4119" t="str">
        <f>VLOOKUP(A4119,inf!$D$2:$E$76,2,FALSE)</f>
        <v>Other</v>
      </c>
    </row>
    <row r="4120" spans="1:7" x14ac:dyDescent="0.25">
      <c r="A4120" t="s">
        <v>54</v>
      </c>
      <c r="B4120" s="1">
        <v>43187</v>
      </c>
      <c r="C4120" t="s">
        <v>60</v>
      </c>
      <c r="D4120">
        <v>122.72</v>
      </c>
      <c r="E4120" s="12" t="str">
        <f>VLOOKUP(C4120,inf!$A$2:$B$7,2,FALSE)</f>
        <v>Over 90</v>
      </c>
      <c r="F4120" s="12" t="str">
        <f t="shared" ref="F4120:F4122" si="161">TEXT(B4120,"MM/DD/YYYY")</f>
        <v>03/28/2018</v>
      </c>
      <c r="G4120" t="str">
        <f>VLOOKUP(A4120,inf!$D$2:$E$76,2,FALSE)</f>
        <v>Other</v>
      </c>
    </row>
    <row r="4121" spans="1:7" x14ac:dyDescent="0.25">
      <c r="A4121" t="s">
        <v>28</v>
      </c>
      <c r="B4121" s="1">
        <v>43187</v>
      </c>
      <c r="C4121" t="s">
        <v>55</v>
      </c>
      <c r="D4121">
        <v>2381.48</v>
      </c>
      <c r="E4121" s="12" t="str">
        <f>VLOOKUP(C4121,inf!$A$2:$B$7,2,FALSE)</f>
        <v>Current</v>
      </c>
      <c r="F4121" s="12" t="str">
        <f t="shared" si="161"/>
        <v>03/28/2018</v>
      </c>
      <c r="G4121" t="str">
        <f>VLOOKUP(A4121,inf!$D$2:$E$76,2,FALSE)</f>
        <v>Other</v>
      </c>
    </row>
    <row r="4122" spans="1:7" x14ac:dyDescent="0.25">
      <c r="A4122" t="s">
        <v>28</v>
      </c>
      <c r="B4122" s="1">
        <v>43187</v>
      </c>
      <c r="C4122" t="s">
        <v>56</v>
      </c>
      <c r="D4122">
        <v>260.18</v>
      </c>
      <c r="E4122" s="12" t="str">
        <f>VLOOKUP(C4122,inf!$A$2:$B$7,2,FALSE)</f>
        <v>Current</v>
      </c>
      <c r="F4122" s="12" t="str">
        <f t="shared" si="161"/>
        <v>03/28/2018</v>
      </c>
      <c r="G4122" t="str">
        <f>VLOOKUP(A4122,inf!$D$2:$E$76,2,FALSE)</f>
        <v>Other</v>
      </c>
    </row>
    <row r="4123" spans="1:7" x14ac:dyDescent="0.25">
      <c r="A4123" t="s">
        <v>28</v>
      </c>
      <c r="B4123" s="1">
        <v>43187</v>
      </c>
      <c r="C4123" t="s">
        <v>58</v>
      </c>
      <c r="D4123">
        <v>137.71</v>
      </c>
      <c r="E4123" s="12" t="str">
        <f>VLOOKUP(C4123,inf!$A$2:$B$7,2,FALSE)</f>
        <v>61 to 90</v>
      </c>
      <c r="F4123" s="12" t="str">
        <f>TEXT(B4123,"MM/DD/YYYY")</f>
        <v>03/28/2018</v>
      </c>
      <c r="G4123" t="str">
        <f>VLOOKUP(A4123,inf!$D$2:$E$76,2,FALSE)</f>
        <v>Other</v>
      </c>
    </row>
    <row r="4124" spans="1:7" x14ac:dyDescent="0.25">
      <c r="A4124" t="s">
        <v>15</v>
      </c>
      <c r="B4124" s="1">
        <v>43187</v>
      </c>
      <c r="C4124" t="s">
        <v>55</v>
      </c>
      <c r="D4124">
        <v>1296.1499999999999</v>
      </c>
      <c r="E4124" s="12" t="str">
        <f>VLOOKUP(C4124,inf!$A$2:$B$7,2,FALSE)</f>
        <v>Current</v>
      </c>
      <c r="F4124" s="12" t="str">
        <f>TEXT(B4124,"MM/DD/YYYY")</f>
        <v>03/28/2018</v>
      </c>
      <c r="G4124" t="str">
        <f>VLOOKUP(A4124,inf!$D$2:$E$76,2,FALSE)</f>
        <v>Other</v>
      </c>
    </row>
    <row r="4125" spans="1:7" x14ac:dyDescent="0.25">
      <c r="A4125" t="s">
        <v>15</v>
      </c>
      <c r="B4125" s="1">
        <v>43187</v>
      </c>
      <c r="C4125" t="s">
        <v>59</v>
      </c>
      <c r="D4125">
        <v>317.29000000000002</v>
      </c>
      <c r="E4125" s="12" t="str">
        <f>VLOOKUP(C4125,inf!$A$2:$B$7,2,FALSE)</f>
        <v>Over 90</v>
      </c>
      <c r="F4125" s="12" t="str">
        <f t="shared" ref="F4125:F4126" si="162">TEXT(B4125,"MM/DD/YYYY")</f>
        <v>03/28/2018</v>
      </c>
      <c r="G4125" t="str">
        <f>VLOOKUP(A4125,inf!$D$2:$E$76,2,FALSE)</f>
        <v>Other</v>
      </c>
    </row>
    <row r="4126" spans="1:7" x14ac:dyDescent="0.25">
      <c r="A4126" t="s">
        <v>15</v>
      </c>
      <c r="B4126" s="1">
        <v>43187</v>
      </c>
      <c r="C4126" t="s">
        <v>60</v>
      </c>
      <c r="D4126">
        <v>653.86</v>
      </c>
      <c r="E4126" s="12" t="str">
        <f>VLOOKUP(C4126,inf!$A$2:$B$7,2,FALSE)</f>
        <v>Over 90</v>
      </c>
      <c r="F4126" s="12" t="str">
        <f t="shared" si="162"/>
        <v>03/28/2018</v>
      </c>
      <c r="G4126" t="str">
        <f>VLOOKUP(A4126,inf!$D$2:$E$76,2,FALSE)</f>
        <v>Other</v>
      </c>
    </row>
    <row r="4127" spans="1:7" x14ac:dyDescent="0.25">
      <c r="A4127" t="s">
        <v>142</v>
      </c>
      <c r="B4127" s="1">
        <v>43208</v>
      </c>
      <c r="C4127" t="s">
        <v>55</v>
      </c>
      <c r="D4127">
        <v>503</v>
      </c>
      <c r="E4127" s="12" t="str">
        <f>VLOOKUP(C4127,inf!$A$2:$B$7,2,FALSE)</f>
        <v>Current</v>
      </c>
      <c r="F4127" s="12" t="str">
        <f>TEXT(B4127,"MM/DD/YYYY")</f>
        <v>04/18/2018</v>
      </c>
      <c r="G4127" t="str">
        <f>VLOOKUP(A4127,inf!$D$2:$E$76,2,FALSE)</f>
        <v>Other</v>
      </c>
    </row>
    <row r="4128" spans="1:7" x14ac:dyDescent="0.25">
      <c r="A4128" t="s">
        <v>121</v>
      </c>
      <c r="B4128" s="1">
        <v>43208</v>
      </c>
      <c r="C4128" t="s">
        <v>56</v>
      </c>
      <c r="D4128">
        <v>232.28</v>
      </c>
      <c r="E4128" s="12" t="str">
        <f>VLOOKUP(C4128,inf!$A$2:$B$7,2,FALSE)</f>
        <v>Current</v>
      </c>
      <c r="F4128" s="12" t="str">
        <f>TEXT(B4128,"MM/DD/YYYY")</f>
        <v>04/18/2018</v>
      </c>
      <c r="G4128" t="str">
        <f>VLOOKUP(A4128,inf!$D$2:$E$76,2,FALSE)</f>
        <v>Other</v>
      </c>
    </row>
    <row r="4129" spans="1:7" x14ac:dyDescent="0.25">
      <c r="A4129" t="s">
        <v>22</v>
      </c>
      <c r="B4129" s="1">
        <v>43208</v>
      </c>
      <c r="C4129" t="s">
        <v>58</v>
      </c>
      <c r="D4129">
        <v>114.85</v>
      </c>
      <c r="E4129" s="12" t="str">
        <f>VLOOKUP(C4129,inf!$A$2:$B$7,2,FALSE)</f>
        <v>61 to 90</v>
      </c>
      <c r="F4129" s="12" t="str">
        <f>TEXT(B4129,"MM/DD/YYYY")</f>
        <v>04/18/2018</v>
      </c>
      <c r="G4129" t="str">
        <f>VLOOKUP(A4129,inf!$D$2:$E$76,2,FALSE)</f>
        <v>Other</v>
      </c>
    </row>
    <row r="4130" spans="1:7" x14ac:dyDescent="0.25">
      <c r="A4130" t="s">
        <v>103</v>
      </c>
      <c r="B4130" s="1">
        <v>43208</v>
      </c>
      <c r="C4130" t="s">
        <v>55</v>
      </c>
      <c r="D4130">
        <v>320.33999999999997</v>
      </c>
      <c r="E4130" s="12" t="str">
        <f>VLOOKUP(C4130,inf!$A$2:$B$7,2,FALSE)</f>
        <v>Current</v>
      </c>
      <c r="F4130" s="12" t="str">
        <f>TEXT(B4130,"MM/DD/YYYY")</f>
        <v>04/18/2018</v>
      </c>
      <c r="G4130" t="str">
        <f>VLOOKUP(A4130,inf!$D$2:$E$76,2,FALSE)</f>
        <v>Other</v>
      </c>
    </row>
    <row r="4131" spans="1:7" x14ac:dyDescent="0.25">
      <c r="A4131" t="s">
        <v>80</v>
      </c>
      <c r="B4131" s="1">
        <v>43208</v>
      </c>
      <c r="C4131" t="s">
        <v>55</v>
      </c>
      <c r="D4131">
        <v>1591.47</v>
      </c>
      <c r="E4131" s="12" t="str">
        <f>VLOOKUP(C4131,inf!$A$2:$B$7,2,FALSE)</f>
        <v>Current</v>
      </c>
      <c r="F4131" s="12" t="str">
        <f t="shared" ref="F4131:F4133" si="163">TEXT(B4131,"MM/DD/YYYY")</f>
        <v>04/18/2018</v>
      </c>
      <c r="G4131" t="str">
        <f>VLOOKUP(A4131,inf!$D$2:$E$76,2,FALSE)</f>
        <v>Other</v>
      </c>
    </row>
    <row r="4132" spans="1:7" x14ac:dyDescent="0.25">
      <c r="A4132" t="s">
        <v>80</v>
      </c>
      <c r="B4132" s="1">
        <v>43208</v>
      </c>
      <c r="C4132" t="s">
        <v>56</v>
      </c>
      <c r="D4132">
        <v>1217</v>
      </c>
      <c r="E4132" s="12" t="str">
        <f>VLOOKUP(C4132,inf!$A$2:$B$7,2,FALSE)</f>
        <v>Current</v>
      </c>
      <c r="F4132" s="12" t="str">
        <f t="shared" si="163"/>
        <v>04/18/2018</v>
      </c>
      <c r="G4132" t="str">
        <f>VLOOKUP(A4132,inf!$D$2:$E$76,2,FALSE)</f>
        <v>Other</v>
      </c>
    </row>
    <row r="4133" spans="1:7" x14ac:dyDescent="0.25">
      <c r="A4133" t="s">
        <v>80</v>
      </c>
      <c r="B4133" s="1">
        <v>43208</v>
      </c>
      <c r="C4133" t="s">
        <v>57</v>
      </c>
      <c r="D4133">
        <v>114.85</v>
      </c>
      <c r="E4133" s="12" t="str">
        <f>VLOOKUP(C4133,inf!$A$2:$B$7,2,FALSE)</f>
        <v>31 to 60</v>
      </c>
      <c r="F4133" s="12" t="str">
        <f t="shared" si="163"/>
        <v>04/18/2018</v>
      </c>
      <c r="G4133" t="str">
        <f>VLOOKUP(A4133,inf!$D$2:$E$76,2,FALSE)</f>
        <v>Other</v>
      </c>
    </row>
    <row r="4134" spans="1:7" x14ac:dyDescent="0.25">
      <c r="A4134" t="s">
        <v>4</v>
      </c>
      <c r="B4134" s="1">
        <v>43208</v>
      </c>
      <c r="C4134" t="s">
        <v>55</v>
      </c>
      <c r="D4134">
        <v>3995.7599999999998</v>
      </c>
      <c r="E4134" s="12" t="str">
        <f>VLOOKUP(C4134,inf!$A$2:$B$7,2,FALSE)</f>
        <v>Current</v>
      </c>
      <c r="F4134" s="12" t="str">
        <f t="shared" ref="F4134:F4135" si="164">TEXT(B4134,"MM/DD/YYYY")</f>
        <v>04/18/2018</v>
      </c>
      <c r="G4134" t="str">
        <f>VLOOKUP(A4134,inf!$D$2:$E$76,2,FALSE)</f>
        <v>Other</v>
      </c>
    </row>
    <row r="4135" spans="1:7" x14ac:dyDescent="0.25">
      <c r="A4135" t="s">
        <v>4</v>
      </c>
      <c r="B4135" s="1">
        <v>43208</v>
      </c>
      <c r="C4135" t="s">
        <v>56</v>
      </c>
      <c r="D4135">
        <v>428.17</v>
      </c>
      <c r="E4135" s="12" t="str">
        <f>VLOOKUP(C4135,inf!$A$2:$B$7,2,FALSE)</f>
        <v>Current</v>
      </c>
      <c r="F4135" s="12" t="str">
        <f t="shared" si="164"/>
        <v>04/18/2018</v>
      </c>
      <c r="G4135" t="str">
        <f>VLOOKUP(A4135,inf!$D$2:$E$76,2,FALSE)</f>
        <v>Other</v>
      </c>
    </row>
    <row r="4136" spans="1:7" x14ac:dyDescent="0.25">
      <c r="A4136" t="s">
        <v>4</v>
      </c>
      <c r="B4136" s="1">
        <v>43208</v>
      </c>
      <c r="C4136" t="s">
        <v>60</v>
      </c>
      <c r="D4136">
        <v>579.34</v>
      </c>
      <c r="E4136" s="12" t="str">
        <f>VLOOKUP(C4136,inf!$A$2:$B$7,2,FALSE)</f>
        <v>Over 90</v>
      </c>
      <c r="F4136" s="12" t="str">
        <f>TEXT(B4136,"MM/DD/YYYY")</f>
        <v>04/18/2018</v>
      </c>
      <c r="G4136" t="str">
        <f>VLOOKUP(A4136,inf!$D$2:$E$76,2,FALSE)</f>
        <v>Other</v>
      </c>
    </row>
    <row r="4137" spans="1:7" x14ac:dyDescent="0.25">
      <c r="A4137" t="s">
        <v>77</v>
      </c>
      <c r="B4137" s="1">
        <v>43208</v>
      </c>
      <c r="C4137" t="s">
        <v>59</v>
      </c>
      <c r="D4137">
        <v>834.05</v>
      </c>
      <c r="E4137" s="12" t="str">
        <f>VLOOKUP(C4137,inf!$A$2:$B$7,2,FALSE)</f>
        <v>Over 90</v>
      </c>
      <c r="F4137" s="12" t="str">
        <f>TEXT(B4137,"MM/DD/YYYY")</f>
        <v>04/18/2018</v>
      </c>
      <c r="G4137" t="str">
        <f>VLOOKUP(A4137,inf!$D$2:$E$76,2,FALSE)</f>
        <v>Other</v>
      </c>
    </row>
    <row r="4138" spans="1:7" x14ac:dyDescent="0.25">
      <c r="A4138" t="s">
        <v>11</v>
      </c>
      <c r="B4138" s="1">
        <v>43208</v>
      </c>
      <c r="C4138" t="s">
        <v>55</v>
      </c>
      <c r="D4138">
        <v>287.13</v>
      </c>
      <c r="E4138" s="12" t="str">
        <f>VLOOKUP(C4138,inf!$A$2:$B$7,2,FALSE)</f>
        <v>Current</v>
      </c>
      <c r="F4138" s="12" t="str">
        <f>TEXT(B4138,"MM/DD/YYYY")</f>
        <v>04/18/2018</v>
      </c>
      <c r="G4138" t="str">
        <f>VLOOKUP(A4138,inf!$D$2:$E$76,2,FALSE)</f>
        <v>Other</v>
      </c>
    </row>
    <row r="4139" spans="1:7" x14ac:dyDescent="0.25">
      <c r="A4139" t="s">
        <v>47</v>
      </c>
      <c r="B4139" s="1">
        <v>43208</v>
      </c>
      <c r="C4139" t="s">
        <v>55</v>
      </c>
      <c r="D4139">
        <v>126.45</v>
      </c>
      <c r="E4139" s="12" t="str">
        <f>VLOOKUP(C4139,inf!$A$2:$B$7,2,FALSE)</f>
        <v>Current</v>
      </c>
      <c r="F4139" s="12" t="str">
        <f>TEXT(B4139,"MM/DD/YYYY")</f>
        <v>04/18/2018</v>
      </c>
      <c r="G4139" t="str">
        <f>VLOOKUP(A4139,inf!$D$2:$E$76,2,FALSE)</f>
        <v>Other</v>
      </c>
    </row>
    <row r="4140" spans="1:7" x14ac:dyDescent="0.25">
      <c r="A4140" t="s">
        <v>19</v>
      </c>
      <c r="B4140" s="1">
        <v>43208</v>
      </c>
      <c r="C4140" t="s">
        <v>55</v>
      </c>
      <c r="D4140">
        <v>1300.6400000000001</v>
      </c>
      <c r="E4140" s="12" t="str">
        <f>VLOOKUP(C4140,inf!$A$2:$B$7,2,FALSE)</f>
        <v>Current</v>
      </c>
      <c r="F4140" s="12" t="str">
        <f t="shared" ref="F4140:F4141" si="165">TEXT(B4140,"MM/DD/YYYY")</f>
        <v>04/18/2018</v>
      </c>
      <c r="G4140" t="str">
        <f>VLOOKUP(A4140,inf!$D$2:$E$76,2,FALSE)</f>
        <v>Other</v>
      </c>
    </row>
    <row r="4141" spans="1:7" x14ac:dyDescent="0.25">
      <c r="A4141" t="s">
        <v>19</v>
      </c>
      <c r="B4141" s="1">
        <v>43208</v>
      </c>
      <c r="C4141" t="s">
        <v>56</v>
      </c>
      <c r="D4141">
        <v>114.85</v>
      </c>
      <c r="E4141" s="12" t="str">
        <f>VLOOKUP(C4141,inf!$A$2:$B$7,2,FALSE)</f>
        <v>Current</v>
      </c>
      <c r="F4141" s="12" t="str">
        <f t="shared" si="165"/>
        <v>04/18/2018</v>
      </c>
      <c r="G4141" t="str">
        <f>VLOOKUP(A4141,inf!$D$2:$E$76,2,FALSE)</f>
        <v>Other</v>
      </c>
    </row>
    <row r="4142" spans="1:7" x14ac:dyDescent="0.25">
      <c r="A4142" t="s">
        <v>25</v>
      </c>
      <c r="B4142" s="1">
        <v>43208</v>
      </c>
      <c r="C4142" t="s">
        <v>55</v>
      </c>
      <c r="D4142">
        <v>415.26</v>
      </c>
      <c r="E4142" s="12" t="str">
        <f>VLOOKUP(C4142,inf!$A$2:$B$7,2,FALSE)</f>
        <v>Current</v>
      </c>
      <c r="F4142" s="12" t="str">
        <f>TEXT(B4142,"MM/DD/YYYY")</f>
        <v>04/18/2018</v>
      </c>
      <c r="G4142" t="str">
        <f>VLOOKUP(A4142,inf!$D$2:$E$76,2,FALSE)</f>
        <v>Other</v>
      </c>
    </row>
    <row r="4143" spans="1:7" x14ac:dyDescent="0.25">
      <c r="A4143" t="s">
        <v>31</v>
      </c>
      <c r="B4143" s="1">
        <v>43208</v>
      </c>
      <c r="C4143" t="s">
        <v>55</v>
      </c>
      <c r="D4143">
        <v>143.56</v>
      </c>
      <c r="E4143" s="12" t="str">
        <f>VLOOKUP(C4143,inf!$A$2:$B$7,2,FALSE)</f>
        <v>Current</v>
      </c>
      <c r="F4143" s="12" t="str">
        <f t="shared" ref="F4143:F4144" si="166">TEXT(B4143,"MM/DD/YYYY")</f>
        <v>04/18/2018</v>
      </c>
      <c r="G4143" t="str">
        <f>VLOOKUP(A4143,inf!$D$2:$E$76,2,FALSE)</f>
        <v>Other</v>
      </c>
    </row>
    <row r="4144" spans="1:7" x14ac:dyDescent="0.25">
      <c r="A4144" t="s">
        <v>31</v>
      </c>
      <c r="B4144" s="1">
        <v>43208</v>
      </c>
      <c r="C4144" t="s">
        <v>56</v>
      </c>
      <c r="D4144">
        <v>818.33</v>
      </c>
      <c r="E4144" s="12" t="str">
        <f>VLOOKUP(C4144,inf!$A$2:$B$7,2,FALSE)</f>
        <v>Current</v>
      </c>
      <c r="F4144" s="12" t="str">
        <f t="shared" si="166"/>
        <v>04/18/2018</v>
      </c>
      <c r="G4144" t="str">
        <f>VLOOKUP(A4144,inf!$D$2:$E$76,2,FALSE)</f>
        <v>Other</v>
      </c>
    </row>
    <row r="4145" spans="1:7" x14ac:dyDescent="0.25">
      <c r="A4145" t="s">
        <v>65</v>
      </c>
      <c r="B4145" s="1">
        <v>43208</v>
      </c>
      <c r="C4145" t="s">
        <v>57</v>
      </c>
      <c r="D4145">
        <v>190</v>
      </c>
      <c r="E4145" s="12" t="str">
        <f>VLOOKUP(C4145,inf!$A$2:$B$7,2,FALSE)</f>
        <v>31 to 60</v>
      </c>
      <c r="F4145" s="12" t="str">
        <f>TEXT(B4145,"MM/DD/YYYY")</f>
        <v>04/18/2018</v>
      </c>
      <c r="G4145" t="str">
        <f>VLOOKUP(A4145,inf!$D$2:$E$76,2,FALSE)</f>
        <v>Other</v>
      </c>
    </row>
    <row r="4146" spans="1:7" x14ac:dyDescent="0.25">
      <c r="A4146" t="s">
        <v>143</v>
      </c>
      <c r="B4146" s="1">
        <v>43208</v>
      </c>
      <c r="C4146" t="s">
        <v>55</v>
      </c>
      <c r="D4146">
        <v>429.5</v>
      </c>
      <c r="E4146" s="12" t="str">
        <f>VLOOKUP(C4146,inf!$A$2:$B$7,2,FALSE)</f>
        <v>Current</v>
      </c>
      <c r="F4146" s="12" t="str">
        <f>TEXT(B4146,"MM/DD/YYYY")</f>
        <v>04/18/2018</v>
      </c>
      <c r="G4146" t="str">
        <f>VLOOKUP(A4146,inf!$D$2:$E$76,2,FALSE)</f>
        <v>Other</v>
      </c>
    </row>
    <row r="4147" spans="1:7" x14ac:dyDescent="0.25">
      <c r="A4147" t="s">
        <v>27</v>
      </c>
      <c r="B4147" s="1">
        <v>43208</v>
      </c>
      <c r="C4147" t="s">
        <v>55</v>
      </c>
      <c r="D4147">
        <v>1256.2799999999997</v>
      </c>
      <c r="E4147" s="12" t="str">
        <f>VLOOKUP(C4147,inf!$A$2:$B$7,2,FALSE)</f>
        <v>Current</v>
      </c>
      <c r="F4147" s="12" t="str">
        <f>TEXT(B4147,"MM/DD/YYYY")</f>
        <v>04/18/2018</v>
      </c>
      <c r="G4147" t="str">
        <f>VLOOKUP(A4147,inf!$D$2:$E$76,2,FALSE)</f>
        <v>Other</v>
      </c>
    </row>
    <row r="4148" spans="1:7" x14ac:dyDescent="0.25">
      <c r="A4148" t="s">
        <v>82</v>
      </c>
      <c r="B4148" s="1">
        <v>43208</v>
      </c>
      <c r="C4148" t="s">
        <v>55</v>
      </c>
      <c r="D4148">
        <v>287.13</v>
      </c>
      <c r="E4148" s="12" t="str">
        <f>VLOOKUP(C4148,inf!$A$2:$B$7,2,FALSE)</f>
        <v>Current</v>
      </c>
      <c r="F4148" s="12" t="str">
        <f t="shared" ref="F4148:F4151" si="167">TEXT(B4148,"MM/DD/YYYY")</f>
        <v>04/18/2018</v>
      </c>
      <c r="G4148" t="str">
        <f>VLOOKUP(A4148,inf!$D$2:$E$76,2,FALSE)</f>
        <v>Other</v>
      </c>
    </row>
    <row r="4149" spans="1:7" x14ac:dyDescent="0.25">
      <c r="A4149" t="s">
        <v>82</v>
      </c>
      <c r="B4149" s="1">
        <v>43208</v>
      </c>
      <c r="C4149" t="s">
        <v>56</v>
      </c>
      <c r="D4149">
        <v>358.84</v>
      </c>
      <c r="E4149" s="12" t="str">
        <f>VLOOKUP(C4149,inf!$A$2:$B$7,2,FALSE)</f>
        <v>Current</v>
      </c>
      <c r="F4149" s="12" t="str">
        <f t="shared" si="167"/>
        <v>04/18/2018</v>
      </c>
      <c r="G4149" t="str">
        <f>VLOOKUP(A4149,inf!$D$2:$E$76,2,FALSE)</f>
        <v>Other</v>
      </c>
    </row>
    <row r="4150" spans="1:7" x14ac:dyDescent="0.25">
      <c r="A4150" t="s">
        <v>82</v>
      </c>
      <c r="B4150" s="1">
        <v>43208</v>
      </c>
      <c r="C4150" t="s">
        <v>57</v>
      </c>
      <c r="D4150">
        <v>123.79</v>
      </c>
      <c r="E4150" s="12" t="str">
        <f>VLOOKUP(C4150,inf!$A$2:$B$7,2,FALSE)</f>
        <v>31 to 60</v>
      </c>
      <c r="F4150" s="12" t="str">
        <f t="shared" si="167"/>
        <v>04/18/2018</v>
      </c>
      <c r="G4150" t="str">
        <f>VLOOKUP(A4150,inf!$D$2:$E$76,2,FALSE)</f>
        <v>Other</v>
      </c>
    </row>
    <row r="4151" spans="1:7" x14ac:dyDescent="0.25">
      <c r="A4151" t="s">
        <v>82</v>
      </c>
      <c r="B4151" s="1">
        <v>43208</v>
      </c>
      <c r="C4151" t="s">
        <v>58</v>
      </c>
      <c r="D4151">
        <v>114.85</v>
      </c>
      <c r="E4151" s="12" t="str">
        <f>VLOOKUP(C4151,inf!$A$2:$B$7,2,FALSE)</f>
        <v>61 to 90</v>
      </c>
      <c r="F4151" s="12" t="str">
        <f t="shared" si="167"/>
        <v>04/18/2018</v>
      </c>
      <c r="G4151" t="str">
        <f>VLOOKUP(A4151,inf!$D$2:$E$76,2,FALSE)</f>
        <v>Other</v>
      </c>
    </row>
    <row r="4152" spans="1:7" x14ac:dyDescent="0.25">
      <c r="A4152" t="s">
        <v>3</v>
      </c>
      <c r="B4152" s="1">
        <v>43208</v>
      </c>
      <c r="C4152" t="s">
        <v>55</v>
      </c>
      <c r="D4152">
        <v>427.64</v>
      </c>
      <c r="E4152" s="12" t="str">
        <f>VLOOKUP(C4152,inf!$A$2:$B$7,2,FALSE)</f>
        <v>Current</v>
      </c>
      <c r="F4152" s="12" t="str">
        <f t="shared" ref="F4152:F4153" si="168">TEXT(B4152,"MM/DD/YYYY")</f>
        <v>04/18/2018</v>
      </c>
      <c r="G4152" t="str">
        <f>VLOOKUP(A4152,inf!$D$2:$E$76,2,FALSE)</f>
        <v>Other</v>
      </c>
    </row>
    <row r="4153" spans="1:7" x14ac:dyDescent="0.25">
      <c r="A4153" t="s">
        <v>3</v>
      </c>
      <c r="B4153" s="1">
        <v>43208</v>
      </c>
      <c r="C4153" t="s">
        <v>56</v>
      </c>
      <c r="D4153">
        <v>455.42999999999995</v>
      </c>
      <c r="E4153" s="12" t="str">
        <f>VLOOKUP(C4153,inf!$A$2:$B$7,2,FALSE)</f>
        <v>Current</v>
      </c>
      <c r="F4153" s="12" t="str">
        <f t="shared" si="168"/>
        <v>04/18/2018</v>
      </c>
      <c r="G4153" t="str">
        <f>VLOOKUP(A4153,inf!$D$2:$E$76,2,FALSE)</f>
        <v>Other</v>
      </c>
    </row>
    <row r="4154" spans="1:7" x14ac:dyDescent="0.25">
      <c r="A4154" t="s">
        <v>3</v>
      </c>
      <c r="B4154" s="1">
        <v>43208</v>
      </c>
      <c r="C4154" t="s">
        <v>59</v>
      </c>
      <c r="D4154">
        <v>62.5</v>
      </c>
      <c r="E4154" s="12" t="str">
        <f>VLOOKUP(C4154,inf!$A$2:$B$7,2,FALSE)</f>
        <v>Over 90</v>
      </c>
      <c r="F4154" s="12" t="str">
        <f t="shared" ref="F4154:F4156" si="169">TEXT(B4154,"MM/DD/YYYY")</f>
        <v>04/18/2018</v>
      </c>
      <c r="G4154" t="str">
        <f>VLOOKUP(A4154,inf!$D$2:$E$76,2,FALSE)</f>
        <v>Other</v>
      </c>
    </row>
    <row r="4155" spans="1:7" x14ac:dyDescent="0.25">
      <c r="A4155" t="s">
        <v>3</v>
      </c>
      <c r="B4155" s="1">
        <v>43208</v>
      </c>
      <c r="C4155" t="s">
        <v>60</v>
      </c>
      <c r="D4155">
        <v>345.82</v>
      </c>
      <c r="E4155" s="12" t="str">
        <f>VLOOKUP(C4155,inf!$A$2:$B$7,2,FALSE)</f>
        <v>Over 90</v>
      </c>
      <c r="F4155" s="12" t="str">
        <f t="shared" si="169"/>
        <v>04/18/2018</v>
      </c>
      <c r="G4155" t="str">
        <f>VLOOKUP(A4155,inf!$D$2:$E$76,2,FALSE)</f>
        <v>Other</v>
      </c>
    </row>
    <row r="4156" spans="1:7" x14ac:dyDescent="0.25">
      <c r="A4156" t="s">
        <v>78</v>
      </c>
      <c r="B4156" s="1">
        <v>43208</v>
      </c>
      <c r="C4156" t="s">
        <v>55</v>
      </c>
      <c r="D4156">
        <v>281.35000000000002</v>
      </c>
      <c r="E4156" s="12" t="str">
        <f>VLOOKUP(C4156,inf!$A$2:$B$7,2,FALSE)</f>
        <v>Current</v>
      </c>
      <c r="F4156" s="12" t="str">
        <f t="shared" si="169"/>
        <v>04/18/2018</v>
      </c>
      <c r="G4156" t="str">
        <f>VLOOKUP(A4156,inf!$D$2:$E$76,2,FALSE)</f>
        <v>Other</v>
      </c>
    </row>
    <row r="4157" spans="1:7" x14ac:dyDescent="0.25">
      <c r="A4157" t="s">
        <v>30</v>
      </c>
      <c r="B4157" s="1">
        <v>43208</v>
      </c>
      <c r="C4157" t="s">
        <v>55</v>
      </c>
      <c r="D4157">
        <v>3805.59</v>
      </c>
      <c r="E4157" s="12" t="str">
        <f>VLOOKUP(C4157,inf!$A$2:$B$7,2,FALSE)</f>
        <v>Current</v>
      </c>
      <c r="F4157" s="12" t="str">
        <f t="shared" ref="F4157:F4158" si="170">TEXT(B4157,"MM/DD/YYYY")</f>
        <v>04/18/2018</v>
      </c>
      <c r="G4157" t="str">
        <f>VLOOKUP(A4157,inf!$D$2:$E$76,2,FALSE)</f>
        <v>Other</v>
      </c>
    </row>
    <row r="4158" spans="1:7" x14ac:dyDescent="0.25">
      <c r="A4158" t="s">
        <v>30</v>
      </c>
      <c r="B4158" s="1">
        <v>43208</v>
      </c>
      <c r="C4158" t="s">
        <v>56</v>
      </c>
      <c r="D4158">
        <v>172.28</v>
      </c>
      <c r="E4158" s="12" t="str">
        <f>VLOOKUP(C4158,inf!$A$2:$B$7,2,FALSE)</f>
        <v>Current</v>
      </c>
      <c r="F4158" s="12" t="str">
        <f t="shared" si="170"/>
        <v>04/18/2018</v>
      </c>
      <c r="G4158" t="str">
        <f>VLOOKUP(A4158,inf!$D$2:$E$76,2,FALSE)</f>
        <v>Other</v>
      </c>
    </row>
    <row r="4159" spans="1:7" x14ac:dyDescent="0.25">
      <c r="A4159" t="s">
        <v>63</v>
      </c>
      <c r="B4159" s="1">
        <v>43208</v>
      </c>
      <c r="C4159" t="s">
        <v>56</v>
      </c>
      <c r="D4159">
        <v>563.72</v>
      </c>
      <c r="E4159" s="12" t="str">
        <f>VLOOKUP(C4159,inf!$A$2:$B$7,2,FALSE)</f>
        <v>Current</v>
      </c>
      <c r="F4159" s="12" t="str">
        <f>TEXT(B4159,"MM/DD/YYYY")</f>
        <v>04/18/2018</v>
      </c>
      <c r="G4159" t="str">
        <f>VLOOKUP(A4159,inf!$D$2:$E$76,2,FALSE)</f>
        <v>Other</v>
      </c>
    </row>
    <row r="4160" spans="1:7" x14ac:dyDescent="0.25">
      <c r="A4160" t="s">
        <v>104</v>
      </c>
      <c r="B4160" s="1">
        <v>43208</v>
      </c>
      <c r="C4160" t="s">
        <v>57</v>
      </c>
      <c r="D4160">
        <v>2087.54</v>
      </c>
      <c r="E4160" s="12" t="str">
        <f>VLOOKUP(C4160,inf!$A$2:$B$7,2,FALSE)</f>
        <v>31 to 60</v>
      </c>
      <c r="F4160" s="12" t="str">
        <f>TEXT(B4160,"MM/DD/YYYY")</f>
        <v>04/18/2018</v>
      </c>
      <c r="G4160" t="str">
        <f>VLOOKUP(A4160,inf!$D$2:$E$76,2,FALSE)</f>
        <v>Other</v>
      </c>
    </row>
    <row r="4161" spans="1:7" x14ac:dyDescent="0.25">
      <c r="A4161" t="s">
        <v>144</v>
      </c>
      <c r="B4161" s="1">
        <v>43208</v>
      </c>
      <c r="C4161" t="s">
        <v>55</v>
      </c>
      <c r="D4161">
        <v>319.16000000000003</v>
      </c>
      <c r="E4161" s="12" t="str">
        <f>VLOOKUP(C4161,inf!$A$2:$B$7,2,FALSE)</f>
        <v>Current</v>
      </c>
      <c r="F4161" s="12" t="str">
        <f>TEXT(B4161,"MM/DD/YYYY")</f>
        <v>04/18/2018</v>
      </c>
      <c r="G4161" t="str">
        <f>VLOOKUP(A4161,inf!$D$2:$E$76,2,FALSE)</f>
        <v>Other</v>
      </c>
    </row>
    <row r="4162" spans="1:7" x14ac:dyDescent="0.25">
      <c r="A4162" t="s">
        <v>12</v>
      </c>
      <c r="B4162" s="1">
        <v>43208</v>
      </c>
      <c r="C4162" t="s">
        <v>55</v>
      </c>
      <c r="D4162">
        <v>1050</v>
      </c>
      <c r="E4162" s="12" t="str">
        <f>VLOOKUP(C4162,inf!$A$2:$B$7,2,FALSE)</f>
        <v>Current</v>
      </c>
      <c r="F4162" s="12" t="str">
        <f t="shared" ref="F4162:F4163" si="171">TEXT(B4162,"MM/DD/YYYY")</f>
        <v>04/18/2018</v>
      </c>
      <c r="G4162" t="str">
        <f>VLOOKUP(A4162,inf!$D$2:$E$76,2,FALSE)</f>
        <v>Other</v>
      </c>
    </row>
    <row r="4163" spans="1:7" x14ac:dyDescent="0.25">
      <c r="A4163" t="s">
        <v>12</v>
      </c>
      <c r="B4163" s="1">
        <v>43208</v>
      </c>
      <c r="C4163" t="s">
        <v>56</v>
      </c>
      <c r="D4163">
        <v>1245</v>
      </c>
      <c r="E4163" s="12" t="str">
        <f>VLOOKUP(C4163,inf!$A$2:$B$7,2,FALSE)</f>
        <v>Current</v>
      </c>
      <c r="F4163" s="12" t="str">
        <f t="shared" si="171"/>
        <v>04/18/2018</v>
      </c>
      <c r="G4163" t="str">
        <f>VLOOKUP(A4163,inf!$D$2:$E$76,2,FALSE)</f>
        <v>Other</v>
      </c>
    </row>
    <row r="4164" spans="1:7" x14ac:dyDescent="0.25">
      <c r="A4164" t="s">
        <v>50</v>
      </c>
      <c r="B4164" s="1">
        <v>43208</v>
      </c>
      <c r="C4164" t="s">
        <v>55</v>
      </c>
      <c r="D4164">
        <v>172.28</v>
      </c>
      <c r="E4164" s="12" t="str">
        <f>VLOOKUP(C4164,inf!$A$2:$B$7,2,FALSE)</f>
        <v>Current</v>
      </c>
      <c r="F4164" s="12" t="str">
        <f>TEXT(B4164,"MM/DD/YYYY")</f>
        <v>04/18/2018</v>
      </c>
      <c r="G4164" t="str">
        <f>VLOOKUP(A4164,inf!$D$2:$E$76,2,FALSE)</f>
        <v>Other</v>
      </c>
    </row>
    <row r="4165" spans="1:7" x14ac:dyDescent="0.25">
      <c r="A4165" t="s">
        <v>107</v>
      </c>
      <c r="B4165" s="1">
        <v>43208</v>
      </c>
      <c r="C4165" t="s">
        <v>57</v>
      </c>
      <c r="D4165">
        <v>196.62</v>
      </c>
      <c r="E4165" s="12" t="str">
        <f>VLOOKUP(C4165,inf!$A$2:$B$7,2,FALSE)</f>
        <v>31 to 60</v>
      </c>
      <c r="F4165" s="12" t="str">
        <f>TEXT(B4165,"MM/DD/YYYY")</f>
        <v>04/18/2018</v>
      </c>
      <c r="G4165" t="str">
        <f>VLOOKUP(A4165,inf!$D$2:$E$76,2,FALSE)</f>
        <v>Other</v>
      </c>
    </row>
    <row r="4166" spans="1:7" x14ac:dyDescent="0.25">
      <c r="A4166" t="s">
        <v>113</v>
      </c>
      <c r="B4166" s="1">
        <v>43208</v>
      </c>
      <c r="C4166" t="s">
        <v>56</v>
      </c>
      <c r="D4166">
        <v>723.17</v>
      </c>
      <c r="E4166" s="12" t="str">
        <f>VLOOKUP(C4166,inf!$A$2:$B$7,2,FALSE)</f>
        <v>Current</v>
      </c>
      <c r="F4166" s="12" t="str">
        <f>TEXT(B4166,"MM/DD/YYYY")</f>
        <v>04/18/2018</v>
      </c>
      <c r="G4166" t="str">
        <f>VLOOKUP(A4166,inf!$D$2:$E$76,2,FALSE)</f>
        <v>Other</v>
      </c>
    </row>
    <row r="4167" spans="1:7" x14ac:dyDescent="0.25">
      <c r="A4167" t="s">
        <v>83</v>
      </c>
      <c r="B4167" s="1">
        <v>43208</v>
      </c>
      <c r="C4167" t="s">
        <v>55</v>
      </c>
      <c r="D4167">
        <v>412.58000000000004</v>
      </c>
      <c r="E4167" s="12" t="str">
        <f>VLOOKUP(C4167,inf!$A$2:$B$7,2,FALSE)</f>
        <v>Current</v>
      </c>
      <c r="F4167" s="12" t="str">
        <f>TEXT(B4167,"MM/DD/YYYY")</f>
        <v>04/18/2018</v>
      </c>
      <c r="G4167" t="str">
        <f>VLOOKUP(A4167,inf!$D$2:$E$76,2,FALSE)</f>
        <v>Other</v>
      </c>
    </row>
    <row r="4168" spans="1:7" x14ac:dyDescent="0.25">
      <c r="A4168" t="s">
        <v>7</v>
      </c>
      <c r="B4168" s="1">
        <v>43208</v>
      </c>
      <c r="C4168" t="s">
        <v>55</v>
      </c>
      <c r="D4168">
        <v>65563.379999999932</v>
      </c>
      <c r="E4168" s="12" t="str">
        <f>VLOOKUP(C4168,inf!$A$2:$B$7,2,FALSE)</f>
        <v>Current</v>
      </c>
      <c r="F4168" s="12" t="str">
        <f t="shared" ref="F4168:F4177" si="172">TEXT(B4168,"MM/DD/YYYY")</f>
        <v>04/18/2018</v>
      </c>
      <c r="G4168" t="str">
        <f>VLOOKUP(A4168,inf!$D$2:$E$76,2,FALSE)</f>
        <v>SAFEWAY</v>
      </c>
    </row>
    <row r="4169" spans="1:7" x14ac:dyDescent="0.25">
      <c r="A4169" t="s">
        <v>7</v>
      </c>
      <c r="B4169" s="1">
        <v>43208</v>
      </c>
      <c r="C4169" t="s">
        <v>56</v>
      </c>
      <c r="D4169">
        <v>32335.69000000001</v>
      </c>
      <c r="E4169" s="12" t="str">
        <f>VLOOKUP(C4169,inf!$A$2:$B$7,2,FALSE)</f>
        <v>Current</v>
      </c>
      <c r="F4169" s="12" t="str">
        <f t="shared" si="172"/>
        <v>04/18/2018</v>
      </c>
      <c r="G4169" t="str">
        <f>VLOOKUP(A4169,inf!$D$2:$E$76,2,FALSE)</f>
        <v>SAFEWAY</v>
      </c>
    </row>
    <row r="4170" spans="1:7" x14ac:dyDescent="0.25">
      <c r="A4170" t="s">
        <v>7</v>
      </c>
      <c r="B4170" s="1">
        <v>43208</v>
      </c>
      <c r="C4170" t="s">
        <v>57</v>
      </c>
      <c r="D4170">
        <v>19049.660000000003</v>
      </c>
      <c r="E4170" s="12" t="str">
        <f>VLOOKUP(C4170,inf!$A$2:$B$7,2,FALSE)</f>
        <v>31 to 60</v>
      </c>
      <c r="F4170" s="12" t="str">
        <f t="shared" si="172"/>
        <v>04/18/2018</v>
      </c>
      <c r="G4170" t="str">
        <f>VLOOKUP(A4170,inf!$D$2:$E$76,2,FALSE)</f>
        <v>SAFEWAY</v>
      </c>
    </row>
    <row r="4171" spans="1:7" x14ac:dyDescent="0.25">
      <c r="A4171" t="s">
        <v>7</v>
      </c>
      <c r="B4171" s="1">
        <v>43208</v>
      </c>
      <c r="C4171" t="s">
        <v>58</v>
      </c>
      <c r="D4171">
        <v>6550.670000000001</v>
      </c>
      <c r="E4171" s="12" t="str">
        <f>VLOOKUP(C4171,inf!$A$2:$B$7,2,FALSE)</f>
        <v>61 to 90</v>
      </c>
      <c r="F4171" s="12" t="str">
        <f t="shared" si="172"/>
        <v>04/18/2018</v>
      </c>
      <c r="G4171" t="str">
        <f>VLOOKUP(A4171,inf!$D$2:$E$76,2,FALSE)</f>
        <v>SAFEWAY</v>
      </c>
    </row>
    <row r="4172" spans="1:7" x14ac:dyDescent="0.25">
      <c r="A4172" t="s">
        <v>7</v>
      </c>
      <c r="B4172" s="1">
        <v>43208</v>
      </c>
      <c r="C4172" t="s">
        <v>59</v>
      </c>
      <c r="D4172">
        <v>3974.6000000000004</v>
      </c>
      <c r="E4172" s="12" t="str">
        <f>VLOOKUP(C4172,inf!$A$2:$B$7,2,FALSE)</f>
        <v>Over 90</v>
      </c>
      <c r="F4172" s="12" t="str">
        <f t="shared" si="172"/>
        <v>04/18/2018</v>
      </c>
      <c r="G4172" t="str">
        <f>VLOOKUP(A4172,inf!$D$2:$E$76,2,FALSE)</f>
        <v>SAFEWAY</v>
      </c>
    </row>
    <row r="4173" spans="1:7" x14ac:dyDescent="0.25">
      <c r="A4173" t="s">
        <v>7</v>
      </c>
      <c r="B4173" s="1">
        <v>43208</v>
      </c>
      <c r="C4173" t="s">
        <v>60</v>
      </c>
      <c r="D4173">
        <v>6849.17</v>
      </c>
      <c r="E4173" s="12" t="str">
        <f>VLOOKUP(C4173,inf!$A$2:$B$7,2,FALSE)</f>
        <v>Over 90</v>
      </c>
      <c r="F4173" s="12" t="str">
        <f t="shared" si="172"/>
        <v>04/18/2018</v>
      </c>
      <c r="G4173" t="str">
        <f>VLOOKUP(A4173,inf!$D$2:$E$76,2,FALSE)</f>
        <v>SAFEWAY</v>
      </c>
    </row>
    <row r="4174" spans="1:7" x14ac:dyDescent="0.25">
      <c r="A4174" t="s">
        <v>81</v>
      </c>
      <c r="B4174" s="1">
        <v>43208</v>
      </c>
      <c r="C4174" t="s">
        <v>55</v>
      </c>
      <c r="D4174">
        <v>174.98</v>
      </c>
      <c r="E4174" s="12" t="str">
        <f>VLOOKUP(C4174,inf!$A$2:$B$7,2,FALSE)</f>
        <v>Current</v>
      </c>
      <c r="F4174" s="12" t="str">
        <f t="shared" si="172"/>
        <v>04/18/2018</v>
      </c>
      <c r="G4174" t="str">
        <f>VLOOKUP(A4174,inf!$D$2:$E$76,2,FALSE)</f>
        <v>Other</v>
      </c>
    </row>
    <row r="4175" spans="1:7" x14ac:dyDescent="0.25">
      <c r="A4175" t="s">
        <v>81</v>
      </c>
      <c r="B4175" s="1">
        <v>43208</v>
      </c>
      <c r="C4175" t="s">
        <v>56</v>
      </c>
      <c r="D4175">
        <v>1002.07</v>
      </c>
      <c r="E4175" s="12" t="str">
        <f>VLOOKUP(C4175,inf!$A$2:$B$7,2,FALSE)</f>
        <v>Current</v>
      </c>
      <c r="F4175" s="12" t="str">
        <f t="shared" si="172"/>
        <v>04/18/2018</v>
      </c>
      <c r="G4175" t="str">
        <f>VLOOKUP(A4175,inf!$D$2:$E$76,2,FALSE)</f>
        <v>Other</v>
      </c>
    </row>
    <row r="4176" spans="1:7" x14ac:dyDescent="0.25">
      <c r="A4176" t="s">
        <v>81</v>
      </c>
      <c r="B4176" s="1">
        <v>43208</v>
      </c>
      <c r="C4176" t="s">
        <v>57</v>
      </c>
      <c r="D4176">
        <v>255.25</v>
      </c>
      <c r="E4176" s="12" t="str">
        <f>VLOOKUP(C4176,inf!$A$2:$B$7,2,FALSE)</f>
        <v>31 to 60</v>
      </c>
      <c r="F4176" s="12" t="str">
        <f t="shared" si="172"/>
        <v>04/18/2018</v>
      </c>
      <c r="G4176" t="str">
        <f>VLOOKUP(A4176,inf!$D$2:$E$76,2,FALSE)</f>
        <v>Other</v>
      </c>
    </row>
    <row r="4177" spans="1:7" x14ac:dyDescent="0.25">
      <c r="A4177" t="s">
        <v>81</v>
      </c>
      <c r="B4177" s="1">
        <v>43208</v>
      </c>
      <c r="C4177" t="s">
        <v>58</v>
      </c>
      <c r="D4177">
        <v>174.98</v>
      </c>
      <c r="E4177" s="12" t="str">
        <f>VLOOKUP(C4177,inf!$A$2:$B$7,2,FALSE)</f>
        <v>61 to 90</v>
      </c>
      <c r="F4177" s="12" t="str">
        <f t="shared" si="172"/>
        <v>04/18/2018</v>
      </c>
      <c r="G4177" t="str">
        <f>VLOOKUP(A4177,inf!$D$2:$E$76,2,FALSE)</f>
        <v>Other</v>
      </c>
    </row>
    <row r="4178" spans="1:7" x14ac:dyDescent="0.25">
      <c r="A4178" t="s">
        <v>5</v>
      </c>
      <c r="B4178" s="1">
        <v>43208</v>
      </c>
      <c r="C4178" t="s">
        <v>55</v>
      </c>
      <c r="D4178">
        <v>6907501.550000065</v>
      </c>
      <c r="E4178" s="12" t="str">
        <f>VLOOKUP(C4178,inf!$A$2:$B$7,2,FALSE)</f>
        <v>Current</v>
      </c>
      <c r="F4178" s="12" t="str">
        <f t="shared" ref="F4178:F4189" si="173">TEXT(B4178,"MM/DD/YYYY")</f>
        <v>04/18/2018</v>
      </c>
      <c r="G4178" t="str">
        <f>VLOOKUP(A4178,inf!$D$2:$E$76,2,FALSE)</f>
        <v>SBUX</v>
      </c>
    </row>
    <row r="4179" spans="1:7" x14ac:dyDescent="0.25">
      <c r="A4179" t="s">
        <v>5</v>
      </c>
      <c r="B4179" s="1">
        <v>43208</v>
      </c>
      <c r="C4179" t="s">
        <v>56</v>
      </c>
      <c r="D4179">
        <v>71231.319999999978</v>
      </c>
      <c r="E4179" s="12" t="str">
        <f>VLOOKUP(C4179,inf!$A$2:$B$7,2,FALSE)</f>
        <v>Current</v>
      </c>
      <c r="F4179" s="12" t="str">
        <f t="shared" si="173"/>
        <v>04/18/2018</v>
      </c>
      <c r="G4179" t="str">
        <f>VLOOKUP(A4179,inf!$D$2:$E$76,2,FALSE)</f>
        <v>SBUX</v>
      </c>
    </row>
    <row r="4180" spans="1:7" x14ac:dyDescent="0.25">
      <c r="A4180" t="s">
        <v>5</v>
      </c>
      <c r="B4180" s="1">
        <v>43208</v>
      </c>
      <c r="C4180" t="s">
        <v>57</v>
      </c>
      <c r="D4180">
        <v>206231.71</v>
      </c>
      <c r="E4180" s="12" t="str">
        <f>VLOOKUP(C4180,inf!$A$2:$B$7,2,FALSE)</f>
        <v>31 to 60</v>
      </c>
      <c r="F4180" s="12" t="str">
        <f t="shared" si="173"/>
        <v>04/18/2018</v>
      </c>
      <c r="G4180" t="str">
        <f>VLOOKUP(A4180,inf!$D$2:$E$76,2,FALSE)</f>
        <v>SBUX</v>
      </c>
    </row>
    <row r="4181" spans="1:7" x14ac:dyDescent="0.25">
      <c r="A4181" t="s">
        <v>5</v>
      </c>
      <c r="B4181" s="1">
        <v>43208</v>
      </c>
      <c r="C4181" t="s">
        <v>58</v>
      </c>
      <c r="D4181">
        <v>33494.319999999985</v>
      </c>
      <c r="E4181" s="12" t="str">
        <f>VLOOKUP(C4181,inf!$A$2:$B$7,2,FALSE)</f>
        <v>61 to 90</v>
      </c>
      <c r="F4181" s="12" t="str">
        <f t="shared" si="173"/>
        <v>04/18/2018</v>
      </c>
      <c r="G4181" t="str">
        <f>VLOOKUP(A4181,inf!$D$2:$E$76,2,FALSE)</f>
        <v>SBUX</v>
      </c>
    </row>
    <row r="4182" spans="1:7" x14ac:dyDescent="0.25">
      <c r="A4182" t="s">
        <v>5</v>
      </c>
      <c r="B4182" s="1">
        <v>43208</v>
      </c>
      <c r="C4182" t="s">
        <v>59</v>
      </c>
      <c r="D4182">
        <v>24465.34</v>
      </c>
      <c r="E4182" s="12" t="str">
        <f>VLOOKUP(C4182,inf!$A$2:$B$7,2,FALSE)</f>
        <v>Over 90</v>
      </c>
      <c r="F4182" s="12" t="str">
        <f t="shared" si="173"/>
        <v>04/18/2018</v>
      </c>
      <c r="G4182" t="str">
        <f>VLOOKUP(A4182,inf!$D$2:$E$76,2,FALSE)</f>
        <v>SBUX</v>
      </c>
    </row>
    <row r="4183" spans="1:7" x14ac:dyDescent="0.25">
      <c r="A4183" t="s">
        <v>5</v>
      </c>
      <c r="B4183" s="1">
        <v>43208</v>
      </c>
      <c r="C4183" t="s">
        <v>60</v>
      </c>
      <c r="D4183">
        <v>92230.990000000194</v>
      </c>
      <c r="E4183" s="12" t="str">
        <f>VLOOKUP(C4183,inf!$A$2:$B$7,2,FALSE)</f>
        <v>Over 90</v>
      </c>
      <c r="F4183" s="12" t="str">
        <f t="shared" si="173"/>
        <v>04/18/2018</v>
      </c>
      <c r="G4183" t="str">
        <f>VLOOKUP(A4183,inf!$D$2:$E$76,2,FALSE)</f>
        <v>SBUX</v>
      </c>
    </row>
    <row r="4184" spans="1:7" x14ac:dyDescent="0.25">
      <c r="A4184" t="s">
        <v>6</v>
      </c>
      <c r="B4184" s="1">
        <v>43208</v>
      </c>
      <c r="C4184" t="s">
        <v>55</v>
      </c>
      <c r="D4184">
        <v>592746.71999999532</v>
      </c>
      <c r="E4184" s="12" t="str">
        <f>VLOOKUP(C4184,inf!$A$2:$B$7,2,FALSE)</f>
        <v>Current</v>
      </c>
      <c r="F4184" s="12" t="str">
        <f t="shared" si="173"/>
        <v>04/18/2018</v>
      </c>
      <c r="G4184" t="str">
        <f>VLOOKUP(A4184,inf!$D$2:$E$76,2,FALSE)</f>
        <v>SBUX</v>
      </c>
    </row>
    <row r="4185" spans="1:7" x14ac:dyDescent="0.25">
      <c r="A4185" t="s">
        <v>6</v>
      </c>
      <c r="B4185" s="1">
        <v>43208</v>
      </c>
      <c r="C4185" t="s">
        <v>56</v>
      </c>
      <c r="D4185">
        <v>7575.47</v>
      </c>
      <c r="E4185" s="12" t="str">
        <f>VLOOKUP(C4185,inf!$A$2:$B$7,2,FALSE)</f>
        <v>Current</v>
      </c>
      <c r="F4185" s="12" t="str">
        <f t="shared" si="173"/>
        <v>04/18/2018</v>
      </c>
      <c r="G4185" t="str">
        <f>VLOOKUP(A4185,inf!$D$2:$E$76,2,FALSE)</f>
        <v>SBUX</v>
      </c>
    </row>
    <row r="4186" spans="1:7" x14ac:dyDescent="0.25">
      <c r="A4186" t="s">
        <v>6</v>
      </c>
      <c r="B4186" s="1">
        <v>43208</v>
      </c>
      <c r="C4186" t="s">
        <v>57</v>
      </c>
      <c r="D4186">
        <v>12007.439999999999</v>
      </c>
      <c r="E4186" s="12" t="str">
        <f>VLOOKUP(C4186,inf!$A$2:$B$7,2,FALSE)</f>
        <v>31 to 60</v>
      </c>
      <c r="F4186" s="12" t="str">
        <f t="shared" si="173"/>
        <v>04/18/2018</v>
      </c>
      <c r="G4186" t="str">
        <f>VLOOKUP(A4186,inf!$D$2:$E$76,2,FALSE)</f>
        <v>SBUX</v>
      </c>
    </row>
    <row r="4187" spans="1:7" x14ac:dyDescent="0.25">
      <c r="A4187" t="s">
        <v>6</v>
      </c>
      <c r="B4187" s="1">
        <v>43208</v>
      </c>
      <c r="C4187" t="s">
        <v>58</v>
      </c>
      <c r="D4187">
        <v>18293.280000000002</v>
      </c>
      <c r="E4187" s="12" t="str">
        <f>VLOOKUP(C4187,inf!$A$2:$B$7,2,FALSE)</f>
        <v>61 to 90</v>
      </c>
      <c r="F4187" s="12" t="str">
        <f t="shared" si="173"/>
        <v>04/18/2018</v>
      </c>
      <c r="G4187" t="str">
        <f>VLOOKUP(A4187,inf!$D$2:$E$76,2,FALSE)</f>
        <v>SBUX</v>
      </c>
    </row>
    <row r="4188" spans="1:7" x14ac:dyDescent="0.25">
      <c r="A4188" t="s">
        <v>6</v>
      </c>
      <c r="B4188" s="1">
        <v>43208</v>
      </c>
      <c r="C4188" t="s">
        <v>59</v>
      </c>
      <c r="D4188">
        <v>3066.7999999999988</v>
      </c>
      <c r="E4188" s="12" t="str">
        <f>VLOOKUP(C4188,inf!$A$2:$B$7,2,FALSE)</f>
        <v>Over 90</v>
      </c>
      <c r="F4188" s="12" t="str">
        <f t="shared" si="173"/>
        <v>04/18/2018</v>
      </c>
      <c r="G4188" t="str">
        <f>VLOOKUP(A4188,inf!$D$2:$E$76,2,FALSE)</f>
        <v>SBUX</v>
      </c>
    </row>
    <row r="4189" spans="1:7" x14ac:dyDescent="0.25">
      <c r="A4189" t="s">
        <v>6</v>
      </c>
      <c r="B4189" s="1">
        <v>43208</v>
      </c>
      <c r="C4189" t="s">
        <v>60</v>
      </c>
      <c r="D4189">
        <v>7062.7200000000012</v>
      </c>
      <c r="E4189" s="12" t="str">
        <f>VLOOKUP(C4189,inf!$A$2:$B$7,2,FALSE)</f>
        <v>Over 90</v>
      </c>
      <c r="F4189" s="12" t="str">
        <f t="shared" si="173"/>
        <v>04/18/2018</v>
      </c>
      <c r="G4189" t="str">
        <f>VLOOKUP(A4189,inf!$D$2:$E$76,2,FALSE)</f>
        <v>SBUX</v>
      </c>
    </row>
    <row r="4190" spans="1:7" x14ac:dyDescent="0.25">
      <c r="A4190" t="s">
        <v>49</v>
      </c>
      <c r="B4190" s="1">
        <v>43208</v>
      </c>
      <c r="C4190" t="s">
        <v>56</v>
      </c>
      <c r="D4190">
        <v>460.3</v>
      </c>
      <c r="E4190" s="12" t="str">
        <f>VLOOKUP(C4190,inf!$A$2:$B$7,2,FALSE)</f>
        <v>Current</v>
      </c>
      <c r="F4190" s="12" t="str">
        <f>TEXT(B4190,"MM/DD/YYYY")</f>
        <v>04/18/2018</v>
      </c>
      <c r="G4190" t="str">
        <f>VLOOKUP(A4190,inf!$D$2:$E$76,2,FALSE)</f>
        <v>Other</v>
      </c>
    </row>
    <row r="4191" spans="1:7" x14ac:dyDescent="0.25">
      <c r="A4191" t="s">
        <v>48</v>
      </c>
      <c r="B4191" s="1">
        <v>43208</v>
      </c>
      <c r="C4191" t="s">
        <v>55</v>
      </c>
      <c r="D4191">
        <v>196874.52999999994</v>
      </c>
      <c r="E4191" s="12" t="str">
        <f>VLOOKUP(C4191,inf!$A$2:$B$7,2,FALSE)</f>
        <v>Current</v>
      </c>
      <c r="F4191" s="12" t="str">
        <f t="shared" ref="F4191:F4202" si="174">TEXT(B4191,"MM/DD/YYYY")</f>
        <v>04/18/2018</v>
      </c>
      <c r="G4191" t="str">
        <f>VLOOKUP(A4191,inf!$D$2:$E$76,2,FALSE)</f>
        <v>Target</v>
      </c>
    </row>
    <row r="4192" spans="1:7" x14ac:dyDescent="0.25">
      <c r="A4192" t="s">
        <v>48</v>
      </c>
      <c r="B4192" s="1">
        <v>43208</v>
      </c>
      <c r="C4192" t="s">
        <v>56</v>
      </c>
      <c r="D4192">
        <v>10433.320000000002</v>
      </c>
      <c r="E4192" s="12" t="str">
        <f>VLOOKUP(C4192,inf!$A$2:$B$7,2,FALSE)</f>
        <v>Current</v>
      </c>
      <c r="F4192" s="12" t="str">
        <f t="shared" si="174"/>
        <v>04/18/2018</v>
      </c>
      <c r="G4192" t="str">
        <f>VLOOKUP(A4192,inf!$D$2:$E$76,2,FALSE)</f>
        <v>Target</v>
      </c>
    </row>
    <row r="4193" spans="1:7" x14ac:dyDescent="0.25">
      <c r="A4193" t="s">
        <v>48</v>
      </c>
      <c r="B4193" s="1">
        <v>43208</v>
      </c>
      <c r="C4193" t="s">
        <v>57</v>
      </c>
      <c r="D4193">
        <v>17872.280000000002</v>
      </c>
      <c r="E4193" s="12" t="str">
        <f>VLOOKUP(C4193,inf!$A$2:$B$7,2,FALSE)</f>
        <v>31 to 60</v>
      </c>
      <c r="F4193" s="12" t="str">
        <f t="shared" si="174"/>
        <v>04/18/2018</v>
      </c>
      <c r="G4193" t="str">
        <f>VLOOKUP(A4193,inf!$D$2:$E$76,2,FALSE)</f>
        <v>Target</v>
      </c>
    </row>
    <row r="4194" spans="1:7" x14ac:dyDescent="0.25">
      <c r="A4194" t="s">
        <v>48</v>
      </c>
      <c r="B4194" s="1">
        <v>43208</v>
      </c>
      <c r="C4194" t="s">
        <v>58</v>
      </c>
      <c r="D4194">
        <v>5374.1399999999994</v>
      </c>
      <c r="E4194" s="12" t="str">
        <f>VLOOKUP(C4194,inf!$A$2:$B$7,2,FALSE)</f>
        <v>61 to 90</v>
      </c>
      <c r="F4194" s="12" t="str">
        <f t="shared" si="174"/>
        <v>04/18/2018</v>
      </c>
      <c r="G4194" t="str">
        <f>VLOOKUP(A4194,inf!$D$2:$E$76,2,FALSE)</f>
        <v>Target</v>
      </c>
    </row>
    <row r="4195" spans="1:7" x14ac:dyDescent="0.25">
      <c r="A4195" t="s">
        <v>48</v>
      </c>
      <c r="B4195" s="1">
        <v>43208</v>
      </c>
      <c r="C4195" t="s">
        <v>59</v>
      </c>
      <c r="D4195">
        <v>20575.459999999992</v>
      </c>
      <c r="E4195" s="12" t="str">
        <f>VLOOKUP(C4195,inf!$A$2:$B$7,2,FALSE)</f>
        <v>Over 90</v>
      </c>
      <c r="F4195" s="12" t="str">
        <f t="shared" si="174"/>
        <v>04/18/2018</v>
      </c>
      <c r="G4195" t="str">
        <f>VLOOKUP(A4195,inf!$D$2:$E$76,2,FALSE)</f>
        <v>Target</v>
      </c>
    </row>
    <row r="4196" spans="1:7" x14ac:dyDescent="0.25">
      <c r="A4196" t="s">
        <v>48</v>
      </c>
      <c r="B4196" s="1">
        <v>43208</v>
      </c>
      <c r="C4196" t="s">
        <v>60</v>
      </c>
      <c r="D4196">
        <v>23675.450000000004</v>
      </c>
      <c r="E4196" s="12" t="str">
        <f>VLOOKUP(C4196,inf!$A$2:$B$7,2,FALSE)</f>
        <v>Over 90</v>
      </c>
      <c r="F4196" s="12" t="str">
        <f t="shared" si="174"/>
        <v>04/18/2018</v>
      </c>
      <c r="G4196" t="str">
        <f>VLOOKUP(A4196,inf!$D$2:$E$76,2,FALSE)</f>
        <v>Target</v>
      </c>
    </row>
    <row r="4197" spans="1:7" x14ac:dyDescent="0.25">
      <c r="A4197" t="s">
        <v>8</v>
      </c>
      <c r="B4197" s="1">
        <v>43208</v>
      </c>
      <c r="C4197" t="s">
        <v>55</v>
      </c>
      <c r="D4197">
        <v>350194.4299999997</v>
      </c>
      <c r="E4197" s="12" t="str">
        <f>VLOOKUP(C4197,inf!$A$2:$B$7,2,FALSE)</f>
        <v>Current</v>
      </c>
      <c r="F4197" s="12" t="str">
        <f t="shared" si="174"/>
        <v>04/18/2018</v>
      </c>
      <c r="G4197" t="str">
        <f>VLOOKUP(A4197,inf!$D$2:$E$76,2,FALSE)</f>
        <v>Target</v>
      </c>
    </row>
    <row r="4198" spans="1:7" x14ac:dyDescent="0.25">
      <c r="A4198" t="s">
        <v>8</v>
      </c>
      <c r="B4198" s="1">
        <v>43208</v>
      </c>
      <c r="C4198" t="s">
        <v>56</v>
      </c>
      <c r="D4198">
        <v>5293.5999999999995</v>
      </c>
      <c r="E4198" s="12" t="str">
        <f>VLOOKUP(C4198,inf!$A$2:$B$7,2,FALSE)</f>
        <v>Current</v>
      </c>
      <c r="F4198" s="12" t="str">
        <f t="shared" si="174"/>
        <v>04/18/2018</v>
      </c>
      <c r="G4198" t="str">
        <f>VLOOKUP(A4198,inf!$D$2:$E$76,2,FALSE)</f>
        <v>Target</v>
      </c>
    </row>
    <row r="4199" spans="1:7" x14ac:dyDescent="0.25">
      <c r="A4199" t="s">
        <v>8</v>
      </c>
      <c r="B4199" s="1">
        <v>43208</v>
      </c>
      <c r="C4199" t="s">
        <v>57</v>
      </c>
      <c r="D4199">
        <v>3064.67</v>
      </c>
      <c r="E4199" s="12" t="str">
        <f>VLOOKUP(C4199,inf!$A$2:$B$7,2,FALSE)</f>
        <v>31 to 60</v>
      </c>
      <c r="F4199" s="12" t="str">
        <f t="shared" si="174"/>
        <v>04/18/2018</v>
      </c>
      <c r="G4199" t="str">
        <f>VLOOKUP(A4199,inf!$D$2:$E$76,2,FALSE)</f>
        <v>Target</v>
      </c>
    </row>
    <row r="4200" spans="1:7" x14ac:dyDescent="0.25">
      <c r="A4200" t="s">
        <v>8</v>
      </c>
      <c r="B4200" s="1">
        <v>43208</v>
      </c>
      <c r="C4200" t="s">
        <v>58</v>
      </c>
      <c r="D4200">
        <v>16216.57</v>
      </c>
      <c r="E4200" s="12" t="str">
        <f>VLOOKUP(C4200,inf!$A$2:$B$7,2,FALSE)</f>
        <v>61 to 90</v>
      </c>
      <c r="F4200" s="12" t="str">
        <f t="shared" si="174"/>
        <v>04/18/2018</v>
      </c>
      <c r="G4200" t="str">
        <f>VLOOKUP(A4200,inf!$D$2:$E$76,2,FALSE)</f>
        <v>Target</v>
      </c>
    </row>
    <row r="4201" spans="1:7" x14ac:dyDescent="0.25">
      <c r="A4201" t="s">
        <v>8</v>
      </c>
      <c r="B4201" s="1">
        <v>43208</v>
      </c>
      <c r="C4201" t="s">
        <v>59</v>
      </c>
      <c r="D4201">
        <v>6107.5999999999995</v>
      </c>
      <c r="E4201" s="12" t="str">
        <f>VLOOKUP(C4201,inf!$A$2:$B$7,2,FALSE)</f>
        <v>Over 90</v>
      </c>
      <c r="F4201" s="12" t="str">
        <f t="shared" si="174"/>
        <v>04/18/2018</v>
      </c>
      <c r="G4201" t="str">
        <f>VLOOKUP(A4201,inf!$D$2:$E$76,2,FALSE)</f>
        <v>Target</v>
      </c>
    </row>
    <row r="4202" spans="1:7" x14ac:dyDescent="0.25">
      <c r="A4202" t="s">
        <v>8</v>
      </c>
      <c r="B4202" s="1">
        <v>43208</v>
      </c>
      <c r="C4202" t="s">
        <v>60</v>
      </c>
      <c r="D4202">
        <v>25507.300000000003</v>
      </c>
      <c r="E4202" s="12" t="str">
        <f>VLOOKUP(C4202,inf!$A$2:$B$7,2,FALSE)</f>
        <v>Over 90</v>
      </c>
      <c r="F4202" s="12" t="str">
        <f t="shared" si="174"/>
        <v>04/18/2018</v>
      </c>
      <c r="G4202" t="str">
        <f>VLOOKUP(A4202,inf!$D$2:$E$76,2,FALSE)</f>
        <v>Target</v>
      </c>
    </row>
    <row r="4203" spans="1:7" x14ac:dyDescent="0.25">
      <c r="A4203" t="s">
        <v>54</v>
      </c>
      <c r="B4203" s="1">
        <v>43208</v>
      </c>
      <c r="C4203" t="s">
        <v>56</v>
      </c>
      <c r="D4203">
        <v>583.93000000000006</v>
      </c>
      <c r="E4203" s="12" t="str">
        <f>VLOOKUP(C4203,inf!$A$2:$B$7,2,FALSE)</f>
        <v>Current</v>
      </c>
      <c r="F4203" s="12" t="str">
        <f t="shared" ref="F4203:F4204" si="175">TEXT(B4203,"MM/DD/YYYY")</f>
        <v>04/18/2018</v>
      </c>
      <c r="G4203" t="str">
        <f>VLOOKUP(A4203,inf!$D$2:$E$76,2,FALSE)</f>
        <v>Other</v>
      </c>
    </row>
    <row r="4204" spans="1:7" x14ac:dyDescent="0.25">
      <c r="A4204" t="s">
        <v>54</v>
      </c>
      <c r="B4204" s="1">
        <v>43208</v>
      </c>
      <c r="C4204" t="s">
        <v>57</v>
      </c>
      <c r="D4204">
        <v>497.05</v>
      </c>
      <c r="E4204" s="12" t="str">
        <f>VLOOKUP(C4204,inf!$A$2:$B$7,2,FALSE)</f>
        <v>31 to 60</v>
      </c>
      <c r="F4204" s="12" t="str">
        <f t="shared" si="175"/>
        <v>04/18/2018</v>
      </c>
      <c r="G4204" t="str">
        <f>VLOOKUP(A4204,inf!$D$2:$E$76,2,FALSE)</f>
        <v>Other</v>
      </c>
    </row>
    <row r="4205" spans="1:7" x14ac:dyDescent="0.25">
      <c r="A4205" t="s">
        <v>54</v>
      </c>
      <c r="B4205" s="1">
        <v>43208</v>
      </c>
      <c r="C4205" t="s">
        <v>60</v>
      </c>
      <c r="D4205">
        <v>122.72</v>
      </c>
      <c r="E4205" s="12" t="str">
        <f>VLOOKUP(C4205,inf!$A$2:$B$7,2,FALSE)</f>
        <v>Over 90</v>
      </c>
      <c r="F4205" s="12" t="str">
        <f>TEXT(B4205,"MM/DD/YYYY")</f>
        <v>04/18/2018</v>
      </c>
      <c r="G4205" t="str">
        <f>VLOOKUP(A4205,inf!$D$2:$E$76,2,FALSE)</f>
        <v>Other</v>
      </c>
    </row>
    <row r="4206" spans="1:7" x14ac:dyDescent="0.25">
      <c r="A4206" t="s">
        <v>28</v>
      </c>
      <c r="B4206" s="1">
        <v>43208</v>
      </c>
      <c r="C4206" t="s">
        <v>57</v>
      </c>
      <c r="D4206">
        <v>260.18</v>
      </c>
      <c r="E4206" s="12" t="str">
        <f>VLOOKUP(C4206,inf!$A$2:$B$7,2,FALSE)</f>
        <v>31 to 60</v>
      </c>
      <c r="F4206" s="12" t="str">
        <f t="shared" ref="F4206:F4211" si="176">TEXT(B4206,"MM/DD/YYYY")</f>
        <v>04/18/2018</v>
      </c>
      <c r="G4206" t="str">
        <f>VLOOKUP(A4206,inf!$D$2:$E$76,2,FALSE)</f>
        <v>Other</v>
      </c>
    </row>
    <row r="4207" spans="1:7" x14ac:dyDescent="0.25">
      <c r="A4207" t="s">
        <v>28</v>
      </c>
      <c r="B4207" s="1">
        <v>43208</v>
      </c>
      <c r="C4207" t="s">
        <v>58</v>
      </c>
      <c r="D4207">
        <v>130.66</v>
      </c>
      <c r="E4207" s="12" t="str">
        <f>VLOOKUP(C4207,inf!$A$2:$B$7,2,FALSE)</f>
        <v>61 to 90</v>
      </c>
      <c r="F4207" s="12" t="str">
        <f t="shared" si="176"/>
        <v>04/18/2018</v>
      </c>
      <c r="G4207" t="str">
        <f>VLOOKUP(A4207,inf!$D$2:$E$76,2,FALSE)</f>
        <v>Other</v>
      </c>
    </row>
    <row r="4208" spans="1:7" x14ac:dyDescent="0.25">
      <c r="A4208" t="s">
        <v>28</v>
      </c>
      <c r="B4208" s="1">
        <v>43208</v>
      </c>
      <c r="C4208" t="s">
        <v>59</v>
      </c>
      <c r="D4208">
        <v>137.71</v>
      </c>
      <c r="E4208" s="12" t="str">
        <f>VLOOKUP(C4208,inf!$A$2:$B$7,2,FALSE)</f>
        <v>Over 90</v>
      </c>
      <c r="F4208" s="12" t="str">
        <f t="shared" si="176"/>
        <v>04/18/2018</v>
      </c>
      <c r="G4208" t="str">
        <f>VLOOKUP(A4208,inf!$D$2:$E$76,2,FALSE)</f>
        <v>Other</v>
      </c>
    </row>
    <row r="4209" spans="1:7" x14ac:dyDescent="0.25">
      <c r="A4209" t="s">
        <v>28</v>
      </c>
      <c r="B4209" s="1">
        <v>43208</v>
      </c>
      <c r="C4209" t="s">
        <v>60</v>
      </c>
      <c r="D4209">
        <v>152.51</v>
      </c>
      <c r="E4209" s="12" t="str">
        <f>VLOOKUP(C4209,inf!$A$2:$B$7,2,FALSE)</f>
        <v>Over 90</v>
      </c>
      <c r="F4209" s="12" t="str">
        <f t="shared" si="176"/>
        <v>04/18/2018</v>
      </c>
      <c r="G4209" t="str">
        <f>VLOOKUP(A4209,inf!$D$2:$E$76,2,FALSE)</f>
        <v>Other</v>
      </c>
    </row>
    <row r="4210" spans="1:7" x14ac:dyDescent="0.25">
      <c r="A4210" t="s">
        <v>15</v>
      </c>
      <c r="B4210" s="1">
        <v>43208</v>
      </c>
      <c r="C4210" t="s">
        <v>55</v>
      </c>
      <c r="D4210">
        <v>128.72999999999999</v>
      </c>
      <c r="E4210" s="12" t="str">
        <f>VLOOKUP(C4210,inf!$A$2:$B$7,2,FALSE)</f>
        <v>Current</v>
      </c>
      <c r="F4210" s="12" t="str">
        <f t="shared" si="176"/>
        <v>04/18/2018</v>
      </c>
      <c r="G4210" t="str">
        <f>VLOOKUP(A4210,inf!$D$2:$E$76,2,FALSE)</f>
        <v>Other</v>
      </c>
    </row>
    <row r="4211" spans="1:7" x14ac:dyDescent="0.25">
      <c r="A4211" t="s">
        <v>15</v>
      </c>
      <c r="B4211" s="1">
        <v>43208</v>
      </c>
      <c r="C4211" t="s">
        <v>56</v>
      </c>
      <c r="D4211">
        <v>1296.1499999999999</v>
      </c>
      <c r="E4211" s="12" t="str">
        <f>VLOOKUP(C4211,inf!$A$2:$B$7,2,FALSE)</f>
        <v>Current</v>
      </c>
      <c r="F4211" s="12" t="str">
        <f t="shared" si="176"/>
        <v>04/18/2018</v>
      </c>
      <c r="G4211" t="str">
        <f>VLOOKUP(A4211,inf!$D$2:$E$76,2,FALSE)</f>
        <v>Other</v>
      </c>
    </row>
    <row r="4212" spans="1:7" x14ac:dyDescent="0.25">
      <c r="A4212" t="s">
        <v>15</v>
      </c>
      <c r="B4212" s="1">
        <v>43208</v>
      </c>
      <c r="C4212" t="s">
        <v>60</v>
      </c>
      <c r="D4212">
        <v>971.15000000000009</v>
      </c>
      <c r="E4212" s="12" t="str">
        <f>VLOOKUP(C4212,inf!$A$2:$B$7,2,FALSE)</f>
        <v>Over 90</v>
      </c>
      <c r="F4212" s="12" t="str">
        <f>TEXT(B4212,"MM/DD/YYYY")</f>
        <v>04/18/2018</v>
      </c>
      <c r="G4212" t="str">
        <f>VLOOKUP(A4212,inf!$D$2:$E$76,2,FALSE)</f>
        <v>Other</v>
      </c>
    </row>
    <row r="4213" spans="1:7" x14ac:dyDescent="0.25">
      <c r="A4213" t="s">
        <v>121</v>
      </c>
      <c r="B4213" s="1">
        <v>43215</v>
      </c>
      <c r="C4213" t="s">
        <v>56</v>
      </c>
      <c r="D4213">
        <v>232.28</v>
      </c>
      <c r="E4213" s="12" t="str">
        <f>VLOOKUP(C4213,inf!$A$2:$B$7,2,FALSE)</f>
        <v>Current</v>
      </c>
      <c r="F4213" s="12" t="str">
        <f>TEXT(B4213,"MM/DD/YYYY")</f>
        <v>04/25/2018</v>
      </c>
      <c r="G4213" t="str">
        <f>VLOOKUP(A4213,inf!$D$2:$E$76,2,FALSE)</f>
        <v>Other</v>
      </c>
    </row>
    <row r="4214" spans="1:7" x14ac:dyDescent="0.25">
      <c r="A4214" t="s">
        <v>22</v>
      </c>
      <c r="B4214" s="1">
        <v>43215</v>
      </c>
      <c r="C4214" t="s">
        <v>58</v>
      </c>
      <c r="D4214">
        <v>114.85</v>
      </c>
      <c r="E4214" s="12" t="str">
        <f>VLOOKUP(C4214,inf!$A$2:$B$7,2,FALSE)</f>
        <v>61 to 90</v>
      </c>
      <c r="F4214" s="12" t="str">
        <f>TEXT(B4214,"MM/DD/YYYY")</f>
        <v>04/25/2018</v>
      </c>
      <c r="G4214" t="str">
        <f>VLOOKUP(A4214,inf!$D$2:$E$76,2,FALSE)</f>
        <v>Other</v>
      </c>
    </row>
    <row r="4215" spans="1:7" x14ac:dyDescent="0.25">
      <c r="A4215" t="s">
        <v>103</v>
      </c>
      <c r="B4215" s="1">
        <v>43215</v>
      </c>
      <c r="C4215" t="s">
        <v>55</v>
      </c>
      <c r="D4215">
        <v>320.33999999999997</v>
      </c>
      <c r="E4215" s="12" t="str">
        <f>VLOOKUP(C4215,inf!$A$2:$B$7,2,FALSE)</f>
        <v>Current</v>
      </c>
      <c r="F4215" s="12" t="str">
        <f>TEXT(B4215,"MM/DD/YYYY")</f>
        <v>04/25/2018</v>
      </c>
      <c r="G4215" t="str">
        <f>VLOOKUP(A4215,inf!$D$2:$E$76,2,FALSE)</f>
        <v>Other</v>
      </c>
    </row>
    <row r="4216" spans="1:7" x14ac:dyDescent="0.25">
      <c r="A4216" t="s">
        <v>80</v>
      </c>
      <c r="B4216" s="1">
        <v>43215</v>
      </c>
      <c r="C4216" t="s">
        <v>55</v>
      </c>
      <c r="D4216">
        <v>1591.47</v>
      </c>
      <c r="E4216" s="12" t="str">
        <f>VLOOKUP(C4216,inf!$A$2:$B$7,2,FALSE)</f>
        <v>Current</v>
      </c>
      <c r="F4216" s="12" t="str">
        <f t="shared" ref="F4216:F4218" si="177">TEXT(B4216,"MM/DD/YYYY")</f>
        <v>04/25/2018</v>
      </c>
      <c r="G4216" t="str">
        <f>VLOOKUP(A4216,inf!$D$2:$E$76,2,FALSE)</f>
        <v>Other</v>
      </c>
    </row>
    <row r="4217" spans="1:7" x14ac:dyDescent="0.25">
      <c r="A4217" t="s">
        <v>80</v>
      </c>
      <c r="B4217" s="1">
        <v>43215</v>
      </c>
      <c r="C4217" t="s">
        <v>56</v>
      </c>
      <c r="D4217">
        <v>1217</v>
      </c>
      <c r="E4217" s="12" t="str">
        <f>VLOOKUP(C4217,inf!$A$2:$B$7,2,FALSE)</f>
        <v>Current</v>
      </c>
      <c r="F4217" s="12" t="str">
        <f t="shared" si="177"/>
        <v>04/25/2018</v>
      </c>
      <c r="G4217" t="str">
        <f>VLOOKUP(A4217,inf!$D$2:$E$76,2,FALSE)</f>
        <v>Other</v>
      </c>
    </row>
    <row r="4218" spans="1:7" x14ac:dyDescent="0.25">
      <c r="A4218" t="s">
        <v>80</v>
      </c>
      <c r="B4218" s="1">
        <v>43215</v>
      </c>
      <c r="C4218" t="s">
        <v>57</v>
      </c>
      <c r="D4218">
        <v>114.85</v>
      </c>
      <c r="E4218" s="12" t="str">
        <f>VLOOKUP(C4218,inf!$A$2:$B$7,2,FALSE)</f>
        <v>31 to 60</v>
      </c>
      <c r="F4218" s="12" t="str">
        <f t="shared" si="177"/>
        <v>04/25/2018</v>
      </c>
      <c r="G4218" t="str">
        <f>VLOOKUP(A4218,inf!$D$2:$E$76,2,FALSE)</f>
        <v>Other</v>
      </c>
    </row>
    <row r="4219" spans="1:7" x14ac:dyDescent="0.25">
      <c r="A4219" t="s">
        <v>4</v>
      </c>
      <c r="B4219" s="1">
        <v>43215</v>
      </c>
      <c r="C4219" t="s">
        <v>55</v>
      </c>
      <c r="D4219">
        <v>4526.3</v>
      </c>
      <c r="E4219" s="12" t="str">
        <f>VLOOKUP(C4219,inf!$A$2:$B$7,2,FALSE)</f>
        <v>Current</v>
      </c>
      <c r="F4219" s="12" t="str">
        <f t="shared" ref="F4219:F4220" si="178">TEXT(B4219,"MM/DD/YYYY")</f>
        <v>04/25/2018</v>
      </c>
      <c r="G4219" t="str">
        <f>VLOOKUP(A4219,inf!$D$2:$E$76,2,FALSE)</f>
        <v>Other</v>
      </c>
    </row>
    <row r="4220" spans="1:7" x14ac:dyDescent="0.25">
      <c r="A4220" t="s">
        <v>4</v>
      </c>
      <c r="B4220" s="1">
        <v>43215</v>
      </c>
      <c r="C4220" t="s">
        <v>56</v>
      </c>
      <c r="D4220">
        <v>428.17</v>
      </c>
      <c r="E4220" s="12" t="str">
        <f>VLOOKUP(C4220,inf!$A$2:$B$7,2,FALSE)</f>
        <v>Current</v>
      </c>
      <c r="F4220" s="12" t="str">
        <f t="shared" si="178"/>
        <v>04/25/2018</v>
      </c>
      <c r="G4220" t="str">
        <f>VLOOKUP(A4220,inf!$D$2:$E$76,2,FALSE)</f>
        <v>Other</v>
      </c>
    </row>
    <row r="4221" spans="1:7" x14ac:dyDescent="0.25">
      <c r="A4221" t="s">
        <v>4</v>
      </c>
      <c r="B4221" s="1">
        <v>43215</v>
      </c>
      <c r="C4221" t="s">
        <v>60</v>
      </c>
      <c r="D4221">
        <v>579.34</v>
      </c>
      <c r="E4221" s="12" t="str">
        <f>VLOOKUP(C4221,inf!$A$2:$B$7,2,FALSE)</f>
        <v>Over 90</v>
      </c>
      <c r="F4221" s="12" t="str">
        <f t="shared" ref="F4221:F4226" si="179">TEXT(B4221,"MM/DD/YYYY")</f>
        <v>04/25/2018</v>
      </c>
      <c r="G4221" t="str">
        <f>VLOOKUP(A4221,inf!$D$2:$E$76,2,FALSE)</f>
        <v>Other</v>
      </c>
    </row>
    <row r="4222" spans="1:7" x14ac:dyDescent="0.25">
      <c r="A4222" t="s">
        <v>77</v>
      </c>
      <c r="B4222" s="1">
        <v>43215</v>
      </c>
      <c r="C4222" t="s">
        <v>59</v>
      </c>
      <c r="D4222">
        <v>834.05</v>
      </c>
      <c r="E4222" s="12" t="str">
        <f>VLOOKUP(C4222,inf!$A$2:$B$7,2,FALSE)</f>
        <v>Over 90</v>
      </c>
      <c r="F4222" s="12" t="str">
        <f t="shared" si="179"/>
        <v>04/25/2018</v>
      </c>
      <c r="G4222" t="str">
        <f>VLOOKUP(A4222,inf!$D$2:$E$76,2,FALSE)</f>
        <v>Other</v>
      </c>
    </row>
    <row r="4223" spans="1:7" x14ac:dyDescent="0.25">
      <c r="A4223" t="s">
        <v>11</v>
      </c>
      <c r="B4223" s="1">
        <v>43215</v>
      </c>
      <c r="C4223" t="s">
        <v>55</v>
      </c>
      <c r="D4223">
        <v>287.13</v>
      </c>
      <c r="E4223" s="12" t="str">
        <f>VLOOKUP(C4223,inf!$A$2:$B$7,2,FALSE)</f>
        <v>Current</v>
      </c>
      <c r="F4223" s="12" t="str">
        <f t="shared" si="179"/>
        <v>04/25/2018</v>
      </c>
      <c r="G4223" t="str">
        <f>VLOOKUP(A4223,inf!$D$2:$E$76,2,FALSE)</f>
        <v>Other</v>
      </c>
    </row>
    <row r="4224" spans="1:7" x14ac:dyDescent="0.25">
      <c r="A4224" t="s">
        <v>47</v>
      </c>
      <c r="B4224" s="1">
        <v>43215</v>
      </c>
      <c r="C4224" t="s">
        <v>56</v>
      </c>
      <c r="D4224">
        <v>126.45</v>
      </c>
      <c r="E4224" s="12" t="str">
        <f>VLOOKUP(C4224,inf!$A$2:$B$7,2,FALSE)</f>
        <v>Current</v>
      </c>
      <c r="F4224" s="12" t="str">
        <f t="shared" si="179"/>
        <v>04/25/2018</v>
      </c>
      <c r="G4224" t="str">
        <f>VLOOKUP(A4224,inf!$D$2:$E$76,2,FALSE)</f>
        <v>Other</v>
      </c>
    </row>
    <row r="4225" spans="1:7" x14ac:dyDescent="0.25">
      <c r="A4225" t="s">
        <v>19</v>
      </c>
      <c r="B4225" s="1">
        <v>43215</v>
      </c>
      <c r="C4225" t="s">
        <v>55</v>
      </c>
      <c r="D4225">
        <v>1300.6400000000001</v>
      </c>
      <c r="E4225" s="12" t="str">
        <f>VLOOKUP(C4225,inf!$A$2:$B$7,2,FALSE)</f>
        <v>Current</v>
      </c>
      <c r="F4225" s="12" t="str">
        <f t="shared" si="179"/>
        <v>04/25/2018</v>
      </c>
      <c r="G4225" t="str">
        <f>VLOOKUP(A4225,inf!$D$2:$E$76,2,FALSE)</f>
        <v>Other</v>
      </c>
    </row>
    <row r="4226" spans="1:7" x14ac:dyDescent="0.25">
      <c r="A4226" t="s">
        <v>25</v>
      </c>
      <c r="B4226" s="1">
        <v>43215</v>
      </c>
      <c r="C4226" t="s">
        <v>55</v>
      </c>
      <c r="D4226">
        <v>3253.05</v>
      </c>
      <c r="E4226" s="12" t="str">
        <f>VLOOKUP(C4226,inf!$A$2:$B$7,2,FALSE)</f>
        <v>Current</v>
      </c>
      <c r="F4226" s="12" t="str">
        <f t="shared" si="179"/>
        <v>04/25/2018</v>
      </c>
      <c r="G4226" t="str">
        <f>VLOOKUP(A4226,inf!$D$2:$E$76,2,FALSE)</f>
        <v>Other</v>
      </c>
    </row>
    <row r="4227" spans="1:7" x14ac:dyDescent="0.25">
      <c r="A4227" t="s">
        <v>31</v>
      </c>
      <c r="B4227" s="1">
        <v>43215</v>
      </c>
      <c r="C4227" t="s">
        <v>55</v>
      </c>
      <c r="D4227">
        <v>143.56</v>
      </c>
      <c r="E4227" s="12" t="str">
        <f>VLOOKUP(C4227,inf!$A$2:$B$7,2,FALSE)</f>
        <v>Current</v>
      </c>
      <c r="F4227" s="12" t="str">
        <f t="shared" ref="F4227:F4228" si="180">TEXT(B4227,"MM/DD/YYYY")</f>
        <v>04/25/2018</v>
      </c>
      <c r="G4227" t="str">
        <f>VLOOKUP(A4227,inf!$D$2:$E$76,2,FALSE)</f>
        <v>Other</v>
      </c>
    </row>
    <row r="4228" spans="1:7" x14ac:dyDescent="0.25">
      <c r="A4228" t="s">
        <v>31</v>
      </c>
      <c r="B4228" s="1">
        <v>43215</v>
      </c>
      <c r="C4228" t="s">
        <v>56</v>
      </c>
      <c r="D4228">
        <v>818.33</v>
      </c>
      <c r="E4228" s="12" t="str">
        <f>VLOOKUP(C4228,inf!$A$2:$B$7,2,FALSE)</f>
        <v>Current</v>
      </c>
      <c r="F4228" s="12" t="str">
        <f t="shared" si="180"/>
        <v>04/25/2018</v>
      </c>
      <c r="G4228" t="str">
        <f>VLOOKUP(A4228,inf!$D$2:$E$76,2,FALSE)</f>
        <v>Other</v>
      </c>
    </row>
    <row r="4229" spans="1:7" x14ac:dyDescent="0.25">
      <c r="A4229" t="s">
        <v>65</v>
      </c>
      <c r="B4229" s="1">
        <v>43215</v>
      </c>
      <c r="C4229" t="s">
        <v>57</v>
      </c>
      <c r="D4229">
        <v>190</v>
      </c>
      <c r="E4229" s="12" t="str">
        <f>VLOOKUP(C4229,inf!$A$2:$B$7,2,FALSE)</f>
        <v>31 to 60</v>
      </c>
      <c r="F4229" s="12" t="str">
        <f>TEXT(B4229,"MM/DD/YYYY")</f>
        <v>04/25/2018</v>
      </c>
      <c r="G4229" t="str">
        <f>VLOOKUP(A4229,inf!$D$2:$E$76,2,FALSE)</f>
        <v>Other</v>
      </c>
    </row>
    <row r="4230" spans="1:7" x14ac:dyDescent="0.25">
      <c r="A4230" t="s">
        <v>143</v>
      </c>
      <c r="B4230" s="1">
        <v>43215</v>
      </c>
      <c r="C4230" t="s">
        <v>55</v>
      </c>
      <c r="D4230">
        <v>429.5</v>
      </c>
      <c r="E4230" s="12" t="str">
        <f>VLOOKUP(C4230,inf!$A$2:$B$7,2,FALSE)</f>
        <v>Current</v>
      </c>
      <c r="F4230" s="12" t="str">
        <f>TEXT(B4230,"MM/DD/YYYY")</f>
        <v>04/25/2018</v>
      </c>
      <c r="G4230" t="str">
        <f>VLOOKUP(A4230,inf!$D$2:$E$76,2,FALSE)</f>
        <v>Other</v>
      </c>
    </row>
    <row r="4231" spans="1:7" x14ac:dyDescent="0.25">
      <c r="A4231" t="s">
        <v>82</v>
      </c>
      <c r="B4231" s="1">
        <v>43215</v>
      </c>
      <c r="C4231" t="s">
        <v>55</v>
      </c>
      <c r="D4231">
        <v>287.13</v>
      </c>
      <c r="E4231" s="12" t="str">
        <f>VLOOKUP(C4231,inf!$A$2:$B$7,2,FALSE)</f>
        <v>Current</v>
      </c>
      <c r="F4231" s="12" t="str">
        <f t="shared" ref="F4231:F4232" si="181">TEXT(B4231,"MM/DD/YYYY")</f>
        <v>04/25/2018</v>
      </c>
      <c r="G4231" t="str">
        <f>VLOOKUP(A4231,inf!$D$2:$E$76,2,FALSE)</f>
        <v>Other</v>
      </c>
    </row>
    <row r="4232" spans="1:7" x14ac:dyDescent="0.25">
      <c r="A4232" t="s">
        <v>82</v>
      </c>
      <c r="B4232" s="1">
        <v>43215</v>
      </c>
      <c r="C4232" t="s">
        <v>56</v>
      </c>
      <c r="D4232">
        <v>358.84</v>
      </c>
      <c r="E4232" s="12" t="str">
        <f>VLOOKUP(C4232,inf!$A$2:$B$7,2,FALSE)</f>
        <v>Current</v>
      </c>
      <c r="F4232" s="12" t="str">
        <f t="shared" si="181"/>
        <v>04/25/2018</v>
      </c>
      <c r="G4232" t="str">
        <f>VLOOKUP(A4232,inf!$D$2:$E$76,2,FALSE)</f>
        <v>Other</v>
      </c>
    </row>
    <row r="4233" spans="1:7" x14ac:dyDescent="0.25">
      <c r="A4233" t="s">
        <v>82</v>
      </c>
      <c r="B4233" s="1">
        <v>43215</v>
      </c>
      <c r="C4233" t="s">
        <v>58</v>
      </c>
      <c r="D4233">
        <v>238.64</v>
      </c>
      <c r="E4233" s="12" t="str">
        <f>VLOOKUP(C4233,inf!$A$2:$B$7,2,FALSE)</f>
        <v>61 to 90</v>
      </c>
      <c r="F4233" s="12" t="str">
        <f>TEXT(B4233,"MM/DD/YYYY")</f>
        <v>04/25/2018</v>
      </c>
      <c r="G4233" t="str">
        <f>VLOOKUP(A4233,inf!$D$2:$E$76,2,FALSE)</f>
        <v>Other</v>
      </c>
    </row>
    <row r="4234" spans="1:7" x14ac:dyDescent="0.25">
      <c r="A4234" t="s">
        <v>3</v>
      </c>
      <c r="B4234" s="1">
        <v>43215</v>
      </c>
      <c r="C4234" t="s">
        <v>55</v>
      </c>
      <c r="D4234">
        <v>359.98</v>
      </c>
      <c r="E4234" s="12" t="str">
        <f>VLOOKUP(C4234,inf!$A$2:$B$7,2,FALSE)</f>
        <v>Current</v>
      </c>
      <c r="F4234" s="12" t="str">
        <f t="shared" ref="F4234:F4235" si="182">TEXT(B4234,"MM/DD/YYYY")</f>
        <v>04/25/2018</v>
      </c>
      <c r="G4234" t="str">
        <f>VLOOKUP(A4234,inf!$D$2:$E$76,2,FALSE)</f>
        <v>Other</v>
      </c>
    </row>
    <row r="4235" spans="1:7" x14ac:dyDescent="0.25">
      <c r="A4235" t="s">
        <v>3</v>
      </c>
      <c r="B4235" s="1">
        <v>43215</v>
      </c>
      <c r="C4235" t="s">
        <v>56</v>
      </c>
      <c r="D4235">
        <v>166.82</v>
      </c>
      <c r="E4235" s="12" t="str">
        <f>VLOOKUP(C4235,inf!$A$2:$B$7,2,FALSE)</f>
        <v>Current</v>
      </c>
      <c r="F4235" s="12" t="str">
        <f t="shared" si="182"/>
        <v>04/25/2018</v>
      </c>
      <c r="G4235" t="str">
        <f>VLOOKUP(A4235,inf!$D$2:$E$76,2,FALSE)</f>
        <v>Other</v>
      </c>
    </row>
    <row r="4236" spans="1:7" x14ac:dyDescent="0.25">
      <c r="A4236" t="s">
        <v>3</v>
      </c>
      <c r="B4236" s="1">
        <v>43215</v>
      </c>
      <c r="C4236" t="s">
        <v>59</v>
      </c>
      <c r="D4236">
        <v>62.5</v>
      </c>
      <c r="E4236" s="12" t="str">
        <f>VLOOKUP(C4236,inf!$A$2:$B$7,2,FALSE)</f>
        <v>Over 90</v>
      </c>
      <c r="F4236" s="12" t="str">
        <f t="shared" ref="F4236:F4238" si="183">TEXT(B4236,"MM/DD/YYYY")</f>
        <v>04/25/2018</v>
      </c>
      <c r="G4236" t="str">
        <f>VLOOKUP(A4236,inf!$D$2:$E$76,2,FALSE)</f>
        <v>Other</v>
      </c>
    </row>
    <row r="4237" spans="1:7" x14ac:dyDescent="0.25">
      <c r="A4237" t="s">
        <v>3</v>
      </c>
      <c r="B4237" s="1">
        <v>43215</v>
      </c>
      <c r="C4237" t="s">
        <v>60</v>
      </c>
      <c r="D4237">
        <v>345.82</v>
      </c>
      <c r="E4237" s="12" t="str">
        <f>VLOOKUP(C4237,inf!$A$2:$B$7,2,FALSE)</f>
        <v>Over 90</v>
      </c>
      <c r="F4237" s="12" t="str">
        <f t="shared" si="183"/>
        <v>04/25/2018</v>
      </c>
      <c r="G4237" t="str">
        <f>VLOOKUP(A4237,inf!$D$2:$E$76,2,FALSE)</f>
        <v>Other</v>
      </c>
    </row>
    <row r="4238" spans="1:7" x14ac:dyDescent="0.25">
      <c r="A4238" t="s">
        <v>78</v>
      </c>
      <c r="B4238" s="1">
        <v>43215</v>
      </c>
      <c r="C4238" t="s">
        <v>55</v>
      </c>
      <c r="D4238">
        <v>281.35000000000002</v>
      </c>
      <c r="E4238" s="12" t="str">
        <f>VLOOKUP(C4238,inf!$A$2:$B$7,2,FALSE)</f>
        <v>Current</v>
      </c>
      <c r="F4238" s="12" t="str">
        <f t="shared" si="183"/>
        <v>04/25/2018</v>
      </c>
      <c r="G4238" t="str">
        <f>VLOOKUP(A4238,inf!$D$2:$E$76,2,FALSE)</f>
        <v>Other</v>
      </c>
    </row>
    <row r="4239" spans="1:7" x14ac:dyDescent="0.25">
      <c r="A4239" t="s">
        <v>30</v>
      </c>
      <c r="B4239" s="1">
        <v>43215</v>
      </c>
      <c r="C4239" t="s">
        <v>55</v>
      </c>
      <c r="D4239">
        <v>5061.43</v>
      </c>
      <c r="E4239" s="12" t="str">
        <f>VLOOKUP(C4239,inf!$A$2:$B$7,2,FALSE)</f>
        <v>Current</v>
      </c>
      <c r="F4239" s="12" t="str">
        <f t="shared" ref="F4239:F4240" si="184">TEXT(B4239,"MM/DD/YYYY")</f>
        <v>04/25/2018</v>
      </c>
      <c r="G4239" t="str">
        <f>VLOOKUP(A4239,inf!$D$2:$E$76,2,FALSE)</f>
        <v>Other</v>
      </c>
    </row>
    <row r="4240" spans="1:7" x14ac:dyDescent="0.25">
      <c r="A4240" t="s">
        <v>30</v>
      </c>
      <c r="B4240" s="1">
        <v>43215</v>
      </c>
      <c r="C4240" t="s">
        <v>56</v>
      </c>
      <c r="D4240">
        <v>172.28</v>
      </c>
      <c r="E4240" s="12" t="str">
        <f>VLOOKUP(C4240,inf!$A$2:$B$7,2,FALSE)</f>
        <v>Current</v>
      </c>
      <c r="F4240" s="12" t="str">
        <f t="shared" si="184"/>
        <v>04/25/2018</v>
      </c>
      <c r="G4240" t="str">
        <f>VLOOKUP(A4240,inf!$D$2:$E$76,2,FALSE)</f>
        <v>Other</v>
      </c>
    </row>
    <row r="4241" spans="1:7" x14ac:dyDescent="0.25">
      <c r="A4241" t="s">
        <v>63</v>
      </c>
      <c r="B4241" s="1">
        <v>43215</v>
      </c>
      <c r="C4241" t="s">
        <v>56</v>
      </c>
      <c r="D4241">
        <v>563.72</v>
      </c>
      <c r="E4241" s="12" t="str">
        <f>VLOOKUP(C4241,inf!$A$2:$B$7,2,FALSE)</f>
        <v>Current</v>
      </c>
      <c r="F4241" s="12" t="str">
        <f>TEXT(B4241,"MM/DD/YYYY")</f>
        <v>04/25/2018</v>
      </c>
      <c r="G4241" t="str">
        <f>VLOOKUP(A4241,inf!$D$2:$E$76,2,FALSE)</f>
        <v>Other</v>
      </c>
    </row>
    <row r="4242" spans="1:7" x14ac:dyDescent="0.25">
      <c r="A4242" t="s">
        <v>104</v>
      </c>
      <c r="B4242" s="1">
        <v>43215</v>
      </c>
      <c r="C4242" t="s">
        <v>57</v>
      </c>
      <c r="D4242">
        <v>2087.54</v>
      </c>
      <c r="E4242" s="12" t="str">
        <f>VLOOKUP(C4242,inf!$A$2:$B$7,2,FALSE)</f>
        <v>31 to 60</v>
      </c>
      <c r="F4242" s="12" t="str">
        <f>TEXT(B4242,"MM/DD/YYYY")</f>
        <v>04/25/2018</v>
      </c>
      <c r="G4242" t="str">
        <f>VLOOKUP(A4242,inf!$D$2:$E$76,2,FALSE)</f>
        <v>Other</v>
      </c>
    </row>
    <row r="4243" spans="1:7" x14ac:dyDescent="0.25">
      <c r="A4243" t="s">
        <v>144</v>
      </c>
      <c r="B4243" s="1">
        <v>43215</v>
      </c>
      <c r="C4243" t="s">
        <v>55</v>
      </c>
      <c r="D4243">
        <v>319.16000000000003</v>
      </c>
      <c r="E4243" s="12" t="str">
        <f>VLOOKUP(C4243,inf!$A$2:$B$7,2,FALSE)</f>
        <v>Current</v>
      </c>
      <c r="F4243" s="12" t="str">
        <f>TEXT(B4243,"MM/DD/YYYY")</f>
        <v>04/25/2018</v>
      </c>
      <c r="G4243" t="str">
        <f>VLOOKUP(A4243,inf!$D$2:$E$76,2,FALSE)</f>
        <v>Other</v>
      </c>
    </row>
    <row r="4244" spans="1:7" x14ac:dyDescent="0.25">
      <c r="A4244" t="s">
        <v>12</v>
      </c>
      <c r="B4244" s="1">
        <v>43215</v>
      </c>
      <c r="C4244" t="s">
        <v>55</v>
      </c>
      <c r="D4244">
        <v>920</v>
      </c>
      <c r="E4244" s="12" t="str">
        <f>VLOOKUP(C4244,inf!$A$2:$B$7,2,FALSE)</f>
        <v>Current</v>
      </c>
      <c r="F4244" s="12" t="str">
        <f t="shared" ref="F4244:F4245" si="185">TEXT(B4244,"MM/DD/YYYY")</f>
        <v>04/25/2018</v>
      </c>
      <c r="G4244" t="str">
        <f>VLOOKUP(A4244,inf!$D$2:$E$76,2,FALSE)</f>
        <v>Other</v>
      </c>
    </row>
    <row r="4245" spans="1:7" x14ac:dyDescent="0.25">
      <c r="A4245" t="s">
        <v>12</v>
      </c>
      <c r="B4245" s="1">
        <v>43215</v>
      </c>
      <c r="C4245" t="s">
        <v>56</v>
      </c>
      <c r="D4245">
        <v>1215</v>
      </c>
      <c r="E4245" s="12" t="str">
        <f>VLOOKUP(C4245,inf!$A$2:$B$7,2,FALSE)</f>
        <v>Current</v>
      </c>
      <c r="F4245" s="12" t="str">
        <f t="shared" si="185"/>
        <v>04/25/2018</v>
      </c>
      <c r="G4245" t="str">
        <f>VLOOKUP(A4245,inf!$D$2:$E$76,2,FALSE)</f>
        <v>Other</v>
      </c>
    </row>
    <row r="4246" spans="1:7" x14ac:dyDescent="0.25">
      <c r="A4246" t="s">
        <v>50</v>
      </c>
      <c r="B4246" s="1">
        <v>43215</v>
      </c>
      <c r="C4246" t="s">
        <v>55</v>
      </c>
      <c r="D4246">
        <v>346.18</v>
      </c>
      <c r="E4246" s="12" t="str">
        <f>VLOOKUP(C4246,inf!$A$2:$B$7,2,FALSE)</f>
        <v>Current</v>
      </c>
      <c r="F4246" s="12" t="str">
        <f>TEXT(B4246,"MM/DD/YYYY")</f>
        <v>04/25/2018</v>
      </c>
      <c r="G4246" t="str">
        <f>VLOOKUP(A4246,inf!$D$2:$E$76,2,FALSE)</f>
        <v>Other</v>
      </c>
    </row>
    <row r="4247" spans="1:7" x14ac:dyDescent="0.25">
      <c r="A4247" t="s">
        <v>107</v>
      </c>
      <c r="B4247" s="1">
        <v>43215</v>
      </c>
      <c r="C4247" t="s">
        <v>57</v>
      </c>
      <c r="D4247">
        <v>196.62</v>
      </c>
      <c r="E4247" s="12" t="str">
        <f>VLOOKUP(C4247,inf!$A$2:$B$7,2,FALSE)</f>
        <v>31 to 60</v>
      </c>
      <c r="F4247" s="12" t="str">
        <f>TEXT(B4247,"MM/DD/YYYY")</f>
        <v>04/25/2018</v>
      </c>
      <c r="G4247" t="str">
        <f>VLOOKUP(A4247,inf!$D$2:$E$76,2,FALSE)</f>
        <v>Other</v>
      </c>
    </row>
    <row r="4248" spans="1:7" x14ac:dyDescent="0.25">
      <c r="A4248" t="s">
        <v>113</v>
      </c>
      <c r="B4248" s="1">
        <v>43215</v>
      </c>
      <c r="C4248" t="s">
        <v>56</v>
      </c>
      <c r="D4248">
        <v>723.17</v>
      </c>
      <c r="E4248" s="12" t="str">
        <f>VLOOKUP(C4248,inf!$A$2:$B$7,2,FALSE)</f>
        <v>Current</v>
      </c>
      <c r="F4248" s="12" t="str">
        <f>TEXT(B4248,"MM/DD/YYYY")</f>
        <v>04/25/2018</v>
      </c>
      <c r="G4248" t="str">
        <f>VLOOKUP(A4248,inf!$D$2:$E$76,2,FALSE)</f>
        <v>Other</v>
      </c>
    </row>
    <row r="4249" spans="1:7" x14ac:dyDescent="0.25">
      <c r="A4249" t="s">
        <v>83</v>
      </c>
      <c r="B4249" s="1">
        <v>43215</v>
      </c>
      <c r="C4249" t="s">
        <v>55</v>
      </c>
      <c r="D4249">
        <v>412.58000000000004</v>
      </c>
      <c r="E4249" s="12" t="str">
        <f>VLOOKUP(C4249,inf!$A$2:$B$7,2,FALSE)</f>
        <v>Current</v>
      </c>
      <c r="F4249" s="12" t="str">
        <f>TEXT(B4249,"MM/DD/YYYY")</f>
        <v>04/25/2018</v>
      </c>
      <c r="G4249" t="str">
        <f>VLOOKUP(A4249,inf!$D$2:$E$76,2,FALSE)</f>
        <v>Other</v>
      </c>
    </row>
    <row r="4250" spans="1:7" x14ac:dyDescent="0.25">
      <c r="A4250" t="s">
        <v>7</v>
      </c>
      <c r="B4250" s="1">
        <v>43215</v>
      </c>
      <c r="C4250" t="s">
        <v>55</v>
      </c>
      <c r="D4250">
        <v>74665.610000000015</v>
      </c>
      <c r="E4250" s="12" t="str">
        <f>VLOOKUP(C4250,inf!$A$2:$B$7,2,FALSE)</f>
        <v>Current</v>
      </c>
      <c r="F4250" s="12" t="str">
        <f t="shared" ref="F4250:F4255" si="186">TEXT(B4250,"MM/DD/YYYY")</f>
        <v>04/25/2018</v>
      </c>
      <c r="G4250" t="str">
        <f>VLOOKUP(A4250,inf!$D$2:$E$76,2,FALSE)</f>
        <v>SAFEWAY</v>
      </c>
    </row>
    <row r="4251" spans="1:7" x14ac:dyDescent="0.25">
      <c r="A4251" t="s">
        <v>7</v>
      </c>
      <c r="B4251" s="1">
        <v>43215</v>
      </c>
      <c r="C4251" t="s">
        <v>56</v>
      </c>
      <c r="D4251">
        <v>25623.559999999994</v>
      </c>
      <c r="E4251" s="12" t="str">
        <f>VLOOKUP(C4251,inf!$A$2:$B$7,2,FALSE)</f>
        <v>Current</v>
      </c>
      <c r="F4251" s="12" t="str">
        <f t="shared" si="186"/>
        <v>04/25/2018</v>
      </c>
      <c r="G4251" t="str">
        <f>VLOOKUP(A4251,inf!$D$2:$E$76,2,FALSE)</f>
        <v>SAFEWAY</v>
      </c>
    </row>
    <row r="4252" spans="1:7" x14ac:dyDescent="0.25">
      <c r="A4252" t="s">
        <v>7</v>
      </c>
      <c r="B4252" s="1">
        <v>43215</v>
      </c>
      <c r="C4252" t="s">
        <v>57</v>
      </c>
      <c r="D4252">
        <v>24464.79</v>
      </c>
      <c r="E4252" s="12" t="str">
        <f>VLOOKUP(C4252,inf!$A$2:$B$7,2,FALSE)</f>
        <v>31 to 60</v>
      </c>
      <c r="F4252" s="12" t="str">
        <f t="shared" si="186"/>
        <v>04/25/2018</v>
      </c>
      <c r="G4252" t="str">
        <f>VLOOKUP(A4252,inf!$D$2:$E$76,2,FALSE)</f>
        <v>SAFEWAY</v>
      </c>
    </row>
    <row r="4253" spans="1:7" x14ac:dyDescent="0.25">
      <c r="A4253" t="s">
        <v>7</v>
      </c>
      <c r="B4253" s="1">
        <v>43215</v>
      </c>
      <c r="C4253" t="s">
        <v>58</v>
      </c>
      <c r="D4253">
        <v>6205.4000000000005</v>
      </c>
      <c r="E4253" s="12" t="str">
        <f>VLOOKUP(C4253,inf!$A$2:$B$7,2,FALSE)</f>
        <v>61 to 90</v>
      </c>
      <c r="F4253" s="12" t="str">
        <f t="shared" si="186"/>
        <v>04/25/2018</v>
      </c>
      <c r="G4253" t="str">
        <f>VLOOKUP(A4253,inf!$D$2:$E$76,2,FALSE)</f>
        <v>SAFEWAY</v>
      </c>
    </row>
    <row r="4254" spans="1:7" x14ac:dyDescent="0.25">
      <c r="A4254" t="s">
        <v>7</v>
      </c>
      <c r="B4254" s="1">
        <v>43215</v>
      </c>
      <c r="C4254" t="s">
        <v>59</v>
      </c>
      <c r="D4254">
        <v>3758.56</v>
      </c>
      <c r="E4254" s="12" t="str">
        <f>VLOOKUP(C4254,inf!$A$2:$B$7,2,FALSE)</f>
        <v>Over 90</v>
      </c>
      <c r="F4254" s="12" t="str">
        <f t="shared" si="186"/>
        <v>04/25/2018</v>
      </c>
      <c r="G4254" t="str">
        <f>VLOOKUP(A4254,inf!$D$2:$E$76,2,FALSE)</f>
        <v>SAFEWAY</v>
      </c>
    </row>
    <row r="4255" spans="1:7" x14ac:dyDescent="0.25">
      <c r="A4255" t="s">
        <v>7</v>
      </c>
      <c r="B4255" s="1">
        <v>43215</v>
      </c>
      <c r="C4255" t="s">
        <v>60</v>
      </c>
      <c r="D4255">
        <v>7254.2200000000012</v>
      </c>
      <c r="E4255" s="12" t="str">
        <f>VLOOKUP(C4255,inf!$A$2:$B$7,2,FALSE)</f>
        <v>Over 90</v>
      </c>
      <c r="F4255" s="12" t="str">
        <f t="shared" si="186"/>
        <v>04/25/2018</v>
      </c>
      <c r="G4255" t="str">
        <f>VLOOKUP(A4255,inf!$D$2:$E$76,2,FALSE)</f>
        <v>SAFEWAY</v>
      </c>
    </row>
    <row r="4256" spans="1:7" x14ac:dyDescent="0.25">
      <c r="A4256" t="s">
        <v>81</v>
      </c>
      <c r="B4256" s="1">
        <v>43215</v>
      </c>
      <c r="C4256" t="s">
        <v>56</v>
      </c>
      <c r="D4256">
        <v>1177.05</v>
      </c>
      <c r="E4256" s="12" t="str">
        <f>VLOOKUP(C4256,inf!$A$2:$B$7,2,FALSE)</f>
        <v>Current</v>
      </c>
      <c r="F4256" s="12" t="str">
        <f t="shared" ref="F4256:F4257" si="187">TEXT(B4256,"MM/DD/YYYY")</f>
        <v>04/25/2018</v>
      </c>
      <c r="G4256" t="str">
        <f>VLOOKUP(A4256,inf!$D$2:$E$76,2,FALSE)</f>
        <v>Other</v>
      </c>
    </row>
    <row r="4257" spans="1:7" x14ac:dyDescent="0.25">
      <c r="A4257" t="s">
        <v>81</v>
      </c>
      <c r="B4257" s="1">
        <v>43215</v>
      </c>
      <c r="C4257" t="s">
        <v>57</v>
      </c>
      <c r="D4257">
        <v>255.25</v>
      </c>
      <c r="E4257" s="12" t="str">
        <f>VLOOKUP(C4257,inf!$A$2:$B$7,2,FALSE)</f>
        <v>31 to 60</v>
      </c>
      <c r="F4257" s="12" t="str">
        <f t="shared" si="187"/>
        <v>04/25/2018</v>
      </c>
      <c r="G4257" t="str">
        <f>VLOOKUP(A4257,inf!$D$2:$E$76,2,FALSE)</f>
        <v>Other</v>
      </c>
    </row>
    <row r="4258" spans="1:7" x14ac:dyDescent="0.25">
      <c r="A4258" t="s">
        <v>81</v>
      </c>
      <c r="B4258" s="1">
        <v>43215</v>
      </c>
      <c r="C4258" t="s">
        <v>59</v>
      </c>
      <c r="D4258">
        <v>174.98</v>
      </c>
      <c r="E4258" s="12" t="str">
        <f>VLOOKUP(C4258,inf!$A$2:$B$7,2,FALSE)</f>
        <v>Over 90</v>
      </c>
      <c r="F4258" s="12" t="str">
        <f>TEXT(B4258,"MM/DD/YYYY")</f>
        <v>04/25/2018</v>
      </c>
      <c r="G4258" t="str">
        <f>VLOOKUP(A4258,inf!$D$2:$E$76,2,FALSE)</f>
        <v>Other</v>
      </c>
    </row>
    <row r="4259" spans="1:7" x14ac:dyDescent="0.25">
      <c r="A4259" t="s">
        <v>5</v>
      </c>
      <c r="B4259" s="1">
        <v>43215</v>
      </c>
      <c r="C4259" t="s">
        <v>55</v>
      </c>
      <c r="D4259">
        <v>7252366.0700001931</v>
      </c>
      <c r="E4259" s="12" t="str">
        <f>VLOOKUP(C4259,inf!$A$2:$B$7,2,FALSE)</f>
        <v>Current</v>
      </c>
      <c r="F4259" s="12" t="str">
        <f t="shared" ref="F4259:F4270" si="188">TEXT(B4259,"MM/DD/YYYY")</f>
        <v>04/25/2018</v>
      </c>
      <c r="G4259" t="str">
        <f>VLOOKUP(A4259,inf!$D$2:$E$76,2,FALSE)</f>
        <v>SBUX</v>
      </c>
    </row>
    <row r="4260" spans="1:7" x14ac:dyDescent="0.25">
      <c r="A4260" t="s">
        <v>5</v>
      </c>
      <c r="B4260" s="1">
        <v>43215</v>
      </c>
      <c r="C4260" t="s">
        <v>56</v>
      </c>
      <c r="D4260">
        <v>72688.859999999899</v>
      </c>
      <c r="E4260" s="12" t="str">
        <f>VLOOKUP(C4260,inf!$A$2:$B$7,2,FALSE)</f>
        <v>Current</v>
      </c>
      <c r="F4260" s="12" t="str">
        <f t="shared" si="188"/>
        <v>04/25/2018</v>
      </c>
      <c r="G4260" t="str">
        <f>VLOOKUP(A4260,inf!$D$2:$E$76,2,FALSE)</f>
        <v>SBUX</v>
      </c>
    </row>
    <row r="4261" spans="1:7" x14ac:dyDescent="0.25">
      <c r="A4261" t="s">
        <v>5</v>
      </c>
      <c r="B4261" s="1">
        <v>43215</v>
      </c>
      <c r="C4261" t="s">
        <v>57</v>
      </c>
      <c r="D4261">
        <v>201996.88999999984</v>
      </c>
      <c r="E4261" s="12" t="str">
        <f>VLOOKUP(C4261,inf!$A$2:$B$7,2,FALSE)</f>
        <v>31 to 60</v>
      </c>
      <c r="F4261" s="12" t="str">
        <f t="shared" si="188"/>
        <v>04/25/2018</v>
      </c>
      <c r="G4261" t="str">
        <f>VLOOKUP(A4261,inf!$D$2:$E$76,2,FALSE)</f>
        <v>SBUX</v>
      </c>
    </row>
    <row r="4262" spans="1:7" x14ac:dyDescent="0.25">
      <c r="A4262" t="s">
        <v>5</v>
      </c>
      <c r="B4262" s="1">
        <v>43215</v>
      </c>
      <c r="C4262" t="s">
        <v>58</v>
      </c>
      <c r="D4262">
        <v>40178.300000000017</v>
      </c>
      <c r="E4262" s="12" t="str">
        <f>VLOOKUP(C4262,inf!$A$2:$B$7,2,FALSE)</f>
        <v>61 to 90</v>
      </c>
      <c r="F4262" s="12" t="str">
        <f t="shared" si="188"/>
        <v>04/25/2018</v>
      </c>
      <c r="G4262" t="str">
        <f>VLOOKUP(A4262,inf!$D$2:$E$76,2,FALSE)</f>
        <v>SBUX</v>
      </c>
    </row>
    <row r="4263" spans="1:7" x14ac:dyDescent="0.25">
      <c r="A4263" t="s">
        <v>5</v>
      </c>
      <c r="B4263" s="1">
        <v>43215</v>
      </c>
      <c r="C4263" t="s">
        <v>59</v>
      </c>
      <c r="D4263">
        <v>31693.11</v>
      </c>
      <c r="E4263" s="12" t="str">
        <f>VLOOKUP(C4263,inf!$A$2:$B$7,2,FALSE)</f>
        <v>Over 90</v>
      </c>
      <c r="F4263" s="12" t="str">
        <f t="shared" si="188"/>
        <v>04/25/2018</v>
      </c>
      <c r="G4263" t="str">
        <f>VLOOKUP(A4263,inf!$D$2:$E$76,2,FALSE)</f>
        <v>SBUX</v>
      </c>
    </row>
    <row r="4264" spans="1:7" x14ac:dyDescent="0.25">
      <c r="A4264" t="s">
        <v>5</v>
      </c>
      <c r="B4264" s="1">
        <v>43215</v>
      </c>
      <c r="C4264" t="s">
        <v>60</v>
      </c>
      <c r="D4264">
        <v>92568.95000000023</v>
      </c>
      <c r="E4264" s="12" t="str">
        <f>VLOOKUP(C4264,inf!$A$2:$B$7,2,FALSE)</f>
        <v>Over 90</v>
      </c>
      <c r="F4264" s="12" t="str">
        <f t="shared" si="188"/>
        <v>04/25/2018</v>
      </c>
      <c r="G4264" t="str">
        <f>VLOOKUP(A4264,inf!$D$2:$E$76,2,FALSE)</f>
        <v>SBUX</v>
      </c>
    </row>
    <row r="4265" spans="1:7" x14ac:dyDescent="0.25">
      <c r="A4265" t="s">
        <v>6</v>
      </c>
      <c r="B4265" s="1">
        <v>43215</v>
      </c>
      <c r="C4265" t="s">
        <v>55</v>
      </c>
      <c r="D4265">
        <v>633641.97999999463</v>
      </c>
      <c r="E4265" s="12" t="str">
        <f>VLOOKUP(C4265,inf!$A$2:$B$7,2,FALSE)</f>
        <v>Current</v>
      </c>
      <c r="F4265" s="12" t="str">
        <f t="shared" si="188"/>
        <v>04/25/2018</v>
      </c>
      <c r="G4265" t="str">
        <f>VLOOKUP(A4265,inf!$D$2:$E$76,2,FALSE)</f>
        <v>SBUX</v>
      </c>
    </row>
    <row r="4266" spans="1:7" x14ac:dyDescent="0.25">
      <c r="A4266" t="s">
        <v>6</v>
      </c>
      <c r="B4266" s="1">
        <v>43215</v>
      </c>
      <c r="C4266" t="s">
        <v>56</v>
      </c>
      <c r="D4266">
        <v>15113.359999999991</v>
      </c>
      <c r="E4266" s="12" t="str">
        <f>VLOOKUP(C4266,inf!$A$2:$B$7,2,FALSE)</f>
        <v>Current</v>
      </c>
      <c r="F4266" s="12" t="str">
        <f t="shared" si="188"/>
        <v>04/25/2018</v>
      </c>
      <c r="G4266" t="str">
        <f>VLOOKUP(A4266,inf!$D$2:$E$76,2,FALSE)</f>
        <v>SBUX</v>
      </c>
    </row>
    <row r="4267" spans="1:7" x14ac:dyDescent="0.25">
      <c r="A4267" t="s">
        <v>6</v>
      </c>
      <c r="B4267" s="1">
        <v>43215</v>
      </c>
      <c r="C4267" t="s">
        <v>57</v>
      </c>
      <c r="D4267">
        <v>15496.399999999994</v>
      </c>
      <c r="E4267" s="12" t="str">
        <f>VLOOKUP(C4267,inf!$A$2:$B$7,2,FALSE)</f>
        <v>31 to 60</v>
      </c>
      <c r="F4267" s="12" t="str">
        <f t="shared" si="188"/>
        <v>04/25/2018</v>
      </c>
      <c r="G4267" t="str">
        <f>VLOOKUP(A4267,inf!$D$2:$E$76,2,FALSE)</f>
        <v>SBUX</v>
      </c>
    </row>
    <row r="4268" spans="1:7" x14ac:dyDescent="0.25">
      <c r="A4268" t="s">
        <v>6</v>
      </c>
      <c r="B4268" s="1">
        <v>43215</v>
      </c>
      <c r="C4268" t="s">
        <v>58</v>
      </c>
      <c r="D4268">
        <v>18122.080000000002</v>
      </c>
      <c r="E4268" s="12" t="str">
        <f>VLOOKUP(C4268,inf!$A$2:$B$7,2,FALSE)</f>
        <v>61 to 90</v>
      </c>
      <c r="F4268" s="12" t="str">
        <f t="shared" si="188"/>
        <v>04/25/2018</v>
      </c>
      <c r="G4268" t="str">
        <f>VLOOKUP(A4268,inf!$D$2:$E$76,2,FALSE)</f>
        <v>SBUX</v>
      </c>
    </row>
    <row r="4269" spans="1:7" x14ac:dyDescent="0.25">
      <c r="A4269" t="s">
        <v>6</v>
      </c>
      <c r="B4269" s="1">
        <v>43215</v>
      </c>
      <c r="C4269" t="s">
        <v>59</v>
      </c>
      <c r="D4269">
        <v>2794.6799999999994</v>
      </c>
      <c r="E4269" s="12" t="str">
        <f>VLOOKUP(C4269,inf!$A$2:$B$7,2,FALSE)</f>
        <v>Over 90</v>
      </c>
      <c r="F4269" s="12" t="str">
        <f t="shared" si="188"/>
        <v>04/25/2018</v>
      </c>
      <c r="G4269" t="str">
        <f>VLOOKUP(A4269,inf!$D$2:$E$76,2,FALSE)</f>
        <v>SBUX</v>
      </c>
    </row>
    <row r="4270" spans="1:7" x14ac:dyDescent="0.25">
      <c r="A4270" t="s">
        <v>6</v>
      </c>
      <c r="B4270" s="1">
        <v>43215</v>
      </c>
      <c r="C4270" t="s">
        <v>60</v>
      </c>
      <c r="D4270">
        <v>7506.0400000000009</v>
      </c>
      <c r="E4270" s="12" t="str">
        <f>VLOOKUP(C4270,inf!$A$2:$B$7,2,FALSE)</f>
        <v>Over 90</v>
      </c>
      <c r="F4270" s="12" t="str">
        <f t="shared" si="188"/>
        <v>04/25/2018</v>
      </c>
      <c r="G4270" t="str">
        <f>VLOOKUP(A4270,inf!$D$2:$E$76,2,FALSE)</f>
        <v>SBUX</v>
      </c>
    </row>
    <row r="4271" spans="1:7" x14ac:dyDescent="0.25">
      <c r="A4271" t="s">
        <v>49</v>
      </c>
      <c r="B4271" s="1">
        <v>43215</v>
      </c>
      <c r="C4271" t="s">
        <v>56</v>
      </c>
      <c r="D4271">
        <v>460.3</v>
      </c>
      <c r="E4271" s="12" t="str">
        <f>VLOOKUP(C4271,inf!$A$2:$B$7,2,FALSE)</f>
        <v>Current</v>
      </c>
      <c r="F4271" s="12" t="str">
        <f>TEXT(B4271,"MM/DD/YYYY")</f>
        <v>04/25/2018</v>
      </c>
      <c r="G4271" t="str">
        <f>VLOOKUP(A4271,inf!$D$2:$E$76,2,FALSE)</f>
        <v>Other</v>
      </c>
    </row>
    <row r="4272" spans="1:7" x14ac:dyDescent="0.25">
      <c r="A4272" t="s">
        <v>48</v>
      </c>
      <c r="B4272" s="1">
        <v>43215</v>
      </c>
      <c r="C4272" t="s">
        <v>55</v>
      </c>
      <c r="D4272">
        <v>212024.91999999993</v>
      </c>
      <c r="E4272" s="12" t="str">
        <f>VLOOKUP(C4272,inf!$A$2:$B$7,2,FALSE)</f>
        <v>Current</v>
      </c>
      <c r="F4272" s="12" t="str">
        <f t="shared" ref="F4272:F4284" si="189">TEXT(B4272,"MM/DD/YYYY")</f>
        <v>04/25/2018</v>
      </c>
      <c r="G4272" t="str">
        <f>VLOOKUP(A4272,inf!$D$2:$E$76,2,FALSE)</f>
        <v>Target</v>
      </c>
    </row>
    <row r="4273" spans="1:7" x14ac:dyDescent="0.25">
      <c r="A4273" t="s">
        <v>48</v>
      </c>
      <c r="B4273" s="1">
        <v>43215</v>
      </c>
      <c r="C4273" t="s">
        <v>56</v>
      </c>
      <c r="D4273">
        <v>3794.2000000000003</v>
      </c>
      <c r="E4273" s="12" t="str">
        <f>VLOOKUP(C4273,inf!$A$2:$B$7,2,FALSE)</f>
        <v>Current</v>
      </c>
      <c r="F4273" s="12" t="str">
        <f t="shared" si="189"/>
        <v>04/25/2018</v>
      </c>
      <c r="G4273" t="str">
        <f>VLOOKUP(A4273,inf!$D$2:$E$76,2,FALSE)</f>
        <v>Target</v>
      </c>
    </row>
    <row r="4274" spans="1:7" x14ac:dyDescent="0.25">
      <c r="A4274" t="s">
        <v>48</v>
      </c>
      <c r="B4274" s="1">
        <v>43215</v>
      </c>
      <c r="C4274" t="s">
        <v>57</v>
      </c>
      <c r="D4274">
        <v>24922.309999999998</v>
      </c>
      <c r="E4274" s="12" t="str">
        <f>VLOOKUP(C4274,inf!$A$2:$B$7,2,FALSE)</f>
        <v>31 to 60</v>
      </c>
      <c r="F4274" s="12" t="str">
        <f t="shared" si="189"/>
        <v>04/25/2018</v>
      </c>
      <c r="G4274" t="str">
        <f>VLOOKUP(A4274,inf!$D$2:$E$76,2,FALSE)</f>
        <v>Target</v>
      </c>
    </row>
    <row r="4275" spans="1:7" x14ac:dyDescent="0.25">
      <c r="A4275" t="s">
        <v>48</v>
      </c>
      <c r="B4275" s="1">
        <v>43215</v>
      </c>
      <c r="C4275" t="s">
        <v>58</v>
      </c>
      <c r="D4275">
        <v>4127.28</v>
      </c>
      <c r="E4275" s="12" t="str">
        <f>VLOOKUP(C4275,inf!$A$2:$B$7,2,FALSE)</f>
        <v>61 to 90</v>
      </c>
      <c r="F4275" s="12" t="str">
        <f t="shared" si="189"/>
        <v>04/25/2018</v>
      </c>
      <c r="G4275" t="str">
        <f>VLOOKUP(A4275,inf!$D$2:$E$76,2,FALSE)</f>
        <v>Target</v>
      </c>
    </row>
    <row r="4276" spans="1:7" x14ac:dyDescent="0.25">
      <c r="A4276" t="s">
        <v>48</v>
      </c>
      <c r="B4276" s="1">
        <v>43215</v>
      </c>
      <c r="C4276" t="s">
        <v>59</v>
      </c>
      <c r="D4276">
        <v>18529.03</v>
      </c>
      <c r="E4276" s="12" t="str">
        <f>VLOOKUP(C4276,inf!$A$2:$B$7,2,FALSE)</f>
        <v>Over 90</v>
      </c>
      <c r="F4276" s="12" t="str">
        <f t="shared" si="189"/>
        <v>04/25/2018</v>
      </c>
      <c r="G4276" t="str">
        <f>VLOOKUP(A4276,inf!$D$2:$E$76,2,FALSE)</f>
        <v>Target</v>
      </c>
    </row>
    <row r="4277" spans="1:7" x14ac:dyDescent="0.25">
      <c r="A4277" t="s">
        <v>48</v>
      </c>
      <c r="B4277" s="1">
        <v>43215</v>
      </c>
      <c r="C4277" t="s">
        <v>60</v>
      </c>
      <c r="D4277">
        <v>25119.53000000001</v>
      </c>
      <c r="E4277" s="12" t="str">
        <f>VLOOKUP(C4277,inf!$A$2:$B$7,2,FALSE)</f>
        <v>Over 90</v>
      </c>
      <c r="F4277" s="12" t="str">
        <f t="shared" si="189"/>
        <v>04/25/2018</v>
      </c>
      <c r="G4277" t="str">
        <f>VLOOKUP(A4277,inf!$D$2:$E$76,2,FALSE)</f>
        <v>Target</v>
      </c>
    </row>
    <row r="4278" spans="1:7" x14ac:dyDescent="0.25">
      <c r="A4278" t="s">
        <v>8</v>
      </c>
      <c r="B4278" s="1">
        <v>43215</v>
      </c>
      <c r="C4278" t="s">
        <v>55</v>
      </c>
      <c r="D4278">
        <v>344741.98000000004</v>
      </c>
      <c r="E4278" s="12" t="str">
        <f>VLOOKUP(C4278,inf!$A$2:$B$7,2,FALSE)</f>
        <v>Current</v>
      </c>
      <c r="F4278" s="12" t="str">
        <f t="shared" si="189"/>
        <v>04/25/2018</v>
      </c>
      <c r="G4278" t="str">
        <f>VLOOKUP(A4278,inf!$D$2:$E$76,2,FALSE)</f>
        <v>Target</v>
      </c>
    </row>
    <row r="4279" spans="1:7" x14ac:dyDescent="0.25">
      <c r="A4279" t="s">
        <v>8</v>
      </c>
      <c r="B4279" s="1">
        <v>43215</v>
      </c>
      <c r="C4279" t="s">
        <v>56</v>
      </c>
      <c r="D4279">
        <v>5763.54</v>
      </c>
      <c r="E4279" s="12" t="str">
        <f>VLOOKUP(C4279,inf!$A$2:$B$7,2,FALSE)</f>
        <v>Current</v>
      </c>
      <c r="F4279" s="12" t="str">
        <f t="shared" si="189"/>
        <v>04/25/2018</v>
      </c>
      <c r="G4279" t="str">
        <f>VLOOKUP(A4279,inf!$D$2:$E$76,2,FALSE)</f>
        <v>Target</v>
      </c>
    </row>
    <row r="4280" spans="1:7" x14ac:dyDescent="0.25">
      <c r="A4280" t="s">
        <v>8</v>
      </c>
      <c r="B4280" s="1">
        <v>43215</v>
      </c>
      <c r="C4280" t="s">
        <v>57</v>
      </c>
      <c r="D4280">
        <v>5155.32</v>
      </c>
      <c r="E4280" s="12" t="str">
        <f>VLOOKUP(C4280,inf!$A$2:$B$7,2,FALSE)</f>
        <v>31 to 60</v>
      </c>
      <c r="F4280" s="12" t="str">
        <f t="shared" si="189"/>
        <v>04/25/2018</v>
      </c>
      <c r="G4280" t="str">
        <f>VLOOKUP(A4280,inf!$D$2:$E$76,2,FALSE)</f>
        <v>Target</v>
      </c>
    </row>
    <row r="4281" spans="1:7" x14ac:dyDescent="0.25">
      <c r="A4281" t="s">
        <v>8</v>
      </c>
      <c r="B4281" s="1">
        <v>43215</v>
      </c>
      <c r="C4281" t="s">
        <v>58</v>
      </c>
      <c r="D4281">
        <v>15991.57</v>
      </c>
      <c r="E4281" s="12" t="str">
        <f>VLOOKUP(C4281,inf!$A$2:$B$7,2,FALSE)</f>
        <v>61 to 90</v>
      </c>
      <c r="F4281" s="12" t="str">
        <f t="shared" si="189"/>
        <v>04/25/2018</v>
      </c>
      <c r="G4281" t="str">
        <f>VLOOKUP(A4281,inf!$D$2:$E$76,2,FALSE)</f>
        <v>Target</v>
      </c>
    </row>
    <row r="4282" spans="1:7" x14ac:dyDescent="0.25">
      <c r="A4282" t="s">
        <v>8</v>
      </c>
      <c r="B4282" s="1">
        <v>43215</v>
      </c>
      <c r="C4282" t="s">
        <v>59</v>
      </c>
      <c r="D4282">
        <v>4523</v>
      </c>
      <c r="E4282" s="12" t="str">
        <f>VLOOKUP(C4282,inf!$A$2:$B$7,2,FALSE)</f>
        <v>Over 90</v>
      </c>
      <c r="F4282" s="12" t="str">
        <f t="shared" si="189"/>
        <v>04/25/2018</v>
      </c>
      <c r="G4282" t="str">
        <f>VLOOKUP(A4282,inf!$D$2:$E$76,2,FALSE)</f>
        <v>Target</v>
      </c>
    </row>
    <row r="4283" spans="1:7" x14ac:dyDescent="0.25">
      <c r="A4283" t="s">
        <v>8</v>
      </c>
      <c r="B4283" s="1">
        <v>43215</v>
      </c>
      <c r="C4283" t="s">
        <v>60</v>
      </c>
      <c r="D4283">
        <v>27316.9</v>
      </c>
      <c r="E4283" s="12" t="str">
        <f>VLOOKUP(C4283,inf!$A$2:$B$7,2,FALSE)</f>
        <v>Over 90</v>
      </c>
      <c r="F4283" s="12" t="str">
        <f t="shared" si="189"/>
        <v>04/25/2018</v>
      </c>
      <c r="G4283" t="str">
        <f>VLOOKUP(A4283,inf!$D$2:$E$76,2,FALSE)</f>
        <v>Target</v>
      </c>
    </row>
    <row r="4284" spans="1:7" x14ac:dyDescent="0.25">
      <c r="A4284" t="s">
        <v>197</v>
      </c>
      <c r="B4284" s="1">
        <v>43215</v>
      </c>
      <c r="C4284" t="s">
        <v>55</v>
      </c>
      <c r="D4284">
        <v>258.42</v>
      </c>
      <c r="E4284" s="12" t="str">
        <f>VLOOKUP(C4284,inf!$A$2:$B$7,2,FALSE)</f>
        <v>Current</v>
      </c>
      <c r="F4284" s="12" t="str">
        <f t="shared" si="189"/>
        <v>04/25/2018</v>
      </c>
      <c r="G4284" t="str">
        <f>VLOOKUP(A4284,inf!$D$2:$E$76,2,FALSE)</f>
        <v>Other</v>
      </c>
    </row>
    <row r="4285" spans="1:7" x14ac:dyDescent="0.25">
      <c r="A4285" t="s">
        <v>54</v>
      </c>
      <c r="B4285" s="1">
        <v>43215</v>
      </c>
      <c r="C4285" t="s">
        <v>56</v>
      </c>
      <c r="D4285">
        <v>583.93000000000006</v>
      </c>
      <c r="E4285" s="12" t="str">
        <f>VLOOKUP(C4285,inf!$A$2:$B$7,2,FALSE)</f>
        <v>Current</v>
      </c>
      <c r="F4285" s="12" t="str">
        <f>TEXT(B4285,"MM/DD/YYYY")</f>
        <v>04/25/2018</v>
      </c>
      <c r="G4285" t="str">
        <f>VLOOKUP(A4285,inf!$D$2:$E$76,2,FALSE)</f>
        <v>Other</v>
      </c>
    </row>
    <row r="4286" spans="1:7" x14ac:dyDescent="0.25">
      <c r="A4286" t="s">
        <v>54</v>
      </c>
      <c r="B4286" s="1">
        <v>43215</v>
      </c>
      <c r="C4286" t="s">
        <v>58</v>
      </c>
      <c r="D4286">
        <v>497.05</v>
      </c>
      <c r="E4286" s="12" t="str">
        <f>VLOOKUP(C4286,inf!$A$2:$B$7,2,FALSE)</f>
        <v>61 to 90</v>
      </c>
      <c r="F4286" s="12" t="str">
        <f>TEXT(B4286,"MM/DD/YYYY")</f>
        <v>04/25/2018</v>
      </c>
      <c r="G4286" t="str">
        <f>VLOOKUP(A4286,inf!$D$2:$E$76,2,FALSE)</f>
        <v>Other</v>
      </c>
    </row>
    <row r="4287" spans="1:7" x14ac:dyDescent="0.25">
      <c r="A4287" t="s">
        <v>54</v>
      </c>
      <c r="B4287" s="1">
        <v>43215</v>
      </c>
      <c r="C4287" t="s">
        <v>60</v>
      </c>
      <c r="D4287">
        <v>122.72</v>
      </c>
      <c r="E4287" s="12" t="str">
        <f>VLOOKUP(C4287,inf!$A$2:$B$7,2,FALSE)</f>
        <v>Over 90</v>
      </c>
      <c r="F4287" s="12" t="str">
        <f>TEXT(B4287,"MM/DD/YYYY")</f>
        <v>04/25/2018</v>
      </c>
      <c r="G4287" t="str">
        <f>VLOOKUP(A4287,inf!$D$2:$E$76,2,FALSE)</f>
        <v>Other</v>
      </c>
    </row>
    <row r="4288" spans="1:7" x14ac:dyDescent="0.25">
      <c r="A4288" t="s">
        <v>28</v>
      </c>
      <c r="B4288" s="1">
        <v>43215</v>
      </c>
      <c r="C4288" t="s">
        <v>57</v>
      </c>
      <c r="D4288">
        <v>89.710000000000008</v>
      </c>
      <c r="E4288" s="12" t="str">
        <f>VLOOKUP(C4288,inf!$A$2:$B$7,2,FALSE)</f>
        <v>31 to 60</v>
      </c>
      <c r="F4288" s="12" t="str">
        <f t="shared" ref="F4288:F4293" si="190">TEXT(B4288,"MM/DD/YYYY")</f>
        <v>04/25/2018</v>
      </c>
      <c r="G4288" t="str">
        <f>VLOOKUP(A4288,inf!$D$2:$E$76,2,FALSE)</f>
        <v>Other</v>
      </c>
    </row>
    <row r="4289" spans="1:7" x14ac:dyDescent="0.25">
      <c r="A4289" t="s">
        <v>28</v>
      </c>
      <c r="B4289" s="1">
        <v>43215</v>
      </c>
      <c r="C4289" t="s">
        <v>58</v>
      </c>
      <c r="D4289">
        <v>41.93</v>
      </c>
      <c r="E4289" s="12" t="str">
        <f>VLOOKUP(C4289,inf!$A$2:$B$7,2,FALSE)</f>
        <v>61 to 90</v>
      </c>
      <c r="F4289" s="12" t="str">
        <f t="shared" si="190"/>
        <v>04/25/2018</v>
      </c>
      <c r="G4289" t="str">
        <f>VLOOKUP(A4289,inf!$D$2:$E$76,2,FALSE)</f>
        <v>Other</v>
      </c>
    </row>
    <row r="4290" spans="1:7" x14ac:dyDescent="0.25">
      <c r="A4290" t="s">
        <v>28</v>
      </c>
      <c r="B4290" s="1">
        <v>43215</v>
      </c>
      <c r="C4290" t="s">
        <v>59</v>
      </c>
      <c r="D4290">
        <v>137.71</v>
      </c>
      <c r="E4290" s="12" t="str">
        <f>VLOOKUP(C4290,inf!$A$2:$B$7,2,FALSE)</f>
        <v>Over 90</v>
      </c>
      <c r="F4290" s="12" t="str">
        <f t="shared" si="190"/>
        <v>04/25/2018</v>
      </c>
      <c r="G4290" t="str">
        <f>VLOOKUP(A4290,inf!$D$2:$E$76,2,FALSE)</f>
        <v>Other</v>
      </c>
    </row>
    <row r="4291" spans="1:7" x14ac:dyDescent="0.25">
      <c r="A4291" t="s">
        <v>28</v>
      </c>
      <c r="B4291" s="1">
        <v>43215</v>
      </c>
      <c r="C4291" t="s">
        <v>60</v>
      </c>
      <c r="D4291">
        <v>17.46</v>
      </c>
      <c r="E4291" s="12" t="str">
        <f>VLOOKUP(C4291,inf!$A$2:$B$7,2,FALSE)</f>
        <v>Over 90</v>
      </c>
      <c r="F4291" s="12" t="str">
        <f t="shared" si="190"/>
        <v>04/25/2018</v>
      </c>
      <c r="G4291" t="str">
        <f>VLOOKUP(A4291,inf!$D$2:$E$76,2,FALSE)</f>
        <v>Other</v>
      </c>
    </row>
    <row r="4292" spans="1:7" x14ac:dyDescent="0.25">
      <c r="A4292" t="s">
        <v>15</v>
      </c>
      <c r="B4292" s="1">
        <v>43215</v>
      </c>
      <c r="C4292" t="s">
        <v>55</v>
      </c>
      <c r="D4292">
        <v>128.72999999999999</v>
      </c>
      <c r="E4292" s="12" t="str">
        <f>VLOOKUP(C4292,inf!$A$2:$B$7,2,FALSE)</f>
        <v>Current</v>
      </c>
      <c r="F4292" s="12" t="str">
        <f t="shared" si="190"/>
        <v>04/25/2018</v>
      </c>
      <c r="G4292" t="str">
        <f>VLOOKUP(A4292,inf!$D$2:$E$76,2,FALSE)</f>
        <v>Other</v>
      </c>
    </row>
    <row r="4293" spans="1:7" x14ac:dyDescent="0.25">
      <c r="A4293" t="s">
        <v>15</v>
      </c>
      <c r="B4293" s="1">
        <v>43215</v>
      </c>
      <c r="C4293" t="s">
        <v>56</v>
      </c>
      <c r="D4293">
        <v>1142.58</v>
      </c>
      <c r="E4293" s="12" t="str">
        <f>VLOOKUP(C4293,inf!$A$2:$B$7,2,FALSE)</f>
        <v>Current</v>
      </c>
      <c r="F4293" s="12" t="str">
        <f t="shared" si="190"/>
        <v>04/25/2018</v>
      </c>
      <c r="G4293" t="str">
        <f>VLOOKUP(A4293,inf!$D$2:$E$76,2,FALSE)</f>
        <v>Other</v>
      </c>
    </row>
    <row r="4294" spans="1:7" x14ac:dyDescent="0.25">
      <c r="A4294" t="s">
        <v>15</v>
      </c>
      <c r="B4294" s="1">
        <v>43215</v>
      </c>
      <c r="C4294" t="s">
        <v>60</v>
      </c>
      <c r="D4294">
        <v>317.29000000000002</v>
      </c>
      <c r="E4294" s="12" t="str">
        <f>VLOOKUP(C4294,inf!$A$2:$B$7,2,FALSE)</f>
        <v>Over 90</v>
      </c>
      <c r="F4294" s="12" t="str">
        <f>TEXT(B4294,"MM/DD/YYYY")</f>
        <v>04/25/2018</v>
      </c>
      <c r="G4294" t="str">
        <f>VLOOKUP(A4294,inf!$D$2:$E$76,2,FALSE)</f>
        <v>Other</v>
      </c>
    </row>
    <row r="4295" spans="1:7" x14ac:dyDescent="0.25">
      <c r="A4295" t="s">
        <v>121</v>
      </c>
      <c r="B4295" s="1">
        <v>43292</v>
      </c>
      <c r="C4295" t="s">
        <v>59</v>
      </c>
      <c r="D4295">
        <v>232.28</v>
      </c>
      <c r="E4295" s="12" t="str">
        <f>VLOOKUP(C4295,inf!$A$2:$B$7,2,FALSE)</f>
        <v>Over 90</v>
      </c>
      <c r="F4295" s="12" t="str">
        <f>TEXT(B4295,"MM/DD/YYYY")</f>
        <v>07/11/2018</v>
      </c>
      <c r="G4295" t="str">
        <f>VLOOKUP(A4295,inf!$D$2:$E$76,2,FALSE)</f>
        <v>Other</v>
      </c>
    </row>
    <row r="4296" spans="1:7" x14ac:dyDescent="0.25">
      <c r="A4296" t="s">
        <v>244</v>
      </c>
      <c r="B4296" s="1">
        <v>43292</v>
      </c>
      <c r="C4296" t="s">
        <v>55</v>
      </c>
      <c r="D4296">
        <v>871.8</v>
      </c>
      <c r="E4296" s="12" t="str">
        <f>VLOOKUP(C4296,inf!$A$2:$B$7,2,FALSE)</f>
        <v>Current</v>
      </c>
      <c r="F4296" s="12" t="str">
        <f>TEXT(B4296,"MM/DD/YYYY")</f>
        <v>07/11/2018</v>
      </c>
      <c r="G4296" t="str">
        <f>VLOOKUP(A4296,inf!$D$2:$E$76,2,FALSE)</f>
        <v>Other</v>
      </c>
    </row>
    <row r="4297" spans="1:7" x14ac:dyDescent="0.25">
      <c r="A4297" t="s">
        <v>80</v>
      </c>
      <c r="B4297" s="1">
        <v>43292</v>
      </c>
      <c r="C4297" t="s">
        <v>57</v>
      </c>
      <c r="D4297">
        <v>1591.47</v>
      </c>
      <c r="E4297" s="12" t="str">
        <f>VLOOKUP(C4297,inf!$A$2:$B$7,2,FALSE)</f>
        <v>31 to 60</v>
      </c>
      <c r="F4297" s="12" t="str">
        <f t="shared" ref="F4297:F4299" si="191">TEXT(B4297,"MM/DD/YYYY")</f>
        <v>07/11/2018</v>
      </c>
      <c r="G4297" t="str">
        <f>VLOOKUP(A4297,inf!$D$2:$E$76,2,FALSE)</f>
        <v>Other</v>
      </c>
    </row>
    <row r="4298" spans="1:7" x14ac:dyDescent="0.25">
      <c r="A4298" t="s">
        <v>80</v>
      </c>
      <c r="B4298" s="1">
        <v>43292</v>
      </c>
      <c r="C4298" t="s">
        <v>58</v>
      </c>
      <c r="D4298">
        <v>1217</v>
      </c>
      <c r="E4298" s="12" t="str">
        <f>VLOOKUP(C4298,inf!$A$2:$B$7,2,FALSE)</f>
        <v>61 to 90</v>
      </c>
      <c r="F4298" s="12" t="str">
        <f t="shared" si="191"/>
        <v>07/11/2018</v>
      </c>
      <c r="G4298" t="str">
        <f>VLOOKUP(A4298,inf!$D$2:$E$76,2,FALSE)</f>
        <v>Other</v>
      </c>
    </row>
    <row r="4299" spans="1:7" x14ac:dyDescent="0.25">
      <c r="A4299" t="s">
        <v>80</v>
      </c>
      <c r="B4299" s="1">
        <v>43292</v>
      </c>
      <c r="C4299" t="s">
        <v>59</v>
      </c>
      <c r="D4299">
        <v>114.85</v>
      </c>
      <c r="E4299" s="12" t="str">
        <f>VLOOKUP(C4299,inf!$A$2:$B$7,2,FALSE)</f>
        <v>Over 90</v>
      </c>
      <c r="F4299" s="12" t="str">
        <f t="shared" si="191"/>
        <v>07/11/2018</v>
      </c>
      <c r="G4299" t="str">
        <f>VLOOKUP(A4299,inf!$D$2:$E$76,2,FALSE)</f>
        <v>Other</v>
      </c>
    </row>
    <row r="4300" spans="1:7" x14ac:dyDescent="0.25">
      <c r="A4300" t="s">
        <v>4</v>
      </c>
      <c r="B4300" s="1">
        <v>43292</v>
      </c>
      <c r="C4300" t="s">
        <v>55</v>
      </c>
      <c r="D4300">
        <v>3339.98</v>
      </c>
      <c r="E4300" s="12" t="str">
        <f>VLOOKUP(C4300,inf!$A$2:$B$7,2,FALSE)</f>
        <v>Current</v>
      </c>
      <c r="F4300" s="12" t="str">
        <f t="shared" ref="F4300:F4302" si="192">TEXT(B4300,"MM/DD/YYYY")</f>
        <v>07/11/2018</v>
      </c>
      <c r="G4300" t="str">
        <f>VLOOKUP(A4300,inf!$D$2:$E$76,2,FALSE)</f>
        <v>Other</v>
      </c>
    </row>
    <row r="4301" spans="1:7" x14ac:dyDescent="0.25">
      <c r="A4301" t="s">
        <v>4</v>
      </c>
      <c r="B4301" s="1">
        <v>43292</v>
      </c>
      <c r="C4301" t="s">
        <v>56</v>
      </c>
      <c r="D4301">
        <v>4143.51</v>
      </c>
      <c r="E4301" s="12" t="str">
        <f>VLOOKUP(C4301,inf!$A$2:$B$7,2,FALSE)</f>
        <v>Current</v>
      </c>
      <c r="F4301" s="12" t="str">
        <f t="shared" si="192"/>
        <v>07/11/2018</v>
      </c>
      <c r="G4301" t="str">
        <f>VLOOKUP(A4301,inf!$D$2:$E$76,2,FALSE)</f>
        <v>Other</v>
      </c>
    </row>
    <row r="4302" spans="1:7" x14ac:dyDescent="0.25">
      <c r="A4302" t="s">
        <v>4</v>
      </c>
      <c r="B4302" s="1">
        <v>43292</v>
      </c>
      <c r="C4302" t="s">
        <v>57</v>
      </c>
      <c r="D4302">
        <v>254.1</v>
      </c>
      <c r="E4302" s="12" t="str">
        <f>VLOOKUP(C4302,inf!$A$2:$B$7,2,FALSE)</f>
        <v>31 to 60</v>
      </c>
      <c r="F4302" s="12" t="str">
        <f t="shared" si="192"/>
        <v>07/11/2018</v>
      </c>
      <c r="G4302" t="str">
        <f>VLOOKUP(A4302,inf!$D$2:$E$76,2,FALSE)</f>
        <v>Other</v>
      </c>
    </row>
    <row r="4303" spans="1:7" x14ac:dyDescent="0.25">
      <c r="A4303" t="s">
        <v>4</v>
      </c>
      <c r="B4303" s="1">
        <v>43292</v>
      </c>
      <c r="C4303" t="s">
        <v>59</v>
      </c>
      <c r="D4303">
        <v>428.17</v>
      </c>
      <c r="E4303" s="12" t="str">
        <f>VLOOKUP(C4303,inf!$A$2:$B$7,2,FALSE)</f>
        <v>Over 90</v>
      </c>
      <c r="F4303" s="12" t="str">
        <f t="shared" ref="F4303:F4305" si="193">TEXT(B4303,"MM/DD/YYYY")</f>
        <v>07/11/2018</v>
      </c>
      <c r="G4303" t="str">
        <f>VLOOKUP(A4303,inf!$D$2:$E$76,2,FALSE)</f>
        <v>Other</v>
      </c>
    </row>
    <row r="4304" spans="1:7" x14ac:dyDescent="0.25">
      <c r="A4304" t="s">
        <v>4</v>
      </c>
      <c r="B4304" s="1">
        <v>43292</v>
      </c>
      <c r="C4304" t="s">
        <v>60</v>
      </c>
      <c r="D4304">
        <v>279.34000000000003</v>
      </c>
      <c r="E4304" s="12" t="str">
        <f>VLOOKUP(C4304,inf!$A$2:$B$7,2,FALSE)</f>
        <v>Over 90</v>
      </c>
      <c r="F4304" s="12" t="str">
        <f t="shared" si="193"/>
        <v>07/11/2018</v>
      </c>
      <c r="G4304" t="str">
        <f>VLOOKUP(A4304,inf!$D$2:$E$76,2,FALSE)</f>
        <v>Other</v>
      </c>
    </row>
    <row r="4305" spans="1:7" x14ac:dyDescent="0.25">
      <c r="A4305" t="s">
        <v>245</v>
      </c>
      <c r="B4305" s="1">
        <v>43292</v>
      </c>
      <c r="C4305" t="s">
        <v>55</v>
      </c>
      <c r="D4305">
        <v>400.74</v>
      </c>
      <c r="E4305" s="12" t="str">
        <f>VLOOKUP(C4305,inf!$A$2:$B$7,2,FALSE)</f>
        <v>Current</v>
      </c>
      <c r="F4305" s="12" t="str">
        <f t="shared" si="193"/>
        <v>07/11/2018</v>
      </c>
      <c r="G4305" t="str">
        <f>VLOOKUP(A4305,inf!$D$2:$E$76,2,FALSE)</f>
        <v>Other</v>
      </c>
    </row>
    <row r="4306" spans="1:7" x14ac:dyDescent="0.25">
      <c r="A4306" t="s">
        <v>47</v>
      </c>
      <c r="B4306" s="1">
        <v>43292</v>
      </c>
      <c r="C4306" t="s">
        <v>58</v>
      </c>
      <c r="D4306">
        <v>126.45</v>
      </c>
      <c r="E4306" s="12" t="str">
        <f>VLOOKUP(C4306,inf!$A$2:$B$7,2,FALSE)</f>
        <v>61 to 90</v>
      </c>
      <c r="F4306" s="12" t="str">
        <f>TEXT(B4306,"MM/DD/YYYY")</f>
        <v>07/11/2018</v>
      </c>
      <c r="G4306" t="str">
        <f>VLOOKUP(A4306,inf!$D$2:$E$76,2,FALSE)</f>
        <v>Other</v>
      </c>
    </row>
    <row r="4307" spans="1:7" x14ac:dyDescent="0.25">
      <c r="A4307" t="s">
        <v>246</v>
      </c>
      <c r="B4307" s="1">
        <v>43292</v>
      </c>
      <c r="C4307" t="s">
        <v>56</v>
      </c>
      <c r="D4307">
        <v>603.38</v>
      </c>
      <c r="E4307" s="12" t="str">
        <f>VLOOKUP(C4307,inf!$A$2:$B$7,2,FALSE)</f>
        <v>Current</v>
      </c>
      <c r="F4307" s="12" t="str">
        <f>TEXT(B4307,"MM/DD/YYYY")</f>
        <v>07/11/2018</v>
      </c>
      <c r="G4307" t="str">
        <f>VLOOKUP(A4307,inf!$D$2:$E$76,2,FALSE)</f>
        <v>Other</v>
      </c>
    </row>
    <row r="4308" spans="1:7" x14ac:dyDescent="0.25">
      <c r="A4308" t="s">
        <v>19</v>
      </c>
      <c r="B4308" s="1">
        <v>43292</v>
      </c>
      <c r="C4308" t="s">
        <v>58</v>
      </c>
      <c r="D4308">
        <v>1300.6400000000001</v>
      </c>
      <c r="E4308" s="12" t="str">
        <f>VLOOKUP(C4308,inf!$A$2:$B$7,2,FALSE)</f>
        <v>61 to 90</v>
      </c>
      <c r="F4308" s="12" t="str">
        <f>TEXT(B4308,"MM/DD/YYYY")</f>
        <v>07/11/2018</v>
      </c>
      <c r="G4308" t="str">
        <f>VLOOKUP(A4308,inf!$D$2:$E$76,2,FALSE)</f>
        <v>Other</v>
      </c>
    </row>
    <row r="4309" spans="1:7" x14ac:dyDescent="0.25">
      <c r="A4309" t="s">
        <v>247</v>
      </c>
      <c r="B4309" s="1">
        <v>43292</v>
      </c>
      <c r="C4309" t="s">
        <v>55</v>
      </c>
      <c r="D4309">
        <v>995.28</v>
      </c>
      <c r="E4309" s="12" t="str">
        <f>VLOOKUP(C4309,inf!$A$2:$B$7,2,FALSE)</f>
        <v>Current</v>
      </c>
      <c r="F4309" s="12" t="str">
        <f t="shared" ref="F4309:F4310" si="194">TEXT(B4309,"MM/DD/YYYY")</f>
        <v>07/11/2018</v>
      </c>
      <c r="G4309" t="str">
        <f>VLOOKUP(A4309,inf!$D$2:$E$76,2,FALSE)</f>
        <v>Other</v>
      </c>
    </row>
    <row r="4310" spans="1:7" x14ac:dyDescent="0.25">
      <c r="A4310" t="s">
        <v>247</v>
      </c>
      <c r="B4310" s="1">
        <v>43292</v>
      </c>
      <c r="C4310" t="s">
        <v>56</v>
      </c>
      <c r="D4310">
        <v>654.98</v>
      </c>
      <c r="E4310" s="12" t="str">
        <f>VLOOKUP(C4310,inf!$A$2:$B$7,2,FALSE)</f>
        <v>Current</v>
      </c>
      <c r="F4310" s="12" t="str">
        <f t="shared" si="194"/>
        <v>07/11/2018</v>
      </c>
      <c r="G4310" t="str">
        <f>VLOOKUP(A4310,inf!$D$2:$E$76,2,FALSE)</f>
        <v>Other</v>
      </c>
    </row>
    <row r="4311" spans="1:7" x14ac:dyDescent="0.25">
      <c r="A4311" t="s">
        <v>65</v>
      </c>
      <c r="B4311" s="1">
        <v>43292</v>
      </c>
      <c r="C4311" t="s">
        <v>59</v>
      </c>
      <c r="D4311">
        <v>190</v>
      </c>
      <c r="E4311" s="12" t="str">
        <f>VLOOKUP(C4311,inf!$A$2:$B$7,2,FALSE)</f>
        <v>Over 90</v>
      </c>
      <c r="F4311" s="12" t="str">
        <f>TEXT(B4311,"MM/DD/YYYY")</f>
        <v>07/11/2018</v>
      </c>
      <c r="G4311" t="str">
        <f>VLOOKUP(A4311,inf!$D$2:$E$76,2,FALSE)</f>
        <v>Other</v>
      </c>
    </row>
    <row r="4312" spans="1:7" x14ac:dyDescent="0.25">
      <c r="A4312" t="s">
        <v>248</v>
      </c>
      <c r="B4312" s="1">
        <v>43292</v>
      </c>
      <c r="C4312" t="s">
        <v>55</v>
      </c>
      <c r="D4312">
        <v>258.41000000000003</v>
      </c>
      <c r="E4312" s="12" t="str">
        <f>VLOOKUP(C4312,inf!$A$2:$B$7,2,FALSE)</f>
        <v>Current</v>
      </c>
      <c r="F4312" s="12" t="str">
        <f>TEXT(B4312,"MM/DD/YYYY")</f>
        <v>07/11/2018</v>
      </c>
      <c r="G4312" t="str">
        <f>VLOOKUP(A4312,inf!$D$2:$E$76,2,FALSE)</f>
        <v>Other</v>
      </c>
    </row>
    <row r="4313" spans="1:7" x14ac:dyDescent="0.25">
      <c r="A4313" t="s">
        <v>143</v>
      </c>
      <c r="B4313" s="1">
        <v>43292</v>
      </c>
      <c r="C4313" t="s">
        <v>57</v>
      </c>
      <c r="D4313">
        <v>429.5</v>
      </c>
      <c r="E4313" s="12" t="str">
        <f>VLOOKUP(C4313,inf!$A$2:$B$7,2,FALSE)</f>
        <v>31 to 60</v>
      </c>
      <c r="F4313" s="12" t="str">
        <f>TEXT(B4313,"MM/DD/YYYY")</f>
        <v>07/11/2018</v>
      </c>
      <c r="G4313" t="str">
        <f>VLOOKUP(A4313,inf!$D$2:$E$76,2,FALSE)</f>
        <v>Other</v>
      </c>
    </row>
    <row r="4314" spans="1:7" x14ac:dyDescent="0.25">
      <c r="A4314" t="s">
        <v>27</v>
      </c>
      <c r="B4314" s="1">
        <v>43292</v>
      </c>
      <c r="C4314" t="s">
        <v>55</v>
      </c>
      <c r="D4314">
        <v>2487.79</v>
      </c>
      <c r="E4314" s="12" t="str">
        <f>VLOOKUP(C4314,inf!$A$2:$B$7,2,FALSE)</f>
        <v>Current</v>
      </c>
      <c r="F4314" s="12" t="str">
        <f>TEXT(B4314,"MM/DD/YYYY")</f>
        <v>07/11/2018</v>
      </c>
      <c r="G4314" t="str">
        <f>VLOOKUP(A4314,inf!$D$2:$E$76,2,FALSE)</f>
        <v>Other</v>
      </c>
    </row>
    <row r="4315" spans="1:7" x14ac:dyDescent="0.25">
      <c r="A4315" t="s">
        <v>27</v>
      </c>
      <c r="B4315" s="1">
        <v>43292</v>
      </c>
      <c r="C4315" t="s">
        <v>57</v>
      </c>
      <c r="D4315">
        <v>211.45</v>
      </c>
      <c r="E4315" s="12" t="str">
        <f>VLOOKUP(C4315,inf!$A$2:$B$7,2,FALSE)</f>
        <v>31 to 60</v>
      </c>
      <c r="F4315" s="12" t="str">
        <f>TEXT(B4315,"MM/DD/YYYY")</f>
        <v>07/11/2018</v>
      </c>
      <c r="G4315" t="str">
        <f>VLOOKUP(A4315,inf!$D$2:$E$76,2,FALSE)</f>
        <v>Other</v>
      </c>
    </row>
    <row r="4316" spans="1:7" x14ac:dyDescent="0.25">
      <c r="A4316" t="s">
        <v>21</v>
      </c>
      <c r="B4316" s="1">
        <v>43292</v>
      </c>
      <c r="C4316" t="s">
        <v>55</v>
      </c>
      <c r="D4316">
        <v>372.7</v>
      </c>
      <c r="E4316" s="12" t="str">
        <f>VLOOKUP(C4316,inf!$A$2:$B$7,2,FALSE)</f>
        <v>Current</v>
      </c>
      <c r="F4316" s="12" t="str">
        <f>TEXT(B4316,"MM/DD/YYYY")</f>
        <v>07/11/2018</v>
      </c>
      <c r="G4316" t="str">
        <f>VLOOKUP(A4316,inf!$D$2:$E$76,2,FALSE)</f>
        <v>Other</v>
      </c>
    </row>
    <row r="4317" spans="1:7" x14ac:dyDescent="0.25">
      <c r="A4317" t="s">
        <v>249</v>
      </c>
      <c r="B4317" s="1">
        <v>43292</v>
      </c>
      <c r="C4317" t="s">
        <v>55</v>
      </c>
      <c r="D4317">
        <v>145.72</v>
      </c>
      <c r="E4317" s="12" t="str">
        <f>VLOOKUP(C4317,inf!$A$2:$B$7,2,FALSE)</f>
        <v>Current</v>
      </c>
      <c r="F4317" s="12" t="str">
        <f t="shared" ref="F4317:F4318" si="195">TEXT(B4317,"MM/DD/YYYY")</f>
        <v>07/11/2018</v>
      </c>
      <c r="G4317" t="str">
        <f>VLOOKUP(A4317,inf!$D$2:$E$76,2,FALSE)</f>
        <v>Other</v>
      </c>
    </row>
    <row r="4318" spans="1:7" x14ac:dyDescent="0.25">
      <c r="A4318" t="s">
        <v>249</v>
      </c>
      <c r="B4318" s="1">
        <v>43292</v>
      </c>
      <c r="C4318" t="s">
        <v>56</v>
      </c>
      <c r="D4318">
        <v>141.31</v>
      </c>
      <c r="E4318" s="12" t="str">
        <f>VLOOKUP(C4318,inf!$A$2:$B$7,2,FALSE)</f>
        <v>Current</v>
      </c>
      <c r="F4318" s="12" t="str">
        <f t="shared" si="195"/>
        <v>07/11/2018</v>
      </c>
      <c r="G4318" t="str">
        <f>VLOOKUP(A4318,inf!$D$2:$E$76,2,FALSE)</f>
        <v>Other</v>
      </c>
    </row>
    <row r="4319" spans="1:7" x14ac:dyDescent="0.25">
      <c r="A4319" t="s">
        <v>249</v>
      </c>
      <c r="B4319" s="1">
        <v>43292</v>
      </c>
      <c r="C4319" t="s">
        <v>58</v>
      </c>
      <c r="D4319">
        <v>287.13</v>
      </c>
      <c r="E4319" s="12" t="str">
        <f>VLOOKUP(C4319,inf!$A$2:$B$7,2,FALSE)</f>
        <v>61 to 90</v>
      </c>
      <c r="F4319" s="12" t="str">
        <f t="shared" ref="F4319:F4321" si="196">TEXT(B4319,"MM/DD/YYYY")</f>
        <v>07/11/2018</v>
      </c>
      <c r="G4319" t="str">
        <f>VLOOKUP(A4319,inf!$D$2:$E$76,2,FALSE)</f>
        <v>Other</v>
      </c>
    </row>
    <row r="4320" spans="1:7" x14ac:dyDescent="0.25">
      <c r="A4320" t="s">
        <v>249</v>
      </c>
      <c r="B4320" s="1">
        <v>43292</v>
      </c>
      <c r="C4320" t="s">
        <v>59</v>
      </c>
      <c r="D4320">
        <v>358.84000000000003</v>
      </c>
      <c r="E4320" s="12" t="str">
        <f>VLOOKUP(C4320,inf!$A$2:$B$7,2,FALSE)</f>
        <v>Over 90</v>
      </c>
      <c r="F4320" s="12" t="str">
        <f t="shared" si="196"/>
        <v>07/11/2018</v>
      </c>
      <c r="G4320" t="str">
        <f>VLOOKUP(A4320,inf!$D$2:$E$76,2,FALSE)</f>
        <v>Other</v>
      </c>
    </row>
    <row r="4321" spans="1:7" x14ac:dyDescent="0.25">
      <c r="A4321" t="s">
        <v>249</v>
      </c>
      <c r="B4321" s="1">
        <v>43292</v>
      </c>
      <c r="C4321" t="s">
        <v>60</v>
      </c>
      <c r="D4321">
        <v>238.64</v>
      </c>
      <c r="E4321" s="12" t="str">
        <f>VLOOKUP(C4321,inf!$A$2:$B$7,2,FALSE)</f>
        <v>Over 90</v>
      </c>
      <c r="F4321" s="12" t="str">
        <f t="shared" si="196"/>
        <v>07/11/2018</v>
      </c>
      <c r="G4321" t="str">
        <f>VLOOKUP(A4321,inf!$D$2:$E$76,2,FALSE)</f>
        <v>Other</v>
      </c>
    </row>
    <row r="4322" spans="1:7" x14ac:dyDescent="0.25">
      <c r="A4322" t="s">
        <v>250</v>
      </c>
      <c r="B4322" s="1">
        <v>43292</v>
      </c>
      <c r="C4322" t="s">
        <v>57</v>
      </c>
      <c r="D4322">
        <v>388.29999999999995</v>
      </c>
      <c r="E4322" s="12" t="str">
        <f>VLOOKUP(C4322,inf!$A$2:$B$7,2,FALSE)</f>
        <v>31 to 60</v>
      </c>
      <c r="F4322" s="12" t="str">
        <f t="shared" ref="F4322:F4323" si="197">TEXT(B4322,"MM/DD/YYYY")</f>
        <v>07/11/2018</v>
      </c>
      <c r="G4322" t="str">
        <f>VLOOKUP(A4322,inf!$D$2:$E$76,2,FALSE)</f>
        <v>Other</v>
      </c>
    </row>
    <row r="4323" spans="1:7" x14ac:dyDescent="0.25">
      <c r="A4323" t="s">
        <v>250</v>
      </c>
      <c r="B4323" s="1">
        <v>43292</v>
      </c>
      <c r="C4323" t="s">
        <v>58</v>
      </c>
      <c r="D4323">
        <v>365.14</v>
      </c>
      <c r="E4323" s="12" t="str">
        <f>VLOOKUP(C4323,inf!$A$2:$B$7,2,FALSE)</f>
        <v>61 to 90</v>
      </c>
      <c r="F4323" s="12" t="str">
        <f t="shared" si="197"/>
        <v>07/11/2018</v>
      </c>
      <c r="G4323" t="str">
        <f>VLOOKUP(A4323,inf!$D$2:$E$76,2,FALSE)</f>
        <v>Other</v>
      </c>
    </row>
    <row r="4324" spans="1:7" x14ac:dyDescent="0.25">
      <c r="A4324" t="s">
        <v>250</v>
      </c>
      <c r="B4324" s="1">
        <v>43292</v>
      </c>
      <c r="C4324" t="s">
        <v>60</v>
      </c>
      <c r="D4324">
        <v>62.5</v>
      </c>
      <c r="E4324" s="12" t="str">
        <f>VLOOKUP(C4324,inf!$A$2:$B$7,2,FALSE)</f>
        <v>Over 90</v>
      </c>
      <c r="F4324" s="12" t="str">
        <f t="shared" ref="F4324:F4326" si="198">TEXT(B4324,"MM/DD/YYYY")</f>
        <v>07/11/2018</v>
      </c>
      <c r="G4324" t="str">
        <f>VLOOKUP(A4324,inf!$D$2:$E$76,2,FALSE)</f>
        <v>Other</v>
      </c>
    </row>
    <row r="4325" spans="1:7" x14ac:dyDescent="0.25">
      <c r="A4325" t="s">
        <v>78</v>
      </c>
      <c r="B4325" s="1">
        <v>43292</v>
      </c>
      <c r="C4325" t="s">
        <v>55</v>
      </c>
      <c r="D4325">
        <v>797.16000000000008</v>
      </c>
      <c r="E4325" s="12" t="str">
        <f>VLOOKUP(C4325,inf!$A$2:$B$7,2,FALSE)</f>
        <v>Current</v>
      </c>
      <c r="F4325" s="12" t="str">
        <f t="shared" si="198"/>
        <v>07/11/2018</v>
      </c>
      <c r="G4325" t="str">
        <f>VLOOKUP(A4325,inf!$D$2:$E$76,2,FALSE)</f>
        <v>Other</v>
      </c>
    </row>
    <row r="4326" spans="1:7" x14ac:dyDescent="0.25">
      <c r="A4326" t="s">
        <v>78</v>
      </c>
      <c r="B4326" s="1">
        <v>43292</v>
      </c>
      <c r="C4326" t="s">
        <v>56</v>
      </c>
      <c r="D4326">
        <v>2478.0000000000005</v>
      </c>
      <c r="E4326" s="12" t="str">
        <f>VLOOKUP(C4326,inf!$A$2:$B$7,2,FALSE)</f>
        <v>Current</v>
      </c>
      <c r="F4326" s="12" t="str">
        <f t="shared" si="198"/>
        <v>07/11/2018</v>
      </c>
      <c r="G4326" t="str">
        <f>VLOOKUP(A4326,inf!$D$2:$E$76,2,FALSE)</f>
        <v>Other</v>
      </c>
    </row>
    <row r="4327" spans="1:7" x14ac:dyDescent="0.25">
      <c r="A4327" t="s">
        <v>251</v>
      </c>
      <c r="B4327" s="1">
        <v>43292</v>
      </c>
      <c r="C4327" t="s">
        <v>55</v>
      </c>
      <c r="D4327">
        <v>2311.86</v>
      </c>
      <c r="E4327" s="12" t="str">
        <f>VLOOKUP(C4327,inf!$A$2:$B$7,2,FALSE)</f>
        <v>Current</v>
      </c>
      <c r="F4327" s="12" t="str">
        <f t="shared" ref="F4327:F4331" si="199">TEXT(B4327,"MM/DD/YYYY")</f>
        <v>07/11/2018</v>
      </c>
      <c r="G4327" t="str">
        <f>VLOOKUP(A4327,inf!$D$2:$E$76,2,FALSE)</f>
        <v>Other</v>
      </c>
    </row>
    <row r="4328" spans="1:7" x14ac:dyDescent="0.25">
      <c r="A4328" t="s">
        <v>251</v>
      </c>
      <c r="B4328" s="1">
        <v>43292</v>
      </c>
      <c r="C4328" t="s">
        <v>56</v>
      </c>
      <c r="D4328">
        <v>1377.72</v>
      </c>
      <c r="E4328" s="12" t="str">
        <f>VLOOKUP(C4328,inf!$A$2:$B$7,2,FALSE)</f>
        <v>Current</v>
      </c>
      <c r="F4328" s="12" t="str">
        <f t="shared" si="199"/>
        <v>07/11/2018</v>
      </c>
      <c r="G4328" t="str">
        <f>VLOOKUP(A4328,inf!$D$2:$E$76,2,FALSE)</f>
        <v>Other</v>
      </c>
    </row>
    <row r="4329" spans="1:7" x14ac:dyDescent="0.25">
      <c r="A4329" t="s">
        <v>251</v>
      </c>
      <c r="B4329" s="1">
        <v>43292</v>
      </c>
      <c r="C4329" t="s">
        <v>57</v>
      </c>
      <c r="D4329">
        <v>4120.1100000000006</v>
      </c>
      <c r="E4329" s="12" t="str">
        <f>VLOOKUP(C4329,inf!$A$2:$B$7,2,FALSE)</f>
        <v>31 to 60</v>
      </c>
      <c r="F4329" s="12" t="str">
        <f t="shared" si="199"/>
        <v>07/11/2018</v>
      </c>
      <c r="G4329" t="str">
        <f>VLOOKUP(A4329,inf!$D$2:$E$76,2,FALSE)</f>
        <v>Other</v>
      </c>
    </row>
    <row r="4330" spans="1:7" x14ac:dyDescent="0.25">
      <c r="A4330" t="s">
        <v>251</v>
      </c>
      <c r="B4330" s="1">
        <v>43292</v>
      </c>
      <c r="C4330" t="s">
        <v>58</v>
      </c>
      <c r="D4330">
        <v>152.85</v>
      </c>
      <c r="E4330" s="12" t="str">
        <f>VLOOKUP(C4330,inf!$A$2:$B$7,2,FALSE)</f>
        <v>61 to 90</v>
      </c>
      <c r="F4330" s="12" t="str">
        <f t="shared" si="199"/>
        <v>07/11/2018</v>
      </c>
      <c r="G4330" t="str">
        <f>VLOOKUP(A4330,inf!$D$2:$E$76,2,FALSE)</f>
        <v>Other</v>
      </c>
    </row>
    <row r="4331" spans="1:7" x14ac:dyDescent="0.25">
      <c r="A4331" t="s">
        <v>251</v>
      </c>
      <c r="B4331" s="1">
        <v>43292</v>
      </c>
      <c r="C4331" t="s">
        <v>59</v>
      </c>
      <c r="D4331">
        <v>172.28</v>
      </c>
      <c r="E4331" s="12" t="str">
        <f>VLOOKUP(C4331,inf!$A$2:$B$7,2,FALSE)</f>
        <v>Over 90</v>
      </c>
      <c r="F4331" s="12" t="str">
        <f t="shared" si="199"/>
        <v>07/11/2018</v>
      </c>
      <c r="G4331" t="str">
        <f>VLOOKUP(A4331,inf!$D$2:$E$76,2,FALSE)</f>
        <v>Other</v>
      </c>
    </row>
    <row r="4332" spans="1:7" x14ac:dyDescent="0.25">
      <c r="A4332" t="s">
        <v>63</v>
      </c>
      <c r="B4332" s="1">
        <v>43292</v>
      </c>
      <c r="C4332" t="s">
        <v>59</v>
      </c>
      <c r="D4332">
        <v>563.72</v>
      </c>
      <c r="E4332" s="12" t="str">
        <f>VLOOKUP(C4332,inf!$A$2:$B$7,2,FALSE)</f>
        <v>Over 90</v>
      </c>
      <c r="F4332" s="12" t="str">
        <f>TEXT(B4332,"MM/DD/YYYY")</f>
        <v>07/11/2018</v>
      </c>
      <c r="G4332" t="str">
        <f>VLOOKUP(A4332,inf!$D$2:$E$76,2,FALSE)</f>
        <v>Other</v>
      </c>
    </row>
    <row r="4333" spans="1:7" x14ac:dyDescent="0.25">
      <c r="A4333" t="s">
        <v>104</v>
      </c>
      <c r="B4333" s="1">
        <v>43292</v>
      </c>
      <c r="C4333" t="s">
        <v>55</v>
      </c>
      <c r="D4333">
        <v>1183.81</v>
      </c>
      <c r="E4333" s="12" t="str">
        <f>VLOOKUP(C4333,inf!$A$2:$B$7,2,FALSE)</f>
        <v>Current</v>
      </c>
      <c r="F4333" s="12" t="str">
        <f>TEXT(B4333,"MM/DD/YYYY")</f>
        <v>07/11/2018</v>
      </c>
      <c r="G4333" t="str">
        <f>VLOOKUP(A4333,inf!$D$2:$E$76,2,FALSE)</f>
        <v>Other</v>
      </c>
    </row>
    <row r="4334" spans="1:7" x14ac:dyDescent="0.25">
      <c r="A4334" t="s">
        <v>144</v>
      </c>
      <c r="B4334" s="1">
        <v>43292</v>
      </c>
      <c r="C4334" t="s">
        <v>57</v>
      </c>
      <c r="D4334">
        <v>319.16000000000003</v>
      </c>
      <c r="E4334" s="12" t="str">
        <f>VLOOKUP(C4334,inf!$A$2:$B$7,2,FALSE)</f>
        <v>31 to 60</v>
      </c>
      <c r="F4334" s="12" t="str">
        <f>TEXT(B4334,"MM/DD/YYYY")</f>
        <v>07/11/2018</v>
      </c>
      <c r="G4334" t="str">
        <f>VLOOKUP(A4334,inf!$D$2:$E$76,2,FALSE)</f>
        <v>Other</v>
      </c>
    </row>
    <row r="4335" spans="1:7" x14ac:dyDescent="0.25">
      <c r="A4335" t="s">
        <v>252</v>
      </c>
      <c r="B4335" s="1">
        <v>43292</v>
      </c>
      <c r="C4335" t="s">
        <v>55</v>
      </c>
      <c r="D4335">
        <v>1298.68</v>
      </c>
      <c r="E4335" s="12" t="str">
        <f>VLOOKUP(C4335,inf!$A$2:$B$7,2,FALSE)</f>
        <v>Current</v>
      </c>
      <c r="F4335" s="12" t="str">
        <f t="shared" ref="F4335:F4336" si="200">TEXT(B4335,"MM/DD/YYYY")</f>
        <v>07/11/2018</v>
      </c>
      <c r="G4335" t="str">
        <f>VLOOKUP(A4335,inf!$D$2:$E$76,2,FALSE)</f>
        <v>Other</v>
      </c>
    </row>
    <row r="4336" spans="1:7" x14ac:dyDescent="0.25">
      <c r="A4336" t="s">
        <v>252</v>
      </c>
      <c r="B4336" s="1">
        <v>43292</v>
      </c>
      <c r="C4336" t="s">
        <v>56</v>
      </c>
      <c r="D4336">
        <v>916.04000000000008</v>
      </c>
      <c r="E4336" s="12" t="str">
        <f>VLOOKUP(C4336,inf!$A$2:$B$7,2,FALSE)</f>
        <v>Current</v>
      </c>
      <c r="F4336" s="12" t="str">
        <f t="shared" si="200"/>
        <v>07/11/2018</v>
      </c>
      <c r="G4336" t="str">
        <f>VLOOKUP(A4336,inf!$D$2:$E$76,2,FALSE)</f>
        <v>Other</v>
      </c>
    </row>
    <row r="4337" spans="1:7" x14ac:dyDescent="0.25">
      <c r="A4337" t="s">
        <v>113</v>
      </c>
      <c r="B4337" s="1">
        <v>43292</v>
      </c>
      <c r="C4337" t="s">
        <v>59</v>
      </c>
      <c r="D4337">
        <v>723.17</v>
      </c>
      <c r="E4337" s="12" t="str">
        <f>VLOOKUP(C4337,inf!$A$2:$B$7,2,FALSE)</f>
        <v>Over 90</v>
      </c>
      <c r="F4337" s="12" t="str">
        <f>TEXT(B4337,"MM/DD/YYYY")</f>
        <v>07/11/2018</v>
      </c>
      <c r="G4337" t="str">
        <f>VLOOKUP(A4337,inf!$D$2:$E$76,2,FALSE)</f>
        <v>Other</v>
      </c>
    </row>
    <row r="4338" spans="1:7" x14ac:dyDescent="0.25">
      <c r="A4338" t="s">
        <v>83</v>
      </c>
      <c r="B4338" s="1">
        <v>43292</v>
      </c>
      <c r="C4338" t="s">
        <v>57</v>
      </c>
      <c r="D4338">
        <v>114.85</v>
      </c>
      <c r="E4338" s="12" t="str">
        <f>VLOOKUP(C4338,inf!$A$2:$B$7,2,FALSE)</f>
        <v>31 to 60</v>
      </c>
      <c r="F4338" s="12" t="str">
        <f t="shared" ref="F4338:F4339" si="201">TEXT(B4338,"MM/DD/YYYY")</f>
        <v>07/11/2018</v>
      </c>
      <c r="G4338" t="str">
        <f>VLOOKUP(A4338,inf!$D$2:$E$76,2,FALSE)</f>
        <v>Other</v>
      </c>
    </row>
    <row r="4339" spans="1:7" x14ac:dyDescent="0.25">
      <c r="A4339" t="s">
        <v>83</v>
      </c>
      <c r="B4339" s="1">
        <v>43292</v>
      </c>
      <c r="C4339" t="s">
        <v>58</v>
      </c>
      <c r="D4339">
        <v>297.73</v>
      </c>
      <c r="E4339" s="12" t="str">
        <f>VLOOKUP(C4339,inf!$A$2:$B$7,2,FALSE)</f>
        <v>61 to 90</v>
      </c>
      <c r="F4339" s="12" t="str">
        <f t="shared" si="201"/>
        <v>07/11/2018</v>
      </c>
      <c r="G4339" t="str">
        <f>VLOOKUP(A4339,inf!$D$2:$E$76,2,FALSE)</f>
        <v>Other</v>
      </c>
    </row>
    <row r="4340" spans="1:7" x14ac:dyDescent="0.25">
      <c r="A4340" t="s">
        <v>253</v>
      </c>
      <c r="B4340" s="1">
        <v>43292</v>
      </c>
      <c r="C4340" t="s">
        <v>55</v>
      </c>
      <c r="D4340">
        <v>1917.28</v>
      </c>
      <c r="E4340" s="12" t="str">
        <f>VLOOKUP(C4340,inf!$A$2:$B$7,2,FALSE)</f>
        <v>Current</v>
      </c>
      <c r="F4340" s="12" t="str">
        <f>TEXT(B4340,"MM/DD/YYYY")</f>
        <v>07/11/2018</v>
      </c>
      <c r="G4340" t="str">
        <f>VLOOKUP(A4340,inf!$D$2:$E$76,2,FALSE)</f>
        <v>Other</v>
      </c>
    </row>
    <row r="4341" spans="1:7" x14ac:dyDescent="0.25">
      <c r="A4341" t="s">
        <v>253</v>
      </c>
      <c r="B4341" s="1">
        <v>43292</v>
      </c>
      <c r="C4341" t="s">
        <v>57</v>
      </c>
      <c r="D4341">
        <v>172.28</v>
      </c>
      <c r="E4341" s="12" t="str">
        <f>VLOOKUP(C4341,inf!$A$2:$B$7,2,FALSE)</f>
        <v>31 to 60</v>
      </c>
      <c r="F4341" s="12" t="str">
        <f>TEXT(B4341,"MM/DD/YYYY")</f>
        <v>07/11/2018</v>
      </c>
      <c r="G4341" t="str">
        <f>VLOOKUP(A4341,inf!$D$2:$E$76,2,FALSE)</f>
        <v>Other</v>
      </c>
    </row>
    <row r="4342" spans="1:7" x14ac:dyDescent="0.25">
      <c r="A4342" t="s">
        <v>69</v>
      </c>
      <c r="B4342" s="1">
        <v>43292</v>
      </c>
      <c r="C4342" t="s">
        <v>55</v>
      </c>
      <c r="D4342">
        <v>68665.14999999998</v>
      </c>
      <c r="E4342" s="12" t="str">
        <f>VLOOKUP(C4342,inf!$A$2:$B$7,2,FALSE)</f>
        <v>Current</v>
      </c>
      <c r="F4342" s="12" t="str">
        <f t="shared" ref="F4342:F4349" si="202">TEXT(B4342,"MM/DD/YYYY")</f>
        <v>07/11/2018</v>
      </c>
      <c r="G4342" t="str">
        <f>VLOOKUP(A4342,inf!$D$2:$E$76,2,FALSE)</f>
        <v>SAFEWAY</v>
      </c>
    </row>
    <row r="4343" spans="1:7" x14ac:dyDescent="0.25">
      <c r="A4343" t="s">
        <v>69</v>
      </c>
      <c r="B4343" s="1">
        <v>43292</v>
      </c>
      <c r="C4343" t="s">
        <v>56</v>
      </c>
      <c r="D4343">
        <v>47378.369999999995</v>
      </c>
      <c r="E4343" s="12" t="str">
        <f>VLOOKUP(C4343,inf!$A$2:$B$7,2,FALSE)</f>
        <v>Current</v>
      </c>
      <c r="F4343" s="12" t="str">
        <f t="shared" si="202"/>
        <v>07/11/2018</v>
      </c>
      <c r="G4343" t="str">
        <f>VLOOKUP(A4343,inf!$D$2:$E$76,2,FALSE)</f>
        <v>SAFEWAY</v>
      </c>
    </row>
    <row r="4344" spans="1:7" x14ac:dyDescent="0.25">
      <c r="A4344" t="s">
        <v>69</v>
      </c>
      <c r="B4344" s="1">
        <v>43292</v>
      </c>
      <c r="C4344" t="s">
        <v>57</v>
      </c>
      <c r="D4344">
        <v>18274.84</v>
      </c>
      <c r="E4344" s="12" t="str">
        <f>VLOOKUP(C4344,inf!$A$2:$B$7,2,FALSE)</f>
        <v>31 to 60</v>
      </c>
      <c r="F4344" s="12" t="str">
        <f t="shared" si="202"/>
        <v>07/11/2018</v>
      </c>
      <c r="G4344" t="str">
        <f>VLOOKUP(A4344,inf!$D$2:$E$76,2,FALSE)</f>
        <v>SAFEWAY</v>
      </c>
    </row>
    <row r="4345" spans="1:7" x14ac:dyDescent="0.25">
      <c r="A4345" t="s">
        <v>69</v>
      </c>
      <c r="B4345" s="1">
        <v>43292</v>
      </c>
      <c r="C4345" t="s">
        <v>58</v>
      </c>
      <c r="D4345">
        <v>7352.3899999999994</v>
      </c>
      <c r="E4345" s="12" t="str">
        <f>VLOOKUP(C4345,inf!$A$2:$B$7,2,FALSE)</f>
        <v>61 to 90</v>
      </c>
      <c r="F4345" s="12" t="str">
        <f t="shared" si="202"/>
        <v>07/11/2018</v>
      </c>
      <c r="G4345" t="str">
        <f>VLOOKUP(A4345,inf!$D$2:$E$76,2,FALSE)</f>
        <v>SAFEWAY</v>
      </c>
    </row>
    <row r="4346" spans="1:7" x14ac:dyDescent="0.25">
      <c r="A4346" t="s">
        <v>69</v>
      </c>
      <c r="B4346" s="1">
        <v>43292</v>
      </c>
      <c r="C4346" t="s">
        <v>59</v>
      </c>
      <c r="D4346">
        <v>16545.09</v>
      </c>
      <c r="E4346" s="12" t="str">
        <f>VLOOKUP(C4346,inf!$A$2:$B$7,2,FALSE)</f>
        <v>Over 90</v>
      </c>
      <c r="F4346" s="12" t="str">
        <f t="shared" si="202"/>
        <v>07/11/2018</v>
      </c>
      <c r="G4346" t="str">
        <f>VLOOKUP(A4346,inf!$D$2:$E$76,2,FALSE)</f>
        <v>SAFEWAY</v>
      </c>
    </row>
    <row r="4347" spans="1:7" x14ac:dyDescent="0.25">
      <c r="A4347" t="s">
        <v>69</v>
      </c>
      <c r="B4347" s="1">
        <v>43292</v>
      </c>
      <c r="C4347" t="s">
        <v>60</v>
      </c>
      <c r="D4347">
        <v>24658.699999999997</v>
      </c>
      <c r="E4347" s="12" t="str">
        <f>VLOOKUP(C4347,inf!$A$2:$B$7,2,FALSE)</f>
        <v>Over 90</v>
      </c>
      <c r="F4347" s="12" t="str">
        <f t="shared" si="202"/>
        <v>07/11/2018</v>
      </c>
      <c r="G4347" t="str">
        <f>VLOOKUP(A4347,inf!$D$2:$E$76,2,FALSE)</f>
        <v>SAFEWAY</v>
      </c>
    </row>
    <row r="4348" spans="1:7" x14ac:dyDescent="0.25">
      <c r="A4348" t="s">
        <v>254</v>
      </c>
      <c r="B4348" s="1">
        <v>43292</v>
      </c>
      <c r="C4348" t="s">
        <v>55</v>
      </c>
      <c r="D4348">
        <v>689.09999999999991</v>
      </c>
      <c r="E4348" s="12" t="str">
        <f>VLOOKUP(C4348,inf!$A$2:$B$7,2,FALSE)</f>
        <v>Current</v>
      </c>
      <c r="F4348" s="12" t="str">
        <f t="shared" si="202"/>
        <v>07/11/2018</v>
      </c>
      <c r="G4348" t="str">
        <f>VLOOKUP(A4348,inf!$D$2:$E$76,2,FALSE)</f>
        <v>Other</v>
      </c>
    </row>
    <row r="4349" spans="1:7" x14ac:dyDescent="0.25">
      <c r="A4349" t="s">
        <v>254</v>
      </c>
      <c r="B4349" s="1">
        <v>43292</v>
      </c>
      <c r="C4349" t="s">
        <v>56</v>
      </c>
      <c r="D4349">
        <v>461.26</v>
      </c>
      <c r="E4349" s="12" t="str">
        <f>VLOOKUP(C4349,inf!$A$2:$B$7,2,FALSE)</f>
        <v>Current</v>
      </c>
      <c r="F4349" s="12" t="str">
        <f t="shared" si="202"/>
        <v>07/11/2018</v>
      </c>
      <c r="G4349" t="str">
        <f>VLOOKUP(A4349,inf!$D$2:$E$76,2,FALSE)</f>
        <v>Other</v>
      </c>
    </row>
    <row r="4350" spans="1:7" x14ac:dyDescent="0.25">
      <c r="A4350" t="s">
        <v>254</v>
      </c>
      <c r="B4350" s="1">
        <v>43292</v>
      </c>
      <c r="C4350" t="s">
        <v>58</v>
      </c>
      <c r="D4350">
        <v>647.70000000000005</v>
      </c>
      <c r="E4350" s="12" t="str">
        <f>VLOOKUP(C4350,inf!$A$2:$B$7,2,FALSE)</f>
        <v>61 to 90</v>
      </c>
      <c r="F4350" s="12" t="str">
        <f t="shared" ref="F4350:F4352" si="203">TEXT(B4350,"MM/DD/YYYY")</f>
        <v>07/11/2018</v>
      </c>
      <c r="G4350" t="str">
        <f>VLOOKUP(A4350,inf!$D$2:$E$76,2,FALSE)</f>
        <v>Other</v>
      </c>
    </row>
    <row r="4351" spans="1:7" x14ac:dyDescent="0.25">
      <c r="A4351" t="s">
        <v>254</v>
      </c>
      <c r="B4351" s="1">
        <v>43292</v>
      </c>
      <c r="C4351" t="s">
        <v>59</v>
      </c>
      <c r="D4351">
        <v>529.35</v>
      </c>
      <c r="E4351" s="12" t="str">
        <f>VLOOKUP(C4351,inf!$A$2:$B$7,2,FALSE)</f>
        <v>Over 90</v>
      </c>
      <c r="F4351" s="12" t="str">
        <f t="shared" si="203"/>
        <v>07/11/2018</v>
      </c>
      <c r="G4351" t="str">
        <f>VLOOKUP(A4351,inf!$D$2:$E$76,2,FALSE)</f>
        <v>Other</v>
      </c>
    </row>
    <row r="4352" spans="1:7" x14ac:dyDescent="0.25">
      <c r="A4352" t="s">
        <v>254</v>
      </c>
      <c r="B4352" s="1">
        <v>43292</v>
      </c>
      <c r="C4352" t="s">
        <v>60</v>
      </c>
      <c r="D4352">
        <v>430.23</v>
      </c>
      <c r="E4352" s="12" t="str">
        <f>VLOOKUP(C4352,inf!$A$2:$B$7,2,FALSE)</f>
        <v>Over 90</v>
      </c>
      <c r="F4352" s="12" t="str">
        <f t="shared" si="203"/>
        <v>07/11/2018</v>
      </c>
      <c r="G4352" t="str">
        <f>VLOOKUP(A4352,inf!$D$2:$E$76,2,FALSE)</f>
        <v>Other</v>
      </c>
    </row>
    <row r="4353" spans="1:7" x14ac:dyDescent="0.25">
      <c r="A4353" t="s">
        <v>74</v>
      </c>
      <c r="B4353" s="1">
        <v>43292</v>
      </c>
      <c r="C4353" t="s">
        <v>56</v>
      </c>
      <c r="D4353">
        <v>250.09</v>
      </c>
      <c r="E4353" s="12" t="str">
        <f>VLOOKUP(C4353,inf!$A$2:$B$7,2,FALSE)</f>
        <v>Current</v>
      </c>
      <c r="F4353" s="12" t="str">
        <f t="shared" ref="F4353:F4354" si="204">TEXT(B4353,"MM/DD/YYYY")</f>
        <v>07/11/2018</v>
      </c>
      <c r="G4353" t="str">
        <f>VLOOKUP(A4353,inf!$D$2:$E$76,2,FALSE)</f>
        <v>Other</v>
      </c>
    </row>
    <row r="4354" spans="1:7" x14ac:dyDescent="0.25">
      <c r="A4354" t="s">
        <v>74</v>
      </c>
      <c r="B4354" s="1">
        <v>43292</v>
      </c>
      <c r="C4354" t="s">
        <v>57</v>
      </c>
      <c r="D4354">
        <v>269.54000000000002</v>
      </c>
      <c r="E4354" s="12" t="str">
        <f>VLOOKUP(C4354,inf!$A$2:$B$7,2,FALSE)</f>
        <v>31 to 60</v>
      </c>
      <c r="F4354" s="12" t="str">
        <f t="shared" si="204"/>
        <v>07/11/2018</v>
      </c>
      <c r="G4354" t="str">
        <f>VLOOKUP(A4354,inf!$D$2:$E$76,2,FALSE)</f>
        <v>Other</v>
      </c>
    </row>
    <row r="4355" spans="1:7" x14ac:dyDescent="0.25">
      <c r="A4355" t="s">
        <v>89</v>
      </c>
      <c r="B4355" s="1">
        <v>43292</v>
      </c>
      <c r="C4355" t="s">
        <v>55</v>
      </c>
      <c r="D4355">
        <v>143.47999999999999</v>
      </c>
      <c r="E4355" s="12" t="str">
        <f>VLOOKUP(C4355,inf!$A$2:$B$7,2,FALSE)</f>
        <v>Current</v>
      </c>
      <c r="F4355" s="12" t="str">
        <f>TEXT(B4355,"MM/DD/YYYY")</f>
        <v>07/11/2018</v>
      </c>
      <c r="G4355" t="str">
        <f>VLOOKUP(A4355,inf!$D$2:$E$76,2,FALSE)</f>
        <v>SBUX</v>
      </c>
    </row>
    <row r="4356" spans="1:7" x14ac:dyDescent="0.25">
      <c r="A4356" t="s">
        <v>255</v>
      </c>
      <c r="B4356" s="1">
        <v>43292</v>
      </c>
      <c r="C4356" t="s">
        <v>55</v>
      </c>
      <c r="D4356">
        <v>7567382.669999836</v>
      </c>
      <c r="E4356" s="12" t="str">
        <f>VLOOKUP(C4356,inf!$A$2:$B$7,2,FALSE)</f>
        <v>Current</v>
      </c>
      <c r="F4356" s="12" t="str">
        <f t="shared" ref="F4356:F4363" si="205">TEXT(B4356,"MM/DD/YYYY")</f>
        <v>07/11/2018</v>
      </c>
      <c r="G4356" t="str">
        <f>VLOOKUP(A4356,inf!$D$2:$E$76,2,FALSE)</f>
        <v>SBUX</v>
      </c>
    </row>
    <row r="4357" spans="1:7" x14ac:dyDescent="0.25">
      <c r="A4357" t="s">
        <v>255</v>
      </c>
      <c r="B4357" s="1">
        <v>43292</v>
      </c>
      <c r="C4357" t="s">
        <v>56</v>
      </c>
      <c r="D4357">
        <v>34892.609999999986</v>
      </c>
      <c r="E4357" s="12" t="str">
        <f>VLOOKUP(C4357,inf!$A$2:$B$7,2,FALSE)</f>
        <v>Current</v>
      </c>
      <c r="F4357" s="12" t="str">
        <f t="shared" si="205"/>
        <v>07/11/2018</v>
      </c>
      <c r="G4357" t="str">
        <f>VLOOKUP(A4357,inf!$D$2:$E$76,2,FALSE)</f>
        <v>SBUX</v>
      </c>
    </row>
    <row r="4358" spans="1:7" x14ac:dyDescent="0.25">
      <c r="A4358" t="s">
        <v>255</v>
      </c>
      <c r="B4358" s="1">
        <v>43292</v>
      </c>
      <c r="C4358" t="s">
        <v>57</v>
      </c>
      <c r="D4358">
        <v>105306.13000000003</v>
      </c>
      <c r="E4358" s="12" t="str">
        <f>VLOOKUP(C4358,inf!$A$2:$B$7,2,FALSE)</f>
        <v>31 to 60</v>
      </c>
      <c r="F4358" s="12" t="str">
        <f t="shared" si="205"/>
        <v>07/11/2018</v>
      </c>
      <c r="G4358" t="str">
        <f>VLOOKUP(A4358,inf!$D$2:$E$76,2,FALSE)</f>
        <v>SBUX</v>
      </c>
    </row>
    <row r="4359" spans="1:7" x14ac:dyDescent="0.25">
      <c r="A4359" t="s">
        <v>255</v>
      </c>
      <c r="B4359" s="1">
        <v>43292</v>
      </c>
      <c r="C4359" t="s">
        <v>58</v>
      </c>
      <c r="D4359">
        <v>83625.380000000034</v>
      </c>
      <c r="E4359" s="12" t="str">
        <f>VLOOKUP(C4359,inf!$A$2:$B$7,2,FALSE)</f>
        <v>61 to 90</v>
      </c>
      <c r="F4359" s="12" t="str">
        <f t="shared" si="205"/>
        <v>07/11/2018</v>
      </c>
      <c r="G4359" t="str">
        <f>VLOOKUP(A4359,inf!$D$2:$E$76,2,FALSE)</f>
        <v>SBUX</v>
      </c>
    </row>
    <row r="4360" spans="1:7" x14ac:dyDescent="0.25">
      <c r="A4360" t="s">
        <v>255</v>
      </c>
      <c r="B4360" s="1">
        <v>43292</v>
      </c>
      <c r="C4360" t="s">
        <v>59</v>
      </c>
      <c r="D4360">
        <v>57395.370000000054</v>
      </c>
      <c r="E4360" s="12" t="str">
        <f>VLOOKUP(C4360,inf!$A$2:$B$7,2,FALSE)</f>
        <v>Over 90</v>
      </c>
      <c r="F4360" s="12" t="str">
        <f t="shared" si="205"/>
        <v>07/11/2018</v>
      </c>
      <c r="G4360" t="str">
        <f>VLOOKUP(A4360,inf!$D$2:$E$76,2,FALSE)</f>
        <v>SBUX</v>
      </c>
    </row>
    <row r="4361" spans="1:7" x14ac:dyDescent="0.25">
      <c r="A4361" t="s">
        <v>255</v>
      </c>
      <c r="B4361" s="1">
        <v>43292</v>
      </c>
      <c r="C4361" t="s">
        <v>60</v>
      </c>
      <c r="D4361">
        <v>167198.09000000003</v>
      </c>
      <c r="E4361" s="12" t="str">
        <f>VLOOKUP(C4361,inf!$A$2:$B$7,2,FALSE)</f>
        <v>Over 90</v>
      </c>
      <c r="F4361" s="12" t="str">
        <f t="shared" si="205"/>
        <v>07/11/2018</v>
      </c>
      <c r="G4361" t="str">
        <f>VLOOKUP(A4361,inf!$D$2:$E$76,2,FALSE)</f>
        <v>SBUX</v>
      </c>
    </row>
    <row r="4362" spans="1:7" x14ac:dyDescent="0.25">
      <c r="A4362" t="s">
        <v>256</v>
      </c>
      <c r="B4362" s="1">
        <v>43292</v>
      </c>
      <c r="C4362" t="s">
        <v>55</v>
      </c>
      <c r="D4362">
        <v>1759.4299999999998</v>
      </c>
      <c r="E4362" s="12" t="str">
        <f>VLOOKUP(C4362,inf!$A$2:$B$7,2,FALSE)</f>
        <v>Current</v>
      </c>
      <c r="F4362" s="12" t="str">
        <f t="shared" si="205"/>
        <v>07/11/2018</v>
      </c>
      <c r="G4362" t="str">
        <f>VLOOKUP(A4362,inf!$D$2:$E$76,2,FALSE)</f>
        <v>Other</v>
      </c>
    </row>
    <row r="4363" spans="1:7" x14ac:dyDescent="0.25">
      <c r="A4363" t="s">
        <v>256</v>
      </c>
      <c r="B4363" s="1">
        <v>43292</v>
      </c>
      <c r="C4363" t="s">
        <v>56</v>
      </c>
      <c r="D4363">
        <v>561.11</v>
      </c>
      <c r="E4363" s="12" t="str">
        <f>VLOOKUP(C4363,inf!$A$2:$B$7,2,FALSE)</f>
        <v>Current</v>
      </c>
      <c r="F4363" s="12" t="str">
        <f t="shared" si="205"/>
        <v>07/11/2018</v>
      </c>
      <c r="G4363" t="str">
        <f>VLOOKUP(A4363,inf!$D$2:$E$76,2,FALSE)</f>
        <v>Other</v>
      </c>
    </row>
    <row r="4364" spans="1:7" x14ac:dyDescent="0.25">
      <c r="A4364" t="s">
        <v>48</v>
      </c>
      <c r="B4364" s="1">
        <v>43292</v>
      </c>
      <c r="C4364" t="s">
        <v>55</v>
      </c>
      <c r="D4364">
        <v>111824.43000000004</v>
      </c>
      <c r="E4364" s="12" t="str">
        <f>VLOOKUP(C4364,inf!$A$2:$B$7,2,FALSE)</f>
        <v>Current</v>
      </c>
      <c r="F4364" s="12" t="str">
        <f t="shared" ref="F4364:F4375" si="206">TEXT(B4364,"MM/DD/YYYY")</f>
        <v>07/11/2018</v>
      </c>
      <c r="G4364" t="str">
        <f>VLOOKUP(A4364,inf!$D$2:$E$76,2,FALSE)</f>
        <v>Target</v>
      </c>
    </row>
    <row r="4365" spans="1:7" x14ac:dyDescent="0.25">
      <c r="A4365" t="s">
        <v>48</v>
      </c>
      <c r="B4365" s="1">
        <v>43292</v>
      </c>
      <c r="C4365" t="s">
        <v>56</v>
      </c>
      <c r="D4365">
        <v>10530.85</v>
      </c>
      <c r="E4365" s="12" t="str">
        <f>VLOOKUP(C4365,inf!$A$2:$B$7,2,FALSE)</f>
        <v>Current</v>
      </c>
      <c r="F4365" s="12" t="str">
        <f t="shared" si="206"/>
        <v>07/11/2018</v>
      </c>
      <c r="G4365" t="str">
        <f>VLOOKUP(A4365,inf!$D$2:$E$76,2,FALSE)</f>
        <v>Target</v>
      </c>
    </row>
    <row r="4366" spans="1:7" x14ac:dyDescent="0.25">
      <c r="A4366" t="s">
        <v>48</v>
      </c>
      <c r="B4366" s="1">
        <v>43292</v>
      </c>
      <c r="C4366" t="s">
        <v>57</v>
      </c>
      <c r="D4366">
        <v>3757.6899999999996</v>
      </c>
      <c r="E4366" s="12" t="str">
        <f>VLOOKUP(C4366,inf!$A$2:$B$7,2,FALSE)</f>
        <v>31 to 60</v>
      </c>
      <c r="F4366" s="12" t="str">
        <f t="shared" si="206"/>
        <v>07/11/2018</v>
      </c>
      <c r="G4366" t="str">
        <f>VLOOKUP(A4366,inf!$D$2:$E$76,2,FALSE)</f>
        <v>Target</v>
      </c>
    </row>
    <row r="4367" spans="1:7" x14ac:dyDescent="0.25">
      <c r="A4367" t="s">
        <v>48</v>
      </c>
      <c r="B4367" s="1">
        <v>43292</v>
      </c>
      <c r="C4367" t="s">
        <v>58</v>
      </c>
      <c r="D4367">
        <v>1623.2599999999998</v>
      </c>
      <c r="E4367" s="12" t="str">
        <f>VLOOKUP(C4367,inf!$A$2:$B$7,2,FALSE)</f>
        <v>61 to 90</v>
      </c>
      <c r="F4367" s="12" t="str">
        <f t="shared" si="206"/>
        <v>07/11/2018</v>
      </c>
      <c r="G4367" t="str">
        <f>VLOOKUP(A4367,inf!$D$2:$E$76,2,FALSE)</f>
        <v>Target</v>
      </c>
    </row>
    <row r="4368" spans="1:7" x14ac:dyDescent="0.25">
      <c r="A4368" t="s">
        <v>48</v>
      </c>
      <c r="B4368" s="1">
        <v>43292</v>
      </c>
      <c r="C4368" t="s">
        <v>59</v>
      </c>
      <c r="D4368">
        <v>7617.6000000000013</v>
      </c>
      <c r="E4368" s="12" t="str">
        <f>VLOOKUP(C4368,inf!$A$2:$B$7,2,FALSE)</f>
        <v>Over 90</v>
      </c>
      <c r="F4368" s="12" t="str">
        <f t="shared" si="206"/>
        <v>07/11/2018</v>
      </c>
      <c r="G4368" t="str">
        <f>VLOOKUP(A4368,inf!$D$2:$E$76,2,FALSE)</f>
        <v>Target</v>
      </c>
    </row>
    <row r="4369" spans="1:7" x14ac:dyDescent="0.25">
      <c r="A4369" t="s">
        <v>48</v>
      </c>
      <c r="B4369" s="1">
        <v>43292</v>
      </c>
      <c r="C4369" t="s">
        <v>60</v>
      </c>
      <c r="D4369">
        <v>52740.270000000011</v>
      </c>
      <c r="E4369" s="12" t="str">
        <f>VLOOKUP(C4369,inf!$A$2:$B$7,2,FALSE)</f>
        <v>Over 90</v>
      </c>
      <c r="F4369" s="12" t="str">
        <f t="shared" si="206"/>
        <v>07/11/2018</v>
      </c>
      <c r="G4369" t="str">
        <f>VLOOKUP(A4369,inf!$D$2:$E$76,2,FALSE)</f>
        <v>Target</v>
      </c>
    </row>
    <row r="4370" spans="1:7" x14ac:dyDescent="0.25">
      <c r="A4370" t="s">
        <v>257</v>
      </c>
      <c r="B4370" s="1">
        <v>43292</v>
      </c>
      <c r="C4370" t="s">
        <v>55</v>
      </c>
      <c r="D4370">
        <v>81342.489999999991</v>
      </c>
      <c r="E4370" s="12" t="str">
        <f>VLOOKUP(C4370,inf!$A$2:$B$7,2,FALSE)</f>
        <v>Current</v>
      </c>
      <c r="F4370" s="12" t="str">
        <f t="shared" si="206"/>
        <v>07/11/2018</v>
      </c>
      <c r="G4370" t="str">
        <f>VLOOKUP(A4370,inf!$D$2:$E$76,2,FALSE)</f>
        <v>Target</v>
      </c>
    </row>
    <row r="4371" spans="1:7" x14ac:dyDescent="0.25">
      <c r="A4371" t="s">
        <v>257</v>
      </c>
      <c r="B4371" s="1">
        <v>43292</v>
      </c>
      <c r="C4371" t="s">
        <v>56</v>
      </c>
      <c r="D4371">
        <v>5426.8</v>
      </c>
      <c r="E4371" s="12" t="str">
        <f>VLOOKUP(C4371,inf!$A$2:$B$7,2,FALSE)</f>
        <v>Current</v>
      </c>
      <c r="F4371" s="12" t="str">
        <f t="shared" si="206"/>
        <v>07/11/2018</v>
      </c>
      <c r="G4371" t="str">
        <f>VLOOKUP(A4371,inf!$D$2:$E$76,2,FALSE)</f>
        <v>Target</v>
      </c>
    </row>
    <row r="4372" spans="1:7" x14ac:dyDescent="0.25">
      <c r="A4372" t="s">
        <v>257</v>
      </c>
      <c r="B4372" s="1">
        <v>43292</v>
      </c>
      <c r="C4372" t="s">
        <v>57</v>
      </c>
      <c r="D4372">
        <v>1790.38</v>
      </c>
      <c r="E4372" s="12" t="str">
        <f>VLOOKUP(C4372,inf!$A$2:$B$7,2,FALSE)</f>
        <v>31 to 60</v>
      </c>
      <c r="F4372" s="12" t="str">
        <f t="shared" si="206"/>
        <v>07/11/2018</v>
      </c>
      <c r="G4372" t="str">
        <f>VLOOKUP(A4372,inf!$D$2:$E$76,2,FALSE)</f>
        <v>Target</v>
      </c>
    </row>
    <row r="4373" spans="1:7" x14ac:dyDescent="0.25">
      <c r="A4373" t="s">
        <v>257</v>
      </c>
      <c r="B4373" s="1">
        <v>43292</v>
      </c>
      <c r="C4373" t="s">
        <v>58</v>
      </c>
      <c r="D4373">
        <v>716.25</v>
      </c>
      <c r="E4373" s="12" t="str">
        <f>VLOOKUP(C4373,inf!$A$2:$B$7,2,FALSE)</f>
        <v>61 to 90</v>
      </c>
      <c r="F4373" s="12" t="str">
        <f t="shared" si="206"/>
        <v>07/11/2018</v>
      </c>
      <c r="G4373" t="str">
        <f>VLOOKUP(A4373,inf!$D$2:$E$76,2,FALSE)</f>
        <v>Target</v>
      </c>
    </row>
    <row r="4374" spans="1:7" x14ac:dyDescent="0.25">
      <c r="A4374" t="s">
        <v>257</v>
      </c>
      <c r="B4374" s="1">
        <v>43292</v>
      </c>
      <c r="C4374" t="s">
        <v>59</v>
      </c>
      <c r="D4374">
        <v>4869.2499999999991</v>
      </c>
      <c r="E4374" s="12" t="str">
        <f>VLOOKUP(C4374,inf!$A$2:$B$7,2,FALSE)</f>
        <v>Over 90</v>
      </c>
      <c r="F4374" s="12" t="str">
        <f t="shared" si="206"/>
        <v>07/11/2018</v>
      </c>
      <c r="G4374" t="str">
        <f>VLOOKUP(A4374,inf!$D$2:$E$76,2,FALSE)</f>
        <v>Target</v>
      </c>
    </row>
    <row r="4375" spans="1:7" x14ac:dyDescent="0.25">
      <c r="A4375" t="s">
        <v>257</v>
      </c>
      <c r="B4375" s="1">
        <v>43292</v>
      </c>
      <c r="C4375" t="s">
        <v>60</v>
      </c>
      <c r="D4375">
        <v>32867.97</v>
      </c>
      <c r="E4375" s="12" t="str">
        <f>VLOOKUP(C4375,inf!$A$2:$B$7,2,FALSE)</f>
        <v>Over 90</v>
      </c>
      <c r="F4375" s="12" t="str">
        <f t="shared" si="206"/>
        <v>07/11/2018</v>
      </c>
      <c r="G4375" t="str">
        <f>VLOOKUP(A4375,inf!$D$2:$E$76,2,FALSE)</f>
        <v>Target</v>
      </c>
    </row>
    <row r="4376" spans="1:7" x14ac:dyDescent="0.25">
      <c r="A4376" t="s">
        <v>197</v>
      </c>
      <c r="B4376" s="1">
        <v>43292</v>
      </c>
      <c r="C4376" t="s">
        <v>57</v>
      </c>
      <c r="D4376">
        <v>258.42</v>
      </c>
      <c r="E4376" s="12" t="str">
        <f>VLOOKUP(C4376,inf!$A$2:$B$7,2,FALSE)</f>
        <v>31 to 60</v>
      </c>
      <c r="F4376" s="12" t="str">
        <f>TEXT(B4376,"MM/DD/YYYY")</f>
        <v>07/11/2018</v>
      </c>
      <c r="G4376" t="str">
        <f>VLOOKUP(A4376,inf!$D$2:$E$76,2,FALSE)</f>
        <v>Other</v>
      </c>
    </row>
    <row r="4377" spans="1:7" x14ac:dyDescent="0.25">
      <c r="A4377" t="s">
        <v>20</v>
      </c>
      <c r="B4377" s="1">
        <v>43292</v>
      </c>
      <c r="C4377" t="s">
        <v>55</v>
      </c>
      <c r="D4377">
        <v>679.97</v>
      </c>
      <c r="E4377" s="12" t="str">
        <f>VLOOKUP(C4377,inf!$A$2:$B$7,2,FALSE)</f>
        <v>Current</v>
      </c>
      <c r="F4377" s="12" t="str">
        <f>TEXT(B4377,"MM/DD/YYYY")</f>
        <v>07/11/2018</v>
      </c>
      <c r="G4377" t="str">
        <f>VLOOKUP(A4377,inf!$D$2:$E$76,2,FALSE)</f>
        <v>Other</v>
      </c>
    </row>
    <row r="4378" spans="1:7" x14ac:dyDescent="0.25">
      <c r="A4378" t="s">
        <v>54</v>
      </c>
      <c r="B4378" s="1">
        <v>43292</v>
      </c>
      <c r="C4378" t="s">
        <v>60</v>
      </c>
      <c r="D4378">
        <v>7.87</v>
      </c>
      <c r="E4378" s="12" t="str">
        <f>VLOOKUP(C4378,inf!$A$2:$B$7,2,FALSE)</f>
        <v>Over 90</v>
      </c>
      <c r="F4378" s="12" t="str">
        <f>TEXT(B4378,"MM/DD/YYYY")</f>
        <v>07/11/2018</v>
      </c>
      <c r="G4378" t="str">
        <f>VLOOKUP(A4378,inf!$D$2:$E$76,2,FALSE)</f>
        <v>Other</v>
      </c>
    </row>
    <row r="4379" spans="1:7" x14ac:dyDescent="0.25">
      <c r="A4379" t="s">
        <v>28</v>
      </c>
      <c r="B4379" s="1">
        <v>43292</v>
      </c>
      <c r="C4379" t="s">
        <v>59</v>
      </c>
      <c r="D4379">
        <v>89.710000000000008</v>
      </c>
      <c r="E4379" s="12" t="str">
        <f>VLOOKUP(C4379,inf!$A$2:$B$7,2,FALSE)</f>
        <v>Over 90</v>
      </c>
      <c r="F4379" s="12" t="str">
        <f t="shared" ref="F4379:F4380" si="207">TEXT(B4379,"MM/DD/YYYY")</f>
        <v>07/11/2018</v>
      </c>
      <c r="G4379" t="str">
        <f>VLOOKUP(A4379,inf!$D$2:$E$76,2,FALSE)</f>
        <v>Other</v>
      </c>
    </row>
    <row r="4380" spans="1:7" x14ac:dyDescent="0.25">
      <c r="A4380" t="s">
        <v>28</v>
      </c>
      <c r="B4380" s="1">
        <v>43292</v>
      </c>
      <c r="C4380" t="s">
        <v>60</v>
      </c>
      <c r="D4380">
        <v>197.10000000000002</v>
      </c>
      <c r="E4380" s="12" t="str">
        <f>VLOOKUP(C4380,inf!$A$2:$B$7,2,FALSE)</f>
        <v>Over 90</v>
      </c>
      <c r="F4380" s="12" t="str">
        <f t="shared" si="207"/>
        <v>07/11/2018</v>
      </c>
      <c r="G4380" t="str">
        <f>VLOOKUP(A4380,inf!$D$2:$E$76,2,FALSE)</f>
        <v>Other</v>
      </c>
    </row>
    <row r="4381" spans="1:7" x14ac:dyDescent="0.25">
      <c r="A4381" t="s">
        <v>15</v>
      </c>
      <c r="B4381" s="1">
        <v>43292</v>
      </c>
      <c r="C4381" t="s">
        <v>58</v>
      </c>
      <c r="D4381">
        <v>128.72999999999999</v>
      </c>
      <c r="E4381" s="12" t="str">
        <f>VLOOKUP(C4381,inf!$A$2:$B$7,2,FALSE)</f>
        <v>61 to 90</v>
      </c>
      <c r="F4381" s="12" t="str">
        <f t="shared" ref="F4381:F4382" si="208">TEXT(B4381,"MM/DD/YYYY")</f>
        <v>07/11/2018</v>
      </c>
      <c r="G4381" t="str">
        <f>VLOOKUP(A4381,inf!$D$2:$E$76,2,FALSE)</f>
        <v>Other</v>
      </c>
    </row>
    <row r="4382" spans="1:7" x14ac:dyDescent="0.25">
      <c r="A4382" t="s">
        <v>15</v>
      </c>
      <c r="B4382" s="1">
        <v>43292</v>
      </c>
      <c r="C4382" t="s">
        <v>59</v>
      </c>
      <c r="D4382">
        <v>1142.58</v>
      </c>
      <c r="E4382" s="12" t="str">
        <f>VLOOKUP(C4382,inf!$A$2:$B$7,2,FALSE)</f>
        <v>Over 90</v>
      </c>
      <c r="F4382" s="12" t="str">
        <f t="shared" si="208"/>
        <v>07/11/2018</v>
      </c>
      <c r="G4382" t="str">
        <f>VLOOKUP(A4382,inf!$D$2:$E$76,2,FALSE)</f>
        <v>Other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/>
  </sheetViews>
  <sheetFormatPr defaultRowHeight="15" x14ac:dyDescent="0.25"/>
  <sheetData>
    <row r="1" spans="1:9" x14ac:dyDescent="0.25">
      <c r="A1" t="s">
        <v>0</v>
      </c>
      <c r="B1" t="s">
        <v>35</v>
      </c>
      <c r="C1" t="s">
        <v>36</v>
      </c>
      <c r="D1" s="2" t="s">
        <v>37</v>
      </c>
      <c r="E1" t="s">
        <v>38</v>
      </c>
      <c r="F1" t="s">
        <v>39</v>
      </c>
      <c r="G1" t="s">
        <v>44</v>
      </c>
      <c r="H1" t="s">
        <v>45</v>
      </c>
      <c r="I1" t="s">
        <v>46</v>
      </c>
    </row>
    <row r="2" spans="1:9" x14ac:dyDescent="0.25">
      <c r="B2" s="1"/>
      <c r="D2" s="4"/>
      <c r="E2" s="6" t="e">
        <f>VLOOKUP(C2,inf!$A$2:$B$7,2,FALSE)</f>
        <v>#N/A</v>
      </c>
      <c r="F2" s="6" t="str">
        <f>TEXT(B2,"MM/DD/YYYY")</f>
        <v>01/00/1900</v>
      </c>
      <c r="G2" s="6" t="e">
        <f>VLOOKUP(A2,inf!$D$2:$E$43,2,FALSE)</f>
        <v>#N/A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workbookViewId="0">
      <selection activeCell="P32" sqref="P32"/>
    </sheetView>
  </sheetViews>
  <sheetFormatPr defaultRowHeight="15" x14ac:dyDescent="0.25"/>
  <cols>
    <col min="5" max="5" width="5" customWidth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6"/>
  <sheetViews>
    <sheetView workbookViewId="0"/>
  </sheetViews>
  <sheetFormatPr defaultRowHeight="15" x14ac:dyDescent="0.25"/>
  <cols>
    <col min="1" max="1" width="25.28515625" customWidth="1"/>
    <col min="2" max="2" width="14.5703125" bestFit="1" customWidth="1"/>
    <col min="4" max="4" width="45.5703125" bestFit="1" customWidth="1"/>
    <col min="5" max="5" width="12.85546875" bestFit="1" customWidth="1"/>
  </cols>
  <sheetData>
    <row r="1" spans="1:5" x14ac:dyDescent="0.25">
      <c r="A1" t="s">
        <v>36</v>
      </c>
      <c r="B1" t="s">
        <v>38</v>
      </c>
      <c r="D1" t="s">
        <v>0</v>
      </c>
      <c r="E1" t="s">
        <v>40</v>
      </c>
    </row>
    <row r="2" spans="1:5" x14ac:dyDescent="0.25">
      <c r="A2" t="s">
        <v>58</v>
      </c>
      <c r="B2" t="s">
        <v>58</v>
      </c>
      <c r="D2" t="s">
        <v>1</v>
      </c>
      <c r="E2" t="s">
        <v>41</v>
      </c>
    </row>
    <row r="3" spans="1:5" x14ac:dyDescent="0.25">
      <c r="A3" t="s">
        <v>55</v>
      </c>
      <c r="B3" t="s">
        <v>55</v>
      </c>
      <c r="D3" t="s">
        <v>2</v>
      </c>
      <c r="E3" t="s">
        <v>41</v>
      </c>
    </row>
    <row r="4" spans="1:5" x14ac:dyDescent="0.25">
      <c r="A4" t="s">
        <v>56</v>
      </c>
      <c r="B4" t="s">
        <v>55</v>
      </c>
      <c r="D4" t="s">
        <v>3</v>
      </c>
      <c r="E4" t="s">
        <v>41</v>
      </c>
    </row>
    <row r="5" spans="1:5" x14ac:dyDescent="0.25">
      <c r="A5" t="s">
        <v>59</v>
      </c>
      <c r="B5" t="s">
        <v>76</v>
      </c>
      <c r="D5" t="s">
        <v>4</v>
      </c>
      <c r="E5" t="s">
        <v>41</v>
      </c>
    </row>
    <row r="6" spans="1:5" x14ac:dyDescent="0.25">
      <c r="A6" t="s">
        <v>60</v>
      </c>
      <c r="B6" t="s">
        <v>76</v>
      </c>
      <c r="D6" t="s">
        <v>5</v>
      </c>
      <c r="E6" t="s">
        <v>42</v>
      </c>
    </row>
    <row r="7" spans="1:5" x14ac:dyDescent="0.25">
      <c r="A7" t="s">
        <v>57</v>
      </c>
      <c r="B7" t="s">
        <v>57</v>
      </c>
      <c r="D7" t="s">
        <v>6</v>
      </c>
      <c r="E7" t="s">
        <v>42</v>
      </c>
    </row>
    <row r="8" spans="1:5" x14ac:dyDescent="0.25">
      <c r="D8" t="s">
        <v>7</v>
      </c>
      <c r="E8" t="s">
        <v>7</v>
      </c>
    </row>
    <row r="9" spans="1:5" x14ac:dyDescent="0.25">
      <c r="D9" t="s">
        <v>8</v>
      </c>
      <c r="E9" t="s">
        <v>43</v>
      </c>
    </row>
    <row r="10" spans="1:5" x14ac:dyDescent="0.25">
      <c r="D10" t="s">
        <v>9</v>
      </c>
      <c r="E10" t="s">
        <v>41</v>
      </c>
    </row>
    <row r="11" spans="1:5" x14ac:dyDescent="0.25">
      <c r="D11" t="s">
        <v>10</v>
      </c>
      <c r="E11" t="s">
        <v>7</v>
      </c>
    </row>
    <row r="12" spans="1:5" x14ac:dyDescent="0.25">
      <c r="D12" t="s">
        <v>11</v>
      </c>
      <c r="E12" t="s">
        <v>41</v>
      </c>
    </row>
    <row r="13" spans="1:5" x14ac:dyDescent="0.25">
      <c r="D13" t="s">
        <v>12</v>
      </c>
      <c r="E13" t="s">
        <v>41</v>
      </c>
    </row>
    <row r="14" spans="1:5" x14ac:dyDescent="0.25">
      <c r="D14" t="s">
        <v>13</v>
      </c>
      <c r="E14" t="s">
        <v>41</v>
      </c>
    </row>
    <row r="15" spans="1:5" x14ac:dyDescent="0.25">
      <c r="D15" t="s">
        <v>14</v>
      </c>
      <c r="E15" t="s">
        <v>41</v>
      </c>
    </row>
    <row r="16" spans="1:5" x14ac:dyDescent="0.25">
      <c r="D16" t="s">
        <v>15</v>
      </c>
      <c r="E16" t="s">
        <v>41</v>
      </c>
    </row>
    <row r="17" spans="4:5" x14ac:dyDescent="0.25">
      <c r="D17" t="s">
        <v>16</v>
      </c>
      <c r="E17" t="s">
        <v>41</v>
      </c>
    </row>
    <row r="18" spans="4:5" x14ac:dyDescent="0.25">
      <c r="D18" t="s">
        <v>17</v>
      </c>
      <c r="E18" t="s">
        <v>41</v>
      </c>
    </row>
    <row r="19" spans="4:5" x14ac:dyDescent="0.25">
      <c r="D19" t="s">
        <v>18</v>
      </c>
      <c r="E19" t="s">
        <v>41</v>
      </c>
    </row>
    <row r="20" spans="4:5" x14ac:dyDescent="0.25">
      <c r="D20" t="s">
        <v>19</v>
      </c>
      <c r="E20" t="s">
        <v>41</v>
      </c>
    </row>
    <row r="21" spans="4:5" x14ac:dyDescent="0.25">
      <c r="D21" t="s">
        <v>20</v>
      </c>
      <c r="E21" t="s">
        <v>41</v>
      </c>
    </row>
    <row r="22" spans="4:5" x14ac:dyDescent="0.25">
      <c r="D22" t="s">
        <v>21</v>
      </c>
      <c r="E22" t="s">
        <v>41</v>
      </c>
    </row>
    <row r="23" spans="4:5" x14ac:dyDescent="0.25">
      <c r="D23" t="s">
        <v>22</v>
      </c>
      <c r="E23" t="s">
        <v>41</v>
      </c>
    </row>
    <row r="24" spans="4:5" x14ac:dyDescent="0.25">
      <c r="D24" t="s">
        <v>23</v>
      </c>
      <c r="E24" t="s">
        <v>41</v>
      </c>
    </row>
    <row r="25" spans="4:5" x14ac:dyDescent="0.25">
      <c r="D25" t="s">
        <v>24</v>
      </c>
      <c r="E25" t="s">
        <v>41</v>
      </c>
    </row>
    <row r="26" spans="4:5" x14ac:dyDescent="0.25">
      <c r="D26" t="s">
        <v>25</v>
      </c>
      <c r="E26" t="s">
        <v>41</v>
      </c>
    </row>
    <row r="27" spans="4:5" x14ac:dyDescent="0.25">
      <c r="D27" t="s">
        <v>26</v>
      </c>
      <c r="E27" t="s">
        <v>41</v>
      </c>
    </row>
    <row r="28" spans="4:5" x14ac:dyDescent="0.25">
      <c r="D28" t="s">
        <v>27</v>
      </c>
      <c r="E28" t="s">
        <v>41</v>
      </c>
    </row>
    <row r="29" spans="4:5" x14ac:dyDescent="0.25">
      <c r="D29" t="s">
        <v>28</v>
      </c>
      <c r="E29" t="s">
        <v>41</v>
      </c>
    </row>
    <row r="30" spans="4:5" x14ac:dyDescent="0.25">
      <c r="D30" t="s">
        <v>29</v>
      </c>
      <c r="E30" t="s">
        <v>41</v>
      </c>
    </row>
    <row r="31" spans="4:5" x14ac:dyDescent="0.25">
      <c r="D31" t="s">
        <v>30</v>
      </c>
      <c r="E31" t="s">
        <v>41</v>
      </c>
    </row>
    <row r="32" spans="4:5" x14ac:dyDescent="0.25">
      <c r="D32" t="s">
        <v>31</v>
      </c>
      <c r="E32" t="s">
        <v>41</v>
      </c>
    </row>
    <row r="33" spans="4:5" x14ac:dyDescent="0.25">
      <c r="D33" t="s">
        <v>32</v>
      </c>
      <c r="E33" t="s">
        <v>41</v>
      </c>
    </row>
    <row r="34" spans="4:5" x14ac:dyDescent="0.25">
      <c r="D34" t="s">
        <v>33</v>
      </c>
      <c r="E34" t="s">
        <v>41</v>
      </c>
    </row>
    <row r="35" spans="4:5" x14ac:dyDescent="0.25">
      <c r="D35" t="s">
        <v>34</v>
      </c>
      <c r="E35" t="s">
        <v>41</v>
      </c>
    </row>
    <row r="36" spans="4:5" x14ac:dyDescent="0.25">
      <c r="D36" t="s">
        <v>47</v>
      </c>
      <c r="E36" t="s">
        <v>41</v>
      </c>
    </row>
    <row r="37" spans="4:5" x14ac:dyDescent="0.25">
      <c r="D37" t="s">
        <v>48</v>
      </c>
      <c r="E37" t="s">
        <v>43</v>
      </c>
    </row>
    <row r="38" spans="4:5" x14ac:dyDescent="0.25">
      <c r="D38" t="s">
        <v>49</v>
      </c>
      <c r="E38" t="s">
        <v>41</v>
      </c>
    </row>
    <row r="39" spans="4:5" x14ac:dyDescent="0.25">
      <c r="D39" t="s">
        <v>50</v>
      </c>
      <c r="E39" t="s">
        <v>41</v>
      </c>
    </row>
    <row r="40" spans="4:5" x14ac:dyDescent="0.25">
      <c r="D40" t="s">
        <v>51</v>
      </c>
      <c r="E40" t="s">
        <v>41</v>
      </c>
    </row>
    <row r="41" spans="4:5" x14ac:dyDescent="0.25">
      <c r="D41" t="s">
        <v>52</v>
      </c>
      <c r="E41" t="s">
        <v>41</v>
      </c>
    </row>
    <row r="42" spans="4:5" x14ac:dyDescent="0.25">
      <c r="D42" t="s">
        <v>53</v>
      </c>
      <c r="E42" t="s">
        <v>41</v>
      </c>
    </row>
    <row r="43" spans="4:5" x14ac:dyDescent="0.25">
      <c r="D43" t="s">
        <v>54</v>
      </c>
      <c r="E43" t="s">
        <v>41</v>
      </c>
    </row>
    <row r="44" spans="4:5" x14ac:dyDescent="0.25">
      <c r="D44" t="s">
        <v>61</v>
      </c>
      <c r="E44" t="s">
        <v>41</v>
      </c>
    </row>
    <row r="45" spans="4:5" x14ac:dyDescent="0.25">
      <c r="D45" t="s">
        <v>62</v>
      </c>
      <c r="E45" t="s">
        <v>41</v>
      </c>
    </row>
    <row r="46" spans="4:5" x14ac:dyDescent="0.25">
      <c r="D46" t="s">
        <v>63</v>
      </c>
      <c r="E46" t="s">
        <v>41</v>
      </c>
    </row>
    <row r="47" spans="4:5" x14ac:dyDescent="0.25">
      <c r="D47" t="s">
        <v>64</v>
      </c>
      <c r="E47" t="s">
        <v>41</v>
      </c>
    </row>
    <row r="48" spans="4:5" x14ac:dyDescent="0.25">
      <c r="D48" t="s">
        <v>65</v>
      </c>
      <c r="E48" t="s">
        <v>41</v>
      </c>
    </row>
    <row r="49" spans="4:5" x14ac:dyDescent="0.25">
      <c r="D49" t="s">
        <v>73</v>
      </c>
      <c r="E49" t="s">
        <v>41</v>
      </c>
    </row>
    <row r="50" spans="4:5" x14ac:dyDescent="0.25">
      <c r="D50" t="s">
        <v>74</v>
      </c>
      <c r="E50" t="s">
        <v>41</v>
      </c>
    </row>
    <row r="51" spans="4:5" x14ac:dyDescent="0.25">
      <c r="D51" t="s">
        <v>72</v>
      </c>
      <c r="E51" t="s">
        <v>41</v>
      </c>
    </row>
    <row r="52" spans="4:5" x14ac:dyDescent="0.25">
      <c r="D52" t="s">
        <v>77</v>
      </c>
      <c r="E52" t="s">
        <v>41</v>
      </c>
    </row>
    <row r="53" spans="4:5" x14ac:dyDescent="0.25">
      <c r="D53" t="s">
        <v>78</v>
      </c>
      <c r="E53" t="s">
        <v>41</v>
      </c>
    </row>
    <row r="54" spans="4:5" x14ac:dyDescent="0.25">
      <c r="D54" t="s">
        <v>79</v>
      </c>
      <c r="E54" t="s">
        <v>41</v>
      </c>
    </row>
    <row r="55" spans="4:5" x14ac:dyDescent="0.25">
      <c r="D55" t="s">
        <v>80</v>
      </c>
      <c r="E55" t="s">
        <v>41</v>
      </c>
    </row>
    <row r="56" spans="4:5" x14ac:dyDescent="0.25">
      <c r="D56" t="s">
        <v>81</v>
      </c>
      <c r="E56" t="s">
        <v>41</v>
      </c>
    </row>
    <row r="57" spans="4:5" x14ac:dyDescent="0.25">
      <c r="D57" t="s">
        <v>82</v>
      </c>
      <c r="E57" t="s">
        <v>41</v>
      </c>
    </row>
    <row r="58" spans="4:5" x14ac:dyDescent="0.25">
      <c r="D58" t="s">
        <v>83</v>
      </c>
      <c r="E58" t="s">
        <v>41</v>
      </c>
    </row>
    <row r="59" spans="4:5" x14ac:dyDescent="0.25">
      <c r="D59" t="s">
        <v>103</v>
      </c>
      <c r="E59" t="s">
        <v>41</v>
      </c>
    </row>
    <row r="60" spans="4:5" x14ac:dyDescent="0.25">
      <c r="D60" t="s">
        <v>104</v>
      </c>
      <c r="E60" t="s">
        <v>41</v>
      </c>
    </row>
    <row r="61" spans="4:5" x14ac:dyDescent="0.25">
      <c r="D61" t="s">
        <v>107</v>
      </c>
      <c r="E61" t="s">
        <v>41</v>
      </c>
    </row>
    <row r="62" spans="4:5" x14ac:dyDescent="0.25">
      <c r="D62" t="s">
        <v>112</v>
      </c>
      <c r="E62" t="s">
        <v>41</v>
      </c>
    </row>
    <row r="63" spans="4:5" x14ac:dyDescent="0.25">
      <c r="D63" t="s">
        <v>113</v>
      </c>
      <c r="E63" t="s">
        <v>41</v>
      </c>
    </row>
    <row r="64" spans="4:5" x14ac:dyDescent="0.25">
      <c r="D64" t="s">
        <v>121</v>
      </c>
      <c r="E64" t="s">
        <v>41</v>
      </c>
    </row>
    <row r="65" spans="4:5" x14ac:dyDescent="0.25">
      <c r="D65" t="s">
        <v>142</v>
      </c>
      <c r="E65" t="s">
        <v>41</v>
      </c>
    </row>
    <row r="66" spans="4:5" x14ac:dyDescent="0.25">
      <c r="D66" t="s">
        <v>143</v>
      </c>
      <c r="E66" t="s">
        <v>41</v>
      </c>
    </row>
    <row r="67" spans="4:5" x14ac:dyDescent="0.25">
      <c r="D67" t="s">
        <v>144</v>
      </c>
      <c r="E67" t="s">
        <v>41</v>
      </c>
    </row>
    <row r="68" spans="4:5" x14ac:dyDescent="0.25">
      <c r="D68" t="s">
        <v>197</v>
      </c>
      <c r="E68" t="s">
        <v>41</v>
      </c>
    </row>
    <row r="69" spans="4:5" x14ac:dyDescent="0.25">
      <c r="D69" t="s">
        <v>246</v>
      </c>
      <c r="E69" t="s">
        <v>41</v>
      </c>
    </row>
    <row r="70" spans="4:5" x14ac:dyDescent="0.25">
      <c r="D70" t="s">
        <v>247</v>
      </c>
      <c r="E70" t="s">
        <v>41</v>
      </c>
    </row>
    <row r="71" spans="4:5" x14ac:dyDescent="0.25">
      <c r="D71" t="s">
        <v>248</v>
      </c>
      <c r="E71" t="s">
        <v>41</v>
      </c>
    </row>
    <row r="72" spans="4:5" x14ac:dyDescent="0.25">
      <c r="D72" t="s">
        <v>251</v>
      </c>
      <c r="E72" t="s">
        <v>41</v>
      </c>
    </row>
    <row r="73" spans="4:5" x14ac:dyDescent="0.25">
      <c r="D73" t="s">
        <v>253</v>
      </c>
      <c r="E73" t="s">
        <v>41</v>
      </c>
    </row>
    <row r="74" spans="4:5" x14ac:dyDescent="0.25">
      <c r="D74" t="s">
        <v>89</v>
      </c>
      <c r="E74" t="s">
        <v>42</v>
      </c>
    </row>
    <row r="75" spans="4:5" x14ac:dyDescent="0.25">
      <c r="D75" t="s">
        <v>255</v>
      </c>
      <c r="E75" t="s">
        <v>42</v>
      </c>
    </row>
    <row r="76" spans="4:5" x14ac:dyDescent="0.25">
      <c r="D76" t="s">
        <v>256</v>
      </c>
      <c r="E76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H10"/>
  <sheetViews>
    <sheetView workbookViewId="0">
      <selection activeCell="B2" sqref="B2:B10"/>
    </sheetView>
  </sheetViews>
  <sheetFormatPr defaultRowHeight="15" x14ac:dyDescent="0.25"/>
  <cols>
    <col min="2" max="2" width="23.140625" bestFit="1" customWidth="1"/>
    <col min="8" max="8" width="10.5703125" bestFit="1" customWidth="1"/>
  </cols>
  <sheetData>
    <row r="2" spans="2:8" x14ac:dyDescent="0.25">
      <c r="B2" s="38" t="s">
        <v>238</v>
      </c>
      <c r="C2" s="39" t="s">
        <v>55</v>
      </c>
      <c r="D2" s="39" t="s">
        <v>239</v>
      </c>
      <c r="E2" s="39" t="s">
        <v>241</v>
      </c>
      <c r="F2" s="40" t="s">
        <v>125</v>
      </c>
      <c r="G2" s="39" t="s">
        <v>240</v>
      </c>
      <c r="H2" s="39" t="s">
        <v>242</v>
      </c>
    </row>
    <row r="3" spans="2:8" x14ac:dyDescent="0.25">
      <c r="B3" s="41" t="s">
        <v>84</v>
      </c>
      <c r="C3" s="42">
        <f>Calculations!D3</f>
        <v>223655.89</v>
      </c>
      <c r="D3" s="42">
        <f>Calculations!E3</f>
        <v>223655.89</v>
      </c>
      <c r="E3" s="42">
        <f>C3-D3</f>
        <v>0</v>
      </c>
      <c r="F3" s="43" t="str">
        <f>Calculations!F3</f>
        <v>▬</v>
      </c>
      <c r="G3" s="41"/>
      <c r="H3" s="42"/>
    </row>
    <row r="4" spans="2:8" x14ac:dyDescent="0.25">
      <c r="B4" s="41" t="s">
        <v>92</v>
      </c>
      <c r="C4" s="42">
        <f>Calculations!D4</f>
        <v>134562.78000000003</v>
      </c>
      <c r="D4" s="42">
        <f>Calculations!E4</f>
        <v>134562.78000000003</v>
      </c>
      <c r="E4" s="42">
        <f t="shared" ref="E4:E10" si="0">C4-D4</f>
        <v>0</v>
      </c>
      <c r="F4" s="43" t="str">
        <f>Calculations!F4</f>
        <v>▬</v>
      </c>
      <c r="G4" s="41"/>
      <c r="H4" s="42"/>
    </row>
    <row r="5" spans="2:8" x14ac:dyDescent="0.25">
      <c r="B5" s="41" t="s">
        <v>91</v>
      </c>
      <c r="C5" s="42">
        <f>Calculations!D5</f>
        <v>92374.750000000015</v>
      </c>
      <c r="D5" s="42">
        <f>Calculations!E5</f>
        <v>92374.750000000015</v>
      </c>
      <c r="E5" s="42">
        <f t="shared" si="0"/>
        <v>0</v>
      </c>
      <c r="F5" s="43" t="str">
        <f>Calculations!F5</f>
        <v>▬</v>
      </c>
      <c r="G5" s="41"/>
      <c r="H5" s="42"/>
    </row>
    <row r="6" spans="2:8" x14ac:dyDescent="0.25">
      <c r="B6" s="41" t="s">
        <v>90</v>
      </c>
      <c r="C6" s="42">
        <f>Calculations!D6</f>
        <v>42188.03</v>
      </c>
      <c r="D6" s="42">
        <f>Calculations!E6</f>
        <v>42188.03</v>
      </c>
      <c r="E6" s="42">
        <f t="shared" si="0"/>
        <v>0</v>
      </c>
      <c r="F6" s="43" t="str">
        <f>Calculations!F6</f>
        <v>▬</v>
      </c>
      <c r="G6" s="41"/>
      <c r="H6" s="42"/>
    </row>
    <row r="7" spans="2:8" x14ac:dyDescent="0.25">
      <c r="B7" s="41" t="s">
        <v>87</v>
      </c>
      <c r="C7" s="42">
        <f>Calculations!D7</f>
        <v>31839.9</v>
      </c>
      <c r="D7" s="42">
        <f>Calculations!E7</f>
        <v>31839.9</v>
      </c>
      <c r="E7" s="42">
        <f t="shared" si="0"/>
        <v>0</v>
      </c>
      <c r="F7" s="43" t="str">
        <f>Calculations!F7</f>
        <v>▬</v>
      </c>
      <c r="G7" s="41"/>
      <c r="H7" s="44" t="s">
        <v>243</v>
      </c>
    </row>
    <row r="8" spans="2:8" x14ac:dyDescent="0.25">
      <c r="B8" s="41" t="s">
        <v>88</v>
      </c>
      <c r="C8" s="42">
        <f>Calculations!D8</f>
        <v>43648.56</v>
      </c>
      <c r="D8" s="42">
        <f>Calculations!E8</f>
        <v>43648.56</v>
      </c>
      <c r="E8" s="42">
        <f t="shared" si="0"/>
        <v>0</v>
      </c>
      <c r="F8" s="43" t="str">
        <f>Calculations!F8</f>
        <v>▬</v>
      </c>
      <c r="G8" s="41"/>
      <c r="H8" s="44" t="s">
        <v>243</v>
      </c>
    </row>
    <row r="9" spans="2:8" x14ac:dyDescent="0.25">
      <c r="B9" s="41" t="s">
        <v>69</v>
      </c>
      <c r="C9" s="42">
        <f>Calculations!D9</f>
        <v>11012.780000000002</v>
      </c>
      <c r="D9" s="42">
        <f>Calculations!E9</f>
        <v>11012.780000000002</v>
      </c>
      <c r="E9" s="42">
        <f t="shared" si="0"/>
        <v>0</v>
      </c>
      <c r="F9" s="43" t="str">
        <f>Calculations!F9</f>
        <v>▬</v>
      </c>
      <c r="G9" s="41"/>
      <c r="H9" s="44" t="s">
        <v>243</v>
      </c>
    </row>
    <row r="10" spans="2:8" x14ac:dyDescent="0.25">
      <c r="B10" s="41" t="s">
        <v>41</v>
      </c>
      <c r="C10" s="42">
        <f>Calculations!D10</f>
        <v>2591.87</v>
      </c>
      <c r="D10" s="42">
        <f>Calculations!E10</f>
        <v>2591.87</v>
      </c>
      <c r="E10" s="42">
        <f t="shared" si="0"/>
        <v>0</v>
      </c>
      <c r="F10" s="43" t="str">
        <f>Calculations!F10</f>
        <v>▬</v>
      </c>
      <c r="G10" s="41"/>
      <c r="H10" s="42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B2830B14-CDEC-4DC8-99ED-EF724C9AFBD8}">
            <xm:f>Calculations!$D$3&gt;Calculations!$E$3</xm:f>
            <x14:dxf>
              <font>
                <color rgb="FFFF0000"/>
              </font>
            </x14:dxf>
          </x14:cfRule>
          <xm:sqref>F3</xm:sqref>
        </x14:conditionalFormatting>
        <x14:conditionalFormatting xmlns:xm="http://schemas.microsoft.com/office/excel/2006/main">
          <x14:cfRule type="expression" priority="7" id="{CAEF47EF-24C9-4368-9DC2-E2F19B269838}">
            <xm:f>Calculations!$D$6&gt;Calculations!$E$6</xm:f>
            <x14:dxf>
              <font>
                <color rgb="FFFF0000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6" id="{BBDF7224-B6C9-460B-83FA-88C5CB9DA612}">
            <xm:f>Calculations!$D$4&gt;Calculations!$E$4</xm:f>
            <x14:dxf>
              <font>
                <color rgb="FFFF0000"/>
              </font>
            </x14:dxf>
          </x14:cfRule>
          <xm:sqref>F4</xm:sqref>
        </x14:conditionalFormatting>
        <x14:conditionalFormatting xmlns:xm="http://schemas.microsoft.com/office/excel/2006/main">
          <x14:cfRule type="expression" priority="5" id="{FEF1CE33-EDC5-45E7-AEAF-3C6B329FC14C}">
            <xm:f>Calculations!$D$5&gt;Calculations!$E$5</xm:f>
            <x14:dxf>
              <font>
                <color rgb="FFFF0000"/>
              </font>
            </x14:dxf>
          </x14:cfRule>
          <xm:sqref>F5</xm:sqref>
        </x14:conditionalFormatting>
        <x14:conditionalFormatting xmlns:xm="http://schemas.microsoft.com/office/excel/2006/main">
          <x14:cfRule type="expression" priority="4" id="{D6915C17-DFD6-42EF-A465-10D3BADDFB79}">
            <xm:f>Calculations!$D$7&gt;Calculations!$E$7</xm:f>
            <x14:dxf>
              <font>
                <color rgb="FFFF0000"/>
              </font>
            </x14:dxf>
          </x14:cfRule>
          <xm:sqref>F7</xm:sqref>
        </x14:conditionalFormatting>
        <x14:conditionalFormatting xmlns:xm="http://schemas.microsoft.com/office/excel/2006/main">
          <x14:cfRule type="expression" priority="3" id="{CC36D04B-7118-45D6-B7F0-629039FA2DB2}">
            <xm:f>Calculations!$D$8&gt;Calculations!$E$8</xm:f>
            <x14:dxf>
              <font>
                <color rgb="FFFF0000"/>
              </font>
            </x14:dxf>
          </x14:cfRule>
          <xm:sqref>F8</xm:sqref>
        </x14:conditionalFormatting>
        <x14:conditionalFormatting xmlns:xm="http://schemas.microsoft.com/office/excel/2006/main">
          <x14:cfRule type="expression" priority="2" id="{AFA6645D-3211-4520-8E6D-DCB01516F770}">
            <xm:f>Calculations!$D$9&gt;Calculations!$E$9</xm:f>
            <x14:dxf>
              <font>
                <color rgb="FFFF0000"/>
              </font>
            </x14:dxf>
          </x14:cfRule>
          <xm:sqref>F9</xm:sqref>
        </x14:conditionalFormatting>
        <x14:conditionalFormatting xmlns:xm="http://schemas.microsoft.com/office/excel/2006/main">
          <x14:cfRule type="expression" priority="1" id="{5C9B2EE5-C162-41BD-AE76-A7D167906C25}">
            <xm:f>Calculations!$D$10&gt;Calculations!$E$10</xm:f>
            <x14:dxf>
              <font>
                <color rgb="FFFF0000"/>
              </font>
            </x14:dxf>
          </x14:cfRule>
          <xm:sqref>F10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Calculations!I14:S14</xm:f>
              <xm:sqref>G3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Calculations!I15:S15</xm:f>
              <xm:sqref>G4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Calculations!I16:S16</xm:f>
              <xm:sqref>G5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Calculations!I17:S17</xm:f>
              <xm:sqref>G6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Calculations!I18:S18</xm:f>
              <xm:sqref>G7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Calculations!I19:S19</xm:f>
              <xm:sqref>G8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Calculations!I20:S20</xm:f>
              <xm:sqref>G9</xm:sqref>
            </x14:sparkline>
          </x14:sparklines>
        </x14:sparklineGroup>
        <x14:sparklineGroup lineWeight="1.5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Calculations!I21:S21</xm:f>
              <xm:sqref>G10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inputs</vt:lpstr>
      <vt:lpstr>Dashboard</vt:lpstr>
      <vt:lpstr>Calculations</vt:lpstr>
      <vt:lpstr>Top60</vt:lpstr>
      <vt:lpstr>Tables_Over90</vt:lpstr>
      <vt:lpstr>Tables_6190</vt:lpstr>
      <vt:lpstr>Tables_3160</vt:lpstr>
      <vt:lpstr>Tables_Current</vt:lpstr>
      <vt:lpstr>data</vt:lpstr>
      <vt:lpstr>frmlas</vt:lpstr>
      <vt:lpstr>Sheet1</vt:lpstr>
      <vt:lpstr>inf</vt:lpstr>
      <vt:lpstr>Summary</vt:lpstr>
      <vt:lpstr>Start_Date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2016-12-22T17:58:21Z</dcterms:created>
  <dcterms:modified xsi:type="dcterms:W3CDTF">2018-07-13T22:06:00Z</dcterms:modified>
</cp:coreProperties>
</file>