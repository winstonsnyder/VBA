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2995" windowHeight="10035" activeTab="4"/>
  </bookViews>
  <sheets>
    <sheet name="Rtrv" sheetId="1" r:id="rId1"/>
    <sheet name="infUnits" sheetId="2" r:id="rId2"/>
    <sheet name="infAdmin" sheetId="3" r:id="rId3"/>
    <sheet name="infInputs" sheetId="4" r:id="rId4"/>
    <sheet name="dataFinal" sheetId="5" r:id="rId5"/>
    <sheet name="Sheet1" sheetId="6" r:id="rId6"/>
  </sheets>
  <functionGroups builtInGroupCount="17"/>
  <definedNames>
    <definedName name="EssfHasNonUnique" localSheetId="0">FALSE</definedName>
    <definedName name="EssfHasNonUnique" localSheetId="5">FALSE</definedName>
    <definedName name="EssTime">infInputs!$B$4</definedName>
  </definedNames>
  <calcPr calcId="145621"/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<sst xmlns="http://schemas.openxmlformats.org/spreadsheetml/2006/main" count="2163" uniqueCount="127">
  <si>
    <t>Currency</t>
  </si>
  <si>
    <t>Document Type</t>
  </si>
  <si>
    <t>Accounts</t>
  </si>
  <si>
    <t>Organization</t>
  </si>
  <si>
    <t>Time</t>
  </si>
  <si>
    <t>FY 2015 Actual</t>
  </si>
  <si>
    <t>UC DAVIS - OVERHEAD : 79387-001</t>
  </si>
  <si>
    <t>UC DAVIS - OVERHEAD : 79387-000 : 70-58412</t>
  </si>
  <si>
    <t>UC DAVIS- CATERING : 79387-002</t>
  </si>
  <si>
    <t>UC DAVIS - GRAB &amp; GO : 79387-003</t>
  </si>
  <si>
    <t>UC DAVIS - PICNIC DAY : 79387-004</t>
  </si>
  <si>
    <t>UC DAVIS - SCRUBS : 79387-005</t>
  </si>
  <si>
    <t>UNIVERSITY OF CAL DAVIS-CLUB : 79387-006</t>
  </si>
  <si>
    <t>UC DAVIS - CONCESSIONS : 79387-007</t>
  </si>
  <si>
    <t>UC DAVIS - STARBUCKS - SILO : 79387-009</t>
  </si>
  <si>
    <t>UNIV CAL DAVIS-SATELLITE : 79387-011</t>
  </si>
  <si>
    <t>UC DAVIS - UTILITY : 79387-013</t>
  </si>
  <si>
    <t>UC DAVIS - STARBUCKS - ARC : 79387-014PC</t>
  </si>
  <si>
    <t>UNIV CAL DAVIS-FRESHENS-CLOSED : 79387-015</t>
  </si>
  <si>
    <t>UNIV CAL DAVIS-MONDAVI : 79387-016</t>
  </si>
  <si>
    <t>UC-DAVIS GENOME- CLOSED : 79387-017</t>
  </si>
  <si>
    <t>UC DAVIS - BIOBREW : 79387-019</t>
  </si>
  <si>
    <t>UC DAVIS - SUB CONTRACTS : 79387-020</t>
  </si>
  <si>
    <t>UC DAVIS - KING HALL : 79387-021</t>
  </si>
  <si>
    <t>UC DAVIS - CARL'S JR : 79387-023</t>
  </si>
  <si>
    <t>UC DAVIS - STAR GINGER : 79387-025</t>
  </si>
  <si>
    <t>UC DAVIS - PUB : 79387-026</t>
  </si>
  <si>
    <t>UC DAVIS RETAIL OVERHEAD : 79387-027</t>
  </si>
  <si>
    <t>UC DAVIS FOOD TRUCK A : 79387-028</t>
  </si>
  <si>
    <t>UC DAVIS - TACO BELL EXPRESS : 79387-035</t>
  </si>
  <si>
    <t>UC DAVIS - UNIT MANAGEMENT : 79387-090</t>
  </si>
  <si>
    <t>UC DAVIS - PIZZA HUT EXPRESS : 79387-201</t>
  </si>
  <si>
    <t>UC DAVIS - VENDING : 79387-301</t>
  </si>
  <si>
    <t>UC DAVIS - TERCERO : 79387-501</t>
  </si>
  <si>
    <t>UC DAVIS - SEGUNDO : 79387-502</t>
  </si>
  <si>
    <t>UC DAVIS - CUARTO : 79387-504</t>
  </si>
  <si>
    <t>UC DAVIS - CROSSROADS : 79387-506</t>
  </si>
  <si>
    <t>UC DAVIS - TRUDY'S : 79387-507</t>
  </si>
  <si>
    <t>UC DAVIS - THE JUNCTION : 79387-508</t>
  </si>
  <si>
    <t>UC DAVIS - BAKERY : 79387-509</t>
  </si>
  <si>
    <t>UC DAVIS - COMMISSARY : 79387-512</t>
  </si>
  <si>
    <t>UC DAVIS - MAINTENANCE : 79387-514</t>
  </si>
  <si>
    <t>UC DAVIS - SUSTAIN &amp; NUTRI : 79387-540</t>
  </si>
  <si>
    <t>UC DAVIS - MARKETING : 79387-555</t>
  </si>
  <si>
    <t>UC DAVIS - HUMAN RESOURCES : 79387-599</t>
  </si>
  <si>
    <t>UNIVERSITY CAL DAVIS-TERCERO : 79388-001</t>
  </si>
  <si>
    <t>UNIVERSITY CAL DAVIS-TERCERO : 79388-000 : 70-58412</t>
  </si>
  <si>
    <t>UNIVERSITY CAL DAVIS-SEGUNDO : 79388-002</t>
  </si>
  <si>
    <t>UNIVERSITY CAL DAVIS - CUARTO : 79388-004</t>
  </si>
  <si>
    <t>UNIV OF CAL DAVIS - CROSSROADS : 79388-006</t>
  </si>
  <si>
    <t>UNIVERSITY CAL DAVIS-TRUDY'S : 79388-007</t>
  </si>
  <si>
    <t>UNIVERSITY CAL DAVIS-THE JUNCT : 79388-008</t>
  </si>
  <si>
    <t>UNIVERSITY CAL DAVIS-BAKERY : 79388-009</t>
  </si>
  <si>
    <t>UNIV OF CAL DAVIS COMMISSARY : 79388-012</t>
  </si>
  <si>
    <t>UNIV CAL DAVIS-LACREPE : 79388-013</t>
  </si>
  <si>
    <t>UC DAVIS - MAINTENANCE : 79388-014</t>
  </si>
  <si>
    <t>UNIVERSITY CAL DAVIS-BRD SUPRV : 79388-040</t>
  </si>
  <si>
    <t>UNIVERSITY CAL DAVIS-MARKETING : 79388-055</t>
  </si>
  <si>
    <t>UNIV CAL-DAVIS TERCERO_MGNT : 79388-090</t>
  </si>
  <si>
    <t>UNIVERSITY CAL DAVIS-MGMT : 79388-099</t>
  </si>
  <si>
    <t>UC DAVIS WEST VILLAGE ADMIN : 79389-001</t>
  </si>
  <si>
    <t>UC DAVIS WEST VILLAGE ADMIN : 79389-000 : 70-58412</t>
  </si>
  <si>
    <t>UC DAVIS WEST VILLAGE CAFE : 79389-002</t>
  </si>
  <si>
    <t>UC DAVIS WEST VILLAGE BISTRO : 79389-003</t>
  </si>
  <si>
    <t>UC DAVIS WEST VILLAGE C-STORE : 79389-004</t>
  </si>
  <si>
    <t>wsnyder</t>
  </si>
  <si>
    <t>UserName</t>
  </si>
  <si>
    <t>Trexx55%%</t>
  </si>
  <si>
    <t>Password</t>
  </si>
  <si>
    <t>Essprod1</t>
  </si>
  <si>
    <t>Server</t>
  </si>
  <si>
    <t>Application</t>
  </si>
  <si>
    <t>Database</t>
  </si>
  <si>
    <t>STAT_SAP</t>
  </si>
  <si>
    <t>EssAccount</t>
  </si>
  <si>
    <t>rngCopy</t>
  </si>
  <si>
    <t>EssTime</t>
  </si>
  <si>
    <t>Period 03</t>
  </si>
  <si>
    <t>PARTICIPATION-CONTRACTOR : 9999.1996</t>
  </si>
  <si>
    <t>ACCOUNTS RECEIVABLE DSO - NA CALCULATION : 9999.3800</t>
  </si>
  <si>
    <t>ACCOUNTS RECEIVABLE CURRENT : 9999.3820</t>
  </si>
  <si>
    <t>ACCOUNTS RECEIVABLE PAST DUE 1-30 DAYS : 9999.3830</t>
  </si>
  <si>
    <t>ACCOUNTS RECEIVABLE PAST DUE 31-60 DAYS : 9999.3840</t>
  </si>
  <si>
    <t>ACCOUNTS RECEIVABLE PAST DUE 61-90 DAYS : 9999.3850</t>
  </si>
  <si>
    <t>ACCOUNTS RECEIVABLE PAST DUE GREATER THAN 90 DAYS : 9999.3860</t>
  </si>
  <si>
    <t>ACCOUNTS RECEIVABLE PAST DUE 90-120 DAYS : 9999.3870</t>
  </si>
  <si>
    <t>ACCOUNTS RECEIVABLE PAST DUE GREATER THAN 120 DAYS : 9999.3880</t>
  </si>
  <si>
    <t>DAYS CASH O/S WEIGHTED TOTAL DEPOSITS : 9999.3881</t>
  </si>
  <si>
    <t>DAYS CASH OUTSTANDING TOTAL DEPOSITS : 9999.3882</t>
  </si>
  <si>
    <t>DAYS CASH OUTSTANDING NUMBER OF DEPOSITS : 9999.3883</t>
  </si>
  <si>
    <t>SALES ED-BOARD GUEST MEALS : 9999.4016</t>
  </si>
  <si>
    <t>SALES ED-MANDATORY BOARD : 9999.4028</t>
  </si>
  <si>
    <t>ED SALES OTHER RELATED BOARD : 9999.4116</t>
  </si>
  <si>
    <t>SALES BOARD COFFEE : 9999.4546</t>
  </si>
  <si>
    <t>MANHOURS-REG HRS WORKED-HOURLY : 9999.6325</t>
  </si>
  <si>
    <t>OPERATING DAYS-WEEKLY : 9999.7148</t>
  </si>
  <si>
    <t>NUMBER OF OPERATING DAYS : 9999.7305</t>
  </si>
  <si>
    <t>THREE MONTH TOTAL SALES - NA DSO : 9999.7335</t>
  </si>
  <si>
    <t>REGIONAL CONTRACT-TOTAL PURCHASES : 9999.8225</t>
  </si>
  <si>
    <t>NON TRACKING TOTAL PURCHASES : 9999.8240</t>
  </si>
  <si>
    <t>NON-COMPLIANT PRODUCT PURCHASES : 9999.8246</t>
  </si>
  <si>
    <t>COMPLIANT PRODUCT PURCHASES : 9999.8248</t>
  </si>
  <si>
    <t>AP PAID PRODUCT COMPLIANCE CALCULATION : 9999.8249</t>
  </si>
  <si>
    <t>ROUTE VENDING SALES : 9999.8536</t>
  </si>
  <si>
    <t>COMPLAINT CARMA SPEND - SDX : 9999.8977</t>
  </si>
  <si>
    <t>TOTAL CARMA SPEND-SDX : 9999.8978</t>
  </si>
  <si>
    <t>AP SPEND-SDX : 9999.8981</t>
  </si>
  <si>
    <t>MAN HOURS-OVERTIME-HOURLY-FULL TIME : 9999.9300</t>
  </si>
  <si>
    <t>MAN HOURS-HOLIDAY-HOURLY-FULL TIME : 9999.9520</t>
  </si>
  <si>
    <t>MANHOURS-REG HRS WORKED-SALARY : 9999.6330</t>
  </si>
  <si>
    <t>UNAPPROVED TOTAL PURCHASES : 9999.8235</t>
  </si>
  <si>
    <t>PRIME DISTRIBUTOR TOTAL PURCHASES : 9999.8245</t>
  </si>
  <si>
    <t>MAN HOURS-SICK-HOURLY-FULL TIME : 9999.9400</t>
  </si>
  <si>
    <t>MAN HOURS-VACATION TAKEN-HOURLY-FULL TIME : 9999.9900</t>
  </si>
  <si>
    <t>SALES MISCELLANEOUS CHARGE SALES : 9999.4398</t>
  </si>
  <si>
    <t>CUSTOMER COUNT : 9999.7015</t>
  </si>
  <si>
    <t>SALES CONCESSION : 9999.4050</t>
  </si>
  <si>
    <t>SALES STARBUCKS : 9999.4126</t>
  </si>
  <si>
    <t>SALES FOOD SUBCONTRACTED : 9999.4064</t>
  </si>
  <si>
    <t>SPECIALTY TOTAL PURCHASES : 9999.8230</t>
  </si>
  <si>
    <t>SALES FOOD CARTS : 9999.4018</t>
  </si>
  <si>
    <t>MAN HOURS-VACATION TAKEN-SALARY-FULL TIME : 9999.9005</t>
  </si>
  <si>
    <t>MAN HOURS-SICK-SALARY-FULL TIME : 9999.9210</t>
  </si>
  <si>
    <t>MAN HOURS-OVERTIME-SALARY : 9999.9305</t>
  </si>
  <si>
    <t>MAN HOURS-HOLIDAY-SALARY-FULL TIME : 9999.9540</t>
  </si>
  <si>
    <t>Account</t>
  </si>
  <si>
    <t>Measure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</si>
</sst>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2" borderId="1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43" fontId="0" fillId="0" borderId="0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zoomScale="75" zoomScaleNormal="75" workbookViewId="0">
      <selection activeCell="H16" sqref="H16"/>
    </sheetView>
  </sheetViews>
  <sheetFormatPr defaultRowHeight="15" x14ac:dyDescent="0.25"/>
  <cols>
    <col min="1" max="1" width="19.42578125" customWidth="1"/>
    <col min="2" max="2" width="12.7109375" bestFit="1" customWidth="1"/>
  </cols>
  <sheetData>
    <row r="1" spans="1:6" x14ac:dyDescent="0.25">
      <c r="A1" t="s">
        <v>5</v>
      </c>
      <c r="B1" s="1"/>
      <c r="C1" s="1"/>
      <c r="D1" s="1"/>
      <c r="E1" s="1"/>
      <c r="F1" s="1"/>
    </row>
    <row r="2" spans="1:6" x14ac:dyDescent="0.25">
      <c r="A2" t="s">
        <v>0</v>
      </c>
      <c r="B2" s="1"/>
      <c r="C2" s="1"/>
      <c r="D2" s="1"/>
      <c r="E2" s="1"/>
      <c r="F2" s="1"/>
    </row>
    <row r="3" spans="1:6" x14ac:dyDescent="0.25">
      <c r="A3" t="s">
        <v>1</v>
      </c>
      <c r="B3" s="1"/>
      <c r="C3" s="1"/>
      <c r="D3" s="1"/>
      <c r="E3" s="1"/>
      <c r="F3" s="1"/>
    </row>
    <row r="4" spans="1:6" x14ac:dyDescent="0.25">
      <c r="A4" s="1" t="str">
        <f>EssTime</f>
        <v>Period 03</v>
      </c>
      <c r="B4" s="1"/>
      <c r="C4" s="1"/>
      <c r="D4" s="1"/>
      <c r="E4" s="1"/>
      <c r="F4" s="1"/>
    </row>
    <row r="5" spans="1:6" x14ac:dyDescent="0.25">
      <c r="B5" t="s">
        <v>3</v>
      </c>
      <c r="C5" s="1"/>
      <c r="D5" s="1"/>
      <c r="E5" s="1"/>
      <c r="F5" s="1"/>
    </row>
    <row r="6" spans="1:6" x14ac:dyDescent="0.25">
      <c r="A6" t="s">
        <v>2</v>
      </c>
      <c r="B6" s="1"/>
      <c r="C6" s="1"/>
      <c r="E6" s="1"/>
      <c r="F6" s="1"/>
    </row>
    <row r="7" spans="1:6" x14ac:dyDescent="0.25">
      <c r="C7" s="1"/>
      <c r="D7" s="1"/>
      <c r="E7" s="1"/>
      <c r="F7" s="1"/>
    </row>
    <row r="8" spans="1:6" x14ac:dyDescent="0.25">
      <c r="B8" s="1"/>
      <c r="C8" s="1"/>
      <c r="D8" s="1"/>
      <c r="E8" s="1"/>
      <c r="F8" s="1"/>
    </row>
    <row r="9" spans="1:6" x14ac:dyDescent="0.25">
      <c r="B9" s="1"/>
      <c r="C9" s="1"/>
      <c r="D9" s="1"/>
      <c r="E9" s="1"/>
      <c r="F9" s="1"/>
    </row>
    <row r="10" spans="1:6" x14ac:dyDescent="0.25">
      <c r="B10" s="1"/>
      <c r="C10" s="1"/>
      <c r="D10" s="1"/>
      <c r="E10" s="1"/>
      <c r="F10" s="1"/>
    </row>
    <row r="11" spans="1:6" x14ac:dyDescent="0.25">
      <c r="B11" s="1"/>
      <c r="C11" s="1"/>
      <c r="D11" s="1"/>
      <c r="E11" s="1"/>
      <c r="F11" s="1"/>
    </row>
    <row r="12" spans="1:6" x14ac:dyDescent="0.25">
      <c r="B12" s="1"/>
      <c r="C12" s="1"/>
      <c r="D12" s="1"/>
      <c r="E12" s="1"/>
      <c r="F12" s="1"/>
    </row>
    <row r="13" spans="1:6" x14ac:dyDescent="0.25">
      <c r="B13" s="1"/>
      <c r="C13" s="1"/>
      <c r="D13" s="1"/>
      <c r="E13" s="1"/>
      <c r="F13" s="1"/>
    </row>
    <row r="14" spans="1:6" x14ac:dyDescent="0.25">
      <c r="B14" s="1"/>
      <c r="C14" s="1"/>
      <c r="D14" s="1"/>
      <c r="E14" s="1"/>
      <c r="F14" s="1"/>
    </row>
    <row r="15" spans="1:6" x14ac:dyDescent="0.25">
      <c r="B15" s="1"/>
      <c r="C15" s="1"/>
      <c r="D15" s="1"/>
      <c r="E15" s="1"/>
      <c r="F15" s="1"/>
    </row>
    <row r="16" spans="1:6" x14ac:dyDescent="0.25">
      <c r="B16" s="1"/>
      <c r="C16" s="1"/>
      <c r="D16" s="1"/>
      <c r="E16" s="1"/>
      <c r="F16" s="1"/>
    </row>
    <row r="17" spans="2:6" x14ac:dyDescent="0.25">
      <c r="B17" s="1"/>
      <c r="C17" s="1"/>
      <c r="D17" s="1"/>
      <c r="E17" s="1"/>
      <c r="F17" s="1"/>
    </row>
    <row r="18" spans="2:6" x14ac:dyDescent="0.25">
      <c r="B18" s="1"/>
      <c r="C18" s="1"/>
      <c r="D18" s="1"/>
      <c r="E18" s="1"/>
      <c r="F1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6"/>
  <sheetViews>
    <sheetView zoomScale="75" zoomScaleNormal="75" workbookViewId="0">
      <selection activeCell="A3" sqref="A3"/>
    </sheetView>
  </sheetViews>
  <sheetFormatPr defaultRowHeight="15" x14ac:dyDescent="0.25"/>
  <cols>
    <col min="1" max="2" width="51" bestFit="1" customWidth="1"/>
    <col min="3" max="3" width="16" customWidth="1"/>
  </cols>
  <sheetData>
    <row r="1" spans="1:3" x14ac:dyDescent="0.25">
      <c r="A1" t="s">
        <v>37</v>
      </c>
      <c r="B1" t="s">
        <v>7</v>
      </c>
      <c r="C1" t="s">
        <v>6</v>
      </c>
    </row>
    <row r="2" spans="1:3" x14ac:dyDescent="0.25">
      <c r="A2" t="s">
        <v>38</v>
      </c>
      <c r="B2" t="s">
        <v>7</v>
      </c>
      <c r="C2" t="s">
        <v>8</v>
      </c>
    </row>
    <row r="3" spans="1:3" x14ac:dyDescent="0.25">
      <c r="A3" t="s">
        <v>39</v>
      </c>
      <c r="B3" t="s">
        <v>7</v>
      </c>
      <c r="C3" t="s">
        <v>9</v>
      </c>
    </row>
    <row r="4" spans="1:3" x14ac:dyDescent="0.25">
      <c r="A4" t="s">
        <v>40</v>
      </c>
      <c r="B4" t="s">
        <v>7</v>
      </c>
      <c r="C4" t="s">
        <v>10</v>
      </c>
    </row>
    <row r="5" spans="1:3" x14ac:dyDescent="0.25">
      <c r="A5" t="s">
        <v>41</v>
      </c>
      <c r="B5" t="s">
        <v>7</v>
      </c>
      <c r="C5" t="s">
        <v>11</v>
      </c>
    </row>
    <row r="6" spans="1:3" x14ac:dyDescent="0.25">
      <c r="A6" t="s">
        <v>42</v>
      </c>
      <c r="B6" t="s">
        <v>7</v>
      </c>
      <c r="C6" t="s">
        <v>12</v>
      </c>
    </row>
    <row r="7" spans="1:3" x14ac:dyDescent="0.25">
      <c r="A7" t="s">
        <v>43</v>
      </c>
      <c r="B7" t="s">
        <v>7</v>
      </c>
      <c r="C7" t="s">
        <v>13</v>
      </c>
    </row>
    <row r="8" spans="1:3" x14ac:dyDescent="0.25">
      <c r="A8" t="s">
        <v>44</v>
      </c>
      <c r="B8" t="s">
        <v>7</v>
      </c>
      <c r="C8" t="s">
        <v>14</v>
      </c>
    </row>
    <row r="9" spans="1:3" x14ac:dyDescent="0.25">
      <c r="A9" t="s">
        <v>45</v>
      </c>
      <c r="B9" t="s">
        <v>7</v>
      </c>
      <c r="C9" t="s">
        <v>15</v>
      </c>
    </row>
    <row r="10" spans="1:3" x14ac:dyDescent="0.25">
      <c r="A10" t="s">
        <v>47</v>
      </c>
      <c r="B10" t="s">
        <v>7</v>
      </c>
      <c r="C10" t="s">
        <v>16</v>
      </c>
    </row>
    <row r="11" spans="1:3" x14ac:dyDescent="0.25">
      <c r="A11" t="s">
        <v>48</v>
      </c>
      <c r="B11" t="s">
        <v>7</v>
      </c>
      <c r="C11" s="1" t="s">
        <v>17</v>
      </c>
    </row>
    <row r="12" spans="1:3" x14ac:dyDescent="0.25">
      <c r="A12" t="s">
        <v>49</v>
      </c>
      <c r="B12" t="s">
        <v>7</v>
      </c>
      <c r="C12" t="s">
        <v>18</v>
      </c>
    </row>
    <row r="13" spans="1:3" x14ac:dyDescent="0.25">
      <c r="A13" t="s">
        <v>50</v>
      </c>
      <c r="B13" t="s">
        <v>7</v>
      </c>
      <c r="C13" t="s">
        <v>19</v>
      </c>
    </row>
    <row r="14" spans="1:3" x14ac:dyDescent="0.25">
      <c r="A14" t="s">
        <v>51</v>
      </c>
      <c r="B14" t="s">
        <v>7</v>
      </c>
      <c r="C14" t="s">
        <v>20</v>
      </c>
    </row>
    <row r="15" spans="1:3" x14ac:dyDescent="0.25">
      <c r="A15" t="s">
        <v>52</v>
      </c>
      <c r="B15" t="s">
        <v>7</v>
      </c>
      <c r="C15" t="s">
        <v>21</v>
      </c>
    </row>
    <row r="16" spans="1:3" x14ac:dyDescent="0.25">
      <c r="A16" t="s">
        <v>53</v>
      </c>
      <c r="B16" t="s">
        <v>7</v>
      </c>
      <c r="C16" t="s">
        <v>22</v>
      </c>
    </row>
    <row r="17" spans="1:3" x14ac:dyDescent="0.25">
      <c r="A17" t="s">
        <v>54</v>
      </c>
      <c r="B17" t="s">
        <v>7</v>
      </c>
      <c r="C17" t="s">
        <v>23</v>
      </c>
    </row>
    <row r="18" spans="1:3" x14ac:dyDescent="0.25">
      <c r="A18" t="s">
        <v>55</v>
      </c>
      <c r="B18" t="s">
        <v>7</v>
      </c>
      <c r="C18" t="s">
        <v>24</v>
      </c>
    </row>
    <row r="19" spans="1:3" x14ac:dyDescent="0.25">
      <c r="A19" t="s">
        <v>56</v>
      </c>
      <c r="B19" t="s">
        <v>7</v>
      </c>
      <c r="C19" t="s">
        <v>25</v>
      </c>
    </row>
    <row r="20" spans="1:3" x14ac:dyDescent="0.25">
      <c r="A20" t="s">
        <v>57</v>
      </c>
      <c r="B20" t="s">
        <v>7</v>
      </c>
      <c r="C20" t="s">
        <v>26</v>
      </c>
    </row>
    <row r="21" spans="1:3" x14ac:dyDescent="0.25">
      <c r="A21" t="s">
        <v>58</v>
      </c>
      <c r="B21" t="s">
        <v>7</v>
      </c>
      <c r="C21" t="s">
        <v>27</v>
      </c>
    </row>
    <row r="22" spans="1:3" x14ac:dyDescent="0.25">
      <c r="A22" t="s">
        <v>59</v>
      </c>
      <c r="B22" t="s">
        <v>7</v>
      </c>
      <c r="C22" t="s">
        <v>28</v>
      </c>
    </row>
    <row r="23" spans="1:3" x14ac:dyDescent="0.25">
      <c r="A23" t="s">
        <v>60</v>
      </c>
      <c r="B23" t="s">
        <v>7</v>
      </c>
      <c r="C23" t="s">
        <v>29</v>
      </c>
    </row>
    <row r="24" spans="1:3" x14ac:dyDescent="0.25">
      <c r="A24" t="s">
        <v>62</v>
      </c>
      <c r="B24" t="s">
        <v>7</v>
      </c>
      <c r="C24" t="s">
        <v>30</v>
      </c>
    </row>
    <row r="25" spans="1:3" x14ac:dyDescent="0.25">
      <c r="A25" t="s">
        <v>63</v>
      </c>
      <c r="B25" t="s">
        <v>7</v>
      </c>
      <c r="C25" t="s">
        <v>31</v>
      </c>
    </row>
    <row r="26" spans="1:3" x14ac:dyDescent="0.25">
      <c r="A26" t="s">
        <v>64</v>
      </c>
      <c r="B26" t="s">
        <v>7</v>
      </c>
      <c r="C26" t="s">
        <v>32</v>
      </c>
    </row>
    <row r="27" spans="1:3" x14ac:dyDescent="0.25">
      <c r="B27" t="s">
        <v>7</v>
      </c>
      <c r="C27" t="s">
        <v>33</v>
      </c>
    </row>
    <row r="28" spans="1:3" x14ac:dyDescent="0.25">
      <c r="B28" t="s">
        <v>7</v>
      </c>
      <c r="C28" t="s">
        <v>34</v>
      </c>
    </row>
    <row r="29" spans="1:3" x14ac:dyDescent="0.25">
      <c r="B29" t="s">
        <v>7</v>
      </c>
      <c r="C29" t="s">
        <v>35</v>
      </c>
    </row>
    <row r="30" spans="1:3" x14ac:dyDescent="0.25">
      <c r="B30" t="s">
        <v>7</v>
      </c>
      <c r="C30" t="s">
        <v>36</v>
      </c>
    </row>
    <row r="31" spans="1:3" x14ac:dyDescent="0.25">
      <c r="B31" t="s">
        <v>7</v>
      </c>
    </row>
    <row r="32" spans="1:3" x14ac:dyDescent="0.25">
      <c r="B32" t="s">
        <v>7</v>
      </c>
    </row>
    <row r="33" spans="2:2" x14ac:dyDescent="0.25">
      <c r="B33" t="s">
        <v>7</v>
      </c>
    </row>
    <row r="34" spans="2:2" x14ac:dyDescent="0.25">
      <c r="B34" t="s">
        <v>7</v>
      </c>
    </row>
    <row r="35" spans="2:2" x14ac:dyDescent="0.25">
      <c r="B35" t="s">
        <v>7</v>
      </c>
    </row>
    <row r="36" spans="2:2" x14ac:dyDescent="0.25">
      <c r="B36" t="s">
        <v>7</v>
      </c>
    </row>
    <row r="37" spans="2:2" x14ac:dyDescent="0.25">
      <c r="B37" t="s">
        <v>7</v>
      </c>
    </row>
    <row r="38" spans="2:2" x14ac:dyDescent="0.25">
      <c r="B38" t="s">
        <v>7</v>
      </c>
    </row>
    <row r="39" spans="2:2" x14ac:dyDescent="0.25">
      <c r="B39" t="s">
        <v>46</v>
      </c>
    </row>
    <row r="40" spans="2:2" x14ac:dyDescent="0.25">
      <c r="B40" t="s">
        <v>46</v>
      </c>
    </row>
    <row r="41" spans="2:2" x14ac:dyDescent="0.25">
      <c r="B41" t="s">
        <v>46</v>
      </c>
    </row>
    <row r="42" spans="2:2" x14ac:dyDescent="0.25">
      <c r="B42" t="s">
        <v>46</v>
      </c>
    </row>
    <row r="43" spans="2:2" x14ac:dyDescent="0.25">
      <c r="B43" t="s">
        <v>46</v>
      </c>
    </row>
    <row r="44" spans="2:2" x14ac:dyDescent="0.25">
      <c r="B44" t="s">
        <v>46</v>
      </c>
    </row>
    <row r="45" spans="2:2" x14ac:dyDescent="0.25">
      <c r="B45" t="s">
        <v>46</v>
      </c>
    </row>
    <row r="46" spans="2:2" x14ac:dyDescent="0.25">
      <c r="B46" t="s">
        <v>46</v>
      </c>
    </row>
    <row r="47" spans="2:2" x14ac:dyDescent="0.25">
      <c r="B47" t="s">
        <v>46</v>
      </c>
    </row>
    <row r="48" spans="2:2" x14ac:dyDescent="0.25">
      <c r="B48" t="s">
        <v>46</v>
      </c>
    </row>
    <row r="49" spans="2:2" x14ac:dyDescent="0.25">
      <c r="B49" t="s">
        <v>46</v>
      </c>
    </row>
    <row r="50" spans="2:2" x14ac:dyDescent="0.25">
      <c r="B50" t="s">
        <v>46</v>
      </c>
    </row>
    <row r="51" spans="2:2" x14ac:dyDescent="0.25">
      <c r="B51" t="s">
        <v>46</v>
      </c>
    </row>
    <row r="52" spans="2:2" x14ac:dyDescent="0.25">
      <c r="B52" t="s">
        <v>46</v>
      </c>
    </row>
    <row r="53" spans="2:2" x14ac:dyDescent="0.25">
      <c r="B53" t="s">
        <v>61</v>
      </c>
    </row>
    <row r="54" spans="2:2" x14ac:dyDescent="0.25">
      <c r="B54" t="s">
        <v>61</v>
      </c>
    </row>
    <row r="55" spans="2:2" x14ac:dyDescent="0.25">
      <c r="B55" t="s">
        <v>61</v>
      </c>
    </row>
    <row r="56" spans="2:2" x14ac:dyDescent="0.25">
      <c r="B56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6"/>
  <sheetViews>
    <sheetView zoomScale="75" zoomScaleNormal="75" workbookViewId="0">
      <selection activeCell="C19" sqref="C19"/>
    </sheetView>
  </sheetViews>
  <sheetFormatPr defaultRowHeight="15" x14ac:dyDescent="0.25"/>
  <cols>
    <col min="1" max="1" width="4" customWidth="1"/>
    <col min="2" max="2" width="32.140625" customWidth="1"/>
    <col min="3" max="3" width="22.7109375" customWidth="1"/>
  </cols>
  <sheetData>
    <row r="2" spans="2:3" x14ac:dyDescent="0.25">
      <c r="B2" s="2" t="s">
        <v>65</v>
      </c>
      <c r="C2" s="2" t="s">
        <v>66</v>
      </c>
    </row>
    <row r="3" spans="2:3" x14ac:dyDescent="0.25">
      <c r="B3" s="2" t="s">
        <v>67</v>
      </c>
      <c r="C3" s="2" t="s">
        <v>68</v>
      </c>
    </row>
    <row r="4" spans="2:3" x14ac:dyDescent="0.25">
      <c r="B4" s="2" t="s">
        <v>69</v>
      </c>
      <c r="C4" s="2" t="s">
        <v>70</v>
      </c>
    </row>
    <row r="5" spans="2:3" x14ac:dyDescent="0.25">
      <c r="B5" s="2" t="s">
        <v>73</v>
      </c>
      <c r="C5" s="2" t="s">
        <v>71</v>
      </c>
    </row>
    <row r="6" spans="2:3" x14ac:dyDescent="0.25">
      <c r="B6" s="2" t="s">
        <v>73</v>
      </c>
      <c r="C6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4"/>
  <sheetViews>
    <sheetView zoomScale="75" zoomScaleNormal="75" workbookViewId="0">
      <selection activeCell="E12" sqref="E12"/>
    </sheetView>
  </sheetViews>
  <sheetFormatPr defaultRowHeight="15" x14ac:dyDescent="0.25"/>
  <cols>
    <col min="2" max="2" width="31.140625" customWidth="1"/>
    <col min="3" max="3" width="11.42578125" customWidth="1"/>
  </cols>
  <sheetData>
    <row r="2" spans="2:3" s="4" customFormat="1" x14ac:dyDescent="0.25">
      <c r="B2" t="s">
        <v>2</v>
      </c>
      <c r="C2" s="3" t="s">
        <v>74</v>
      </c>
    </row>
    <row r="3" spans="2:3" s="4" customFormat="1" x14ac:dyDescent="0.25">
      <c r="B3" s="5">
        <v>1</v>
      </c>
      <c r="C3" s="3" t="s">
        <v>75</v>
      </c>
    </row>
    <row r="4" spans="2:3" x14ac:dyDescent="0.25">
      <c r="B4" t="s">
        <v>77</v>
      </c>
      <c r="C4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75"/>
  <sheetViews>
    <sheetView tabSelected="1" topLeftCell="A7" zoomScale="75" zoomScaleNormal="75" workbookViewId="0">
      <selection activeCell="D29" sqref="D29"/>
    </sheetView>
  </sheetViews>
  <sheetFormatPr defaultRowHeight="15" x14ac:dyDescent="0.25"/>
  <cols>
    <col min="1" max="1" width="43.42578125" bestFit="1" customWidth="1"/>
    <col min="3" max="4" width="43.42578125" bestFit="1" customWidth="1"/>
    <col min="5" max="5" width="64.5703125" bestFit="1" customWidth="1"/>
    <col min="6" max="10" width="20.7109375" customWidth="1"/>
  </cols>
  <sheetData>
    <row r="1" spans="1:4" x14ac:dyDescent="0.25">
      <c r="A1" t="s">
        <v>3</v>
      </c>
      <c r="B1" t="s">
        <v>4</v>
      </c>
      <c r="C1" t="s">
        <v>125</v>
      </c>
      <c r="D1" t="s">
        <v>126</v>
      </c>
    </row>
    <row r="2" spans="1:4" x14ac:dyDescent="0.25">
      <c r="A2" t="s">
        <v>37</v>
      </c>
      <c r="B2" t="s">
        <v>77</v>
      </c>
      <c r="C2" t="s">
        <v>78</v>
      </c>
      <c r="D2">
        <v>36724.939999999995</v>
      </c>
    </row>
    <row r="3" spans="1:4" x14ac:dyDescent="0.25">
      <c r="A3" t="s">
        <v>37</v>
      </c>
      <c r="B3" t="s">
        <v>77</v>
      </c>
      <c r="C3" t="s">
        <v>79</v>
      </c>
      <c r="D3">
        <v>-8199.34</v>
      </c>
    </row>
    <row r="4" spans="1:4" x14ac:dyDescent="0.25">
      <c r="A4" t="s">
        <v>37</v>
      </c>
      <c r="B4" t="s">
        <v>77</v>
      </c>
      <c r="C4" t="s">
        <v>87</v>
      </c>
      <c r="D4">
        <v>17127.3</v>
      </c>
    </row>
    <row r="5" spans="1:4" x14ac:dyDescent="0.25">
      <c r="A5" t="s">
        <v>37</v>
      </c>
      <c r="B5" t="s">
        <v>77</v>
      </c>
      <c r="C5" t="s">
        <v>88</v>
      </c>
      <c r="D5">
        <v>7570.48</v>
      </c>
    </row>
    <row r="6" spans="1:4" x14ac:dyDescent="0.25">
      <c r="A6" t="s">
        <v>37</v>
      </c>
      <c r="B6" t="s">
        <v>77</v>
      </c>
      <c r="C6" t="s">
        <v>89</v>
      </c>
      <c r="D6">
        <v>18</v>
      </c>
    </row>
    <row r="7" spans="1:4" x14ac:dyDescent="0.25">
      <c r="A7" t="s">
        <v>37</v>
      </c>
      <c r="B7" t="s">
        <v>77</v>
      </c>
      <c r="C7" t="s">
        <v>114</v>
      </c>
      <c r="D7">
        <v>14703</v>
      </c>
    </row>
    <row r="8" spans="1:4" x14ac:dyDescent="0.25">
      <c r="A8" t="s">
        <v>37</v>
      </c>
      <c r="B8" t="s">
        <v>77</v>
      </c>
      <c r="C8" t="s">
        <v>94</v>
      </c>
      <c r="D8">
        <v>85.94</v>
      </c>
    </row>
    <row r="9" spans="1:4" x14ac:dyDescent="0.25">
      <c r="A9" t="s">
        <v>37</v>
      </c>
      <c r="B9" t="s">
        <v>77</v>
      </c>
      <c r="C9" t="s">
        <v>109</v>
      </c>
      <c r="D9">
        <v>0.04</v>
      </c>
    </row>
    <row r="10" spans="1:4" x14ac:dyDescent="0.25">
      <c r="A10" t="s">
        <v>37</v>
      </c>
      <c r="B10" t="s">
        <v>77</v>
      </c>
      <c r="C10" t="s">
        <v>115</v>
      </c>
      <c r="D10">
        <v>14707</v>
      </c>
    </row>
    <row r="11" spans="1:4" x14ac:dyDescent="0.25">
      <c r="A11" t="s">
        <v>37</v>
      </c>
      <c r="B11" t="s">
        <v>77</v>
      </c>
      <c r="C11" t="s">
        <v>95</v>
      </c>
      <c r="D11">
        <v>27</v>
      </c>
    </row>
    <row r="12" spans="1:4" x14ac:dyDescent="0.25">
      <c r="A12" t="s">
        <v>37</v>
      </c>
      <c r="B12" t="s">
        <v>77</v>
      </c>
      <c r="C12" t="s">
        <v>96</v>
      </c>
      <c r="D12">
        <v>325</v>
      </c>
    </row>
    <row r="13" spans="1:4" x14ac:dyDescent="0.25">
      <c r="A13" t="s">
        <v>37</v>
      </c>
      <c r="B13" t="s">
        <v>77</v>
      </c>
      <c r="C13" t="s">
        <v>97</v>
      </c>
      <c r="D13">
        <v>-258940.37</v>
      </c>
    </row>
    <row r="14" spans="1:4" x14ac:dyDescent="0.25">
      <c r="A14" t="s">
        <v>37</v>
      </c>
      <c r="B14" t="s">
        <v>77</v>
      </c>
      <c r="C14" t="s">
        <v>98</v>
      </c>
      <c r="D14">
        <v>32735.78</v>
      </c>
    </row>
    <row r="15" spans="1:4" x14ac:dyDescent="0.25">
      <c r="A15" t="s">
        <v>37</v>
      </c>
      <c r="B15" t="s">
        <v>77</v>
      </c>
      <c r="C15" t="s">
        <v>110</v>
      </c>
      <c r="D15">
        <v>877.55</v>
      </c>
    </row>
    <row r="16" spans="1:4" x14ac:dyDescent="0.25">
      <c r="A16" t="s">
        <v>37</v>
      </c>
      <c r="B16" t="s">
        <v>77</v>
      </c>
      <c r="C16" t="s">
        <v>111</v>
      </c>
      <c r="D16">
        <v>8954.11</v>
      </c>
    </row>
    <row r="17" spans="1:4" x14ac:dyDescent="0.25">
      <c r="A17" t="s">
        <v>37</v>
      </c>
      <c r="B17" t="s">
        <v>77</v>
      </c>
      <c r="C17" t="s">
        <v>100</v>
      </c>
      <c r="D17">
        <v>930.63</v>
      </c>
    </row>
    <row r="18" spans="1:4" x14ac:dyDescent="0.25">
      <c r="A18" t="s">
        <v>37</v>
      </c>
      <c r="B18" t="s">
        <v>77</v>
      </c>
      <c r="C18" t="s">
        <v>101</v>
      </c>
      <c r="D18">
        <v>7952.16</v>
      </c>
    </row>
    <row r="19" spans="1:4" x14ac:dyDescent="0.25">
      <c r="A19" t="s">
        <v>37</v>
      </c>
      <c r="B19" t="s">
        <v>77</v>
      </c>
      <c r="C19" t="s">
        <v>102</v>
      </c>
      <c r="D19">
        <v>42567.44</v>
      </c>
    </row>
    <row r="20" spans="1:4" x14ac:dyDescent="0.25">
      <c r="A20" t="s">
        <v>37</v>
      </c>
      <c r="B20" t="s">
        <v>77</v>
      </c>
      <c r="C20" t="s">
        <v>104</v>
      </c>
      <c r="D20">
        <v>7952.16</v>
      </c>
    </row>
    <row r="21" spans="1:4" x14ac:dyDescent="0.25">
      <c r="A21" t="s">
        <v>37</v>
      </c>
      <c r="B21" t="s">
        <v>77</v>
      </c>
      <c r="C21" t="s">
        <v>105</v>
      </c>
      <c r="D21">
        <v>8882.7900000000009</v>
      </c>
    </row>
    <row r="22" spans="1:4" x14ac:dyDescent="0.25">
      <c r="A22" t="s">
        <v>37</v>
      </c>
      <c r="B22" t="s">
        <v>77</v>
      </c>
      <c r="C22" t="s">
        <v>106</v>
      </c>
      <c r="D22">
        <v>42567.44</v>
      </c>
    </row>
    <row r="23" spans="1:4" x14ac:dyDescent="0.25">
      <c r="A23" t="s">
        <v>37</v>
      </c>
      <c r="B23" t="s">
        <v>77</v>
      </c>
      <c r="C23" t="s">
        <v>107</v>
      </c>
      <c r="D23">
        <v>22.25</v>
      </c>
    </row>
    <row r="24" spans="1:4" x14ac:dyDescent="0.25">
      <c r="A24" t="s">
        <v>37</v>
      </c>
      <c r="B24" t="s">
        <v>77</v>
      </c>
      <c r="C24" t="s">
        <v>112</v>
      </c>
      <c r="D24">
        <v>23</v>
      </c>
    </row>
    <row r="25" spans="1:4" x14ac:dyDescent="0.25">
      <c r="A25" t="s">
        <v>37</v>
      </c>
      <c r="B25" t="s">
        <v>77</v>
      </c>
      <c r="C25" t="s">
        <v>108</v>
      </c>
      <c r="D25">
        <v>8</v>
      </c>
    </row>
    <row r="26" spans="1:4" x14ac:dyDescent="0.25">
      <c r="A26" t="s">
        <v>38</v>
      </c>
      <c r="B26" t="s">
        <v>77</v>
      </c>
      <c r="C26" t="s">
        <v>78</v>
      </c>
      <c r="D26">
        <v>29434.559999999998</v>
      </c>
    </row>
    <row r="27" spans="1:4" x14ac:dyDescent="0.25">
      <c r="A27" t="s">
        <v>38</v>
      </c>
      <c r="B27" t="s">
        <v>77</v>
      </c>
      <c r="C27" t="s">
        <v>79</v>
      </c>
      <c r="D27">
        <v>-7420.62</v>
      </c>
    </row>
    <row r="28" spans="1:4" x14ac:dyDescent="0.25">
      <c r="A28" t="s">
        <v>38</v>
      </c>
      <c r="B28" t="s">
        <v>77</v>
      </c>
      <c r="C28" t="s">
        <v>87</v>
      </c>
      <c r="D28">
        <v>10882.77</v>
      </c>
    </row>
    <row r="29" spans="1:4" x14ac:dyDescent="0.25">
      <c r="A29" t="s">
        <v>38</v>
      </c>
      <c r="B29" t="s">
        <v>77</v>
      </c>
      <c r="C29" t="s">
        <v>88</v>
      </c>
      <c r="D29">
        <v>4937.82</v>
      </c>
    </row>
    <row r="30" spans="1:4" x14ac:dyDescent="0.25">
      <c r="A30" t="s">
        <v>38</v>
      </c>
      <c r="B30" t="s">
        <v>77</v>
      </c>
      <c r="C30" t="s">
        <v>89</v>
      </c>
      <c r="D30">
        <v>18</v>
      </c>
    </row>
    <row r="31" spans="1:4" x14ac:dyDescent="0.25">
      <c r="A31" t="s">
        <v>38</v>
      </c>
      <c r="B31" t="s">
        <v>77</v>
      </c>
      <c r="C31" t="s">
        <v>114</v>
      </c>
      <c r="D31">
        <v>12271</v>
      </c>
    </row>
    <row r="32" spans="1:4" x14ac:dyDescent="0.25">
      <c r="A32" t="s">
        <v>38</v>
      </c>
      <c r="B32" t="s">
        <v>77</v>
      </c>
      <c r="C32" t="s">
        <v>94</v>
      </c>
      <c r="D32">
        <v>103.47</v>
      </c>
    </row>
    <row r="33" spans="1:4" x14ac:dyDescent="0.25">
      <c r="A33" t="s">
        <v>38</v>
      </c>
      <c r="B33" t="s">
        <v>77</v>
      </c>
      <c r="C33" t="s">
        <v>109</v>
      </c>
      <c r="D33">
        <v>0.04</v>
      </c>
    </row>
    <row r="34" spans="1:4" x14ac:dyDescent="0.25">
      <c r="A34" t="s">
        <v>38</v>
      </c>
      <c r="B34" t="s">
        <v>77</v>
      </c>
      <c r="C34" t="s">
        <v>115</v>
      </c>
      <c r="D34">
        <v>11778</v>
      </c>
    </row>
    <row r="35" spans="1:4" x14ac:dyDescent="0.25">
      <c r="A35" t="s">
        <v>38</v>
      </c>
      <c r="B35" t="s">
        <v>77</v>
      </c>
      <c r="C35" t="s">
        <v>95</v>
      </c>
      <c r="D35">
        <v>27</v>
      </c>
    </row>
    <row r="36" spans="1:4" x14ac:dyDescent="0.25">
      <c r="A36" t="s">
        <v>38</v>
      </c>
      <c r="B36" t="s">
        <v>77</v>
      </c>
      <c r="C36" t="s">
        <v>96</v>
      </c>
      <c r="D36">
        <v>359</v>
      </c>
    </row>
    <row r="37" spans="1:4" x14ac:dyDescent="0.25">
      <c r="A37" t="s">
        <v>38</v>
      </c>
      <c r="B37" t="s">
        <v>77</v>
      </c>
      <c r="C37" t="s">
        <v>97</v>
      </c>
      <c r="D37">
        <v>-194539.13</v>
      </c>
    </row>
    <row r="38" spans="1:4" x14ac:dyDescent="0.25">
      <c r="A38" t="s">
        <v>38</v>
      </c>
      <c r="B38" t="s">
        <v>77</v>
      </c>
      <c r="C38" t="s">
        <v>98</v>
      </c>
      <c r="D38">
        <v>26985.22</v>
      </c>
    </row>
    <row r="39" spans="1:4" x14ac:dyDescent="0.25">
      <c r="A39" t="s">
        <v>38</v>
      </c>
      <c r="B39" t="s">
        <v>77</v>
      </c>
      <c r="C39" t="s">
        <v>110</v>
      </c>
      <c r="D39">
        <v>2138.15</v>
      </c>
    </row>
    <row r="40" spans="1:4" x14ac:dyDescent="0.25">
      <c r="A40" t="s">
        <v>38</v>
      </c>
      <c r="B40" t="s">
        <v>77</v>
      </c>
      <c r="C40" t="s">
        <v>111</v>
      </c>
      <c r="D40">
        <v>7020.36</v>
      </c>
    </row>
    <row r="41" spans="1:4" x14ac:dyDescent="0.25">
      <c r="A41" t="s">
        <v>38</v>
      </c>
      <c r="B41" t="s">
        <v>77</v>
      </c>
      <c r="C41" t="s">
        <v>100</v>
      </c>
      <c r="D41">
        <v>349.99</v>
      </c>
    </row>
    <row r="42" spans="1:4" x14ac:dyDescent="0.25">
      <c r="A42" t="s">
        <v>38</v>
      </c>
      <c r="B42" t="s">
        <v>77</v>
      </c>
      <c r="C42" t="s">
        <v>101</v>
      </c>
      <c r="D42">
        <v>6591.96</v>
      </c>
    </row>
    <row r="43" spans="1:4" x14ac:dyDescent="0.25">
      <c r="A43" t="s">
        <v>38</v>
      </c>
      <c r="B43" t="s">
        <v>77</v>
      </c>
      <c r="C43" t="s">
        <v>102</v>
      </c>
      <c r="D43">
        <v>36143.730000000003</v>
      </c>
    </row>
    <row r="44" spans="1:4" x14ac:dyDescent="0.25">
      <c r="A44" t="s">
        <v>38</v>
      </c>
      <c r="B44" t="s">
        <v>77</v>
      </c>
      <c r="C44" t="s">
        <v>104</v>
      </c>
      <c r="D44">
        <v>6591.96</v>
      </c>
    </row>
    <row r="45" spans="1:4" x14ac:dyDescent="0.25">
      <c r="A45" t="s">
        <v>38</v>
      </c>
      <c r="B45" t="s">
        <v>77</v>
      </c>
      <c r="C45" t="s">
        <v>105</v>
      </c>
      <c r="D45">
        <v>6941.95</v>
      </c>
    </row>
    <row r="46" spans="1:4" x14ac:dyDescent="0.25">
      <c r="A46" t="s">
        <v>38</v>
      </c>
      <c r="B46" t="s">
        <v>77</v>
      </c>
      <c r="C46" t="s">
        <v>106</v>
      </c>
      <c r="D46">
        <v>36143.730000000003</v>
      </c>
    </row>
    <row r="47" spans="1:4" x14ac:dyDescent="0.25">
      <c r="A47" t="s">
        <v>38</v>
      </c>
      <c r="B47" t="s">
        <v>77</v>
      </c>
      <c r="C47" t="s">
        <v>107</v>
      </c>
      <c r="D47">
        <v>23</v>
      </c>
    </row>
    <row r="48" spans="1:4" x14ac:dyDescent="0.25">
      <c r="A48" t="s">
        <v>38</v>
      </c>
      <c r="B48" t="s">
        <v>77</v>
      </c>
      <c r="C48" t="s">
        <v>108</v>
      </c>
      <c r="D48">
        <v>16</v>
      </c>
    </row>
    <row r="49" spans="1:4" x14ac:dyDescent="0.25">
      <c r="A49" t="s">
        <v>39</v>
      </c>
      <c r="B49" t="s">
        <v>77</v>
      </c>
      <c r="C49" t="s">
        <v>78</v>
      </c>
      <c r="D49">
        <v>7233.52</v>
      </c>
    </row>
    <row r="50" spans="1:4" x14ac:dyDescent="0.25">
      <c r="A50" t="s">
        <v>39</v>
      </c>
      <c r="B50" t="s">
        <v>77</v>
      </c>
      <c r="C50" t="s">
        <v>94</v>
      </c>
      <c r="D50">
        <v>175.81</v>
      </c>
    </row>
    <row r="51" spans="1:4" x14ac:dyDescent="0.25">
      <c r="A51" t="s">
        <v>39</v>
      </c>
      <c r="B51" t="s">
        <v>77</v>
      </c>
      <c r="C51" t="s">
        <v>109</v>
      </c>
      <c r="D51">
        <v>0.04</v>
      </c>
    </row>
    <row r="52" spans="1:4" x14ac:dyDescent="0.25">
      <c r="A52" t="s">
        <v>39</v>
      </c>
      <c r="B52" t="s">
        <v>77</v>
      </c>
      <c r="C52" t="s">
        <v>97</v>
      </c>
      <c r="D52">
        <v>76.650000000000006</v>
      </c>
    </row>
    <row r="53" spans="1:4" x14ac:dyDescent="0.25">
      <c r="A53" t="s">
        <v>39</v>
      </c>
      <c r="B53" t="s">
        <v>77</v>
      </c>
      <c r="C53" t="s">
        <v>98</v>
      </c>
      <c r="D53">
        <v>44393</v>
      </c>
    </row>
    <row r="54" spans="1:4" x14ac:dyDescent="0.25">
      <c r="A54" t="s">
        <v>39</v>
      </c>
      <c r="B54" t="s">
        <v>77</v>
      </c>
      <c r="C54" t="s">
        <v>110</v>
      </c>
      <c r="D54">
        <v>1579.53</v>
      </c>
    </row>
    <row r="55" spans="1:4" x14ac:dyDescent="0.25">
      <c r="A55" t="s">
        <v>39</v>
      </c>
      <c r="B55" t="s">
        <v>77</v>
      </c>
      <c r="C55" t="s">
        <v>111</v>
      </c>
      <c r="D55">
        <v>18982.439999999999</v>
      </c>
    </row>
    <row r="56" spans="1:4" x14ac:dyDescent="0.25">
      <c r="A56" t="s">
        <v>39</v>
      </c>
      <c r="B56" t="s">
        <v>77</v>
      </c>
      <c r="C56" t="s">
        <v>100</v>
      </c>
      <c r="D56">
        <v>5770.68</v>
      </c>
    </row>
    <row r="57" spans="1:4" x14ac:dyDescent="0.25">
      <c r="A57" t="s">
        <v>39</v>
      </c>
      <c r="B57" t="s">
        <v>77</v>
      </c>
      <c r="C57" t="s">
        <v>101</v>
      </c>
      <c r="D57">
        <v>13092.5</v>
      </c>
    </row>
    <row r="58" spans="1:4" x14ac:dyDescent="0.25">
      <c r="A58" t="s">
        <v>39</v>
      </c>
      <c r="B58" t="s">
        <v>77</v>
      </c>
      <c r="C58" t="s">
        <v>102</v>
      </c>
      <c r="D58">
        <v>64954.97</v>
      </c>
    </row>
    <row r="59" spans="1:4" x14ac:dyDescent="0.25">
      <c r="A59" t="s">
        <v>39</v>
      </c>
      <c r="B59" t="s">
        <v>77</v>
      </c>
      <c r="C59" t="s">
        <v>104</v>
      </c>
      <c r="D59">
        <v>13092.5</v>
      </c>
    </row>
    <row r="60" spans="1:4" x14ac:dyDescent="0.25">
      <c r="A60" t="s">
        <v>39</v>
      </c>
      <c r="B60" t="s">
        <v>77</v>
      </c>
      <c r="C60" t="s">
        <v>105</v>
      </c>
      <c r="D60">
        <v>18863.18</v>
      </c>
    </row>
    <row r="61" spans="1:4" x14ac:dyDescent="0.25">
      <c r="A61" t="s">
        <v>39</v>
      </c>
      <c r="B61" t="s">
        <v>77</v>
      </c>
      <c r="C61" t="s">
        <v>106</v>
      </c>
      <c r="D61">
        <v>64954.97</v>
      </c>
    </row>
    <row r="62" spans="1:4" x14ac:dyDescent="0.25">
      <c r="A62" t="s">
        <v>39</v>
      </c>
      <c r="B62" t="s">
        <v>77</v>
      </c>
      <c r="C62" t="s">
        <v>107</v>
      </c>
      <c r="D62">
        <v>50.54</v>
      </c>
    </row>
    <row r="63" spans="1:4" x14ac:dyDescent="0.25">
      <c r="A63" t="s">
        <v>39</v>
      </c>
      <c r="B63" t="s">
        <v>77</v>
      </c>
      <c r="C63" t="s">
        <v>108</v>
      </c>
      <c r="D63">
        <v>16</v>
      </c>
    </row>
    <row r="64" spans="1:4" x14ac:dyDescent="0.25">
      <c r="A64" t="s">
        <v>40</v>
      </c>
      <c r="B64" t="s">
        <v>77</v>
      </c>
      <c r="C64" t="s">
        <v>78</v>
      </c>
      <c r="D64">
        <v>-7334.3900000000012</v>
      </c>
    </row>
    <row r="65" spans="1:4" x14ac:dyDescent="0.25">
      <c r="A65" t="s">
        <v>40</v>
      </c>
      <c r="B65" t="s">
        <v>77</v>
      </c>
      <c r="C65" t="s">
        <v>94</v>
      </c>
      <c r="D65">
        <v>80.62</v>
      </c>
    </row>
    <row r="66" spans="1:4" x14ac:dyDescent="0.25">
      <c r="A66" t="s">
        <v>40</v>
      </c>
      <c r="B66" t="s">
        <v>77</v>
      </c>
      <c r="C66" t="s">
        <v>109</v>
      </c>
      <c r="D66">
        <v>0.04</v>
      </c>
    </row>
    <row r="67" spans="1:4" x14ac:dyDescent="0.25">
      <c r="A67" t="s">
        <v>40</v>
      </c>
      <c r="B67" t="s">
        <v>77</v>
      </c>
      <c r="C67" t="s">
        <v>98</v>
      </c>
      <c r="D67">
        <v>124280.84</v>
      </c>
    </row>
    <row r="68" spans="1:4" x14ac:dyDescent="0.25">
      <c r="A68" t="s">
        <v>40</v>
      </c>
      <c r="B68" t="s">
        <v>77</v>
      </c>
      <c r="C68" t="s">
        <v>110</v>
      </c>
      <c r="D68">
        <v>22305.16</v>
      </c>
    </row>
    <row r="69" spans="1:4" x14ac:dyDescent="0.25">
      <c r="A69" t="s">
        <v>40</v>
      </c>
      <c r="B69" t="s">
        <v>77</v>
      </c>
      <c r="C69" t="s">
        <v>99</v>
      </c>
      <c r="D69">
        <v>120.83</v>
      </c>
    </row>
    <row r="70" spans="1:4" x14ac:dyDescent="0.25">
      <c r="A70" t="s">
        <v>40</v>
      </c>
      <c r="B70" t="s">
        <v>77</v>
      </c>
      <c r="C70" t="s">
        <v>111</v>
      </c>
      <c r="D70">
        <v>117557.3</v>
      </c>
    </row>
    <row r="71" spans="1:4" x14ac:dyDescent="0.25">
      <c r="A71" t="s">
        <v>40</v>
      </c>
      <c r="B71" t="s">
        <v>77</v>
      </c>
      <c r="C71" t="s">
        <v>100</v>
      </c>
      <c r="D71">
        <v>28899.279999999999</v>
      </c>
    </row>
    <row r="72" spans="1:4" x14ac:dyDescent="0.25">
      <c r="A72" t="s">
        <v>40</v>
      </c>
      <c r="B72" t="s">
        <v>77</v>
      </c>
      <c r="C72" t="s">
        <v>101</v>
      </c>
      <c r="D72">
        <v>88267.45</v>
      </c>
    </row>
    <row r="73" spans="1:4" x14ac:dyDescent="0.25">
      <c r="A73" t="s">
        <v>40</v>
      </c>
      <c r="B73" t="s">
        <v>77</v>
      </c>
      <c r="C73" t="s">
        <v>102</v>
      </c>
      <c r="D73">
        <v>249024.72</v>
      </c>
    </row>
    <row r="74" spans="1:4" x14ac:dyDescent="0.25">
      <c r="A74" t="s">
        <v>40</v>
      </c>
      <c r="B74" t="s">
        <v>77</v>
      </c>
      <c r="C74" t="s">
        <v>104</v>
      </c>
      <c r="D74">
        <v>88267.45</v>
      </c>
    </row>
    <row r="75" spans="1:4" x14ac:dyDescent="0.25">
      <c r="A75" t="s">
        <v>40</v>
      </c>
      <c r="B75" t="s">
        <v>77</v>
      </c>
      <c r="C75" t="s">
        <v>105</v>
      </c>
      <c r="D75">
        <v>117166.73</v>
      </c>
    </row>
    <row r="76" spans="1:4" x14ac:dyDescent="0.25">
      <c r="A76" t="s">
        <v>40</v>
      </c>
      <c r="B76" t="s">
        <v>77</v>
      </c>
      <c r="C76" t="s">
        <v>106</v>
      </c>
      <c r="D76">
        <v>264264.13</v>
      </c>
    </row>
    <row r="77" spans="1:4" x14ac:dyDescent="0.25">
      <c r="A77" t="s">
        <v>40</v>
      </c>
      <c r="B77" t="s">
        <v>77</v>
      </c>
      <c r="C77" t="s">
        <v>107</v>
      </c>
      <c r="D77">
        <v>1</v>
      </c>
    </row>
    <row r="78" spans="1:4" x14ac:dyDescent="0.25">
      <c r="A78" t="s">
        <v>41</v>
      </c>
      <c r="B78" t="s">
        <v>77</v>
      </c>
      <c r="C78" t="s">
        <v>78</v>
      </c>
      <c r="D78">
        <v>-29249.940000000002</v>
      </c>
    </row>
    <row r="79" spans="1:4" x14ac:dyDescent="0.25">
      <c r="A79" t="s">
        <v>41</v>
      </c>
      <c r="B79" t="s">
        <v>77</v>
      </c>
      <c r="C79" t="s">
        <v>98</v>
      </c>
      <c r="D79">
        <v>325.14</v>
      </c>
    </row>
    <row r="80" spans="1:4" x14ac:dyDescent="0.25">
      <c r="A80" t="s">
        <v>41</v>
      </c>
      <c r="B80" t="s">
        <v>77</v>
      </c>
      <c r="C80" t="s">
        <v>110</v>
      </c>
      <c r="D80">
        <v>30974.05</v>
      </c>
    </row>
    <row r="81" spans="1:4" x14ac:dyDescent="0.25">
      <c r="A81" t="s">
        <v>41</v>
      </c>
      <c r="B81" t="s">
        <v>77</v>
      </c>
      <c r="C81" t="s">
        <v>102</v>
      </c>
      <c r="D81">
        <v>31299.19</v>
      </c>
    </row>
    <row r="82" spans="1:4" x14ac:dyDescent="0.25">
      <c r="A82" t="s">
        <v>41</v>
      </c>
      <c r="B82" t="s">
        <v>77</v>
      </c>
      <c r="C82" t="s">
        <v>106</v>
      </c>
      <c r="D82">
        <v>31299.19</v>
      </c>
    </row>
    <row r="83" spans="1:4" x14ac:dyDescent="0.25">
      <c r="A83" t="s">
        <v>42</v>
      </c>
      <c r="B83" t="s">
        <v>77</v>
      </c>
      <c r="C83" t="s">
        <v>78</v>
      </c>
      <c r="D83">
        <v>-30185.48</v>
      </c>
    </row>
    <row r="84" spans="1:4" x14ac:dyDescent="0.25">
      <c r="A84" t="s">
        <v>42</v>
      </c>
      <c r="B84" t="s">
        <v>77</v>
      </c>
      <c r="C84" t="s">
        <v>79</v>
      </c>
      <c r="D84">
        <v>130</v>
      </c>
    </row>
    <row r="85" spans="1:4" x14ac:dyDescent="0.25">
      <c r="A85" t="s">
        <v>42</v>
      </c>
      <c r="B85" t="s">
        <v>77</v>
      </c>
      <c r="C85" t="s">
        <v>94</v>
      </c>
      <c r="D85">
        <v>930.98</v>
      </c>
    </row>
    <row r="86" spans="1:4" x14ac:dyDescent="0.25">
      <c r="A86" t="s">
        <v>42</v>
      </c>
      <c r="B86" t="s">
        <v>77</v>
      </c>
      <c r="C86" t="s">
        <v>98</v>
      </c>
      <c r="D86">
        <v>1555.05</v>
      </c>
    </row>
    <row r="87" spans="1:4" x14ac:dyDescent="0.25">
      <c r="A87" t="s">
        <v>42</v>
      </c>
      <c r="B87" t="s">
        <v>77</v>
      </c>
      <c r="C87" t="s">
        <v>119</v>
      </c>
      <c r="D87">
        <v>1545</v>
      </c>
    </row>
    <row r="88" spans="1:4" x14ac:dyDescent="0.25">
      <c r="A88" t="s">
        <v>42</v>
      </c>
      <c r="B88" t="s">
        <v>77</v>
      </c>
      <c r="C88" t="s">
        <v>102</v>
      </c>
      <c r="D88">
        <v>3100.05</v>
      </c>
    </row>
    <row r="89" spans="1:4" x14ac:dyDescent="0.25">
      <c r="A89" t="s">
        <v>42</v>
      </c>
      <c r="B89" t="s">
        <v>77</v>
      </c>
      <c r="C89" t="s">
        <v>106</v>
      </c>
      <c r="D89">
        <v>3100.05</v>
      </c>
    </row>
    <row r="90" spans="1:4" x14ac:dyDescent="0.25">
      <c r="A90" t="s">
        <v>42</v>
      </c>
      <c r="B90" t="s">
        <v>77</v>
      </c>
      <c r="C90" t="s">
        <v>107</v>
      </c>
      <c r="D90">
        <v>45</v>
      </c>
    </row>
    <row r="91" spans="1:4" x14ac:dyDescent="0.25">
      <c r="A91" t="s">
        <v>42</v>
      </c>
      <c r="B91" t="s">
        <v>77</v>
      </c>
      <c r="C91" t="s">
        <v>112</v>
      </c>
      <c r="D91">
        <v>26</v>
      </c>
    </row>
    <row r="92" spans="1:4" x14ac:dyDescent="0.25">
      <c r="A92" t="s">
        <v>42</v>
      </c>
      <c r="B92" t="s">
        <v>77</v>
      </c>
      <c r="C92" t="s">
        <v>108</v>
      </c>
      <c r="D92">
        <v>64</v>
      </c>
    </row>
    <row r="93" spans="1:4" x14ac:dyDescent="0.25">
      <c r="A93" t="s">
        <v>42</v>
      </c>
      <c r="B93" t="s">
        <v>77</v>
      </c>
      <c r="C93" t="s">
        <v>113</v>
      </c>
      <c r="D93">
        <v>2.5</v>
      </c>
    </row>
    <row r="94" spans="1:4" x14ac:dyDescent="0.25">
      <c r="A94" t="s">
        <v>43</v>
      </c>
      <c r="B94" t="s">
        <v>77</v>
      </c>
      <c r="C94" t="s">
        <v>78</v>
      </c>
      <c r="D94">
        <v>-16186.41</v>
      </c>
    </row>
    <row r="95" spans="1:4" x14ac:dyDescent="0.25">
      <c r="A95" t="s">
        <v>43</v>
      </c>
      <c r="B95" t="s">
        <v>77</v>
      </c>
      <c r="C95" t="s">
        <v>94</v>
      </c>
      <c r="D95">
        <v>262.5</v>
      </c>
    </row>
    <row r="96" spans="1:4" x14ac:dyDescent="0.25">
      <c r="A96" t="s">
        <v>43</v>
      </c>
      <c r="B96" t="s">
        <v>77</v>
      </c>
      <c r="C96" t="s">
        <v>98</v>
      </c>
      <c r="D96">
        <v>890.22</v>
      </c>
    </row>
    <row r="97" spans="1:4" x14ac:dyDescent="0.25">
      <c r="A97" t="s">
        <v>43</v>
      </c>
      <c r="B97" t="s">
        <v>77</v>
      </c>
      <c r="C97" t="s">
        <v>99</v>
      </c>
      <c r="D97">
        <v>3549.46</v>
      </c>
    </row>
    <row r="98" spans="1:4" x14ac:dyDescent="0.25">
      <c r="A98" t="s">
        <v>43</v>
      </c>
      <c r="B98" t="s">
        <v>77</v>
      </c>
      <c r="C98" t="s">
        <v>102</v>
      </c>
      <c r="D98">
        <v>4439.68</v>
      </c>
    </row>
    <row r="99" spans="1:4" x14ac:dyDescent="0.25">
      <c r="A99" t="s">
        <v>43</v>
      </c>
      <c r="B99" t="s">
        <v>77</v>
      </c>
      <c r="C99" t="s">
        <v>106</v>
      </c>
      <c r="D99">
        <v>4439.68</v>
      </c>
    </row>
    <row r="100" spans="1:4" x14ac:dyDescent="0.25">
      <c r="A100" t="s">
        <v>43</v>
      </c>
      <c r="B100" t="s">
        <v>77</v>
      </c>
      <c r="C100" t="s">
        <v>107</v>
      </c>
      <c r="D100">
        <v>35.480000000000004</v>
      </c>
    </row>
    <row r="101" spans="1:4" x14ac:dyDescent="0.25">
      <c r="A101" t="s">
        <v>43</v>
      </c>
      <c r="B101" t="s">
        <v>77</v>
      </c>
      <c r="C101" t="s">
        <v>108</v>
      </c>
      <c r="D101">
        <v>32</v>
      </c>
    </row>
    <row r="102" spans="1:4" x14ac:dyDescent="0.25">
      <c r="A102" t="s">
        <v>43</v>
      </c>
      <c r="B102" t="s">
        <v>77</v>
      </c>
      <c r="C102" t="s">
        <v>113</v>
      </c>
      <c r="D102">
        <v>16</v>
      </c>
    </row>
    <row r="103" spans="1:4" x14ac:dyDescent="0.25">
      <c r="A103" t="s">
        <v>44</v>
      </c>
      <c r="B103" t="s">
        <v>77</v>
      </c>
      <c r="C103" t="s">
        <v>78</v>
      </c>
      <c r="D103">
        <v>-9364.2099999999991</v>
      </c>
    </row>
    <row r="104" spans="1:4" x14ac:dyDescent="0.25">
      <c r="A104" t="s">
        <v>44</v>
      </c>
      <c r="B104" t="s">
        <v>77</v>
      </c>
      <c r="C104" t="s">
        <v>109</v>
      </c>
      <c r="D104">
        <v>0.04</v>
      </c>
    </row>
    <row r="105" spans="1:4" x14ac:dyDescent="0.25">
      <c r="A105" t="s">
        <v>44</v>
      </c>
      <c r="B105" t="s">
        <v>77</v>
      </c>
      <c r="C105" t="s">
        <v>98</v>
      </c>
      <c r="D105">
        <v>72.290000000000006</v>
      </c>
    </row>
    <row r="106" spans="1:4" x14ac:dyDescent="0.25">
      <c r="A106" t="s">
        <v>44</v>
      </c>
      <c r="B106" t="s">
        <v>77</v>
      </c>
      <c r="C106" t="s">
        <v>102</v>
      </c>
      <c r="D106">
        <v>72.290000000000006</v>
      </c>
    </row>
    <row r="107" spans="1:4" x14ac:dyDescent="0.25">
      <c r="A107" t="s">
        <v>44</v>
      </c>
      <c r="B107" t="s">
        <v>77</v>
      </c>
      <c r="C107" t="s">
        <v>106</v>
      </c>
      <c r="D107">
        <v>72.290000000000006</v>
      </c>
    </row>
    <row r="108" spans="1:4" x14ac:dyDescent="0.25">
      <c r="A108" t="s">
        <v>45</v>
      </c>
      <c r="B108" t="s">
        <v>77</v>
      </c>
      <c r="C108" t="s">
        <v>97</v>
      </c>
      <c r="D108">
        <v>-26.52</v>
      </c>
    </row>
    <row r="109" spans="1:4" x14ac:dyDescent="0.25">
      <c r="A109" t="s">
        <v>47</v>
      </c>
      <c r="B109" t="s">
        <v>77</v>
      </c>
      <c r="C109" t="s">
        <v>97</v>
      </c>
      <c r="D109">
        <v>-1434.3</v>
      </c>
    </row>
    <row r="110" spans="1:4" x14ac:dyDescent="0.25">
      <c r="A110" t="s">
        <v>48</v>
      </c>
      <c r="B110" t="s">
        <v>77</v>
      </c>
      <c r="C110" t="s">
        <v>2</v>
      </c>
      <c r="D110" t="s">
        <v>48</v>
      </c>
    </row>
    <row r="111" spans="1:4" x14ac:dyDescent="0.25">
      <c r="A111" t="s">
        <v>49</v>
      </c>
      <c r="B111" t="s">
        <v>77</v>
      </c>
      <c r="C111" t="s">
        <v>100</v>
      </c>
      <c r="D111">
        <v>2499.81</v>
      </c>
    </row>
    <row r="112" spans="1:4" x14ac:dyDescent="0.25">
      <c r="A112" t="s">
        <v>49</v>
      </c>
      <c r="B112" t="s">
        <v>77</v>
      </c>
      <c r="C112" t="s">
        <v>101</v>
      </c>
      <c r="D112">
        <v>13.97</v>
      </c>
    </row>
    <row r="113" spans="1:4" x14ac:dyDescent="0.25">
      <c r="A113" t="s">
        <v>49</v>
      </c>
      <c r="B113" t="s">
        <v>77</v>
      </c>
      <c r="C113" t="s">
        <v>105</v>
      </c>
      <c r="D113">
        <v>2513.7800000000002</v>
      </c>
    </row>
    <row r="114" spans="1:4" x14ac:dyDescent="0.25">
      <c r="A114" t="s">
        <v>50</v>
      </c>
      <c r="B114" t="s">
        <v>77</v>
      </c>
      <c r="C114" t="s">
        <v>100</v>
      </c>
      <c r="D114">
        <v>5376.19</v>
      </c>
    </row>
    <row r="115" spans="1:4" x14ac:dyDescent="0.25">
      <c r="A115" t="s">
        <v>50</v>
      </c>
      <c r="B115" t="s">
        <v>77</v>
      </c>
      <c r="C115" t="s">
        <v>101</v>
      </c>
      <c r="D115">
        <v>111.76</v>
      </c>
    </row>
    <row r="116" spans="1:4" x14ac:dyDescent="0.25">
      <c r="A116" t="s">
        <v>50</v>
      </c>
      <c r="B116" t="s">
        <v>77</v>
      </c>
      <c r="C116" t="s">
        <v>105</v>
      </c>
      <c r="D116">
        <v>5487.95</v>
      </c>
    </row>
    <row r="117" spans="1:4" x14ac:dyDescent="0.25">
      <c r="A117" t="s">
        <v>51</v>
      </c>
      <c r="B117" t="s">
        <v>77</v>
      </c>
      <c r="C117" t="s">
        <v>100</v>
      </c>
      <c r="D117">
        <v>4040.43</v>
      </c>
    </row>
    <row r="118" spans="1:4" x14ac:dyDescent="0.25">
      <c r="A118" t="s">
        <v>51</v>
      </c>
      <c r="B118" t="s">
        <v>77</v>
      </c>
      <c r="C118" t="s">
        <v>101</v>
      </c>
      <c r="D118">
        <v>69.849999999999994</v>
      </c>
    </row>
    <row r="119" spans="1:4" x14ac:dyDescent="0.25">
      <c r="A119" t="s">
        <v>51</v>
      </c>
      <c r="B119" t="s">
        <v>77</v>
      </c>
      <c r="C119" t="s">
        <v>105</v>
      </c>
      <c r="D119">
        <v>4110.28</v>
      </c>
    </row>
    <row r="120" spans="1:4" x14ac:dyDescent="0.25">
      <c r="A120" t="s">
        <v>52</v>
      </c>
      <c r="B120" t="s">
        <v>77</v>
      </c>
      <c r="C120" t="s">
        <v>2</v>
      </c>
      <c r="D120" t="s">
        <v>52</v>
      </c>
    </row>
    <row r="121" spans="1:4" x14ac:dyDescent="0.25">
      <c r="A121" t="s">
        <v>53</v>
      </c>
      <c r="B121" t="s">
        <v>77</v>
      </c>
      <c r="C121" t="s">
        <v>100</v>
      </c>
      <c r="D121">
        <v>1170.0999999999999</v>
      </c>
    </row>
    <row r="122" spans="1:4" x14ac:dyDescent="0.25">
      <c r="A122" t="s">
        <v>53</v>
      </c>
      <c r="B122" t="s">
        <v>77</v>
      </c>
      <c r="C122" t="s">
        <v>101</v>
      </c>
      <c r="D122">
        <v>548.83000000000004</v>
      </c>
    </row>
    <row r="123" spans="1:4" x14ac:dyDescent="0.25">
      <c r="A123" t="s">
        <v>53</v>
      </c>
      <c r="B123" t="s">
        <v>77</v>
      </c>
      <c r="C123" t="s">
        <v>104</v>
      </c>
      <c r="D123">
        <v>477.63</v>
      </c>
    </row>
    <row r="124" spans="1:4" x14ac:dyDescent="0.25">
      <c r="A124" t="s">
        <v>53</v>
      </c>
      <c r="B124" t="s">
        <v>77</v>
      </c>
      <c r="C124" t="s">
        <v>105</v>
      </c>
      <c r="D124">
        <v>1718.93</v>
      </c>
    </row>
    <row r="125" spans="1:4" x14ac:dyDescent="0.25">
      <c r="A125" t="s">
        <v>54</v>
      </c>
      <c r="B125" t="s">
        <v>77</v>
      </c>
      <c r="C125" t="s">
        <v>2</v>
      </c>
      <c r="D125" t="s">
        <v>54</v>
      </c>
    </row>
    <row r="126" spans="1:4" x14ac:dyDescent="0.25">
      <c r="A126" t="s">
        <v>55</v>
      </c>
      <c r="B126" t="s">
        <v>77</v>
      </c>
      <c r="C126" t="s">
        <v>2</v>
      </c>
      <c r="D126" t="s">
        <v>55</v>
      </c>
    </row>
    <row r="127" spans="1:4" x14ac:dyDescent="0.25">
      <c r="A127" t="s">
        <v>56</v>
      </c>
      <c r="B127" t="s">
        <v>77</v>
      </c>
      <c r="C127" t="s">
        <v>78</v>
      </c>
      <c r="D127">
        <v>-373.78</v>
      </c>
    </row>
    <row r="128" spans="1:4" x14ac:dyDescent="0.25">
      <c r="A128" t="s">
        <v>56</v>
      </c>
      <c r="B128" t="s">
        <v>77</v>
      </c>
      <c r="C128" t="s">
        <v>99</v>
      </c>
      <c r="D128">
        <v>1712.6</v>
      </c>
    </row>
    <row r="129" spans="1:4" x14ac:dyDescent="0.25">
      <c r="A129" t="s">
        <v>56</v>
      </c>
      <c r="B129" t="s">
        <v>77</v>
      </c>
      <c r="C129" t="s">
        <v>102</v>
      </c>
      <c r="D129">
        <v>1712.6</v>
      </c>
    </row>
    <row r="130" spans="1:4" x14ac:dyDescent="0.25">
      <c r="A130" t="s">
        <v>56</v>
      </c>
      <c r="B130" t="s">
        <v>77</v>
      </c>
      <c r="C130" t="s">
        <v>106</v>
      </c>
      <c r="D130">
        <v>1712.6</v>
      </c>
    </row>
    <row r="131" spans="1:4" x14ac:dyDescent="0.25">
      <c r="A131" t="s">
        <v>57</v>
      </c>
      <c r="B131" t="s">
        <v>77</v>
      </c>
      <c r="C131" t="s">
        <v>2</v>
      </c>
      <c r="D131" t="s">
        <v>57</v>
      </c>
    </row>
    <row r="132" spans="1:4" x14ac:dyDescent="0.25">
      <c r="A132" t="s">
        <v>58</v>
      </c>
      <c r="B132" t="s">
        <v>77</v>
      </c>
      <c r="C132" t="s">
        <v>2</v>
      </c>
      <c r="D132" t="s">
        <v>58</v>
      </c>
    </row>
    <row r="133" spans="1:4" x14ac:dyDescent="0.25">
      <c r="A133" t="s">
        <v>59</v>
      </c>
      <c r="B133" t="s">
        <v>77</v>
      </c>
      <c r="C133" t="s">
        <v>2</v>
      </c>
      <c r="D133" t="s">
        <v>59</v>
      </c>
    </row>
    <row r="134" spans="1:4" x14ac:dyDescent="0.25">
      <c r="A134" t="s">
        <v>60</v>
      </c>
      <c r="B134" t="s">
        <v>77</v>
      </c>
      <c r="C134" t="s">
        <v>79</v>
      </c>
      <c r="D134">
        <v>-37320.769999999997</v>
      </c>
    </row>
    <row r="135" spans="1:4" x14ac:dyDescent="0.25">
      <c r="A135" t="s">
        <v>60</v>
      </c>
      <c r="B135" t="s">
        <v>77</v>
      </c>
      <c r="C135" t="s">
        <v>80</v>
      </c>
      <c r="D135">
        <v>-34991.21</v>
      </c>
    </row>
    <row r="136" spans="1:4" x14ac:dyDescent="0.25">
      <c r="A136" t="s">
        <v>60</v>
      </c>
      <c r="B136" t="s">
        <v>77</v>
      </c>
      <c r="C136" t="s">
        <v>81</v>
      </c>
      <c r="D136">
        <v>747.97</v>
      </c>
    </row>
    <row r="137" spans="1:4" x14ac:dyDescent="0.25">
      <c r="A137" t="s">
        <v>60</v>
      </c>
      <c r="B137" t="s">
        <v>77</v>
      </c>
      <c r="C137" t="s">
        <v>82</v>
      </c>
      <c r="D137">
        <v>557.03</v>
      </c>
    </row>
    <row r="138" spans="1:4" x14ac:dyDescent="0.25">
      <c r="A138" t="s">
        <v>60</v>
      </c>
      <c r="B138" t="s">
        <v>77</v>
      </c>
      <c r="C138" t="s">
        <v>83</v>
      </c>
      <c r="D138">
        <v>467.36</v>
      </c>
    </row>
    <row r="139" spans="1:4" x14ac:dyDescent="0.25">
      <c r="A139" t="s">
        <v>60</v>
      </c>
      <c r="B139" t="s">
        <v>77</v>
      </c>
      <c r="C139" t="s">
        <v>84</v>
      </c>
      <c r="D139">
        <v>3323.28</v>
      </c>
    </row>
    <row r="140" spans="1:4" x14ac:dyDescent="0.25">
      <c r="A140" t="s">
        <v>60</v>
      </c>
      <c r="B140" t="s">
        <v>77</v>
      </c>
      <c r="C140" t="s">
        <v>85</v>
      </c>
      <c r="D140">
        <v>260.62</v>
      </c>
    </row>
    <row r="141" spans="1:4" x14ac:dyDescent="0.25">
      <c r="A141" t="s">
        <v>60</v>
      </c>
      <c r="B141" t="s">
        <v>77</v>
      </c>
      <c r="C141" t="s">
        <v>86</v>
      </c>
      <c r="D141">
        <v>3062.66</v>
      </c>
    </row>
    <row r="142" spans="1:4" x14ac:dyDescent="0.25">
      <c r="A142" t="s">
        <v>60</v>
      </c>
      <c r="B142" t="s">
        <v>77</v>
      </c>
      <c r="C142" t="s">
        <v>97</v>
      </c>
      <c r="D142">
        <v>35621.21</v>
      </c>
    </row>
    <row r="143" spans="1:4" x14ac:dyDescent="0.25">
      <c r="A143" t="s">
        <v>60</v>
      </c>
      <c r="B143" t="s">
        <v>77</v>
      </c>
      <c r="C143" t="s">
        <v>100</v>
      </c>
      <c r="D143">
        <v>67.569999999999993</v>
      </c>
    </row>
    <row r="144" spans="1:4" x14ac:dyDescent="0.25">
      <c r="A144" t="s">
        <v>60</v>
      </c>
      <c r="B144" t="s">
        <v>77</v>
      </c>
      <c r="C144" t="s">
        <v>101</v>
      </c>
      <c r="D144">
        <v>765.75</v>
      </c>
    </row>
    <row r="145" spans="1:4" x14ac:dyDescent="0.25">
      <c r="A145" t="s">
        <v>60</v>
      </c>
      <c r="B145" t="s">
        <v>77</v>
      </c>
      <c r="C145" t="s">
        <v>104</v>
      </c>
      <c r="D145">
        <v>765.75</v>
      </c>
    </row>
    <row r="146" spans="1:4" x14ac:dyDescent="0.25">
      <c r="A146" t="s">
        <v>60</v>
      </c>
      <c r="B146" t="s">
        <v>77</v>
      </c>
      <c r="C146" t="s">
        <v>105</v>
      </c>
      <c r="D146">
        <v>833.32</v>
      </c>
    </row>
    <row r="147" spans="1:4" x14ac:dyDescent="0.25">
      <c r="A147" t="s">
        <v>62</v>
      </c>
      <c r="B147" t="s">
        <v>77</v>
      </c>
      <c r="C147" t="s">
        <v>79</v>
      </c>
      <c r="D147">
        <v>8454.07</v>
      </c>
    </row>
    <row r="148" spans="1:4" x14ac:dyDescent="0.25">
      <c r="A148" t="s">
        <v>62</v>
      </c>
      <c r="B148" t="s">
        <v>77</v>
      </c>
      <c r="C148" t="s">
        <v>80</v>
      </c>
      <c r="D148">
        <v>9547.6299999999992</v>
      </c>
    </row>
    <row r="149" spans="1:4" x14ac:dyDescent="0.25">
      <c r="A149" t="s">
        <v>62</v>
      </c>
      <c r="B149" t="s">
        <v>77</v>
      </c>
      <c r="C149" t="s">
        <v>81</v>
      </c>
      <c r="D149">
        <v>19.61</v>
      </c>
    </row>
    <row r="150" spans="1:4" x14ac:dyDescent="0.25">
      <c r="A150" t="s">
        <v>62</v>
      </c>
      <c r="B150" t="s">
        <v>77</v>
      </c>
      <c r="C150" t="s">
        <v>97</v>
      </c>
      <c r="D150">
        <v>-9567.24</v>
      </c>
    </row>
    <row r="151" spans="1:4" x14ac:dyDescent="0.25">
      <c r="A151" t="s">
        <v>63</v>
      </c>
      <c r="B151" t="s">
        <v>77</v>
      </c>
      <c r="C151" t="s">
        <v>79</v>
      </c>
      <c r="D151">
        <v>2782.82</v>
      </c>
    </row>
    <row r="152" spans="1:4" x14ac:dyDescent="0.25">
      <c r="A152" t="s">
        <v>63</v>
      </c>
      <c r="B152" t="s">
        <v>77</v>
      </c>
      <c r="C152" t="s">
        <v>80</v>
      </c>
      <c r="D152">
        <v>3321.8</v>
      </c>
    </row>
    <row r="153" spans="1:4" x14ac:dyDescent="0.25">
      <c r="A153" t="s">
        <v>63</v>
      </c>
      <c r="B153" t="s">
        <v>77</v>
      </c>
      <c r="C153" t="s">
        <v>97</v>
      </c>
      <c r="D153">
        <v>-3321.8</v>
      </c>
    </row>
    <row r="154" spans="1:4" x14ac:dyDescent="0.25">
      <c r="A154" t="s">
        <v>63</v>
      </c>
      <c r="B154" t="s">
        <v>77</v>
      </c>
      <c r="C154" t="s">
        <v>100</v>
      </c>
      <c r="D154">
        <v>126.11</v>
      </c>
    </row>
    <row r="155" spans="1:4" x14ac:dyDescent="0.25">
      <c r="A155" t="s">
        <v>63</v>
      </c>
      <c r="B155" t="s">
        <v>77</v>
      </c>
      <c r="C155" t="s">
        <v>101</v>
      </c>
      <c r="D155">
        <v>1321.33</v>
      </c>
    </row>
    <row r="156" spans="1:4" x14ac:dyDescent="0.25">
      <c r="A156" t="s">
        <v>63</v>
      </c>
      <c r="B156" t="s">
        <v>77</v>
      </c>
      <c r="C156" t="s">
        <v>104</v>
      </c>
      <c r="D156">
        <v>1321.33</v>
      </c>
    </row>
    <row r="157" spans="1:4" x14ac:dyDescent="0.25">
      <c r="A157" t="s">
        <v>63</v>
      </c>
      <c r="B157" t="s">
        <v>77</v>
      </c>
      <c r="C157" t="s">
        <v>105</v>
      </c>
      <c r="D157">
        <v>1447.44</v>
      </c>
    </row>
    <row r="158" spans="1:4" x14ac:dyDescent="0.25">
      <c r="A158" t="s">
        <v>64</v>
      </c>
      <c r="B158" t="s">
        <v>77</v>
      </c>
      <c r="C158" t="s">
        <v>79</v>
      </c>
      <c r="D158">
        <v>-7493.22</v>
      </c>
    </row>
    <row r="159" spans="1:4" x14ac:dyDescent="0.25">
      <c r="A159" t="s">
        <v>64</v>
      </c>
      <c r="B159" t="s">
        <v>77</v>
      </c>
      <c r="C159" t="s">
        <v>80</v>
      </c>
      <c r="D159">
        <v>-4168.1099999999997</v>
      </c>
    </row>
    <row r="160" spans="1:4" x14ac:dyDescent="0.25">
      <c r="A160" t="s">
        <v>64</v>
      </c>
      <c r="B160" t="s">
        <v>77</v>
      </c>
      <c r="C160" t="s">
        <v>81</v>
      </c>
      <c r="D160">
        <v>-1970.11</v>
      </c>
    </row>
    <row r="161" spans="1:4" x14ac:dyDescent="0.25">
      <c r="A161" t="s">
        <v>64</v>
      </c>
      <c r="B161" t="s">
        <v>77</v>
      </c>
      <c r="C161" t="s">
        <v>87</v>
      </c>
      <c r="D161">
        <v>9365.77</v>
      </c>
    </row>
    <row r="162" spans="1:4" x14ac:dyDescent="0.25">
      <c r="A162" t="s">
        <v>64</v>
      </c>
      <c r="B162" t="s">
        <v>77</v>
      </c>
      <c r="C162" t="s">
        <v>88</v>
      </c>
      <c r="D162">
        <v>4137.1899999999996</v>
      </c>
    </row>
    <row r="163" spans="1:4" x14ac:dyDescent="0.25">
      <c r="A163" t="s">
        <v>64</v>
      </c>
      <c r="B163" t="s">
        <v>77</v>
      </c>
      <c r="C163" t="s">
        <v>89</v>
      </c>
      <c r="D163">
        <v>17</v>
      </c>
    </row>
    <row r="164" spans="1:4" x14ac:dyDescent="0.25">
      <c r="A164" t="s">
        <v>64</v>
      </c>
      <c r="B164" t="s">
        <v>77</v>
      </c>
      <c r="C164" t="s">
        <v>114</v>
      </c>
      <c r="D164">
        <v>1964</v>
      </c>
    </row>
    <row r="165" spans="1:4" x14ac:dyDescent="0.25">
      <c r="A165" t="s">
        <v>64</v>
      </c>
      <c r="B165" t="s">
        <v>77</v>
      </c>
      <c r="C165" t="s">
        <v>94</v>
      </c>
      <c r="D165">
        <v>288.2</v>
      </c>
    </row>
    <row r="166" spans="1:4" x14ac:dyDescent="0.25">
      <c r="A166" t="s">
        <v>64</v>
      </c>
      <c r="B166" t="s">
        <v>77</v>
      </c>
      <c r="C166" t="s">
        <v>109</v>
      </c>
      <c r="D166">
        <v>0.01</v>
      </c>
    </row>
    <row r="167" spans="1:4" x14ac:dyDescent="0.25">
      <c r="A167" t="s">
        <v>64</v>
      </c>
      <c r="B167" t="s">
        <v>77</v>
      </c>
      <c r="C167" t="s">
        <v>115</v>
      </c>
      <c r="D167">
        <v>3501</v>
      </c>
    </row>
    <row r="168" spans="1:4" x14ac:dyDescent="0.25">
      <c r="A168" t="s">
        <v>64</v>
      </c>
      <c r="B168" t="s">
        <v>77</v>
      </c>
      <c r="C168" t="s">
        <v>95</v>
      </c>
      <c r="D168">
        <v>27</v>
      </c>
    </row>
    <row r="169" spans="1:4" x14ac:dyDescent="0.25">
      <c r="A169" t="s">
        <v>64</v>
      </c>
      <c r="B169" t="s">
        <v>77</v>
      </c>
      <c r="C169" t="s">
        <v>96</v>
      </c>
      <c r="D169">
        <v>183</v>
      </c>
    </row>
    <row r="170" spans="1:4" x14ac:dyDescent="0.25">
      <c r="A170" t="s">
        <v>64</v>
      </c>
      <c r="B170" t="s">
        <v>77</v>
      </c>
      <c r="C170" t="s">
        <v>97</v>
      </c>
      <c r="D170">
        <v>-59322.7</v>
      </c>
    </row>
    <row r="171" spans="1:4" x14ac:dyDescent="0.25">
      <c r="A171" t="s">
        <v>64</v>
      </c>
      <c r="B171" t="s">
        <v>77</v>
      </c>
      <c r="C171" t="s">
        <v>98</v>
      </c>
      <c r="D171">
        <v>10167.870000000001</v>
      </c>
    </row>
    <row r="172" spans="1:4" x14ac:dyDescent="0.25">
      <c r="A172" t="s">
        <v>64</v>
      </c>
      <c r="B172" t="s">
        <v>77</v>
      </c>
      <c r="C172" t="s">
        <v>110</v>
      </c>
      <c r="D172">
        <v>545.47</v>
      </c>
    </row>
    <row r="173" spans="1:4" x14ac:dyDescent="0.25">
      <c r="A173" t="s">
        <v>64</v>
      </c>
      <c r="B173" t="s">
        <v>77</v>
      </c>
      <c r="C173" t="s">
        <v>111</v>
      </c>
      <c r="D173">
        <v>1461.9</v>
      </c>
    </row>
    <row r="174" spans="1:4" x14ac:dyDescent="0.25">
      <c r="A174" t="s">
        <v>64</v>
      </c>
      <c r="B174" t="s">
        <v>77</v>
      </c>
      <c r="C174" t="s">
        <v>102</v>
      </c>
      <c r="D174">
        <v>12175.24</v>
      </c>
    </row>
    <row r="175" spans="1:4" x14ac:dyDescent="0.25">
      <c r="A175" t="s">
        <v>64</v>
      </c>
      <c r="B175" t="s">
        <v>77</v>
      </c>
      <c r="C175" t="s">
        <v>106</v>
      </c>
      <c r="D175">
        <v>12175.24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98"/>
  <sheetViews>
    <sheetView zoomScale="75" zoomScaleNormal="75" workbookViewId="0">
      <selection activeCell="C8" sqref="C8"/>
    </sheetView>
  </sheetViews>
  <sheetFormatPr defaultRowHeight="15" x14ac:dyDescent="0.25"/>
  <cols>
    <col min="1" max="1" width="43.42578125" bestFit="1" customWidth="1"/>
    <col min="2" max="2" width="9.85546875" bestFit="1" customWidth="1"/>
    <col min="3" max="3" width="64.5703125" bestFit="1" customWidth="1"/>
    <col min="4" max="4" width="40.28515625" bestFit="1" customWidth="1"/>
  </cols>
  <sheetData>
    <row r="1" spans="1:6" x14ac:dyDescent="0.25">
      <c r="A1" t="s">
        <v>3</v>
      </c>
      <c r="B1" t="s">
        <v>4</v>
      </c>
      <c r="C1" t="s">
        <v>125</v>
      </c>
      <c r="D1" t="s">
        <v>126</v>
      </c>
      <c r="E1" s="1"/>
      <c r="F1" s="1"/>
    </row>
    <row r="2" spans="1:6" x14ac:dyDescent="0.25">
      <c r="A2" t="s">
        <v>6</v>
      </c>
      <c r="B2" t="s">
        <v>77</v>
      </c>
      <c r="C2" t="s">
        <v>78</v>
      </c>
      <c r="D2">
        <v>-195254.79</v>
      </c>
      <c r="E2" s="1"/>
      <c r="F2" s="1"/>
    </row>
    <row r="3" spans="1:6" x14ac:dyDescent="0.25">
      <c r="A3" t="s">
        <v>6</v>
      </c>
      <c r="B3" t="s">
        <v>77</v>
      </c>
      <c r="C3" t="s">
        <v>79</v>
      </c>
      <c r="D3">
        <v>-139081.70000000001</v>
      </c>
      <c r="E3" s="1"/>
      <c r="F3" s="1"/>
    </row>
    <row r="4" spans="1:6" x14ac:dyDescent="0.25">
      <c r="A4" t="s">
        <v>6</v>
      </c>
      <c r="B4" t="s">
        <v>77</v>
      </c>
      <c r="C4" t="s">
        <v>80</v>
      </c>
      <c r="D4">
        <v>2768490.43</v>
      </c>
      <c r="E4" s="1"/>
      <c r="F4" s="1"/>
    </row>
    <row r="5" spans="1:6" x14ac:dyDescent="0.25">
      <c r="A5" t="s">
        <v>6</v>
      </c>
      <c r="B5" t="s">
        <v>77</v>
      </c>
      <c r="C5" t="s">
        <v>81</v>
      </c>
      <c r="D5">
        <v>74.739999999999995</v>
      </c>
      <c r="E5" s="1"/>
      <c r="F5" s="1"/>
    </row>
    <row r="6" spans="1:6" x14ac:dyDescent="0.25">
      <c r="A6" t="s">
        <v>6</v>
      </c>
      <c r="B6" t="s">
        <v>77</v>
      </c>
      <c r="C6" t="s">
        <v>82</v>
      </c>
      <c r="D6">
        <v>201982.55</v>
      </c>
      <c r="E6" s="1"/>
      <c r="F6" s="1"/>
    </row>
    <row r="7" spans="1:6" x14ac:dyDescent="0.25">
      <c r="A7" t="s">
        <v>6</v>
      </c>
      <c r="B7" t="s">
        <v>77</v>
      </c>
      <c r="C7" t="s">
        <v>83</v>
      </c>
      <c r="D7">
        <v>1065</v>
      </c>
      <c r="E7" s="1"/>
      <c r="F7" s="1"/>
    </row>
    <row r="8" spans="1:6" x14ac:dyDescent="0.25">
      <c r="A8" t="s">
        <v>6</v>
      </c>
      <c r="B8" t="s">
        <v>77</v>
      </c>
      <c r="C8" t="s">
        <v>84</v>
      </c>
      <c r="D8">
        <v>-5077.1400000000003</v>
      </c>
      <c r="E8" s="1"/>
      <c r="F8" s="1"/>
    </row>
    <row r="9" spans="1:6" x14ac:dyDescent="0.25">
      <c r="A9" t="s">
        <v>6</v>
      </c>
      <c r="B9" t="s">
        <v>77</v>
      </c>
      <c r="C9" t="s">
        <v>85</v>
      </c>
      <c r="D9">
        <v>-5602.14</v>
      </c>
    </row>
    <row r="10" spans="1:6" x14ac:dyDescent="0.25">
      <c r="A10" t="s">
        <v>6</v>
      </c>
      <c r="B10" t="s">
        <v>77</v>
      </c>
      <c r="C10" t="s">
        <v>86</v>
      </c>
      <c r="D10">
        <v>525</v>
      </c>
    </row>
    <row r="11" spans="1:6" x14ac:dyDescent="0.25">
      <c r="A11" t="s">
        <v>6</v>
      </c>
      <c r="B11" t="s">
        <v>77</v>
      </c>
      <c r="C11" t="s">
        <v>87</v>
      </c>
      <c r="D11">
        <v>94132.56</v>
      </c>
    </row>
    <row r="12" spans="1:6" x14ac:dyDescent="0.25">
      <c r="A12" t="s">
        <v>6</v>
      </c>
      <c r="B12" t="s">
        <v>77</v>
      </c>
      <c r="C12" t="s">
        <v>88</v>
      </c>
      <c r="D12">
        <v>21529.1</v>
      </c>
    </row>
    <row r="13" spans="1:6" x14ac:dyDescent="0.25">
      <c r="A13" t="s">
        <v>6</v>
      </c>
      <c r="B13" t="s">
        <v>77</v>
      </c>
      <c r="C13" t="s">
        <v>89</v>
      </c>
      <c r="D13">
        <v>6</v>
      </c>
    </row>
    <row r="14" spans="1:6" x14ac:dyDescent="0.25">
      <c r="A14" t="s">
        <v>6</v>
      </c>
      <c r="B14" t="s">
        <v>77</v>
      </c>
      <c r="C14" t="s">
        <v>90</v>
      </c>
      <c r="D14">
        <v>1</v>
      </c>
    </row>
    <row r="15" spans="1:6" x14ac:dyDescent="0.25">
      <c r="A15" t="s">
        <v>6</v>
      </c>
      <c r="B15" t="s">
        <v>77</v>
      </c>
      <c r="C15" t="s">
        <v>91</v>
      </c>
      <c r="D15">
        <v>4</v>
      </c>
    </row>
    <row r="16" spans="1:6" x14ac:dyDescent="0.25">
      <c r="A16" t="s">
        <v>6</v>
      </c>
      <c r="B16" t="s">
        <v>77</v>
      </c>
      <c r="C16" t="s">
        <v>92</v>
      </c>
      <c r="D16">
        <v>1</v>
      </c>
    </row>
    <row r="17" spans="1:4" x14ac:dyDescent="0.25">
      <c r="A17" t="s">
        <v>6</v>
      </c>
      <c r="B17" t="s">
        <v>77</v>
      </c>
      <c r="C17" t="s">
        <v>93</v>
      </c>
      <c r="D17">
        <v>6</v>
      </c>
    </row>
    <row r="18" spans="1:4" x14ac:dyDescent="0.25">
      <c r="A18" t="s">
        <v>6</v>
      </c>
      <c r="B18" t="s">
        <v>77</v>
      </c>
      <c r="C18" t="s">
        <v>94</v>
      </c>
      <c r="D18">
        <v>893.36</v>
      </c>
    </row>
    <row r="19" spans="1:4" x14ac:dyDescent="0.25">
      <c r="A19" t="s">
        <v>6</v>
      </c>
      <c r="B19" t="s">
        <v>77</v>
      </c>
      <c r="C19" t="s">
        <v>95</v>
      </c>
      <c r="D19">
        <v>20</v>
      </c>
    </row>
    <row r="20" spans="1:4" x14ac:dyDescent="0.25">
      <c r="A20" t="s">
        <v>6</v>
      </c>
      <c r="B20" t="s">
        <v>77</v>
      </c>
      <c r="C20" t="s">
        <v>96</v>
      </c>
      <c r="D20">
        <v>140</v>
      </c>
    </row>
    <row r="21" spans="1:4" x14ac:dyDescent="0.25">
      <c r="A21" t="s">
        <v>6</v>
      </c>
      <c r="B21" t="s">
        <v>77</v>
      </c>
      <c r="C21" t="s">
        <v>97</v>
      </c>
      <c r="D21">
        <v>-17.41</v>
      </c>
    </row>
    <row r="22" spans="1:4" x14ac:dyDescent="0.25">
      <c r="A22" t="s">
        <v>6</v>
      </c>
      <c r="B22" t="s">
        <v>77</v>
      </c>
      <c r="C22" t="s">
        <v>98</v>
      </c>
      <c r="D22">
        <v>9178.81</v>
      </c>
    </row>
    <row r="23" spans="1:4" x14ac:dyDescent="0.25">
      <c r="A23" t="s">
        <v>6</v>
      </c>
      <c r="B23" t="s">
        <v>77</v>
      </c>
      <c r="C23" t="s">
        <v>99</v>
      </c>
      <c r="D23">
        <v>26865.599999999999</v>
      </c>
    </row>
    <row r="24" spans="1:4" x14ac:dyDescent="0.25">
      <c r="A24" t="s">
        <v>6</v>
      </c>
      <c r="B24" t="s">
        <v>77</v>
      </c>
      <c r="C24" t="s">
        <v>100</v>
      </c>
      <c r="D24">
        <v>3174.56</v>
      </c>
    </row>
    <row r="25" spans="1:4" x14ac:dyDescent="0.25">
      <c r="A25" t="s">
        <v>6</v>
      </c>
      <c r="B25" t="s">
        <v>77</v>
      </c>
      <c r="C25" t="s">
        <v>101</v>
      </c>
      <c r="D25">
        <v>18341.73</v>
      </c>
    </row>
    <row r="26" spans="1:4" x14ac:dyDescent="0.25">
      <c r="A26" t="s">
        <v>6</v>
      </c>
      <c r="B26" t="s">
        <v>77</v>
      </c>
      <c r="C26" t="s">
        <v>102</v>
      </c>
      <c r="D26">
        <v>48810.89</v>
      </c>
    </row>
    <row r="27" spans="1:4" x14ac:dyDescent="0.25">
      <c r="A27" t="s">
        <v>6</v>
      </c>
      <c r="B27" t="s">
        <v>77</v>
      </c>
      <c r="C27" t="s">
        <v>103</v>
      </c>
      <c r="D27">
        <v>13774.1</v>
      </c>
    </row>
    <row r="28" spans="1:4" x14ac:dyDescent="0.25">
      <c r="A28" t="s">
        <v>6</v>
      </c>
      <c r="B28" t="s">
        <v>77</v>
      </c>
      <c r="C28" t="s">
        <v>104</v>
      </c>
      <c r="D28">
        <v>18327.7</v>
      </c>
    </row>
    <row r="29" spans="1:4" x14ac:dyDescent="0.25">
      <c r="A29" t="s">
        <v>6</v>
      </c>
      <c r="B29" t="s">
        <v>77</v>
      </c>
      <c r="C29" t="s">
        <v>105</v>
      </c>
      <c r="D29">
        <v>21516.29</v>
      </c>
    </row>
    <row r="30" spans="1:4" x14ac:dyDescent="0.25">
      <c r="A30" t="s">
        <v>6</v>
      </c>
      <c r="B30" t="s">
        <v>77</v>
      </c>
      <c r="C30" t="s">
        <v>106</v>
      </c>
      <c r="D30">
        <v>36044.410000000003</v>
      </c>
    </row>
    <row r="31" spans="1:4" x14ac:dyDescent="0.25">
      <c r="A31" t="s">
        <v>6</v>
      </c>
      <c r="B31" t="s">
        <v>77</v>
      </c>
      <c r="C31" t="s">
        <v>107</v>
      </c>
      <c r="D31">
        <v>41.78</v>
      </c>
    </row>
    <row r="32" spans="1:4" x14ac:dyDescent="0.25">
      <c r="A32" t="s">
        <v>6</v>
      </c>
      <c r="B32" t="s">
        <v>77</v>
      </c>
      <c r="C32" t="s">
        <v>108</v>
      </c>
      <c r="D32">
        <v>80</v>
      </c>
    </row>
    <row r="33" spans="1:4" x14ac:dyDescent="0.25">
      <c r="A33" t="s">
        <v>8</v>
      </c>
      <c r="B33" t="s">
        <v>77</v>
      </c>
      <c r="C33" t="s">
        <v>78</v>
      </c>
      <c r="D33">
        <v>-29264.760000000002</v>
      </c>
    </row>
    <row r="34" spans="1:4" x14ac:dyDescent="0.25">
      <c r="A34" t="s">
        <v>8</v>
      </c>
      <c r="B34" t="s">
        <v>77</v>
      </c>
      <c r="C34" t="s">
        <v>79</v>
      </c>
      <c r="D34">
        <v>331974.56</v>
      </c>
    </row>
    <row r="35" spans="1:4" x14ac:dyDescent="0.25">
      <c r="A35" t="s">
        <v>8</v>
      </c>
      <c r="B35" t="s">
        <v>77</v>
      </c>
      <c r="C35" t="s">
        <v>80</v>
      </c>
      <c r="D35">
        <v>211411.08</v>
      </c>
    </row>
    <row r="36" spans="1:4" x14ac:dyDescent="0.25">
      <c r="A36" t="s">
        <v>8</v>
      </c>
      <c r="B36" t="s">
        <v>77</v>
      </c>
      <c r="C36" t="s">
        <v>81</v>
      </c>
      <c r="D36">
        <v>86181.65</v>
      </c>
    </row>
    <row r="37" spans="1:4" x14ac:dyDescent="0.25">
      <c r="A37" t="s">
        <v>8</v>
      </c>
      <c r="B37" t="s">
        <v>77</v>
      </c>
      <c r="C37" t="s">
        <v>82</v>
      </c>
      <c r="D37">
        <v>23690.91</v>
      </c>
    </row>
    <row r="38" spans="1:4" x14ac:dyDescent="0.25">
      <c r="A38" t="s">
        <v>8</v>
      </c>
      <c r="B38" t="s">
        <v>77</v>
      </c>
      <c r="C38" t="s">
        <v>83</v>
      </c>
      <c r="D38">
        <v>3231.36</v>
      </c>
    </row>
    <row r="39" spans="1:4" x14ac:dyDescent="0.25">
      <c r="A39" t="s">
        <v>8</v>
      </c>
      <c r="B39" t="s">
        <v>77</v>
      </c>
      <c r="C39" t="s">
        <v>84</v>
      </c>
      <c r="D39">
        <v>8426.24</v>
      </c>
    </row>
    <row r="40" spans="1:4" x14ac:dyDescent="0.25">
      <c r="A40" t="s">
        <v>8</v>
      </c>
      <c r="B40" t="s">
        <v>77</v>
      </c>
      <c r="C40" t="s">
        <v>85</v>
      </c>
      <c r="D40">
        <v>3346.82</v>
      </c>
    </row>
    <row r="41" spans="1:4" x14ac:dyDescent="0.25">
      <c r="A41" t="s">
        <v>8</v>
      </c>
      <c r="B41" t="s">
        <v>77</v>
      </c>
      <c r="C41" t="s">
        <v>86</v>
      </c>
      <c r="D41">
        <v>5079.42</v>
      </c>
    </row>
    <row r="42" spans="1:4" x14ac:dyDescent="0.25">
      <c r="A42" t="s">
        <v>8</v>
      </c>
      <c r="B42" t="s">
        <v>77</v>
      </c>
      <c r="C42" t="s">
        <v>87</v>
      </c>
      <c r="D42">
        <v>1273.58</v>
      </c>
    </row>
    <row r="43" spans="1:4" x14ac:dyDescent="0.25">
      <c r="A43" t="s">
        <v>8</v>
      </c>
      <c r="B43" t="s">
        <v>77</v>
      </c>
      <c r="C43" t="s">
        <v>88</v>
      </c>
      <c r="D43">
        <v>580.77</v>
      </c>
    </row>
    <row r="44" spans="1:4" x14ac:dyDescent="0.25">
      <c r="A44" t="s">
        <v>8</v>
      </c>
      <c r="B44" t="s">
        <v>77</v>
      </c>
      <c r="C44" t="s">
        <v>89</v>
      </c>
      <c r="D44">
        <v>6</v>
      </c>
    </row>
    <row r="45" spans="1:4" x14ac:dyDescent="0.25">
      <c r="A45" t="s">
        <v>8</v>
      </c>
      <c r="B45" t="s">
        <v>77</v>
      </c>
      <c r="C45" t="s">
        <v>94</v>
      </c>
      <c r="D45">
        <v>1402.82</v>
      </c>
    </row>
    <row r="46" spans="1:4" x14ac:dyDescent="0.25">
      <c r="A46" t="s">
        <v>8</v>
      </c>
      <c r="B46" t="s">
        <v>77</v>
      </c>
      <c r="C46" t="s">
        <v>109</v>
      </c>
      <c r="D46">
        <v>0.04</v>
      </c>
    </row>
    <row r="47" spans="1:4" x14ac:dyDescent="0.25">
      <c r="A47" t="s">
        <v>8</v>
      </c>
      <c r="B47" t="s">
        <v>77</v>
      </c>
      <c r="C47" t="s">
        <v>95</v>
      </c>
      <c r="D47">
        <v>4</v>
      </c>
    </row>
    <row r="48" spans="1:4" x14ac:dyDescent="0.25">
      <c r="A48" t="s">
        <v>8</v>
      </c>
      <c r="B48" t="s">
        <v>77</v>
      </c>
      <c r="C48" t="s">
        <v>96</v>
      </c>
      <c r="D48">
        <v>6</v>
      </c>
    </row>
    <row r="49" spans="1:4" x14ac:dyDescent="0.25">
      <c r="A49" t="s">
        <v>8</v>
      </c>
      <c r="B49" t="s">
        <v>77</v>
      </c>
      <c r="C49" t="s">
        <v>97</v>
      </c>
      <c r="D49">
        <v>-591682.17000000004</v>
      </c>
    </row>
    <row r="50" spans="1:4" x14ac:dyDescent="0.25">
      <c r="A50" t="s">
        <v>8</v>
      </c>
      <c r="B50" t="s">
        <v>77</v>
      </c>
      <c r="C50" t="s">
        <v>98</v>
      </c>
      <c r="D50">
        <v>29343.35</v>
      </c>
    </row>
    <row r="51" spans="1:4" x14ac:dyDescent="0.25">
      <c r="A51" t="s">
        <v>8</v>
      </c>
      <c r="B51" t="s">
        <v>77</v>
      </c>
      <c r="C51" t="s">
        <v>110</v>
      </c>
      <c r="D51">
        <v>2006.19</v>
      </c>
    </row>
    <row r="52" spans="1:4" x14ac:dyDescent="0.25">
      <c r="A52" t="s">
        <v>8</v>
      </c>
      <c r="B52" t="s">
        <v>77</v>
      </c>
      <c r="C52" t="s">
        <v>99</v>
      </c>
      <c r="D52">
        <v>1340.14</v>
      </c>
    </row>
    <row r="53" spans="1:4" x14ac:dyDescent="0.25">
      <c r="A53" t="s">
        <v>8</v>
      </c>
      <c r="B53" t="s">
        <v>77</v>
      </c>
      <c r="C53" t="s">
        <v>111</v>
      </c>
      <c r="D53">
        <v>30315.31</v>
      </c>
    </row>
    <row r="54" spans="1:4" x14ac:dyDescent="0.25">
      <c r="A54" t="s">
        <v>8</v>
      </c>
      <c r="B54" t="s">
        <v>77</v>
      </c>
      <c r="C54" t="s">
        <v>100</v>
      </c>
      <c r="D54">
        <v>10672.34</v>
      </c>
    </row>
    <row r="55" spans="1:4" x14ac:dyDescent="0.25">
      <c r="A55" t="s">
        <v>8</v>
      </c>
      <c r="B55" t="s">
        <v>77</v>
      </c>
      <c r="C55" t="s">
        <v>101</v>
      </c>
      <c r="D55">
        <v>19464.59</v>
      </c>
    </row>
    <row r="56" spans="1:4" x14ac:dyDescent="0.25">
      <c r="A56" t="s">
        <v>8</v>
      </c>
      <c r="B56" t="s">
        <v>77</v>
      </c>
      <c r="C56" t="s">
        <v>102</v>
      </c>
      <c r="D56">
        <v>62689.29</v>
      </c>
    </row>
    <row r="57" spans="1:4" x14ac:dyDescent="0.25">
      <c r="A57" t="s">
        <v>8</v>
      </c>
      <c r="B57" t="s">
        <v>77</v>
      </c>
      <c r="C57" t="s">
        <v>104</v>
      </c>
      <c r="D57">
        <v>19464.59</v>
      </c>
    </row>
    <row r="58" spans="1:4" x14ac:dyDescent="0.25">
      <c r="A58" t="s">
        <v>8</v>
      </c>
      <c r="B58" t="s">
        <v>77</v>
      </c>
      <c r="C58" t="s">
        <v>105</v>
      </c>
      <c r="D58">
        <v>30136.93</v>
      </c>
    </row>
    <row r="59" spans="1:4" x14ac:dyDescent="0.25">
      <c r="A59" t="s">
        <v>8</v>
      </c>
      <c r="B59" t="s">
        <v>77</v>
      </c>
      <c r="C59" t="s">
        <v>106</v>
      </c>
      <c r="D59">
        <v>63004.99</v>
      </c>
    </row>
    <row r="60" spans="1:4" x14ac:dyDescent="0.25">
      <c r="A60" t="s">
        <v>8</v>
      </c>
      <c r="B60" t="s">
        <v>77</v>
      </c>
      <c r="C60" t="s">
        <v>107</v>
      </c>
      <c r="D60">
        <v>72.45</v>
      </c>
    </row>
    <row r="61" spans="1:4" x14ac:dyDescent="0.25">
      <c r="A61" t="s">
        <v>8</v>
      </c>
      <c r="B61" t="s">
        <v>77</v>
      </c>
      <c r="C61" t="s">
        <v>112</v>
      </c>
      <c r="D61">
        <v>4</v>
      </c>
    </row>
    <row r="62" spans="1:4" x14ac:dyDescent="0.25">
      <c r="A62" t="s">
        <v>8</v>
      </c>
      <c r="B62" t="s">
        <v>77</v>
      </c>
      <c r="C62" t="s">
        <v>108</v>
      </c>
      <c r="D62">
        <v>120</v>
      </c>
    </row>
    <row r="63" spans="1:4" x14ac:dyDescent="0.25">
      <c r="A63" t="s">
        <v>8</v>
      </c>
      <c r="B63" t="s">
        <v>77</v>
      </c>
      <c r="C63" t="s">
        <v>113</v>
      </c>
      <c r="D63">
        <v>32</v>
      </c>
    </row>
    <row r="64" spans="1:4" x14ac:dyDescent="0.25">
      <c r="A64" t="s">
        <v>9</v>
      </c>
      <c r="B64" t="s">
        <v>77</v>
      </c>
      <c r="C64" t="s">
        <v>78</v>
      </c>
      <c r="D64">
        <v>4947.28</v>
      </c>
    </row>
    <row r="65" spans="1:4" x14ac:dyDescent="0.25">
      <c r="A65" t="s">
        <v>9</v>
      </c>
      <c r="B65" t="s">
        <v>77</v>
      </c>
      <c r="C65" t="s">
        <v>79</v>
      </c>
      <c r="D65">
        <v>-101372.65</v>
      </c>
    </row>
    <row r="66" spans="1:4" x14ac:dyDescent="0.25">
      <c r="A66" t="s">
        <v>9</v>
      </c>
      <c r="B66" t="s">
        <v>77</v>
      </c>
      <c r="C66" t="s">
        <v>87</v>
      </c>
      <c r="D66">
        <v>62614.16</v>
      </c>
    </row>
    <row r="67" spans="1:4" x14ac:dyDescent="0.25">
      <c r="A67" t="s">
        <v>9</v>
      </c>
      <c r="B67" t="s">
        <v>77</v>
      </c>
      <c r="C67" t="s">
        <v>88</v>
      </c>
      <c r="D67">
        <v>24019.119999999999</v>
      </c>
    </row>
    <row r="68" spans="1:4" x14ac:dyDescent="0.25">
      <c r="A68" t="s">
        <v>9</v>
      </c>
      <c r="B68" t="s">
        <v>77</v>
      </c>
      <c r="C68" t="s">
        <v>89</v>
      </c>
      <c r="D68">
        <v>19</v>
      </c>
    </row>
    <row r="69" spans="1:4" x14ac:dyDescent="0.25">
      <c r="A69" t="s">
        <v>9</v>
      </c>
      <c r="B69" t="s">
        <v>77</v>
      </c>
      <c r="C69" t="s">
        <v>114</v>
      </c>
      <c r="D69">
        <v>14427</v>
      </c>
    </row>
    <row r="70" spans="1:4" x14ac:dyDescent="0.25">
      <c r="A70" t="s">
        <v>9</v>
      </c>
      <c r="B70" t="s">
        <v>77</v>
      </c>
      <c r="C70" t="s">
        <v>94</v>
      </c>
      <c r="D70">
        <v>129.27999999999997</v>
      </c>
    </row>
    <row r="71" spans="1:4" x14ac:dyDescent="0.25">
      <c r="A71" t="s">
        <v>9</v>
      </c>
      <c r="B71" t="s">
        <v>77</v>
      </c>
      <c r="C71" t="s">
        <v>109</v>
      </c>
      <c r="D71">
        <v>0.04</v>
      </c>
    </row>
    <row r="72" spans="1:4" x14ac:dyDescent="0.25">
      <c r="A72" t="s">
        <v>9</v>
      </c>
      <c r="B72" t="s">
        <v>77</v>
      </c>
      <c r="C72" t="s">
        <v>115</v>
      </c>
      <c r="D72">
        <v>25984</v>
      </c>
    </row>
    <row r="73" spans="1:4" x14ac:dyDescent="0.25">
      <c r="A73" t="s">
        <v>9</v>
      </c>
      <c r="B73" t="s">
        <v>77</v>
      </c>
      <c r="C73" t="s">
        <v>95</v>
      </c>
      <c r="D73">
        <v>18</v>
      </c>
    </row>
    <row r="74" spans="1:4" x14ac:dyDescent="0.25">
      <c r="A74" t="s">
        <v>9</v>
      </c>
      <c r="B74" t="s">
        <v>77</v>
      </c>
      <c r="C74" t="s">
        <v>96</v>
      </c>
      <c r="D74">
        <v>220</v>
      </c>
    </row>
    <row r="75" spans="1:4" x14ac:dyDescent="0.25">
      <c r="A75" t="s">
        <v>9</v>
      </c>
      <c r="B75" t="s">
        <v>77</v>
      </c>
      <c r="C75" t="s">
        <v>97</v>
      </c>
      <c r="D75">
        <v>-215799.53</v>
      </c>
    </row>
    <row r="76" spans="1:4" x14ac:dyDescent="0.25">
      <c r="A76" t="s">
        <v>9</v>
      </c>
      <c r="B76" t="s">
        <v>77</v>
      </c>
      <c r="C76" t="s">
        <v>98</v>
      </c>
      <c r="D76">
        <v>25774.07</v>
      </c>
    </row>
    <row r="77" spans="1:4" x14ac:dyDescent="0.25">
      <c r="A77" t="s">
        <v>9</v>
      </c>
      <c r="B77" t="s">
        <v>77</v>
      </c>
      <c r="C77" t="s">
        <v>110</v>
      </c>
      <c r="D77">
        <v>2114.75</v>
      </c>
    </row>
    <row r="78" spans="1:4" x14ac:dyDescent="0.25">
      <c r="A78" t="s">
        <v>9</v>
      </c>
      <c r="B78" t="s">
        <v>77</v>
      </c>
      <c r="C78" t="s">
        <v>111</v>
      </c>
      <c r="D78">
        <v>4642.0200000000004</v>
      </c>
    </row>
    <row r="79" spans="1:4" x14ac:dyDescent="0.25">
      <c r="A79" t="s">
        <v>9</v>
      </c>
      <c r="B79" t="s">
        <v>77</v>
      </c>
      <c r="C79" t="s">
        <v>100</v>
      </c>
      <c r="D79">
        <v>1065.71</v>
      </c>
    </row>
    <row r="80" spans="1:4" x14ac:dyDescent="0.25">
      <c r="A80" t="s">
        <v>9</v>
      </c>
      <c r="B80" t="s">
        <v>77</v>
      </c>
      <c r="C80" t="s">
        <v>101</v>
      </c>
      <c r="D80">
        <v>3475.93</v>
      </c>
    </row>
    <row r="81" spans="1:4" x14ac:dyDescent="0.25">
      <c r="A81" t="s">
        <v>9</v>
      </c>
      <c r="B81" t="s">
        <v>77</v>
      </c>
      <c r="C81" t="s">
        <v>102</v>
      </c>
      <c r="D81">
        <v>32530.84</v>
      </c>
    </row>
    <row r="82" spans="1:4" x14ac:dyDescent="0.25">
      <c r="A82" t="s">
        <v>9</v>
      </c>
      <c r="B82" t="s">
        <v>77</v>
      </c>
      <c r="C82" t="s">
        <v>104</v>
      </c>
      <c r="D82">
        <v>3475.93</v>
      </c>
    </row>
    <row r="83" spans="1:4" x14ac:dyDescent="0.25">
      <c r="A83" t="s">
        <v>9</v>
      </c>
      <c r="B83" t="s">
        <v>77</v>
      </c>
      <c r="C83" t="s">
        <v>105</v>
      </c>
      <c r="D83">
        <v>4541.6400000000003</v>
      </c>
    </row>
    <row r="84" spans="1:4" x14ac:dyDescent="0.25">
      <c r="A84" t="s">
        <v>9</v>
      </c>
      <c r="B84" t="s">
        <v>77</v>
      </c>
      <c r="C84" t="s">
        <v>106</v>
      </c>
      <c r="D84">
        <v>32530.84</v>
      </c>
    </row>
    <row r="85" spans="1:4" x14ac:dyDescent="0.25">
      <c r="A85" t="s">
        <v>9</v>
      </c>
      <c r="B85" t="s">
        <v>77</v>
      </c>
      <c r="C85" t="s">
        <v>107</v>
      </c>
      <c r="D85">
        <v>8.7199999999999989</v>
      </c>
    </row>
    <row r="86" spans="1:4" x14ac:dyDescent="0.25">
      <c r="A86" t="s">
        <v>9</v>
      </c>
      <c r="B86" t="s">
        <v>77</v>
      </c>
      <c r="C86" t="s">
        <v>108</v>
      </c>
      <c r="D86">
        <v>16</v>
      </c>
    </row>
    <row r="87" spans="1:4" x14ac:dyDescent="0.25">
      <c r="A87" t="s">
        <v>10</v>
      </c>
      <c r="B87" t="s">
        <v>77</v>
      </c>
      <c r="C87" t="s">
        <v>78</v>
      </c>
      <c r="D87">
        <v>-76</v>
      </c>
    </row>
    <row r="88" spans="1:4" x14ac:dyDescent="0.25">
      <c r="A88" t="s">
        <v>10</v>
      </c>
      <c r="B88" t="s">
        <v>77</v>
      </c>
      <c r="C88" t="s">
        <v>79</v>
      </c>
      <c r="D88">
        <v>65.91</v>
      </c>
    </row>
    <row r="89" spans="1:4" x14ac:dyDescent="0.25">
      <c r="A89" t="s">
        <v>10</v>
      </c>
      <c r="B89" t="s">
        <v>77</v>
      </c>
      <c r="C89" t="s">
        <v>84</v>
      </c>
      <c r="D89">
        <v>65.91</v>
      </c>
    </row>
    <row r="90" spans="1:4" x14ac:dyDescent="0.25">
      <c r="A90" t="s">
        <v>10</v>
      </c>
      <c r="B90" t="s">
        <v>77</v>
      </c>
      <c r="C90" t="s">
        <v>86</v>
      </c>
      <c r="D90">
        <v>65.91</v>
      </c>
    </row>
    <row r="91" spans="1:4" x14ac:dyDescent="0.25">
      <c r="A91" t="s">
        <v>10</v>
      </c>
      <c r="B91" t="s">
        <v>77</v>
      </c>
      <c r="C91" t="s">
        <v>97</v>
      </c>
      <c r="D91">
        <v>-13.46</v>
      </c>
    </row>
    <row r="92" spans="1:4" x14ac:dyDescent="0.25">
      <c r="A92" t="s">
        <v>11</v>
      </c>
      <c r="B92" t="s">
        <v>77</v>
      </c>
      <c r="C92" t="s">
        <v>78</v>
      </c>
      <c r="D92">
        <v>-4432.6400000000003</v>
      </c>
    </row>
    <row r="93" spans="1:4" x14ac:dyDescent="0.25">
      <c r="A93" t="s">
        <v>11</v>
      </c>
      <c r="B93" t="s">
        <v>77</v>
      </c>
      <c r="C93" t="s">
        <v>79</v>
      </c>
      <c r="D93">
        <v>-30540.21</v>
      </c>
    </row>
    <row r="94" spans="1:4" x14ac:dyDescent="0.25">
      <c r="A94" t="s">
        <v>11</v>
      </c>
      <c r="B94" t="s">
        <v>77</v>
      </c>
      <c r="C94" t="s">
        <v>80</v>
      </c>
      <c r="D94">
        <v>1376.56</v>
      </c>
    </row>
    <row r="95" spans="1:4" x14ac:dyDescent="0.25">
      <c r="A95" t="s">
        <v>11</v>
      </c>
      <c r="B95" t="s">
        <v>77</v>
      </c>
      <c r="C95" t="s">
        <v>81</v>
      </c>
      <c r="D95">
        <v>1164.78</v>
      </c>
    </row>
    <row r="96" spans="1:4" x14ac:dyDescent="0.25">
      <c r="A96" t="s">
        <v>11</v>
      </c>
      <c r="B96" t="s">
        <v>77</v>
      </c>
      <c r="C96" t="s">
        <v>82</v>
      </c>
      <c r="D96">
        <v>211.23</v>
      </c>
    </row>
    <row r="97" spans="1:4" x14ac:dyDescent="0.25">
      <c r="A97" t="s">
        <v>11</v>
      </c>
      <c r="B97" t="s">
        <v>77</v>
      </c>
      <c r="C97" t="s">
        <v>84</v>
      </c>
      <c r="D97">
        <v>253.7</v>
      </c>
    </row>
    <row r="98" spans="1:4" x14ac:dyDescent="0.25">
      <c r="A98" t="s">
        <v>11</v>
      </c>
      <c r="B98" t="s">
        <v>77</v>
      </c>
      <c r="C98" t="s">
        <v>86</v>
      </c>
      <c r="D98">
        <v>253.7</v>
      </c>
    </row>
    <row r="99" spans="1:4" x14ac:dyDescent="0.25">
      <c r="A99" t="s">
        <v>11</v>
      </c>
      <c r="B99" t="s">
        <v>77</v>
      </c>
      <c r="C99" t="s">
        <v>87</v>
      </c>
      <c r="D99">
        <v>50366</v>
      </c>
    </row>
    <row r="100" spans="1:4" x14ac:dyDescent="0.25">
      <c r="A100" t="s">
        <v>11</v>
      </c>
      <c r="B100" t="s">
        <v>77</v>
      </c>
      <c r="C100" t="s">
        <v>88</v>
      </c>
      <c r="D100">
        <v>18217</v>
      </c>
    </row>
    <row r="101" spans="1:4" x14ac:dyDescent="0.25">
      <c r="A101" t="s">
        <v>11</v>
      </c>
      <c r="B101" t="s">
        <v>77</v>
      </c>
      <c r="C101" t="s">
        <v>89</v>
      </c>
      <c r="D101">
        <v>18</v>
      </c>
    </row>
    <row r="102" spans="1:4" x14ac:dyDescent="0.25">
      <c r="A102" t="s">
        <v>11</v>
      </c>
      <c r="B102" t="s">
        <v>77</v>
      </c>
      <c r="C102" t="s">
        <v>114</v>
      </c>
      <c r="D102">
        <v>9592</v>
      </c>
    </row>
    <row r="103" spans="1:4" x14ac:dyDescent="0.25">
      <c r="A103" t="s">
        <v>11</v>
      </c>
      <c r="B103" t="s">
        <v>77</v>
      </c>
      <c r="C103" t="s">
        <v>94</v>
      </c>
      <c r="D103">
        <v>450.11</v>
      </c>
    </row>
    <row r="104" spans="1:4" x14ac:dyDescent="0.25">
      <c r="A104" t="s">
        <v>11</v>
      </c>
      <c r="B104" t="s">
        <v>77</v>
      </c>
      <c r="C104" t="s">
        <v>109</v>
      </c>
      <c r="D104">
        <v>0.04</v>
      </c>
    </row>
    <row r="105" spans="1:4" x14ac:dyDescent="0.25">
      <c r="A105" t="s">
        <v>11</v>
      </c>
      <c r="B105" t="s">
        <v>77</v>
      </c>
      <c r="C105" t="s">
        <v>115</v>
      </c>
      <c r="D105">
        <v>15220</v>
      </c>
    </row>
    <row r="106" spans="1:4" x14ac:dyDescent="0.25">
      <c r="A106" t="s">
        <v>11</v>
      </c>
      <c r="B106" t="s">
        <v>77</v>
      </c>
      <c r="C106" t="s">
        <v>95</v>
      </c>
      <c r="D106">
        <v>18</v>
      </c>
    </row>
    <row r="107" spans="1:4" x14ac:dyDescent="0.25">
      <c r="A107" t="s">
        <v>11</v>
      </c>
      <c r="B107" t="s">
        <v>77</v>
      </c>
      <c r="C107" t="s">
        <v>96</v>
      </c>
      <c r="D107">
        <v>219</v>
      </c>
    </row>
    <row r="108" spans="1:4" x14ac:dyDescent="0.25">
      <c r="A108" t="s">
        <v>11</v>
      </c>
      <c r="B108" t="s">
        <v>77</v>
      </c>
      <c r="C108" t="s">
        <v>97</v>
      </c>
      <c r="D108">
        <v>-220142.26</v>
      </c>
    </row>
    <row r="109" spans="1:4" x14ac:dyDescent="0.25">
      <c r="A109" t="s">
        <v>11</v>
      </c>
      <c r="B109" t="s">
        <v>77</v>
      </c>
      <c r="C109" t="s">
        <v>98</v>
      </c>
      <c r="D109">
        <v>6692.89</v>
      </c>
    </row>
    <row r="110" spans="1:4" x14ac:dyDescent="0.25">
      <c r="A110" t="s">
        <v>11</v>
      </c>
      <c r="B110" t="s">
        <v>77</v>
      </c>
      <c r="C110" t="s">
        <v>110</v>
      </c>
      <c r="D110">
        <v>3504.09</v>
      </c>
    </row>
    <row r="111" spans="1:4" x14ac:dyDescent="0.25">
      <c r="A111" t="s">
        <v>11</v>
      </c>
      <c r="B111" t="s">
        <v>77</v>
      </c>
      <c r="C111" t="s">
        <v>99</v>
      </c>
      <c r="D111">
        <v>457.98</v>
      </c>
    </row>
    <row r="112" spans="1:4" x14ac:dyDescent="0.25">
      <c r="A112" t="s">
        <v>11</v>
      </c>
      <c r="B112" t="s">
        <v>77</v>
      </c>
      <c r="C112" t="s">
        <v>111</v>
      </c>
      <c r="D112">
        <v>19676.27</v>
      </c>
    </row>
    <row r="113" spans="1:4" x14ac:dyDescent="0.25">
      <c r="A113" t="s">
        <v>11</v>
      </c>
      <c r="B113" t="s">
        <v>77</v>
      </c>
      <c r="C113" t="s">
        <v>100</v>
      </c>
      <c r="D113">
        <v>3209.06</v>
      </c>
    </row>
    <row r="114" spans="1:4" x14ac:dyDescent="0.25">
      <c r="A114" t="s">
        <v>11</v>
      </c>
      <c r="B114" t="s">
        <v>77</v>
      </c>
      <c r="C114" t="s">
        <v>101</v>
      </c>
      <c r="D114">
        <v>18751.599999999999</v>
      </c>
    </row>
    <row r="115" spans="1:4" x14ac:dyDescent="0.25">
      <c r="A115" t="s">
        <v>11</v>
      </c>
      <c r="B115" t="s">
        <v>77</v>
      </c>
      <c r="C115" t="s">
        <v>102</v>
      </c>
      <c r="D115">
        <v>30331.23</v>
      </c>
    </row>
    <row r="116" spans="1:4" x14ac:dyDescent="0.25">
      <c r="A116" t="s">
        <v>11</v>
      </c>
      <c r="B116" t="s">
        <v>77</v>
      </c>
      <c r="C116" t="s">
        <v>104</v>
      </c>
      <c r="D116">
        <v>18751.599999999999</v>
      </c>
    </row>
    <row r="117" spans="1:4" x14ac:dyDescent="0.25">
      <c r="A117" t="s">
        <v>11</v>
      </c>
      <c r="B117" t="s">
        <v>77</v>
      </c>
      <c r="C117" t="s">
        <v>105</v>
      </c>
      <c r="D117">
        <v>21960.66</v>
      </c>
    </row>
    <row r="118" spans="1:4" x14ac:dyDescent="0.25">
      <c r="A118" t="s">
        <v>11</v>
      </c>
      <c r="B118" t="s">
        <v>77</v>
      </c>
      <c r="C118" t="s">
        <v>106</v>
      </c>
      <c r="D118">
        <v>30331.23</v>
      </c>
    </row>
    <row r="119" spans="1:4" x14ac:dyDescent="0.25">
      <c r="A119" t="s">
        <v>11</v>
      </c>
      <c r="B119" t="s">
        <v>77</v>
      </c>
      <c r="C119" t="s">
        <v>107</v>
      </c>
      <c r="D119">
        <v>63.99</v>
      </c>
    </row>
    <row r="120" spans="1:4" x14ac:dyDescent="0.25">
      <c r="A120" t="s">
        <v>11</v>
      </c>
      <c r="B120" t="s">
        <v>77</v>
      </c>
      <c r="C120" t="s">
        <v>108</v>
      </c>
      <c r="D120">
        <v>32</v>
      </c>
    </row>
    <row r="121" spans="1:4" x14ac:dyDescent="0.25">
      <c r="A121" t="s">
        <v>12</v>
      </c>
      <c r="B121" t="s">
        <v>77</v>
      </c>
      <c r="C121" t="s">
        <v>2</v>
      </c>
      <c r="D121" t="s">
        <v>12</v>
      </c>
    </row>
    <row r="122" spans="1:4" x14ac:dyDescent="0.25">
      <c r="A122" t="s">
        <v>13</v>
      </c>
      <c r="B122" t="s">
        <v>77</v>
      </c>
      <c r="C122" t="s">
        <v>78</v>
      </c>
      <c r="D122">
        <v>-10980.349999999999</v>
      </c>
    </row>
    <row r="123" spans="1:4" x14ac:dyDescent="0.25">
      <c r="A123" t="s">
        <v>13</v>
      </c>
      <c r="B123" t="s">
        <v>77</v>
      </c>
      <c r="C123" t="s">
        <v>79</v>
      </c>
      <c r="D123">
        <v>108.65</v>
      </c>
    </row>
    <row r="124" spans="1:4" x14ac:dyDescent="0.25">
      <c r="A124" t="s">
        <v>13</v>
      </c>
      <c r="B124" t="s">
        <v>77</v>
      </c>
      <c r="C124" t="s">
        <v>84</v>
      </c>
      <c r="D124">
        <v>129</v>
      </c>
    </row>
    <row r="125" spans="1:4" x14ac:dyDescent="0.25">
      <c r="A125" t="s">
        <v>13</v>
      </c>
      <c r="B125" t="s">
        <v>77</v>
      </c>
      <c r="C125" t="s">
        <v>86</v>
      </c>
      <c r="D125">
        <v>129</v>
      </c>
    </row>
    <row r="126" spans="1:4" x14ac:dyDescent="0.25">
      <c r="A126" t="s">
        <v>13</v>
      </c>
      <c r="B126" t="s">
        <v>77</v>
      </c>
      <c r="C126" t="s">
        <v>87</v>
      </c>
      <c r="D126">
        <v>63817.88</v>
      </c>
    </row>
    <row r="127" spans="1:4" x14ac:dyDescent="0.25">
      <c r="A127" t="s">
        <v>13</v>
      </c>
      <c r="B127" t="s">
        <v>77</v>
      </c>
      <c r="C127" t="s">
        <v>88</v>
      </c>
      <c r="D127">
        <v>21345.94</v>
      </c>
    </row>
    <row r="128" spans="1:4" x14ac:dyDescent="0.25">
      <c r="A128" t="s">
        <v>13</v>
      </c>
      <c r="B128" t="s">
        <v>77</v>
      </c>
      <c r="C128" t="s">
        <v>89</v>
      </c>
      <c r="D128">
        <v>13</v>
      </c>
    </row>
    <row r="129" spans="1:4" x14ac:dyDescent="0.25">
      <c r="A129" t="s">
        <v>13</v>
      </c>
      <c r="B129" t="s">
        <v>77</v>
      </c>
      <c r="C129" t="s">
        <v>116</v>
      </c>
      <c r="D129">
        <v>957</v>
      </c>
    </row>
    <row r="130" spans="1:4" x14ac:dyDescent="0.25">
      <c r="A130" t="s">
        <v>13</v>
      </c>
      <c r="B130" t="s">
        <v>77</v>
      </c>
      <c r="C130" t="s">
        <v>114</v>
      </c>
      <c r="D130">
        <v>8</v>
      </c>
    </row>
    <row r="131" spans="1:4" x14ac:dyDescent="0.25">
      <c r="A131" t="s">
        <v>13</v>
      </c>
      <c r="B131" t="s">
        <v>77</v>
      </c>
      <c r="C131" t="s">
        <v>94</v>
      </c>
      <c r="D131">
        <v>219.44</v>
      </c>
    </row>
    <row r="132" spans="1:4" x14ac:dyDescent="0.25">
      <c r="A132" t="s">
        <v>13</v>
      </c>
      <c r="B132" t="s">
        <v>77</v>
      </c>
      <c r="C132" t="s">
        <v>109</v>
      </c>
      <c r="D132">
        <v>0.04</v>
      </c>
    </row>
    <row r="133" spans="1:4" x14ac:dyDescent="0.25">
      <c r="A133" t="s">
        <v>13</v>
      </c>
      <c r="B133" t="s">
        <v>77</v>
      </c>
      <c r="C133" t="s">
        <v>115</v>
      </c>
      <c r="D133">
        <v>2083</v>
      </c>
    </row>
    <row r="134" spans="1:4" x14ac:dyDescent="0.25">
      <c r="A134" t="s">
        <v>13</v>
      </c>
      <c r="B134" t="s">
        <v>77</v>
      </c>
      <c r="C134" t="s">
        <v>95</v>
      </c>
      <c r="D134">
        <v>9</v>
      </c>
    </row>
    <row r="135" spans="1:4" x14ac:dyDescent="0.25">
      <c r="A135" t="s">
        <v>13</v>
      </c>
      <c r="B135" t="s">
        <v>77</v>
      </c>
      <c r="C135" t="s">
        <v>96</v>
      </c>
      <c r="D135">
        <v>89</v>
      </c>
    </row>
    <row r="136" spans="1:4" x14ac:dyDescent="0.25">
      <c r="A136" t="s">
        <v>13</v>
      </c>
      <c r="B136" t="s">
        <v>77</v>
      </c>
      <c r="C136" t="s">
        <v>97</v>
      </c>
      <c r="D136">
        <v>-66429</v>
      </c>
    </row>
    <row r="137" spans="1:4" x14ac:dyDescent="0.25">
      <c r="A137" t="s">
        <v>13</v>
      </c>
      <c r="B137" t="s">
        <v>77</v>
      </c>
      <c r="C137" t="s">
        <v>98</v>
      </c>
      <c r="D137">
        <v>1464.83</v>
      </c>
    </row>
    <row r="138" spans="1:4" x14ac:dyDescent="0.25">
      <c r="A138" t="s">
        <v>13</v>
      </c>
      <c r="B138" t="s">
        <v>77</v>
      </c>
      <c r="C138" t="s">
        <v>110</v>
      </c>
      <c r="D138">
        <v>125.17</v>
      </c>
    </row>
    <row r="139" spans="1:4" x14ac:dyDescent="0.25">
      <c r="A139" t="s">
        <v>13</v>
      </c>
      <c r="B139" t="s">
        <v>77</v>
      </c>
      <c r="C139" t="s">
        <v>111</v>
      </c>
      <c r="D139">
        <v>5484.39</v>
      </c>
    </row>
    <row r="140" spans="1:4" x14ac:dyDescent="0.25">
      <c r="A140" t="s">
        <v>13</v>
      </c>
      <c r="B140" t="s">
        <v>77</v>
      </c>
      <c r="C140" t="s">
        <v>100</v>
      </c>
      <c r="D140">
        <v>272.02</v>
      </c>
    </row>
    <row r="141" spans="1:4" x14ac:dyDescent="0.25">
      <c r="A141" t="s">
        <v>13</v>
      </c>
      <c r="B141" t="s">
        <v>77</v>
      </c>
      <c r="C141" t="s">
        <v>101</v>
      </c>
      <c r="D141">
        <v>5159.1099999999997</v>
      </c>
    </row>
    <row r="142" spans="1:4" x14ac:dyDescent="0.25">
      <c r="A142" t="s">
        <v>13</v>
      </c>
      <c r="B142" t="s">
        <v>77</v>
      </c>
      <c r="C142" t="s">
        <v>102</v>
      </c>
      <c r="D142">
        <v>7074.39</v>
      </c>
    </row>
    <row r="143" spans="1:4" x14ac:dyDescent="0.25">
      <c r="A143" t="s">
        <v>13</v>
      </c>
      <c r="B143" t="s">
        <v>77</v>
      </c>
      <c r="C143" t="s">
        <v>104</v>
      </c>
      <c r="D143">
        <v>5159.1099999999997</v>
      </c>
    </row>
    <row r="144" spans="1:4" x14ac:dyDescent="0.25">
      <c r="A144" t="s">
        <v>13</v>
      </c>
      <c r="B144" t="s">
        <v>77</v>
      </c>
      <c r="C144" t="s">
        <v>105</v>
      </c>
      <c r="D144">
        <v>5431.13</v>
      </c>
    </row>
    <row r="145" spans="1:4" x14ac:dyDescent="0.25">
      <c r="A145" t="s">
        <v>13</v>
      </c>
      <c r="B145" t="s">
        <v>77</v>
      </c>
      <c r="C145" t="s">
        <v>106</v>
      </c>
      <c r="D145">
        <v>7074.39</v>
      </c>
    </row>
    <row r="146" spans="1:4" x14ac:dyDescent="0.25">
      <c r="A146" t="s">
        <v>13</v>
      </c>
      <c r="B146" t="s">
        <v>77</v>
      </c>
      <c r="C146" t="s">
        <v>107</v>
      </c>
      <c r="D146">
        <v>9</v>
      </c>
    </row>
    <row r="147" spans="1:4" x14ac:dyDescent="0.25">
      <c r="A147" t="s">
        <v>13</v>
      </c>
      <c r="B147" t="s">
        <v>77</v>
      </c>
      <c r="C147" t="s">
        <v>108</v>
      </c>
      <c r="D147">
        <v>8</v>
      </c>
    </row>
    <row r="148" spans="1:4" x14ac:dyDescent="0.25">
      <c r="A148" t="s">
        <v>14</v>
      </c>
      <c r="B148" t="s">
        <v>77</v>
      </c>
      <c r="C148" t="s">
        <v>78</v>
      </c>
      <c r="D148">
        <v>-13104.37</v>
      </c>
    </row>
    <row r="149" spans="1:4" x14ac:dyDescent="0.25">
      <c r="A149" t="s">
        <v>14</v>
      </c>
      <c r="B149" t="s">
        <v>77</v>
      </c>
      <c r="C149" t="s">
        <v>79</v>
      </c>
      <c r="D149">
        <v>770.46</v>
      </c>
    </row>
    <row r="150" spans="1:4" x14ac:dyDescent="0.25">
      <c r="A150" t="s">
        <v>14</v>
      </c>
      <c r="B150" t="s">
        <v>77</v>
      </c>
      <c r="C150" t="s">
        <v>84</v>
      </c>
      <c r="D150">
        <v>192.78</v>
      </c>
    </row>
    <row r="151" spans="1:4" x14ac:dyDescent="0.25">
      <c r="A151" t="s">
        <v>14</v>
      </c>
      <c r="B151" t="s">
        <v>77</v>
      </c>
      <c r="C151" t="s">
        <v>86</v>
      </c>
      <c r="D151">
        <v>192.78</v>
      </c>
    </row>
    <row r="152" spans="1:4" x14ac:dyDescent="0.25">
      <c r="A152" t="s">
        <v>14</v>
      </c>
      <c r="B152" t="s">
        <v>77</v>
      </c>
      <c r="C152" t="s">
        <v>87</v>
      </c>
      <c r="D152">
        <v>35917.94</v>
      </c>
    </row>
    <row r="153" spans="1:4" x14ac:dyDescent="0.25">
      <c r="A153" t="s">
        <v>14</v>
      </c>
      <c r="B153" t="s">
        <v>77</v>
      </c>
      <c r="C153" t="s">
        <v>88</v>
      </c>
      <c r="D153">
        <v>12931.02</v>
      </c>
    </row>
    <row r="154" spans="1:4" x14ac:dyDescent="0.25">
      <c r="A154" t="s">
        <v>14</v>
      </c>
      <c r="B154" t="s">
        <v>77</v>
      </c>
      <c r="C154" t="s">
        <v>89</v>
      </c>
      <c r="D154">
        <v>18</v>
      </c>
    </row>
    <row r="155" spans="1:4" x14ac:dyDescent="0.25">
      <c r="A155" t="s">
        <v>14</v>
      </c>
      <c r="B155" t="s">
        <v>77</v>
      </c>
      <c r="C155" t="s">
        <v>117</v>
      </c>
      <c r="D155">
        <v>18171</v>
      </c>
    </row>
    <row r="156" spans="1:4" x14ac:dyDescent="0.25">
      <c r="A156" t="s">
        <v>14</v>
      </c>
      <c r="B156" t="s">
        <v>77</v>
      </c>
      <c r="C156" t="s">
        <v>94</v>
      </c>
      <c r="D156">
        <v>631.92000000000007</v>
      </c>
    </row>
    <row r="157" spans="1:4" x14ac:dyDescent="0.25">
      <c r="A157" t="s">
        <v>14</v>
      </c>
      <c r="B157" t="s">
        <v>77</v>
      </c>
      <c r="C157" t="s">
        <v>115</v>
      </c>
      <c r="D157">
        <v>18171</v>
      </c>
    </row>
    <row r="158" spans="1:4" x14ac:dyDescent="0.25">
      <c r="A158" t="s">
        <v>14</v>
      </c>
      <c r="B158" t="s">
        <v>77</v>
      </c>
      <c r="C158" t="s">
        <v>95</v>
      </c>
      <c r="D158">
        <v>18</v>
      </c>
    </row>
    <row r="159" spans="1:4" x14ac:dyDescent="0.25">
      <c r="A159" t="s">
        <v>14</v>
      </c>
      <c r="B159" t="s">
        <v>77</v>
      </c>
      <c r="C159" t="s">
        <v>96</v>
      </c>
      <c r="D159">
        <v>164</v>
      </c>
    </row>
    <row r="160" spans="1:4" x14ac:dyDescent="0.25">
      <c r="A160" t="s">
        <v>14</v>
      </c>
      <c r="B160" t="s">
        <v>77</v>
      </c>
      <c r="C160" t="s">
        <v>97</v>
      </c>
      <c r="D160">
        <v>-205439.44</v>
      </c>
    </row>
    <row r="161" spans="1:4" x14ac:dyDescent="0.25">
      <c r="A161" t="s">
        <v>14</v>
      </c>
      <c r="B161" t="s">
        <v>77</v>
      </c>
      <c r="C161" t="s">
        <v>98</v>
      </c>
      <c r="D161">
        <v>29993.84</v>
      </c>
    </row>
    <row r="162" spans="1:4" x14ac:dyDescent="0.25">
      <c r="A162" t="s">
        <v>14</v>
      </c>
      <c r="B162" t="s">
        <v>77</v>
      </c>
      <c r="C162" t="s">
        <v>110</v>
      </c>
      <c r="D162">
        <v>5727.05</v>
      </c>
    </row>
    <row r="163" spans="1:4" x14ac:dyDescent="0.25">
      <c r="A163" t="s">
        <v>14</v>
      </c>
      <c r="B163" t="s">
        <v>77</v>
      </c>
      <c r="C163" t="s">
        <v>111</v>
      </c>
      <c r="D163">
        <v>190.71</v>
      </c>
    </row>
    <row r="164" spans="1:4" x14ac:dyDescent="0.25">
      <c r="A164" t="s">
        <v>14</v>
      </c>
      <c r="B164" t="s">
        <v>77</v>
      </c>
      <c r="C164" t="s">
        <v>102</v>
      </c>
      <c r="D164">
        <v>35911.599999999999</v>
      </c>
    </row>
    <row r="165" spans="1:4" x14ac:dyDescent="0.25">
      <c r="A165" t="s">
        <v>14</v>
      </c>
      <c r="B165" t="s">
        <v>77</v>
      </c>
      <c r="C165" t="s">
        <v>106</v>
      </c>
      <c r="D165">
        <v>35911.599999999999</v>
      </c>
    </row>
    <row r="166" spans="1:4" x14ac:dyDescent="0.25">
      <c r="A166" t="s">
        <v>14</v>
      </c>
      <c r="B166" t="s">
        <v>77</v>
      </c>
      <c r="C166" t="s">
        <v>107</v>
      </c>
      <c r="D166">
        <v>53.64</v>
      </c>
    </row>
    <row r="167" spans="1:4" x14ac:dyDescent="0.25">
      <c r="A167" t="s">
        <v>14</v>
      </c>
      <c r="B167" t="s">
        <v>77</v>
      </c>
      <c r="C167" t="s">
        <v>108</v>
      </c>
      <c r="D167">
        <v>16</v>
      </c>
    </row>
    <row r="168" spans="1:4" x14ac:dyDescent="0.25">
      <c r="A168" t="s">
        <v>15</v>
      </c>
      <c r="B168" t="s">
        <v>77</v>
      </c>
      <c r="C168" t="s">
        <v>2</v>
      </c>
      <c r="D168" t="s">
        <v>15</v>
      </c>
    </row>
    <row r="169" spans="1:4" x14ac:dyDescent="0.25">
      <c r="A169" t="s">
        <v>16</v>
      </c>
      <c r="B169" t="s">
        <v>77</v>
      </c>
      <c r="C169" t="s">
        <v>78</v>
      </c>
      <c r="D169">
        <v>-24560.5</v>
      </c>
    </row>
    <row r="170" spans="1:4" x14ac:dyDescent="0.25">
      <c r="A170" t="s">
        <v>16</v>
      </c>
      <c r="B170" t="s">
        <v>77</v>
      </c>
      <c r="C170" t="s">
        <v>94</v>
      </c>
      <c r="D170">
        <v>115.91</v>
      </c>
    </row>
    <row r="171" spans="1:4" x14ac:dyDescent="0.25">
      <c r="A171" t="s">
        <v>16</v>
      </c>
      <c r="B171" t="s">
        <v>77</v>
      </c>
      <c r="C171" t="s">
        <v>97</v>
      </c>
      <c r="D171">
        <v>65.099999999999994</v>
      </c>
    </row>
    <row r="172" spans="1:4" x14ac:dyDescent="0.25">
      <c r="A172" t="s">
        <v>16</v>
      </c>
      <c r="B172" t="s">
        <v>77</v>
      </c>
      <c r="C172" t="s">
        <v>98</v>
      </c>
      <c r="D172">
        <v>725.74</v>
      </c>
    </row>
    <row r="173" spans="1:4" x14ac:dyDescent="0.25">
      <c r="A173" t="s">
        <v>16</v>
      </c>
      <c r="B173" t="s">
        <v>77</v>
      </c>
      <c r="C173" t="s">
        <v>111</v>
      </c>
      <c r="D173">
        <v>6685.17</v>
      </c>
    </row>
    <row r="174" spans="1:4" x14ac:dyDescent="0.25">
      <c r="A174" t="s">
        <v>16</v>
      </c>
      <c r="B174" t="s">
        <v>77</v>
      </c>
      <c r="C174" t="s">
        <v>100</v>
      </c>
      <c r="D174">
        <v>219.82</v>
      </c>
    </row>
    <row r="175" spans="1:4" x14ac:dyDescent="0.25">
      <c r="A175" t="s">
        <v>16</v>
      </c>
      <c r="B175" t="s">
        <v>77</v>
      </c>
      <c r="C175" t="s">
        <v>101</v>
      </c>
      <c r="D175">
        <v>6220.8</v>
      </c>
    </row>
    <row r="176" spans="1:4" x14ac:dyDescent="0.25">
      <c r="A176" t="s">
        <v>16</v>
      </c>
      <c r="B176" t="s">
        <v>77</v>
      </c>
      <c r="C176" t="s">
        <v>102</v>
      </c>
      <c r="D176">
        <v>7410.91</v>
      </c>
    </row>
    <row r="177" spans="1:4" x14ac:dyDescent="0.25">
      <c r="A177" t="s">
        <v>16</v>
      </c>
      <c r="B177" t="s">
        <v>77</v>
      </c>
      <c r="C177" t="s">
        <v>104</v>
      </c>
      <c r="D177">
        <v>6205.54</v>
      </c>
    </row>
    <row r="178" spans="1:4" x14ac:dyDescent="0.25">
      <c r="A178" t="s">
        <v>16</v>
      </c>
      <c r="B178" t="s">
        <v>77</v>
      </c>
      <c r="C178" t="s">
        <v>105</v>
      </c>
      <c r="D178">
        <v>6440.62</v>
      </c>
    </row>
    <row r="179" spans="1:4" x14ac:dyDescent="0.25">
      <c r="A179" t="s">
        <v>16</v>
      </c>
      <c r="B179" t="s">
        <v>77</v>
      </c>
      <c r="C179" t="s">
        <v>106</v>
      </c>
      <c r="D179">
        <v>7410.91</v>
      </c>
    </row>
    <row r="180" spans="1:4" x14ac:dyDescent="0.25">
      <c r="A180" t="s">
        <v>17</v>
      </c>
      <c r="B180" t="s">
        <v>77</v>
      </c>
      <c r="C180" t="s">
        <v>78</v>
      </c>
      <c r="D180">
        <v>-6333.56</v>
      </c>
    </row>
    <row r="181" spans="1:4" x14ac:dyDescent="0.25">
      <c r="A181" t="s">
        <v>17</v>
      </c>
      <c r="B181" t="s">
        <v>77</v>
      </c>
      <c r="C181" t="s">
        <v>79</v>
      </c>
      <c r="D181">
        <v>-1.22</v>
      </c>
    </row>
    <row r="182" spans="1:4" x14ac:dyDescent="0.25">
      <c r="A182" t="s">
        <v>17</v>
      </c>
      <c r="B182" t="s">
        <v>77</v>
      </c>
      <c r="C182" t="s">
        <v>87</v>
      </c>
      <c r="D182">
        <v>46178.79</v>
      </c>
    </row>
    <row r="183" spans="1:4" x14ac:dyDescent="0.25">
      <c r="A183" t="s">
        <v>17</v>
      </c>
      <c r="B183" t="s">
        <v>77</v>
      </c>
      <c r="C183" t="s">
        <v>88</v>
      </c>
      <c r="D183">
        <v>16269.92</v>
      </c>
    </row>
    <row r="184" spans="1:4" x14ac:dyDescent="0.25">
      <c r="A184" t="s">
        <v>17</v>
      </c>
      <c r="B184" t="s">
        <v>77</v>
      </c>
      <c r="C184" t="s">
        <v>89</v>
      </c>
      <c r="D184">
        <v>26</v>
      </c>
    </row>
    <row r="185" spans="1:4" x14ac:dyDescent="0.25">
      <c r="A185" t="s">
        <v>17</v>
      </c>
      <c r="B185" t="s">
        <v>77</v>
      </c>
      <c r="C185" t="s">
        <v>117</v>
      </c>
      <c r="D185">
        <v>19042</v>
      </c>
    </row>
    <row r="186" spans="1:4" x14ac:dyDescent="0.25">
      <c r="A186" t="s">
        <v>17</v>
      </c>
      <c r="B186" t="s">
        <v>77</v>
      </c>
      <c r="C186" t="s">
        <v>94</v>
      </c>
      <c r="D186">
        <v>670.51</v>
      </c>
    </row>
    <row r="187" spans="1:4" x14ac:dyDescent="0.25">
      <c r="A187" t="s">
        <v>17</v>
      </c>
      <c r="B187" t="s">
        <v>77</v>
      </c>
      <c r="C187" t="s">
        <v>115</v>
      </c>
      <c r="D187">
        <v>19043</v>
      </c>
    </row>
    <row r="188" spans="1:4" x14ac:dyDescent="0.25">
      <c r="A188" t="s">
        <v>17</v>
      </c>
      <c r="B188" t="s">
        <v>77</v>
      </c>
      <c r="C188" t="s">
        <v>95</v>
      </c>
      <c r="D188">
        <v>26</v>
      </c>
    </row>
    <row r="189" spans="1:4" x14ac:dyDescent="0.25">
      <c r="A189" t="s">
        <v>17</v>
      </c>
      <c r="B189" t="s">
        <v>77</v>
      </c>
      <c r="C189" t="s">
        <v>96</v>
      </c>
      <c r="D189">
        <v>340</v>
      </c>
    </row>
    <row r="190" spans="1:4" x14ac:dyDescent="0.25">
      <c r="A190" t="s">
        <v>17</v>
      </c>
      <c r="B190" t="s">
        <v>77</v>
      </c>
      <c r="C190" t="s">
        <v>97</v>
      </c>
      <c r="D190">
        <v>-223098.93</v>
      </c>
    </row>
    <row r="191" spans="1:4" x14ac:dyDescent="0.25">
      <c r="A191" t="s">
        <v>17</v>
      </c>
      <c r="B191" t="s">
        <v>77</v>
      </c>
      <c r="C191" t="s">
        <v>98</v>
      </c>
      <c r="D191">
        <v>41463.74</v>
      </c>
    </row>
    <row r="192" spans="1:4" x14ac:dyDescent="0.25">
      <c r="A192" t="s">
        <v>17</v>
      </c>
      <c r="B192" t="s">
        <v>77</v>
      </c>
      <c r="C192" t="s">
        <v>110</v>
      </c>
      <c r="D192">
        <v>5836.18</v>
      </c>
    </row>
    <row r="193" spans="1:4" x14ac:dyDescent="0.25">
      <c r="A193" t="s">
        <v>17</v>
      </c>
      <c r="B193" t="s">
        <v>77</v>
      </c>
      <c r="C193" t="s">
        <v>111</v>
      </c>
      <c r="D193">
        <v>1503.59</v>
      </c>
    </row>
    <row r="194" spans="1:4" x14ac:dyDescent="0.25">
      <c r="A194" t="s">
        <v>17</v>
      </c>
      <c r="B194" t="s">
        <v>77</v>
      </c>
      <c r="C194" t="s">
        <v>100</v>
      </c>
      <c r="D194">
        <v>275.42</v>
      </c>
    </row>
    <row r="195" spans="1:4" x14ac:dyDescent="0.25">
      <c r="A195" t="s">
        <v>17</v>
      </c>
      <c r="B195" t="s">
        <v>77</v>
      </c>
      <c r="C195" t="s">
        <v>101</v>
      </c>
      <c r="D195">
        <v>2206.62</v>
      </c>
    </row>
    <row r="196" spans="1:4" x14ac:dyDescent="0.25">
      <c r="A196" t="s">
        <v>17</v>
      </c>
      <c r="B196" t="s">
        <v>77</v>
      </c>
      <c r="C196" t="s">
        <v>102</v>
      </c>
      <c r="D196">
        <v>48803.51</v>
      </c>
    </row>
    <row r="197" spans="1:4" x14ac:dyDescent="0.25">
      <c r="A197" t="s">
        <v>17</v>
      </c>
      <c r="B197" t="s">
        <v>77</v>
      </c>
      <c r="C197" t="s">
        <v>104</v>
      </c>
      <c r="D197">
        <v>2206.62</v>
      </c>
    </row>
    <row r="198" spans="1:4" x14ac:dyDescent="0.25">
      <c r="A198" t="s">
        <v>17</v>
      </c>
      <c r="B198" t="s">
        <v>77</v>
      </c>
      <c r="C198" t="s">
        <v>105</v>
      </c>
      <c r="D198">
        <v>2482.04</v>
      </c>
    </row>
    <row r="199" spans="1:4" x14ac:dyDescent="0.25">
      <c r="A199" t="s">
        <v>17</v>
      </c>
      <c r="B199" t="s">
        <v>77</v>
      </c>
      <c r="C199" t="s">
        <v>106</v>
      </c>
      <c r="D199">
        <v>48803.51</v>
      </c>
    </row>
    <row r="200" spans="1:4" x14ac:dyDescent="0.25">
      <c r="A200" t="s">
        <v>17</v>
      </c>
      <c r="B200" t="s">
        <v>77</v>
      </c>
      <c r="C200" t="s">
        <v>107</v>
      </c>
      <c r="D200">
        <v>63.07</v>
      </c>
    </row>
    <row r="201" spans="1:4" x14ac:dyDescent="0.25">
      <c r="A201" t="s">
        <v>17</v>
      </c>
      <c r="B201" t="s">
        <v>77</v>
      </c>
      <c r="C201" t="s">
        <v>108</v>
      </c>
      <c r="D201">
        <v>16</v>
      </c>
    </row>
    <row r="202" spans="1:4" x14ac:dyDescent="0.25">
      <c r="A202" t="s">
        <v>18</v>
      </c>
      <c r="B202" t="s">
        <v>77</v>
      </c>
      <c r="C202" t="s">
        <v>78</v>
      </c>
      <c r="D202">
        <v>-21</v>
      </c>
    </row>
    <row r="203" spans="1:4" x14ac:dyDescent="0.25">
      <c r="A203" t="s">
        <v>19</v>
      </c>
      <c r="B203" t="s">
        <v>77</v>
      </c>
      <c r="C203" t="s">
        <v>78</v>
      </c>
      <c r="D203">
        <v>-1710.72</v>
      </c>
    </row>
    <row r="204" spans="1:4" x14ac:dyDescent="0.25">
      <c r="A204" t="s">
        <v>19</v>
      </c>
      <c r="B204" t="s">
        <v>77</v>
      </c>
      <c r="C204" t="s">
        <v>79</v>
      </c>
      <c r="D204">
        <v>85</v>
      </c>
    </row>
    <row r="205" spans="1:4" x14ac:dyDescent="0.25">
      <c r="A205" t="s">
        <v>19</v>
      </c>
      <c r="B205" t="s">
        <v>77</v>
      </c>
      <c r="C205" t="s">
        <v>84</v>
      </c>
      <c r="D205">
        <v>85</v>
      </c>
    </row>
    <row r="206" spans="1:4" x14ac:dyDescent="0.25">
      <c r="A206" t="s">
        <v>19</v>
      </c>
      <c r="B206" t="s">
        <v>77</v>
      </c>
      <c r="C206" t="s">
        <v>86</v>
      </c>
      <c r="D206">
        <v>85</v>
      </c>
    </row>
    <row r="207" spans="1:4" x14ac:dyDescent="0.25">
      <c r="A207" t="s">
        <v>19</v>
      </c>
      <c r="B207" t="s">
        <v>77</v>
      </c>
      <c r="C207" t="s">
        <v>87</v>
      </c>
      <c r="D207">
        <v>16412.5</v>
      </c>
    </row>
    <row r="208" spans="1:4" x14ac:dyDescent="0.25">
      <c r="A208" t="s">
        <v>19</v>
      </c>
      <c r="B208" t="s">
        <v>77</v>
      </c>
      <c r="C208" t="s">
        <v>88</v>
      </c>
      <c r="D208">
        <v>6662.25</v>
      </c>
    </row>
    <row r="209" spans="1:4" x14ac:dyDescent="0.25">
      <c r="A209" t="s">
        <v>19</v>
      </c>
      <c r="B209" t="s">
        <v>77</v>
      </c>
      <c r="C209" t="s">
        <v>89</v>
      </c>
      <c r="D209">
        <v>7</v>
      </c>
    </row>
    <row r="210" spans="1:4" x14ac:dyDescent="0.25">
      <c r="A210" t="s">
        <v>19</v>
      </c>
      <c r="B210" t="s">
        <v>77</v>
      </c>
      <c r="C210" t="s">
        <v>114</v>
      </c>
      <c r="D210">
        <v>245</v>
      </c>
    </row>
    <row r="211" spans="1:4" x14ac:dyDescent="0.25">
      <c r="A211" t="s">
        <v>19</v>
      </c>
      <c r="B211" t="s">
        <v>77</v>
      </c>
      <c r="C211" t="s">
        <v>94</v>
      </c>
      <c r="D211">
        <v>224.88</v>
      </c>
    </row>
    <row r="212" spans="1:4" x14ac:dyDescent="0.25">
      <c r="A212" t="s">
        <v>19</v>
      </c>
      <c r="B212" t="s">
        <v>77</v>
      </c>
      <c r="C212" t="s">
        <v>115</v>
      </c>
      <c r="D212">
        <v>1270</v>
      </c>
    </row>
    <row r="213" spans="1:4" x14ac:dyDescent="0.25">
      <c r="A213" t="s">
        <v>19</v>
      </c>
      <c r="B213" t="s">
        <v>77</v>
      </c>
      <c r="C213" t="s">
        <v>95</v>
      </c>
      <c r="D213">
        <v>10</v>
      </c>
    </row>
    <row r="214" spans="1:4" x14ac:dyDescent="0.25">
      <c r="A214" t="s">
        <v>19</v>
      </c>
      <c r="B214" t="s">
        <v>77</v>
      </c>
      <c r="C214" t="s">
        <v>96</v>
      </c>
      <c r="D214">
        <v>99</v>
      </c>
    </row>
    <row r="215" spans="1:4" x14ac:dyDescent="0.25">
      <c r="A215" t="s">
        <v>19</v>
      </c>
      <c r="B215" t="s">
        <v>77</v>
      </c>
      <c r="C215" t="s">
        <v>97</v>
      </c>
      <c r="D215">
        <v>-34265.72</v>
      </c>
    </row>
    <row r="216" spans="1:4" x14ac:dyDescent="0.25">
      <c r="A216" t="s">
        <v>19</v>
      </c>
      <c r="B216" t="s">
        <v>77</v>
      </c>
      <c r="C216" t="s">
        <v>111</v>
      </c>
      <c r="D216">
        <v>121.94</v>
      </c>
    </row>
    <row r="217" spans="1:4" x14ac:dyDescent="0.25">
      <c r="A217" t="s">
        <v>19</v>
      </c>
      <c r="B217" t="s">
        <v>77</v>
      </c>
      <c r="C217" t="s">
        <v>100</v>
      </c>
      <c r="D217">
        <v>7</v>
      </c>
    </row>
    <row r="218" spans="1:4" x14ac:dyDescent="0.25">
      <c r="A218" t="s">
        <v>19</v>
      </c>
      <c r="B218" t="s">
        <v>77</v>
      </c>
      <c r="C218" t="s">
        <v>101</v>
      </c>
      <c r="D218">
        <v>419</v>
      </c>
    </row>
    <row r="219" spans="1:4" x14ac:dyDescent="0.25">
      <c r="A219" t="s">
        <v>19</v>
      </c>
      <c r="B219" t="s">
        <v>77</v>
      </c>
      <c r="C219" t="s">
        <v>102</v>
      </c>
      <c r="D219">
        <v>121.94</v>
      </c>
    </row>
    <row r="220" spans="1:4" x14ac:dyDescent="0.25">
      <c r="A220" t="s">
        <v>19</v>
      </c>
      <c r="B220" t="s">
        <v>77</v>
      </c>
      <c r="C220" t="s">
        <v>104</v>
      </c>
      <c r="D220">
        <v>419</v>
      </c>
    </row>
    <row r="221" spans="1:4" x14ac:dyDescent="0.25">
      <c r="A221" t="s">
        <v>19</v>
      </c>
      <c r="B221" t="s">
        <v>77</v>
      </c>
      <c r="C221" t="s">
        <v>105</v>
      </c>
      <c r="D221">
        <v>426</v>
      </c>
    </row>
    <row r="222" spans="1:4" x14ac:dyDescent="0.25">
      <c r="A222" t="s">
        <v>19</v>
      </c>
      <c r="B222" t="s">
        <v>77</v>
      </c>
      <c r="C222" t="s">
        <v>106</v>
      </c>
      <c r="D222">
        <v>121.94</v>
      </c>
    </row>
    <row r="223" spans="1:4" x14ac:dyDescent="0.25">
      <c r="A223" t="s">
        <v>19</v>
      </c>
      <c r="B223" t="s">
        <v>77</v>
      </c>
      <c r="C223" t="s">
        <v>108</v>
      </c>
      <c r="D223">
        <v>16</v>
      </c>
    </row>
    <row r="224" spans="1:4" x14ac:dyDescent="0.25">
      <c r="A224" t="s">
        <v>20</v>
      </c>
      <c r="B224" t="s">
        <v>77</v>
      </c>
      <c r="C224" t="s">
        <v>78</v>
      </c>
      <c r="D224">
        <v>-25.45</v>
      </c>
    </row>
    <row r="225" spans="1:4" x14ac:dyDescent="0.25">
      <c r="A225" t="s">
        <v>21</v>
      </c>
      <c r="B225" t="s">
        <v>77</v>
      </c>
      <c r="C225" t="s">
        <v>78</v>
      </c>
      <c r="D225">
        <v>772.89000000000033</v>
      </c>
    </row>
    <row r="226" spans="1:4" x14ac:dyDescent="0.25">
      <c r="A226" t="s">
        <v>21</v>
      </c>
      <c r="B226" t="s">
        <v>77</v>
      </c>
      <c r="C226" t="s">
        <v>79</v>
      </c>
      <c r="D226">
        <v>-5707.37</v>
      </c>
    </row>
    <row r="227" spans="1:4" x14ac:dyDescent="0.25">
      <c r="A227" t="s">
        <v>21</v>
      </c>
      <c r="B227" t="s">
        <v>77</v>
      </c>
      <c r="C227" t="s">
        <v>87</v>
      </c>
      <c r="D227">
        <v>26803.93</v>
      </c>
    </row>
    <row r="228" spans="1:4" x14ac:dyDescent="0.25">
      <c r="A228" t="s">
        <v>21</v>
      </c>
      <c r="B228" t="s">
        <v>77</v>
      </c>
      <c r="C228" t="s">
        <v>88</v>
      </c>
      <c r="D228">
        <v>10148.14</v>
      </c>
    </row>
    <row r="229" spans="1:4" x14ac:dyDescent="0.25">
      <c r="A229" t="s">
        <v>21</v>
      </c>
      <c r="B229" t="s">
        <v>77</v>
      </c>
      <c r="C229" t="s">
        <v>89</v>
      </c>
      <c r="D229">
        <v>18</v>
      </c>
    </row>
    <row r="230" spans="1:4" x14ac:dyDescent="0.25">
      <c r="A230" t="s">
        <v>21</v>
      </c>
      <c r="B230" t="s">
        <v>77</v>
      </c>
      <c r="C230" t="s">
        <v>114</v>
      </c>
      <c r="D230">
        <v>5776</v>
      </c>
    </row>
    <row r="231" spans="1:4" x14ac:dyDescent="0.25">
      <c r="A231" t="s">
        <v>21</v>
      </c>
      <c r="B231" t="s">
        <v>77</v>
      </c>
      <c r="C231" t="s">
        <v>94</v>
      </c>
      <c r="D231">
        <v>287.89999999999998</v>
      </c>
    </row>
    <row r="232" spans="1:4" x14ac:dyDescent="0.25">
      <c r="A232" t="s">
        <v>21</v>
      </c>
      <c r="B232" t="s">
        <v>77</v>
      </c>
      <c r="C232" t="s">
        <v>109</v>
      </c>
      <c r="D232">
        <v>0.04</v>
      </c>
    </row>
    <row r="233" spans="1:4" x14ac:dyDescent="0.25">
      <c r="A233" t="s">
        <v>21</v>
      </c>
      <c r="B233" t="s">
        <v>77</v>
      </c>
      <c r="C233" t="s">
        <v>115</v>
      </c>
      <c r="D233">
        <v>10937</v>
      </c>
    </row>
    <row r="234" spans="1:4" x14ac:dyDescent="0.25">
      <c r="A234" t="s">
        <v>21</v>
      </c>
      <c r="B234" t="s">
        <v>77</v>
      </c>
      <c r="C234" t="s">
        <v>95</v>
      </c>
      <c r="D234">
        <v>18</v>
      </c>
    </row>
    <row r="235" spans="1:4" x14ac:dyDescent="0.25">
      <c r="A235" t="s">
        <v>21</v>
      </c>
      <c r="B235" t="s">
        <v>77</v>
      </c>
      <c r="C235" t="s">
        <v>96</v>
      </c>
      <c r="D235">
        <v>164</v>
      </c>
    </row>
    <row r="236" spans="1:4" x14ac:dyDescent="0.25">
      <c r="A236" t="s">
        <v>21</v>
      </c>
      <c r="B236" t="s">
        <v>77</v>
      </c>
      <c r="C236" t="s">
        <v>97</v>
      </c>
      <c r="D236">
        <v>-80030.509999999995</v>
      </c>
    </row>
    <row r="237" spans="1:4" x14ac:dyDescent="0.25">
      <c r="A237" t="s">
        <v>21</v>
      </c>
      <c r="B237" t="s">
        <v>77</v>
      </c>
      <c r="C237" t="s">
        <v>98</v>
      </c>
      <c r="D237">
        <v>1938.69</v>
      </c>
    </row>
    <row r="238" spans="1:4" x14ac:dyDescent="0.25">
      <c r="A238" t="s">
        <v>21</v>
      </c>
      <c r="B238" t="s">
        <v>77</v>
      </c>
      <c r="C238" t="s">
        <v>110</v>
      </c>
      <c r="D238">
        <v>1515.24</v>
      </c>
    </row>
    <row r="239" spans="1:4" x14ac:dyDescent="0.25">
      <c r="A239" t="s">
        <v>21</v>
      </c>
      <c r="B239" t="s">
        <v>77</v>
      </c>
      <c r="C239" t="s">
        <v>99</v>
      </c>
      <c r="D239">
        <v>15.33</v>
      </c>
    </row>
    <row r="240" spans="1:4" x14ac:dyDescent="0.25">
      <c r="A240" t="s">
        <v>21</v>
      </c>
      <c r="B240" t="s">
        <v>77</v>
      </c>
      <c r="C240" t="s">
        <v>111</v>
      </c>
      <c r="D240">
        <v>7718.28</v>
      </c>
    </row>
    <row r="241" spans="1:4" x14ac:dyDescent="0.25">
      <c r="A241" t="s">
        <v>21</v>
      </c>
      <c r="B241" t="s">
        <v>77</v>
      </c>
      <c r="C241" t="s">
        <v>100</v>
      </c>
      <c r="D241">
        <v>487.09</v>
      </c>
    </row>
    <row r="242" spans="1:4" x14ac:dyDescent="0.25">
      <c r="A242" t="s">
        <v>21</v>
      </c>
      <c r="B242" t="s">
        <v>77</v>
      </c>
      <c r="C242" t="s">
        <v>101</v>
      </c>
      <c r="D242">
        <v>7207.87</v>
      </c>
    </row>
    <row r="243" spans="1:4" x14ac:dyDescent="0.25">
      <c r="A243" t="s">
        <v>21</v>
      </c>
      <c r="B243" t="s">
        <v>77</v>
      </c>
      <c r="C243" t="s">
        <v>102</v>
      </c>
      <c r="D243">
        <v>11187.54</v>
      </c>
    </row>
    <row r="244" spans="1:4" x14ac:dyDescent="0.25">
      <c r="A244" t="s">
        <v>21</v>
      </c>
      <c r="B244" t="s">
        <v>77</v>
      </c>
      <c r="C244" t="s">
        <v>104</v>
      </c>
      <c r="D244">
        <v>7207.87</v>
      </c>
    </row>
    <row r="245" spans="1:4" x14ac:dyDescent="0.25">
      <c r="A245" t="s">
        <v>21</v>
      </c>
      <c r="B245" t="s">
        <v>77</v>
      </c>
      <c r="C245" t="s">
        <v>105</v>
      </c>
      <c r="D245">
        <v>7694.96</v>
      </c>
    </row>
    <row r="246" spans="1:4" x14ac:dyDescent="0.25">
      <c r="A246" t="s">
        <v>21</v>
      </c>
      <c r="B246" t="s">
        <v>77</v>
      </c>
      <c r="C246" t="s">
        <v>106</v>
      </c>
      <c r="D246">
        <v>11187.54</v>
      </c>
    </row>
    <row r="247" spans="1:4" x14ac:dyDescent="0.25">
      <c r="A247" t="s">
        <v>21</v>
      </c>
      <c r="B247" t="s">
        <v>77</v>
      </c>
      <c r="C247" t="s">
        <v>107</v>
      </c>
      <c r="D247">
        <v>15.54</v>
      </c>
    </row>
    <row r="248" spans="1:4" x14ac:dyDescent="0.25">
      <c r="A248" t="s">
        <v>21</v>
      </c>
      <c r="B248" t="s">
        <v>77</v>
      </c>
      <c r="C248" t="s">
        <v>108</v>
      </c>
      <c r="D248">
        <v>16</v>
      </c>
    </row>
    <row r="249" spans="1:4" x14ac:dyDescent="0.25">
      <c r="A249" t="s">
        <v>22</v>
      </c>
      <c r="B249" t="s">
        <v>77</v>
      </c>
      <c r="C249" t="s">
        <v>78</v>
      </c>
      <c r="D249">
        <v>5297.31</v>
      </c>
    </row>
    <row r="250" spans="1:4" x14ac:dyDescent="0.25">
      <c r="A250" t="s">
        <v>22</v>
      </c>
      <c r="B250" t="s">
        <v>77</v>
      </c>
      <c r="C250" t="s">
        <v>79</v>
      </c>
      <c r="D250">
        <v>22300.11</v>
      </c>
    </row>
    <row r="251" spans="1:4" x14ac:dyDescent="0.25">
      <c r="A251" t="s">
        <v>22</v>
      </c>
      <c r="B251" t="s">
        <v>77</v>
      </c>
      <c r="C251" t="s">
        <v>80</v>
      </c>
      <c r="D251">
        <v>22300.11</v>
      </c>
    </row>
    <row r="252" spans="1:4" x14ac:dyDescent="0.25">
      <c r="A252" t="s">
        <v>22</v>
      </c>
      <c r="B252" t="s">
        <v>77</v>
      </c>
      <c r="C252" t="s">
        <v>118</v>
      </c>
      <c r="D252">
        <v>129770.42</v>
      </c>
    </row>
    <row r="253" spans="1:4" x14ac:dyDescent="0.25">
      <c r="A253" t="s">
        <v>22</v>
      </c>
      <c r="B253" t="s">
        <v>77</v>
      </c>
      <c r="C253" t="s">
        <v>97</v>
      </c>
      <c r="D253">
        <v>-38387.08</v>
      </c>
    </row>
    <row r="254" spans="1:4" x14ac:dyDescent="0.25">
      <c r="A254" t="s">
        <v>23</v>
      </c>
      <c r="B254" t="s">
        <v>77</v>
      </c>
      <c r="C254" t="s">
        <v>78</v>
      </c>
      <c r="D254">
        <v>-831.26</v>
      </c>
    </row>
    <row r="255" spans="1:4" x14ac:dyDescent="0.25">
      <c r="A255" t="s">
        <v>23</v>
      </c>
      <c r="B255" t="s">
        <v>77</v>
      </c>
      <c r="C255" t="s">
        <v>79</v>
      </c>
      <c r="D255">
        <v>-611.44000000000005</v>
      </c>
    </row>
    <row r="256" spans="1:4" x14ac:dyDescent="0.25">
      <c r="A256" t="s">
        <v>23</v>
      </c>
      <c r="B256" t="s">
        <v>77</v>
      </c>
      <c r="C256" t="s">
        <v>87</v>
      </c>
      <c r="D256">
        <v>11251.69</v>
      </c>
    </row>
    <row r="257" spans="1:4" x14ac:dyDescent="0.25">
      <c r="A257" t="s">
        <v>23</v>
      </c>
      <c r="B257" t="s">
        <v>77</v>
      </c>
      <c r="C257" t="s">
        <v>88</v>
      </c>
      <c r="D257">
        <v>4217.79</v>
      </c>
    </row>
    <row r="258" spans="1:4" x14ac:dyDescent="0.25">
      <c r="A258" t="s">
        <v>23</v>
      </c>
      <c r="B258" t="s">
        <v>77</v>
      </c>
      <c r="C258" t="s">
        <v>89</v>
      </c>
      <c r="D258">
        <v>18</v>
      </c>
    </row>
    <row r="259" spans="1:4" x14ac:dyDescent="0.25">
      <c r="A259" t="s">
        <v>23</v>
      </c>
      <c r="B259" t="s">
        <v>77</v>
      </c>
      <c r="C259" t="s">
        <v>114</v>
      </c>
      <c r="D259">
        <v>1996</v>
      </c>
    </row>
    <row r="260" spans="1:4" x14ac:dyDescent="0.25">
      <c r="A260" t="s">
        <v>23</v>
      </c>
      <c r="B260" t="s">
        <v>77</v>
      </c>
      <c r="C260" t="s">
        <v>94</v>
      </c>
      <c r="D260">
        <v>138.26</v>
      </c>
    </row>
    <row r="261" spans="1:4" x14ac:dyDescent="0.25">
      <c r="A261" t="s">
        <v>23</v>
      </c>
      <c r="B261" t="s">
        <v>77</v>
      </c>
      <c r="C261" t="s">
        <v>115</v>
      </c>
      <c r="D261">
        <v>3447</v>
      </c>
    </row>
    <row r="262" spans="1:4" x14ac:dyDescent="0.25">
      <c r="A262" t="s">
        <v>23</v>
      </c>
      <c r="B262" t="s">
        <v>77</v>
      </c>
      <c r="C262" t="s">
        <v>95</v>
      </c>
      <c r="D262">
        <v>18</v>
      </c>
    </row>
    <row r="263" spans="1:4" x14ac:dyDescent="0.25">
      <c r="A263" t="s">
        <v>23</v>
      </c>
      <c r="B263" t="s">
        <v>77</v>
      </c>
      <c r="C263" t="s">
        <v>96</v>
      </c>
      <c r="D263">
        <v>82</v>
      </c>
    </row>
    <row r="264" spans="1:4" x14ac:dyDescent="0.25">
      <c r="A264" t="s">
        <v>23</v>
      </c>
      <c r="B264" t="s">
        <v>77</v>
      </c>
      <c r="C264" t="s">
        <v>97</v>
      </c>
      <c r="D264">
        <v>-36822.1</v>
      </c>
    </row>
    <row r="265" spans="1:4" x14ac:dyDescent="0.25">
      <c r="A265" t="s">
        <v>23</v>
      </c>
      <c r="B265" t="s">
        <v>77</v>
      </c>
      <c r="C265" t="s">
        <v>98</v>
      </c>
      <c r="D265">
        <v>63</v>
      </c>
    </row>
    <row r="266" spans="1:4" x14ac:dyDescent="0.25">
      <c r="A266" t="s">
        <v>23</v>
      </c>
      <c r="B266" t="s">
        <v>77</v>
      </c>
      <c r="C266" t="s">
        <v>110</v>
      </c>
      <c r="D266">
        <v>2848.16</v>
      </c>
    </row>
    <row r="267" spans="1:4" x14ac:dyDescent="0.25">
      <c r="A267" t="s">
        <v>23</v>
      </c>
      <c r="B267" t="s">
        <v>77</v>
      </c>
      <c r="C267" t="s">
        <v>102</v>
      </c>
      <c r="D267">
        <v>2911.16</v>
      </c>
    </row>
    <row r="268" spans="1:4" x14ac:dyDescent="0.25">
      <c r="A268" t="s">
        <v>23</v>
      </c>
      <c r="B268" t="s">
        <v>77</v>
      </c>
      <c r="C268" t="s">
        <v>106</v>
      </c>
      <c r="D268">
        <v>2911.16</v>
      </c>
    </row>
    <row r="269" spans="1:4" x14ac:dyDescent="0.25">
      <c r="A269" t="s">
        <v>23</v>
      </c>
      <c r="B269" t="s">
        <v>77</v>
      </c>
      <c r="C269" t="s">
        <v>107</v>
      </c>
      <c r="D269">
        <v>38.5</v>
      </c>
    </row>
    <row r="270" spans="1:4" x14ac:dyDescent="0.25">
      <c r="A270" t="s">
        <v>23</v>
      </c>
      <c r="B270" t="s">
        <v>77</v>
      </c>
      <c r="C270" t="s">
        <v>108</v>
      </c>
      <c r="D270">
        <v>16</v>
      </c>
    </row>
    <row r="271" spans="1:4" x14ac:dyDescent="0.25">
      <c r="A271" t="s">
        <v>24</v>
      </c>
      <c r="B271" t="s">
        <v>77</v>
      </c>
      <c r="C271" t="s">
        <v>78</v>
      </c>
      <c r="D271">
        <v>1405.65</v>
      </c>
    </row>
    <row r="272" spans="1:4" x14ac:dyDescent="0.25">
      <c r="A272" t="s">
        <v>24</v>
      </c>
      <c r="B272" t="s">
        <v>77</v>
      </c>
      <c r="C272" t="s">
        <v>79</v>
      </c>
      <c r="D272">
        <v>1662.44</v>
      </c>
    </row>
    <row r="273" spans="1:4" x14ac:dyDescent="0.25">
      <c r="A273" t="s">
        <v>24</v>
      </c>
      <c r="B273" t="s">
        <v>77</v>
      </c>
      <c r="C273" t="s">
        <v>84</v>
      </c>
      <c r="D273">
        <v>1945.75</v>
      </c>
    </row>
    <row r="274" spans="1:4" x14ac:dyDescent="0.25">
      <c r="A274" t="s">
        <v>24</v>
      </c>
      <c r="B274" t="s">
        <v>77</v>
      </c>
      <c r="C274" t="s">
        <v>86</v>
      </c>
      <c r="D274">
        <v>1945.75</v>
      </c>
    </row>
    <row r="275" spans="1:4" x14ac:dyDescent="0.25">
      <c r="A275" t="s">
        <v>24</v>
      </c>
      <c r="B275" t="s">
        <v>77</v>
      </c>
      <c r="C275" t="s">
        <v>87</v>
      </c>
      <c r="D275">
        <v>35100.620000000003</v>
      </c>
    </row>
    <row r="276" spans="1:4" x14ac:dyDescent="0.25">
      <c r="A276" t="s">
        <v>24</v>
      </c>
      <c r="B276" t="s">
        <v>77</v>
      </c>
      <c r="C276" t="s">
        <v>88</v>
      </c>
      <c r="D276">
        <v>13373.35</v>
      </c>
    </row>
    <row r="277" spans="1:4" x14ac:dyDescent="0.25">
      <c r="A277" t="s">
        <v>24</v>
      </c>
      <c r="B277" t="s">
        <v>77</v>
      </c>
      <c r="C277" t="s">
        <v>89</v>
      </c>
      <c r="D277">
        <v>20</v>
      </c>
    </row>
    <row r="278" spans="1:4" x14ac:dyDescent="0.25">
      <c r="A278" t="s">
        <v>24</v>
      </c>
      <c r="B278" t="s">
        <v>77</v>
      </c>
      <c r="C278" t="s">
        <v>114</v>
      </c>
      <c r="D278">
        <v>6261</v>
      </c>
    </row>
    <row r="279" spans="1:4" x14ac:dyDescent="0.25">
      <c r="A279" t="s">
        <v>24</v>
      </c>
      <c r="B279" t="s">
        <v>77</v>
      </c>
      <c r="C279" t="s">
        <v>94</v>
      </c>
      <c r="D279">
        <v>331.75</v>
      </c>
    </row>
    <row r="280" spans="1:4" x14ac:dyDescent="0.25">
      <c r="A280" t="s">
        <v>24</v>
      </c>
      <c r="B280" t="s">
        <v>77</v>
      </c>
      <c r="C280" t="s">
        <v>115</v>
      </c>
      <c r="D280">
        <v>11003</v>
      </c>
    </row>
    <row r="281" spans="1:4" x14ac:dyDescent="0.25">
      <c r="A281" t="s">
        <v>24</v>
      </c>
      <c r="B281" t="s">
        <v>77</v>
      </c>
      <c r="C281" t="s">
        <v>95</v>
      </c>
      <c r="D281">
        <v>20</v>
      </c>
    </row>
    <row r="282" spans="1:4" x14ac:dyDescent="0.25">
      <c r="A282" t="s">
        <v>24</v>
      </c>
      <c r="B282" t="s">
        <v>77</v>
      </c>
      <c r="C282" t="s">
        <v>96</v>
      </c>
      <c r="D282">
        <v>102</v>
      </c>
    </row>
    <row r="283" spans="1:4" x14ac:dyDescent="0.25">
      <c r="A283" t="s">
        <v>24</v>
      </c>
      <c r="B283" t="s">
        <v>77</v>
      </c>
      <c r="C283" t="s">
        <v>97</v>
      </c>
      <c r="D283">
        <v>-163578.91</v>
      </c>
    </row>
    <row r="284" spans="1:4" x14ac:dyDescent="0.25">
      <c r="A284" t="s">
        <v>24</v>
      </c>
      <c r="B284" t="s">
        <v>77</v>
      </c>
      <c r="C284" t="s">
        <v>98</v>
      </c>
      <c r="D284">
        <v>2895.57</v>
      </c>
    </row>
    <row r="285" spans="1:4" x14ac:dyDescent="0.25">
      <c r="A285" t="s">
        <v>24</v>
      </c>
      <c r="B285" t="s">
        <v>77</v>
      </c>
      <c r="C285" t="s">
        <v>119</v>
      </c>
      <c r="D285">
        <v>21886.45</v>
      </c>
    </row>
    <row r="286" spans="1:4" x14ac:dyDescent="0.25">
      <c r="A286" t="s">
        <v>24</v>
      </c>
      <c r="B286" t="s">
        <v>77</v>
      </c>
      <c r="C286" t="s">
        <v>110</v>
      </c>
      <c r="D286">
        <v>221.81</v>
      </c>
    </row>
    <row r="287" spans="1:4" x14ac:dyDescent="0.25">
      <c r="A287" t="s">
        <v>24</v>
      </c>
      <c r="B287" t="s">
        <v>77</v>
      </c>
      <c r="C287" t="s">
        <v>102</v>
      </c>
      <c r="D287">
        <v>25003.83</v>
      </c>
    </row>
    <row r="288" spans="1:4" x14ac:dyDescent="0.25">
      <c r="A288" t="s">
        <v>24</v>
      </c>
      <c r="B288" t="s">
        <v>77</v>
      </c>
      <c r="C288" t="s">
        <v>106</v>
      </c>
      <c r="D288">
        <v>25003.83</v>
      </c>
    </row>
    <row r="289" spans="1:4" x14ac:dyDescent="0.25">
      <c r="A289" t="s">
        <v>24</v>
      </c>
      <c r="B289" t="s">
        <v>77</v>
      </c>
      <c r="C289" t="s">
        <v>107</v>
      </c>
      <c r="D289">
        <v>36.86</v>
      </c>
    </row>
    <row r="290" spans="1:4" x14ac:dyDescent="0.25">
      <c r="A290" t="s">
        <v>24</v>
      </c>
      <c r="B290" t="s">
        <v>77</v>
      </c>
      <c r="C290" t="s">
        <v>108</v>
      </c>
      <c r="D290">
        <v>16</v>
      </c>
    </row>
    <row r="291" spans="1:4" x14ac:dyDescent="0.25">
      <c r="A291" t="s">
        <v>24</v>
      </c>
      <c r="B291" t="s">
        <v>77</v>
      </c>
      <c r="C291" t="s">
        <v>113</v>
      </c>
      <c r="D291">
        <v>3.5</v>
      </c>
    </row>
    <row r="292" spans="1:4" x14ac:dyDescent="0.25">
      <c r="A292" t="s">
        <v>25</v>
      </c>
      <c r="B292" t="s">
        <v>77</v>
      </c>
      <c r="C292" t="s">
        <v>78</v>
      </c>
      <c r="D292">
        <v>-7037.62</v>
      </c>
    </row>
    <row r="293" spans="1:4" x14ac:dyDescent="0.25">
      <c r="A293" t="s">
        <v>25</v>
      </c>
      <c r="B293" t="s">
        <v>77</v>
      </c>
      <c r="C293" t="s">
        <v>79</v>
      </c>
      <c r="D293">
        <v>10.5</v>
      </c>
    </row>
    <row r="294" spans="1:4" x14ac:dyDescent="0.25">
      <c r="A294" t="s">
        <v>25</v>
      </c>
      <c r="B294" t="s">
        <v>77</v>
      </c>
      <c r="C294" t="s">
        <v>84</v>
      </c>
      <c r="D294">
        <v>20.5</v>
      </c>
    </row>
    <row r="295" spans="1:4" x14ac:dyDescent="0.25">
      <c r="A295" t="s">
        <v>25</v>
      </c>
      <c r="B295" t="s">
        <v>77</v>
      </c>
      <c r="C295" t="s">
        <v>86</v>
      </c>
      <c r="D295">
        <v>20.5</v>
      </c>
    </row>
    <row r="296" spans="1:4" x14ac:dyDescent="0.25">
      <c r="A296" t="s">
        <v>25</v>
      </c>
      <c r="B296" t="s">
        <v>77</v>
      </c>
      <c r="C296" t="s">
        <v>87</v>
      </c>
      <c r="D296">
        <v>19488.52</v>
      </c>
    </row>
    <row r="297" spans="1:4" x14ac:dyDescent="0.25">
      <c r="A297" t="s">
        <v>25</v>
      </c>
      <c r="B297" t="s">
        <v>77</v>
      </c>
      <c r="C297" t="s">
        <v>88</v>
      </c>
      <c r="D297">
        <v>6718.68</v>
      </c>
    </row>
    <row r="298" spans="1:4" x14ac:dyDescent="0.25">
      <c r="A298" t="s">
        <v>25</v>
      </c>
      <c r="B298" t="s">
        <v>77</v>
      </c>
      <c r="C298" t="s">
        <v>89</v>
      </c>
      <c r="D298">
        <v>19</v>
      </c>
    </row>
    <row r="299" spans="1:4" x14ac:dyDescent="0.25">
      <c r="A299" t="s">
        <v>25</v>
      </c>
      <c r="B299" t="s">
        <v>77</v>
      </c>
      <c r="C299" t="s">
        <v>120</v>
      </c>
      <c r="D299">
        <v>4186</v>
      </c>
    </row>
    <row r="300" spans="1:4" x14ac:dyDescent="0.25">
      <c r="A300" t="s">
        <v>25</v>
      </c>
      <c r="B300" t="s">
        <v>77</v>
      </c>
      <c r="C300" t="s">
        <v>114</v>
      </c>
      <c r="D300">
        <v>2306</v>
      </c>
    </row>
    <row r="301" spans="1:4" x14ac:dyDescent="0.25">
      <c r="A301" t="s">
        <v>25</v>
      </c>
      <c r="B301" t="s">
        <v>77</v>
      </c>
      <c r="C301" t="s">
        <v>94</v>
      </c>
      <c r="D301">
        <v>206.5</v>
      </c>
    </row>
    <row r="302" spans="1:4" x14ac:dyDescent="0.25">
      <c r="A302" t="s">
        <v>25</v>
      </c>
      <c r="B302" t="s">
        <v>77</v>
      </c>
      <c r="C302" t="s">
        <v>115</v>
      </c>
      <c r="D302">
        <v>4186</v>
      </c>
    </row>
    <row r="303" spans="1:4" x14ac:dyDescent="0.25">
      <c r="A303" t="s">
        <v>25</v>
      </c>
      <c r="B303" t="s">
        <v>77</v>
      </c>
      <c r="C303" t="s">
        <v>95</v>
      </c>
      <c r="D303">
        <v>20</v>
      </c>
    </row>
    <row r="304" spans="1:4" x14ac:dyDescent="0.25">
      <c r="A304" t="s">
        <v>25</v>
      </c>
      <c r="B304" t="s">
        <v>77</v>
      </c>
      <c r="C304" t="s">
        <v>96</v>
      </c>
      <c r="D304">
        <v>102</v>
      </c>
    </row>
    <row r="305" spans="1:4" x14ac:dyDescent="0.25">
      <c r="A305" t="s">
        <v>25</v>
      </c>
      <c r="B305" t="s">
        <v>77</v>
      </c>
      <c r="C305" t="s">
        <v>97</v>
      </c>
      <c r="D305">
        <v>-79480.28</v>
      </c>
    </row>
    <row r="306" spans="1:4" x14ac:dyDescent="0.25">
      <c r="A306" t="s">
        <v>25</v>
      </c>
      <c r="B306" t="s">
        <v>77</v>
      </c>
      <c r="C306" t="s">
        <v>98</v>
      </c>
      <c r="D306">
        <v>2577.54</v>
      </c>
    </row>
    <row r="307" spans="1:4" x14ac:dyDescent="0.25">
      <c r="A307" t="s">
        <v>25</v>
      </c>
      <c r="B307" t="s">
        <v>77</v>
      </c>
      <c r="C307" t="s">
        <v>110</v>
      </c>
      <c r="D307">
        <v>602.51</v>
      </c>
    </row>
    <row r="308" spans="1:4" x14ac:dyDescent="0.25">
      <c r="A308" t="s">
        <v>25</v>
      </c>
      <c r="B308" t="s">
        <v>77</v>
      </c>
      <c r="C308" t="s">
        <v>111</v>
      </c>
      <c r="D308">
        <v>2823.75</v>
      </c>
    </row>
    <row r="309" spans="1:4" x14ac:dyDescent="0.25">
      <c r="A309" t="s">
        <v>25</v>
      </c>
      <c r="B309" t="s">
        <v>77</v>
      </c>
      <c r="C309" t="s">
        <v>100</v>
      </c>
      <c r="D309">
        <v>774.02</v>
      </c>
    </row>
    <row r="310" spans="1:4" x14ac:dyDescent="0.25">
      <c r="A310" t="s">
        <v>25</v>
      </c>
      <c r="B310" t="s">
        <v>77</v>
      </c>
      <c r="C310" t="s">
        <v>101</v>
      </c>
      <c r="D310">
        <v>2003.55</v>
      </c>
    </row>
    <row r="311" spans="1:4" x14ac:dyDescent="0.25">
      <c r="A311" t="s">
        <v>25</v>
      </c>
      <c r="B311" t="s">
        <v>77</v>
      </c>
      <c r="C311" t="s">
        <v>102</v>
      </c>
      <c r="D311">
        <v>6003.8</v>
      </c>
    </row>
    <row r="312" spans="1:4" x14ac:dyDescent="0.25">
      <c r="A312" t="s">
        <v>25</v>
      </c>
      <c r="B312" t="s">
        <v>77</v>
      </c>
      <c r="C312" t="s">
        <v>104</v>
      </c>
      <c r="D312">
        <v>2003.55</v>
      </c>
    </row>
    <row r="313" spans="1:4" x14ac:dyDescent="0.25">
      <c r="A313" t="s">
        <v>25</v>
      </c>
      <c r="B313" t="s">
        <v>77</v>
      </c>
      <c r="C313" t="s">
        <v>105</v>
      </c>
      <c r="D313">
        <v>2777.57</v>
      </c>
    </row>
    <row r="314" spans="1:4" x14ac:dyDescent="0.25">
      <c r="A314" t="s">
        <v>25</v>
      </c>
      <c r="B314" t="s">
        <v>77</v>
      </c>
      <c r="C314" t="s">
        <v>106</v>
      </c>
      <c r="D314">
        <v>6003.8</v>
      </c>
    </row>
    <row r="315" spans="1:4" x14ac:dyDescent="0.25">
      <c r="A315" t="s">
        <v>25</v>
      </c>
      <c r="B315" t="s">
        <v>77</v>
      </c>
      <c r="C315" t="s">
        <v>107</v>
      </c>
      <c r="D315">
        <v>48.75</v>
      </c>
    </row>
    <row r="316" spans="1:4" x14ac:dyDescent="0.25">
      <c r="A316" t="s">
        <v>25</v>
      </c>
      <c r="B316" t="s">
        <v>77</v>
      </c>
      <c r="C316" t="s">
        <v>108</v>
      </c>
      <c r="D316">
        <v>16</v>
      </c>
    </row>
    <row r="317" spans="1:4" x14ac:dyDescent="0.25">
      <c r="A317" t="s">
        <v>26</v>
      </c>
      <c r="B317" t="s">
        <v>77</v>
      </c>
      <c r="C317" t="s">
        <v>78</v>
      </c>
      <c r="D317">
        <v>-7505.72</v>
      </c>
    </row>
    <row r="318" spans="1:4" x14ac:dyDescent="0.25">
      <c r="A318" t="s">
        <v>26</v>
      </c>
      <c r="B318" t="s">
        <v>77</v>
      </c>
      <c r="C318" t="s">
        <v>79</v>
      </c>
      <c r="D318">
        <v>3000.19</v>
      </c>
    </row>
    <row r="319" spans="1:4" x14ac:dyDescent="0.25">
      <c r="A319" t="s">
        <v>26</v>
      </c>
      <c r="B319" t="s">
        <v>77</v>
      </c>
      <c r="C319" t="s">
        <v>80</v>
      </c>
      <c r="D319">
        <v>2383.0500000000002</v>
      </c>
    </row>
    <row r="320" spans="1:4" x14ac:dyDescent="0.25">
      <c r="A320" t="s">
        <v>26</v>
      </c>
      <c r="B320" t="s">
        <v>77</v>
      </c>
      <c r="C320" t="s">
        <v>81</v>
      </c>
      <c r="D320">
        <v>617.14</v>
      </c>
    </row>
    <row r="321" spans="1:4" x14ac:dyDescent="0.25">
      <c r="A321" t="s">
        <v>26</v>
      </c>
      <c r="B321" t="s">
        <v>77</v>
      </c>
      <c r="C321" t="s">
        <v>87</v>
      </c>
      <c r="D321">
        <v>5287.16</v>
      </c>
    </row>
    <row r="322" spans="1:4" x14ac:dyDescent="0.25">
      <c r="A322" t="s">
        <v>26</v>
      </c>
      <c r="B322" t="s">
        <v>77</v>
      </c>
      <c r="C322" t="s">
        <v>88</v>
      </c>
      <c r="D322">
        <v>1685.4</v>
      </c>
    </row>
    <row r="323" spans="1:4" x14ac:dyDescent="0.25">
      <c r="A323" t="s">
        <v>26</v>
      </c>
      <c r="B323" t="s">
        <v>77</v>
      </c>
      <c r="C323" t="s">
        <v>89</v>
      </c>
      <c r="D323">
        <v>22</v>
      </c>
    </row>
    <row r="324" spans="1:4" x14ac:dyDescent="0.25">
      <c r="A324" t="s">
        <v>26</v>
      </c>
      <c r="B324" t="s">
        <v>77</v>
      </c>
      <c r="C324" t="s">
        <v>114</v>
      </c>
      <c r="D324">
        <v>1279</v>
      </c>
    </row>
    <row r="325" spans="1:4" x14ac:dyDescent="0.25">
      <c r="A325" t="s">
        <v>26</v>
      </c>
      <c r="B325" t="s">
        <v>77</v>
      </c>
      <c r="C325" t="s">
        <v>94</v>
      </c>
      <c r="D325">
        <v>553.16999999999996</v>
      </c>
    </row>
    <row r="326" spans="1:4" x14ac:dyDescent="0.25">
      <c r="A326" t="s">
        <v>26</v>
      </c>
      <c r="B326" t="s">
        <v>77</v>
      </c>
      <c r="C326" t="s">
        <v>115</v>
      </c>
      <c r="D326">
        <v>1281</v>
      </c>
    </row>
    <row r="327" spans="1:4" x14ac:dyDescent="0.25">
      <c r="A327" t="s">
        <v>26</v>
      </c>
      <c r="B327" t="s">
        <v>77</v>
      </c>
      <c r="C327" t="s">
        <v>95</v>
      </c>
      <c r="D327">
        <v>18</v>
      </c>
    </row>
    <row r="328" spans="1:4" x14ac:dyDescent="0.25">
      <c r="A328" t="s">
        <v>26</v>
      </c>
      <c r="B328" t="s">
        <v>77</v>
      </c>
      <c r="C328" t="s">
        <v>96</v>
      </c>
      <c r="D328">
        <v>329</v>
      </c>
    </row>
    <row r="329" spans="1:4" x14ac:dyDescent="0.25">
      <c r="A329" t="s">
        <v>26</v>
      </c>
      <c r="B329" t="s">
        <v>77</v>
      </c>
      <c r="C329" t="s">
        <v>97</v>
      </c>
      <c r="D329">
        <v>-42258.14</v>
      </c>
    </row>
    <row r="330" spans="1:4" x14ac:dyDescent="0.25">
      <c r="A330" t="s">
        <v>26</v>
      </c>
      <c r="B330" t="s">
        <v>77</v>
      </c>
      <c r="C330" t="s">
        <v>98</v>
      </c>
      <c r="D330">
        <v>2146.11</v>
      </c>
    </row>
    <row r="331" spans="1:4" x14ac:dyDescent="0.25">
      <c r="A331" t="s">
        <v>26</v>
      </c>
      <c r="B331" t="s">
        <v>77</v>
      </c>
      <c r="C331" t="s">
        <v>110</v>
      </c>
      <c r="D331">
        <v>56.94</v>
      </c>
    </row>
    <row r="332" spans="1:4" x14ac:dyDescent="0.25">
      <c r="A332" t="s">
        <v>26</v>
      </c>
      <c r="B332" t="s">
        <v>77</v>
      </c>
      <c r="C332" t="s">
        <v>99</v>
      </c>
      <c r="D332">
        <v>166</v>
      </c>
    </row>
    <row r="333" spans="1:4" x14ac:dyDescent="0.25">
      <c r="A333" t="s">
        <v>26</v>
      </c>
      <c r="B333" t="s">
        <v>77</v>
      </c>
      <c r="C333" t="s">
        <v>111</v>
      </c>
      <c r="D333">
        <v>2142.7399999999998</v>
      </c>
    </row>
    <row r="334" spans="1:4" x14ac:dyDescent="0.25">
      <c r="A334" t="s">
        <v>26</v>
      </c>
      <c r="B334" t="s">
        <v>77</v>
      </c>
      <c r="C334" t="s">
        <v>100</v>
      </c>
      <c r="D334">
        <v>423.45</v>
      </c>
    </row>
    <row r="335" spans="1:4" x14ac:dyDescent="0.25">
      <c r="A335" t="s">
        <v>26</v>
      </c>
      <c r="B335" t="s">
        <v>77</v>
      </c>
      <c r="C335" t="s">
        <v>101</v>
      </c>
      <c r="D335">
        <v>1698.38</v>
      </c>
    </row>
    <row r="336" spans="1:4" x14ac:dyDescent="0.25">
      <c r="A336" t="s">
        <v>26</v>
      </c>
      <c r="B336" t="s">
        <v>77</v>
      </c>
      <c r="C336" t="s">
        <v>102</v>
      </c>
      <c r="D336">
        <v>4511.79</v>
      </c>
    </row>
    <row r="337" spans="1:4" x14ac:dyDescent="0.25">
      <c r="A337" t="s">
        <v>26</v>
      </c>
      <c r="B337" t="s">
        <v>77</v>
      </c>
      <c r="C337" t="s">
        <v>104</v>
      </c>
      <c r="D337">
        <v>1698.38</v>
      </c>
    </row>
    <row r="338" spans="1:4" x14ac:dyDescent="0.25">
      <c r="A338" t="s">
        <v>26</v>
      </c>
      <c r="B338" t="s">
        <v>77</v>
      </c>
      <c r="C338" t="s">
        <v>105</v>
      </c>
      <c r="D338">
        <v>2121.83</v>
      </c>
    </row>
    <row r="339" spans="1:4" x14ac:dyDescent="0.25">
      <c r="A339" t="s">
        <v>26</v>
      </c>
      <c r="B339" t="s">
        <v>77</v>
      </c>
      <c r="C339" t="s">
        <v>106</v>
      </c>
      <c r="D339">
        <v>4511.79</v>
      </c>
    </row>
    <row r="340" spans="1:4" x14ac:dyDescent="0.25">
      <c r="A340" t="s">
        <v>26</v>
      </c>
      <c r="B340" t="s">
        <v>77</v>
      </c>
      <c r="C340" t="s">
        <v>107</v>
      </c>
      <c r="D340">
        <v>13.25</v>
      </c>
    </row>
    <row r="341" spans="1:4" x14ac:dyDescent="0.25">
      <c r="A341" t="s">
        <v>26</v>
      </c>
      <c r="B341" t="s">
        <v>77</v>
      </c>
      <c r="C341" t="s">
        <v>108</v>
      </c>
      <c r="D341">
        <v>16</v>
      </c>
    </row>
    <row r="342" spans="1:4" x14ac:dyDescent="0.25">
      <c r="A342" t="s">
        <v>27</v>
      </c>
      <c r="B342" t="s">
        <v>77</v>
      </c>
      <c r="C342" t="s">
        <v>78</v>
      </c>
      <c r="D342">
        <v>-19497.559999999998</v>
      </c>
    </row>
    <row r="343" spans="1:4" x14ac:dyDescent="0.25">
      <c r="A343" t="s">
        <v>27</v>
      </c>
      <c r="B343" t="s">
        <v>77</v>
      </c>
      <c r="C343" t="s">
        <v>94</v>
      </c>
      <c r="D343">
        <v>0.04</v>
      </c>
    </row>
    <row r="344" spans="1:4" x14ac:dyDescent="0.25">
      <c r="A344" t="s">
        <v>27</v>
      </c>
      <c r="B344" t="s">
        <v>77</v>
      </c>
      <c r="C344" t="s">
        <v>109</v>
      </c>
      <c r="D344">
        <v>0.04</v>
      </c>
    </row>
    <row r="345" spans="1:4" x14ac:dyDescent="0.25">
      <c r="A345" t="s">
        <v>27</v>
      </c>
      <c r="B345" t="s">
        <v>77</v>
      </c>
      <c r="C345" t="s">
        <v>99</v>
      </c>
      <c r="D345">
        <v>384.18</v>
      </c>
    </row>
    <row r="346" spans="1:4" x14ac:dyDescent="0.25">
      <c r="A346" t="s">
        <v>27</v>
      </c>
      <c r="B346" t="s">
        <v>77</v>
      </c>
      <c r="C346" t="s">
        <v>102</v>
      </c>
      <c r="D346">
        <v>384.18</v>
      </c>
    </row>
    <row r="347" spans="1:4" x14ac:dyDescent="0.25">
      <c r="A347" t="s">
        <v>27</v>
      </c>
      <c r="B347" t="s">
        <v>77</v>
      </c>
      <c r="C347" t="s">
        <v>106</v>
      </c>
      <c r="D347">
        <v>384.18</v>
      </c>
    </row>
    <row r="348" spans="1:4" x14ac:dyDescent="0.25">
      <c r="A348" t="s">
        <v>28</v>
      </c>
      <c r="B348" t="s">
        <v>77</v>
      </c>
      <c r="C348" t="s">
        <v>2</v>
      </c>
      <c r="D348" t="s">
        <v>28</v>
      </c>
    </row>
    <row r="349" spans="1:4" x14ac:dyDescent="0.25">
      <c r="A349" t="s">
        <v>29</v>
      </c>
      <c r="B349" t="s">
        <v>77</v>
      </c>
      <c r="C349" t="s">
        <v>78</v>
      </c>
      <c r="D349">
        <v>1742.9899999999998</v>
      </c>
    </row>
    <row r="350" spans="1:4" x14ac:dyDescent="0.25">
      <c r="A350" t="s">
        <v>29</v>
      </c>
      <c r="B350" t="s">
        <v>77</v>
      </c>
      <c r="C350" t="s">
        <v>87</v>
      </c>
      <c r="D350">
        <v>25093.54</v>
      </c>
    </row>
    <row r="351" spans="1:4" x14ac:dyDescent="0.25">
      <c r="A351" t="s">
        <v>29</v>
      </c>
      <c r="B351" t="s">
        <v>77</v>
      </c>
      <c r="C351" t="s">
        <v>88</v>
      </c>
      <c r="D351">
        <v>9765.8799999999992</v>
      </c>
    </row>
    <row r="352" spans="1:4" x14ac:dyDescent="0.25">
      <c r="A352" t="s">
        <v>29</v>
      </c>
      <c r="B352" t="s">
        <v>77</v>
      </c>
      <c r="C352" t="s">
        <v>89</v>
      </c>
      <c r="D352">
        <v>19</v>
      </c>
    </row>
    <row r="353" spans="1:4" x14ac:dyDescent="0.25">
      <c r="A353" t="s">
        <v>29</v>
      </c>
      <c r="B353" t="s">
        <v>77</v>
      </c>
      <c r="C353" t="s">
        <v>94</v>
      </c>
      <c r="D353">
        <v>257.19</v>
      </c>
    </row>
    <row r="354" spans="1:4" x14ac:dyDescent="0.25">
      <c r="A354" t="s">
        <v>29</v>
      </c>
      <c r="B354" t="s">
        <v>77</v>
      </c>
      <c r="C354" t="s">
        <v>115</v>
      </c>
      <c r="D354">
        <v>9632</v>
      </c>
    </row>
    <row r="355" spans="1:4" x14ac:dyDescent="0.25">
      <c r="A355" t="s">
        <v>29</v>
      </c>
      <c r="B355" t="s">
        <v>77</v>
      </c>
      <c r="C355" t="s">
        <v>95</v>
      </c>
      <c r="D355">
        <v>18</v>
      </c>
    </row>
    <row r="356" spans="1:4" x14ac:dyDescent="0.25">
      <c r="A356" t="s">
        <v>29</v>
      </c>
      <c r="B356" t="s">
        <v>77</v>
      </c>
      <c r="C356" t="s">
        <v>96</v>
      </c>
      <c r="D356">
        <v>87</v>
      </c>
    </row>
    <row r="357" spans="1:4" x14ac:dyDescent="0.25">
      <c r="A357" t="s">
        <v>29</v>
      </c>
      <c r="B357" t="s">
        <v>77</v>
      </c>
      <c r="C357" t="s">
        <v>97</v>
      </c>
      <c r="D357">
        <v>-101248.09</v>
      </c>
    </row>
    <row r="358" spans="1:4" x14ac:dyDescent="0.25">
      <c r="A358" t="s">
        <v>29</v>
      </c>
      <c r="B358" t="s">
        <v>77</v>
      </c>
      <c r="C358" t="s">
        <v>98</v>
      </c>
      <c r="D358">
        <v>3117.35</v>
      </c>
    </row>
    <row r="359" spans="1:4" x14ac:dyDescent="0.25">
      <c r="A359" t="s">
        <v>29</v>
      </c>
      <c r="B359" t="s">
        <v>77</v>
      </c>
      <c r="C359" t="s">
        <v>119</v>
      </c>
      <c r="D359">
        <v>15244.21</v>
      </c>
    </row>
    <row r="360" spans="1:4" x14ac:dyDescent="0.25">
      <c r="A360" t="s">
        <v>29</v>
      </c>
      <c r="B360" t="s">
        <v>77</v>
      </c>
      <c r="C360" t="s">
        <v>99</v>
      </c>
      <c r="D360">
        <v>232.24</v>
      </c>
    </row>
    <row r="361" spans="1:4" x14ac:dyDescent="0.25">
      <c r="A361" t="s">
        <v>29</v>
      </c>
      <c r="B361" t="s">
        <v>77</v>
      </c>
      <c r="C361" t="s">
        <v>102</v>
      </c>
      <c r="D361">
        <v>18593.8</v>
      </c>
    </row>
    <row r="362" spans="1:4" x14ac:dyDescent="0.25">
      <c r="A362" t="s">
        <v>29</v>
      </c>
      <c r="B362" t="s">
        <v>77</v>
      </c>
      <c r="C362" t="s">
        <v>106</v>
      </c>
      <c r="D362">
        <v>18593.8</v>
      </c>
    </row>
    <row r="363" spans="1:4" x14ac:dyDescent="0.25">
      <c r="A363" t="s">
        <v>29</v>
      </c>
      <c r="B363" t="s">
        <v>77</v>
      </c>
      <c r="C363" t="s">
        <v>107</v>
      </c>
      <c r="D363">
        <v>5</v>
      </c>
    </row>
    <row r="364" spans="1:4" x14ac:dyDescent="0.25">
      <c r="A364" t="s">
        <v>29</v>
      </c>
      <c r="B364" t="s">
        <v>77</v>
      </c>
      <c r="C364" t="s">
        <v>108</v>
      </c>
      <c r="D364">
        <v>16</v>
      </c>
    </row>
    <row r="365" spans="1:4" x14ac:dyDescent="0.25">
      <c r="A365" t="s">
        <v>30</v>
      </c>
      <c r="B365" t="s">
        <v>77</v>
      </c>
      <c r="C365" t="s">
        <v>78</v>
      </c>
      <c r="D365">
        <v>-5225.0000000000018</v>
      </c>
    </row>
    <row r="366" spans="1:4" x14ac:dyDescent="0.25">
      <c r="A366" t="s">
        <v>30</v>
      </c>
      <c r="B366" t="s">
        <v>77</v>
      </c>
      <c r="C366" t="s">
        <v>79</v>
      </c>
      <c r="D366">
        <v>3617.14</v>
      </c>
    </row>
    <row r="367" spans="1:4" x14ac:dyDescent="0.25">
      <c r="A367" t="s">
        <v>30</v>
      </c>
      <c r="B367" t="s">
        <v>77</v>
      </c>
      <c r="C367" t="s">
        <v>109</v>
      </c>
      <c r="D367">
        <v>3986.39</v>
      </c>
    </row>
    <row r="368" spans="1:4" x14ac:dyDescent="0.25">
      <c r="A368" t="s">
        <v>30</v>
      </c>
      <c r="B368" t="s">
        <v>77</v>
      </c>
      <c r="C368" t="s">
        <v>98</v>
      </c>
      <c r="D368">
        <v>21103.19</v>
      </c>
    </row>
    <row r="369" spans="1:4" x14ac:dyDescent="0.25">
      <c r="A369" t="s">
        <v>30</v>
      </c>
      <c r="B369" t="s">
        <v>77</v>
      </c>
      <c r="C369" t="s">
        <v>100</v>
      </c>
      <c r="D369">
        <v>141.19999999999999</v>
      </c>
    </row>
    <row r="370" spans="1:4" x14ac:dyDescent="0.25">
      <c r="A370" t="s">
        <v>30</v>
      </c>
      <c r="B370" t="s">
        <v>77</v>
      </c>
      <c r="C370" t="s">
        <v>101</v>
      </c>
      <c r="D370">
        <v>6446.08</v>
      </c>
    </row>
    <row r="371" spans="1:4" x14ac:dyDescent="0.25">
      <c r="A371" t="s">
        <v>30</v>
      </c>
      <c r="B371" t="s">
        <v>77</v>
      </c>
      <c r="C371" t="s">
        <v>102</v>
      </c>
      <c r="D371">
        <v>21103.19</v>
      </c>
    </row>
    <row r="372" spans="1:4" x14ac:dyDescent="0.25">
      <c r="A372" t="s">
        <v>30</v>
      </c>
      <c r="B372" t="s">
        <v>77</v>
      </c>
      <c r="C372" t="s">
        <v>104</v>
      </c>
      <c r="D372">
        <v>6446.08</v>
      </c>
    </row>
    <row r="373" spans="1:4" x14ac:dyDescent="0.25">
      <c r="A373" t="s">
        <v>30</v>
      </c>
      <c r="B373" t="s">
        <v>77</v>
      </c>
      <c r="C373" t="s">
        <v>105</v>
      </c>
      <c r="D373">
        <v>6587.28</v>
      </c>
    </row>
    <row r="374" spans="1:4" x14ac:dyDescent="0.25">
      <c r="A374" t="s">
        <v>30</v>
      </c>
      <c r="B374" t="s">
        <v>77</v>
      </c>
      <c r="C374" t="s">
        <v>106</v>
      </c>
      <c r="D374">
        <v>21103.19</v>
      </c>
    </row>
    <row r="375" spans="1:4" x14ac:dyDescent="0.25">
      <c r="A375" t="s">
        <v>30</v>
      </c>
      <c r="B375" t="s">
        <v>77</v>
      </c>
      <c r="C375" t="s">
        <v>121</v>
      </c>
      <c r="D375">
        <v>252</v>
      </c>
    </row>
    <row r="376" spans="1:4" x14ac:dyDescent="0.25">
      <c r="A376" t="s">
        <v>30</v>
      </c>
      <c r="B376" t="s">
        <v>77</v>
      </c>
      <c r="C376" t="s">
        <v>122</v>
      </c>
      <c r="D376">
        <v>97</v>
      </c>
    </row>
    <row r="377" spans="1:4" x14ac:dyDescent="0.25">
      <c r="A377" t="s">
        <v>30</v>
      </c>
      <c r="B377" t="s">
        <v>77</v>
      </c>
      <c r="C377" t="s">
        <v>123</v>
      </c>
      <c r="D377">
        <v>1.08</v>
      </c>
    </row>
    <row r="378" spans="1:4" x14ac:dyDescent="0.25">
      <c r="A378" t="s">
        <v>30</v>
      </c>
      <c r="B378" t="s">
        <v>77</v>
      </c>
      <c r="C378" t="s">
        <v>124</v>
      </c>
      <c r="D378">
        <v>448</v>
      </c>
    </row>
    <row r="379" spans="1:4" x14ac:dyDescent="0.25">
      <c r="A379" t="s">
        <v>31</v>
      </c>
      <c r="B379" t="s">
        <v>77</v>
      </c>
      <c r="C379" t="s">
        <v>78</v>
      </c>
      <c r="D379">
        <v>9935.7000000000007</v>
      </c>
    </row>
    <row r="380" spans="1:4" x14ac:dyDescent="0.25">
      <c r="A380" t="s">
        <v>31</v>
      </c>
      <c r="B380" t="s">
        <v>77</v>
      </c>
      <c r="C380" t="s">
        <v>94</v>
      </c>
      <c r="D380">
        <v>326.89999999999998</v>
      </c>
    </row>
    <row r="381" spans="1:4" x14ac:dyDescent="0.25">
      <c r="A381" t="s">
        <v>31</v>
      </c>
      <c r="B381" t="s">
        <v>77</v>
      </c>
      <c r="C381" t="s">
        <v>97</v>
      </c>
      <c r="D381">
        <v>-67107.710000000006</v>
      </c>
    </row>
    <row r="382" spans="1:4" x14ac:dyDescent="0.25">
      <c r="A382" t="s">
        <v>31</v>
      </c>
      <c r="B382" t="s">
        <v>77</v>
      </c>
      <c r="C382" t="s">
        <v>119</v>
      </c>
      <c r="D382">
        <v>8961.2900000000009</v>
      </c>
    </row>
    <row r="383" spans="1:4" x14ac:dyDescent="0.25">
      <c r="A383" t="s">
        <v>31</v>
      </c>
      <c r="B383" t="s">
        <v>77</v>
      </c>
      <c r="C383" t="s">
        <v>102</v>
      </c>
      <c r="D383">
        <v>8961.2900000000009</v>
      </c>
    </row>
    <row r="384" spans="1:4" x14ac:dyDescent="0.25">
      <c r="A384" t="s">
        <v>31</v>
      </c>
      <c r="B384" t="s">
        <v>77</v>
      </c>
      <c r="C384" t="s">
        <v>106</v>
      </c>
      <c r="D384">
        <v>8961.2900000000009</v>
      </c>
    </row>
    <row r="385" spans="1:4" x14ac:dyDescent="0.25">
      <c r="A385" t="s">
        <v>32</v>
      </c>
      <c r="B385" t="s">
        <v>77</v>
      </c>
      <c r="C385" t="s">
        <v>78</v>
      </c>
      <c r="D385">
        <v>-26.55</v>
      </c>
    </row>
    <row r="386" spans="1:4" x14ac:dyDescent="0.25">
      <c r="A386" t="s">
        <v>32</v>
      </c>
      <c r="B386" t="s">
        <v>77</v>
      </c>
      <c r="C386" t="s">
        <v>97</v>
      </c>
      <c r="D386">
        <v>-1425.04</v>
      </c>
    </row>
    <row r="387" spans="1:4" x14ac:dyDescent="0.25">
      <c r="A387" t="s">
        <v>33</v>
      </c>
      <c r="B387" t="s">
        <v>77</v>
      </c>
      <c r="C387" t="s">
        <v>78</v>
      </c>
      <c r="D387">
        <v>288905.94</v>
      </c>
    </row>
    <row r="388" spans="1:4" x14ac:dyDescent="0.25">
      <c r="A388" t="s">
        <v>33</v>
      </c>
      <c r="B388" t="s">
        <v>77</v>
      </c>
      <c r="C388" t="s">
        <v>79</v>
      </c>
      <c r="D388">
        <v>71148.55</v>
      </c>
    </row>
    <row r="389" spans="1:4" x14ac:dyDescent="0.25">
      <c r="A389" t="s">
        <v>33</v>
      </c>
      <c r="B389" t="s">
        <v>77</v>
      </c>
      <c r="C389" t="s">
        <v>80</v>
      </c>
      <c r="D389">
        <v>72604.56</v>
      </c>
    </row>
    <row r="390" spans="1:4" x14ac:dyDescent="0.25">
      <c r="A390" t="s">
        <v>33</v>
      </c>
      <c r="B390" t="s">
        <v>77</v>
      </c>
      <c r="C390" t="s">
        <v>81</v>
      </c>
      <c r="D390">
        <v>199.55</v>
      </c>
    </row>
    <row r="391" spans="1:4" x14ac:dyDescent="0.25">
      <c r="A391" t="s">
        <v>33</v>
      </c>
      <c r="B391" t="s">
        <v>77</v>
      </c>
      <c r="C391" t="s">
        <v>84</v>
      </c>
      <c r="D391">
        <v>-329.56</v>
      </c>
    </row>
    <row r="392" spans="1:4" x14ac:dyDescent="0.25">
      <c r="A392" t="s">
        <v>33</v>
      </c>
      <c r="B392" t="s">
        <v>77</v>
      </c>
      <c r="C392" t="s">
        <v>85</v>
      </c>
      <c r="D392">
        <v>-699.35</v>
      </c>
    </row>
    <row r="393" spans="1:4" x14ac:dyDescent="0.25">
      <c r="A393" t="s">
        <v>33</v>
      </c>
      <c r="B393" t="s">
        <v>77</v>
      </c>
      <c r="C393" t="s">
        <v>86</v>
      </c>
      <c r="D393">
        <v>369.79</v>
      </c>
    </row>
    <row r="394" spans="1:4" x14ac:dyDescent="0.25">
      <c r="A394" t="s">
        <v>33</v>
      </c>
      <c r="B394" t="s">
        <v>77</v>
      </c>
      <c r="C394" t="s">
        <v>87</v>
      </c>
      <c r="D394">
        <v>9231.31</v>
      </c>
    </row>
    <row r="395" spans="1:4" x14ac:dyDescent="0.25">
      <c r="A395" t="s">
        <v>33</v>
      </c>
      <c r="B395" t="s">
        <v>77</v>
      </c>
      <c r="C395" t="s">
        <v>88</v>
      </c>
      <c r="D395">
        <v>3962.23</v>
      </c>
    </row>
    <row r="396" spans="1:4" x14ac:dyDescent="0.25">
      <c r="A396" t="s">
        <v>33</v>
      </c>
      <c r="B396" t="s">
        <v>77</v>
      </c>
      <c r="C396" t="s">
        <v>89</v>
      </c>
      <c r="D396">
        <v>18</v>
      </c>
    </row>
    <row r="397" spans="1:4" x14ac:dyDescent="0.25">
      <c r="A397" t="s">
        <v>33</v>
      </c>
      <c r="B397" t="s">
        <v>77</v>
      </c>
      <c r="C397" t="s">
        <v>114</v>
      </c>
      <c r="D397">
        <v>1597</v>
      </c>
    </row>
    <row r="398" spans="1:4" x14ac:dyDescent="0.25">
      <c r="A398" t="s">
        <v>33</v>
      </c>
      <c r="B398" t="s">
        <v>77</v>
      </c>
      <c r="C398" t="s">
        <v>94</v>
      </c>
      <c r="D398">
        <v>885.72</v>
      </c>
    </row>
    <row r="399" spans="1:4" x14ac:dyDescent="0.25">
      <c r="A399" t="s">
        <v>33</v>
      </c>
      <c r="B399" t="s">
        <v>77</v>
      </c>
      <c r="C399" t="s">
        <v>109</v>
      </c>
      <c r="D399">
        <v>0.04</v>
      </c>
    </row>
    <row r="400" spans="1:4" x14ac:dyDescent="0.25">
      <c r="A400" t="s">
        <v>33</v>
      </c>
      <c r="B400" t="s">
        <v>77</v>
      </c>
      <c r="C400" t="s">
        <v>115</v>
      </c>
      <c r="D400">
        <v>1398</v>
      </c>
    </row>
    <row r="401" spans="1:4" x14ac:dyDescent="0.25">
      <c r="A401" t="s">
        <v>33</v>
      </c>
      <c r="B401" t="s">
        <v>77</v>
      </c>
      <c r="C401" t="s">
        <v>95</v>
      </c>
      <c r="D401">
        <v>27</v>
      </c>
    </row>
    <row r="402" spans="1:4" x14ac:dyDescent="0.25">
      <c r="A402" t="s">
        <v>33</v>
      </c>
      <c r="B402" t="s">
        <v>77</v>
      </c>
      <c r="C402" t="s">
        <v>96</v>
      </c>
      <c r="D402">
        <v>435</v>
      </c>
    </row>
    <row r="403" spans="1:4" x14ac:dyDescent="0.25">
      <c r="A403" t="s">
        <v>33</v>
      </c>
      <c r="B403" t="s">
        <v>77</v>
      </c>
      <c r="C403" t="s">
        <v>97</v>
      </c>
      <c r="D403">
        <v>-1940113.08</v>
      </c>
    </row>
    <row r="404" spans="1:4" x14ac:dyDescent="0.25">
      <c r="A404" t="s">
        <v>33</v>
      </c>
      <c r="B404" t="s">
        <v>77</v>
      </c>
      <c r="C404" t="s">
        <v>98</v>
      </c>
      <c r="D404">
        <v>72418.81</v>
      </c>
    </row>
    <row r="405" spans="1:4" x14ac:dyDescent="0.25">
      <c r="A405" t="s">
        <v>33</v>
      </c>
      <c r="B405" t="s">
        <v>77</v>
      </c>
      <c r="C405" t="s">
        <v>110</v>
      </c>
      <c r="D405">
        <v>29776.880000000001</v>
      </c>
    </row>
    <row r="406" spans="1:4" x14ac:dyDescent="0.25">
      <c r="A406" t="s">
        <v>33</v>
      </c>
      <c r="B406" t="s">
        <v>77</v>
      </c>
      <c r="C406" t="s">
        <v>99</v>
      </c>
      <c r="D406">
        <v>8646.1299999999992</v>
      </c>
    </row>
    <row r="407" spans="1:4" x14ac:dyDescent="0.25">
      <c r="A407" t="s">
        <v>33</v>
      </c>
      <c r="B407" t="s">
        <v>77</v>
      </c>
      <c r="C407" t="s">
        <v>111</v>
      </c>
      <c r="D407">
        <v>129693.68</v>
      </c>
    </row>
    <row r="408" spans="1:4" x14ac:dyDescent="0.25">
      <c r="A408" t="s">
        <v>33</v>
      </c>
      <c r="B408" t="s">
        <v>77</v>
      </c>
      <c r="C408" t="s">
        <v>100</v>
      </c>
      <c r="D408">
        <v>20296.3</v>
      </c>
    </row>
    <row r="409" spans="1:4" x14ac:dyDescent="0.25">
      <c r="A409" t="s">
        <v>33</v>
      </c>
      <c r="B409" t="s">
        <v>77</v>
      </c>
      <c r="C409" t="s">
        <v>101</v>
      </c>
      <c r="D409">
        <v>110846.11</v>
      </c>
    </row>
    <row r="410" spans="1:4" x14ac:dyDescent="0.25">
      <c r="A410" t="s">
        <v>33</v>
      </c>
      <c r="B410" t="s">
        <v>77</v>
      </c>
      <c r="C410" t="s">
        <v>102</v>
      </c>
      <c r="D410">
        <v>238269.14</v>
      </c>
    </row>
    <row r="411" spans="1:4" x14ac:dyDescent="0.25">
      <c r="A411" t="s">
        <v>33</v>
      </c>
      <c r="B411" t="s">
        <v>77</v>
      </c>
      <c r="C411" t="s">
        <v>104</v>
      </c>
      <c r="D411">
        <v>110044.16</v>
      </c>
    </row>
    <row r="412" spans="1:4" x14ac:dyDescent="0.25">
      <c r="A412" t="s">
        <v>33</v>
      </c>
      <c r="B412" t="s">
        <v>77</v>
      </c>
      <c r="C412" t="s">
        <v>105</v>
      </c>
      <c r="D412">
        <v>131142.41</v>
      </c>
    </row>
    <row r="413" spans="1:4" x14ac:dyDescent="0.25">
      <c r="A413" t="s">
        <v>33</v>
      </c>
      <c r="B413" t="s">
        <v>77</v>
      </c>
      <c r="C413" t="s">
        <v>106</v>
      </c>
      <c r="D413">
        <v>240535.5</v>
      </c>
    </row>
    <row r="414" spans="1:4" x14ac:dyDescent="0.25">
      <c r="A414" t="s">
        <v>33</v>
      </c>
      <c r="B414" t="s">
        <v>77</v>
      </c>
      <c r="C414" t="s">
        <v>107</v>
      </c>
      <c r="D414">
        <v>102.85</v>
      </c>
    </row>
    <row r="415" spans="1:4" x14ac:dyDescent="0.25">
      <c r="A415" t="s">
        <v>33</v>
      </c>
      <c r="B415" t="s">
        <v>77</v>
      </c>
      <c r="C415" t="s">
        <v>108</v>
      </c>
      <c r="D415">
        <v>72</v>
      </c>
    </row>
    <row r="416" spans="1:4" x14ac:dyDescent="0.25">
      <c r="A416" t="s">
        <v>33</v>
      </c>
      <c r="B416" t="s">
        <v>77</v>
      </c>
      <c r="C416" t="s">
        <v>113</v>
      </c>
      <c r="D416">
        <v>20</v>
      </c>
    </row>
    <row r="417" spans="1:4" x14ac:dyDescent="0.25">
      <c r="A417" t="s">
        <v>34</v>
      </c>
      <c r="B417" t="s">
        <v>77</v>
      </c>
      <c r="C417" t="s">
        <v>78</v>
      </c>
      <c r="D417">
        <v>189497.46</v>
      </c>
    </row>
    <row r="418" spans="1:4" x14ac:dyDescent="0.25">
      <c r="A418" t="s">
        <v>34</v>
      </c>
      <c r="B418" t="s">
        <v>77</v>
      </c>
      <c r="C418" t="s">
        <v>79</v>
      </c>
      <c r="D418">
        <v>17850.849999999999</v>
      </c>
    </row>
    <row r="419" spans="1:4" x14ac:dyDescent="0.25">
      <c r="A419" t="s">
        <v>34</v>
      </c>
      <c r="B419" t="s">
        <v>77</v>
      </c>
      <c r="C419" t="s">
        <v>80</v>
      </c>
      <c r="D419">
        <v>5169.9799999999996</v>
      </c>
    </row>
    <row r="420" spans="1:4" x14ac:dyDescent="0.25">
      <c r="A420" t="s">
        <v>34</v>
      </c>
      <c r="B420" t="s">
        <v>77</v>
      </c>
      <c r="C420" t="s">
        <v>81</v>
      </c>
      <c r="D420">
        <v>3692.3</v>
      </c>
    </row>
    <row r="421" spans="1:4" x14ac:dyDescent="0.25">
      <c r="A421" t="s">
        <v>34</v>
      </c>
      <c r="B421" t="s">
        <v>77</v>
      </c>
      <c r="C421" t="s">
        <v>82</v>
      </c>
      <c r="D421">
        <v>2178.4499999999998</v>
      </c>
    </row>
    <row r="422" spans="1:4" x14ac:dyDescent="0.25">
      <c r="A422" t="s">
        <v>34</v>
      </c>
      <c r="B422" t="s">
        <v>77</v>
      </c>
      <c r="C422" t="s">
        <v>83</v>
      </c>
      <c r="D422">
        <v>4676.79</v>
      </c>
    </row>
    <row r="423" spans="1:4" x14ac:dyDescent="0.25">
      <c r="A423" t="s">
        <v>34</v>
      </c>
      <c r="B423" t="s">
        <v>77</v>
      </c>
      <c r="C423" t="s">
        <v>84</v>
      </c>
      <c r="D423">
        <v>2653.33</v>
      </c>
    </row>
    <row r="424" spans="1:4" x14ac:dyDescent="0.25">
      <c r="A424" t="s">
        <v>34</v>
      </c>
      <c r="B424" t="s">
        <v>77</v>
      </c>
      <c r="C424" t="s">
        <v>85</v>
      </c>
      <c r="D424">
        <v>762.87</v>
      </c>
    </row>
    <row r="425" spans="1:4" x14ac:dyDescent="0.25">
      <c r="A425" t="s">
        <v>34</v>
      </c>
      <c r="B425" t="s">
        <v>77</v>
      </c>
      <c r="C425" t="s">
        <v>86</v>
      </c>
      <c r="D425">
        <v>1890.46</v>
      </c>
    </row>
    <row r="426" spans="1:4" x14ac:dyDescent="0.25">
      <c r="A426" t="s">
        <v>34</v>
      </c>
      <c r="B426" t="s">
        <v>77</v>
      </c>
      <c r="C426" t="s">
        <v>87</v>
      </c>
      <c r="D426">
        <v>6463.83</v>
      </c>
    </row>
    <row r="427" spans="1:4" x14ac:dyDescent="0.25">
      <c r="A427" t="s">
        <v>34</v>
      </c>
      <c r="B427" t="s">
        <v>77</v>
      </c>
      <c r="C427" t="s">
        <v>88</v>
      </c>
      <c r="D427">
        <v>3121.08</v>
      </c>
    </row>
    <row r="428" spans="1:4" x14ac:dyDescent="0.25">
      <c r="A428" t="s">
        <v>34</v>
      </c>
      <c r="B428" t="s">
        <v>77</v>
      </c>
      <c r="C428" t="s">
        <v>89</v>
      </c>
      <c r="D428">
        <v>18</v>
      </c>
    </row>
    <row r="429" spans="1:4" x14ac:dyDescent="0.25">
      <c r="A429" t="s">
        <v>34</v>
      </c>
      <c r="B429" t="s">
        <v>77</v>
      </c>
      <c r="C429" t="s">
        <v>114</v>
      </c>
      <c r="D429">
        <v>1256</v>
      </c>
    </row>
    <row r="430" spans="1:4" x14ac:dyDescent="0.25">
      <c r="A430" t="s">
        <v>34</v>
      </c>
      <c r="B430" t="s">
        <v>77</v>
      </c>
      <c r="C430" t="s">
        <v>94</v>
      </c>
      <c r="D430">
        <v>1228.2</v>
      </c>
    </row>
    <row r="431" spans="1:4" x14ac:dyDescent="0.25">
      <c r="A431" t="s">
        <v>34</v>
      </c>
      <c r="B431" t="s">
        <v>77</v>
      </c>
      <c r="C431" t="s">
        <v>109</v>
      </c>
      <c r="D431">
        <v>0.04</v>
      </c>
    </row>
    <row r="432" spans="1:4" x14ac:dyDescent="0.25">
      <c r="A432" t="s">
        <v>34</v>
      </c>
      <c r="B432" t="s">
        <v>77</v>
      </c>
      <c r="C432" t="s">
        <v>115</v>
      </c>
      <c r="D432">
        <v>1255</v>
      </c>
    </row>
    <row r="433" spans="1:4" x14ac:dyDescent="0.25">
      <c r="A433" t="s">
        <v>34</v>
      </c>
      <c r="B433" t="s">
        <v>77</v>
      </c>
      <c r="C433" t="s">
        <v>95</v>
      </c>
      <c r="D433">
        <v>27</v>
      </c>
    </row>
    <row r="434" spans="1:4" x14ac:dyDescent="0.25">
      <c r="A434" t="s">
        <v>34</v>
      </c>
      <c r="B434" t="s">
        <v>77</v>
      </c>
      <c r="C434" t="s">
        <v>96</v>
      </c>
      <c r="D434">
        <v>422</v>
      </c>
    </row>
    <row r="435" spans="1:4" x14ac:dyDescent="0.25">
      <c r="A435" t="s">
        <v>34</v>
      </c>
      <c r="B435" t="s">
        <v>77</v>
      </c>
      <c r="C435" t="s">
        <v>97</v>
      </c>
      <c r="D435">
        <v>-1543262.35</v>
      </c>
    </row>
    <row r="436" spans="1:4" x14ac:dyDescent="0.25">
      <c r="A436" t="s">
        <v>34</v>
      </c>
      <c r="B436" t="s">
        <v>77</v>
      </c>
      <c r="C436" t="s">
        <v>98</v>
      </c>
      <c r="D436">
        <v>126712.19</v>
      </c>
    </row>
    <row r="437" spans="1:4" x14ac:dyDescent="0.25">
      <c r="A437" t="s">
        <v>34</v>
      </c>
      <c r="B437" t="s">
        <v>77</v>
      </c>
      <c r="C437" t="s">
        <v>110</v>
      </c>
      <c r="D437">
        <v>29750.16</v>
      </c>
    </row>
    <row r="438" spans="1:4" x14ac:dyDescent="0.25">
      <c r="A438" t="s">
        <v>34</v>
      </c>
      <c r="B438" t="s">
        <v>77</v>
      </c>
      <c r="C438" t="s">
        <v>99</v>
      </c>
      <c r="D438">
        <v>8862.14</v>
      </c>
    </row>
    <row r="439" spans="1:4" x14ac:dyDescent="0.25">
      <c r="A439" t="s">
        <v>34</v>
      </c>
      <c r="B439" t="s">
        <v>77</v>
      </c>
      <c r="C439" t="s">
        <v>111</v>
      </c>
      <c r="D439">
        <v>145018.45000000001</v>
      </c>
    </row>
    <row r="440" spans="1:4" x14ac:dyDescent="0.25">
      <c r="A440" t="s">
        <v>34</v>
      </c>
      <c r="B440" t="s">
        <v>77</v>
      </c>
      <c r="C440" t="s">
        <v>100</v>
      </c>
      <c r="D440">
        <v>22582.02</v>
      </c>
    </row>
    <row r="441" spans="1:4" x14ac:dyDescent="0.25">
      <c r="A441" t="s">
        <v>34</v>
      </c>
      <c r="B441" t="s">
        <v>77</v>
      </c>
      <c r="C441" t="s">
        <v>101</v>
      </c>
      <c r="D441">
        <v>121528.03</v>
      </c>
    </row>
    <row r="442" spans="1:4" x14ac:dyDescent="0.25">
      <c r="A442" t="s">
        <v>34</v>
      </c>
      <c r="B442" t="s">
        <v>77</v>
      </c>
      <c r="C442" t="s">
        <v>102</v>
      </c>
      <c r="D442">
        <v>304752.88</v>
      </c>
    </row>
    <row r="443" spans="1:4" x14ac:dyDescent="0.25">
      <c r="A443" t="s">
        <v>34</v>
      </c>
      <c r="B443" t="s">
        <v>77</v>
      </c>
      <c r="C443" t="s">
        <v>104</v>
      </c>
      <c r="D443">
        <v>121475.72</v>
      </c>
    </row>
    <row r="444" spans="1:4" x14ac:dyDescent="0.25">
      <c r="A444" t="s">
        <v>34</v>
      </c>
      <c r="B444" t="s">
        <v>77</v>
      </c>
      <c r="C444" t="s">
        <v>105</v>
      </c>
      <c r="D444">
        <v>144110.04999999999</v>
      </c>
    </row>
    <row r="445" spans="1:4" x14ac:dyDescent="0.25">
      <c r="A445" t="s">
        <v>34</v>
      </c>
      <c r="B445" t="s">
        <v>77</v>
      </c>
      <c r="C445" t="s">
        <v>106</v>
      </c>
      <c r="D445">
        <v>310342.94</v>
      </c>
    </row>
    <row r="446" spans="1:4" x14ac:dyDescent="0.25">
      <c r="A446" t="s">
        <v>34</v>
      </c>
      <c r="B446" t="s">
        <v>77</v>
      </c>
      <c r="C446" t="s">
        <v>107</v>
      </c>
      <c r="D446">
        <v>98.15</v>
      </c>
    </row>
    <row r="447" spans="1:4" x14ac:dyDescent="0.25">
      <c r="A447" t="s">
        <v>34</v>
      </c>
      <c r="B447" t="s">
        <v>77</v>
      </c>
      <c r="C447" t="s">
        <v>112</v>
      </c>
      <c r="D447">
        <v>25.78</v>
      </c>
    </row>
    <row r="448" spans="1:4" x14ac:dyDescent="0.25">
      <c r="A448" t="s">
        <v>34</v>
      </c>
      <c r="B448" t="s">
        <v>77</v>
      </c>
      <c r="C448" t="s">
        <v>108</v>
      </c>
      <c r="D448">
        <v>88</v>
      </c>
    </row>
    <row r="449" spans="1:4" x14ac:dyDescent="0.25">
      <c r="A449" t="s">
        <v>34</v>
      </c>
      <c r="B449" t="s">
        <v>77</v>
      </c>
      <c r="C449" t="s">
        <v>113</v>
      </c>
      <c r="D449">
        <v>36</v>
      </c>
    </row>
    <row r="450" spans="1:4" x14ac:dyDescent="0.25">
      <c r="A450" t="s">
        <v>35</v>
      </c>
      <c r="B450" t="s">
        <v>77</v>
      </c>
      <c r="C450" t="s">
        <v>78</v>
      </c>
      <c r="D450">
        <v>71626.2</v>
      </c>
    </row>
    <row r="451" spans="1:4" x14ac:dyDescent="0.25">
      <c r="A451" t="s">
        <v>35</v>
      </c>
      <c r="B451" t="s">
        <v>77</v>
      </c>
      <c r="C451" t="s">
        <v>79</v>
      </c>
      <c r="D451">
        <v>1755.51</v>
      </c>
    </row>
    <row r="452" spans="1:4" x14ac:dyDescent="0.25">
      <c r="A452" t="s">
        <v>35</v>
      </c>
      <c r="B452" t="s">
        <v>77</v>
      </c>
      <c r="C452" t="s">
        <v>80</v>
      </c>
      <c r="D452">
        <v>1899.34</v>
      </c>
    </row>
    <row r="453" spans="1:4" x14ac:dyDescent="0.25">
      <c r="A453" t="s">
        <v>35</v>
      </c>
      <c r="B453" t="s">
        <v>77</v>
      </c>
      <c r="C453" t="s">
        <v>84</v>
      </c>
      <c r="D453">
        <v>-106.83</v>
      </c>
    </row>
    <row r="454" spans="1:4" x14ac:dyDescent="0.25">
      <c r="A454" t="s">
        <v>35</v>
      </c>
      <c r="B454" t="s">
        <v>77</v>
      </c>
      <c r="C454" t="s">
        <v>86</v>
      </c>
      <c r="D454">
        <v>-106.83</v>
      </c>
    </row>
    <row r="455" spans="1:4" x14ac:dyDescent="0.25">
      <c r="A455" t="s">
        <v>35</v>
      </c>
      <c r="B455" t="s">
        <v>77</v>
      </c>
      <c r="C455" t="s">
        <v>87</v>
      </c>
      <c r="D455">
        <v>1129.76</v>
      </c>
    </row>
    <row r="456" spans="1:4" x14ac:dyDescent="0.25">
      <c r="A456" t="s">
        <v>35</v>
      </c>
      <c r="B456" t="s">
        <v>77</v>
      </c>
      <c r="C456" t="s">
        <v>88</v>
      </c>
      <c r="D456">
        <v>461.31</v>
      </c>
    </row>
    <row r="457" spans="1:4" x14ac:dyDescent="0.25">
      <c r="A457" t="s">
        <v>35</v>
      </c>
      <c r="B457" t="s">
        <v>77</v>
      </c>
      <c r="C457" t="s">
        <v>89</v>
      </c>
      <c r="D457">
        <v>11</v>
      </c>
    </row>
    <row r="458" spans="1:4" x14ac:dyDescent="0.25">
      <c r="A458" t="s">
        <v>35</v>
      </c>
      <c r="B458" t="s">
        <v>77</v>
      </c>
      <c r="C458" t="s">
        <v>114</v>
      </c>
      <c r="D458">
        <v>299</v>
      </c>
    </row>
    <row r="459" spans="1:4" x14ac:dyDescent="0.25">
      <c r="A459" t="s">
        <v>35</v>
      </c>
      <c r="B459" t="s">
        <v>77</v>
      </c>
      <c r="C459" t="s">
        <v>94</v>
      </c>
      <c r="D459">
        <v>518.43999999999994</v>
      </c>
    </row>
    <row r="460" spans="1:4" x14ac:dyDescent="0.25">
      <c r="A460" t="s">
        <v>35</v>
      </c>
      <c r="B460" t="s">
        <v>77</v>
      </c>
      <c r="C460" t="s">
        <v>109</v>
      </c>
      <c r="D460">
        <v>0.04</v>
      </c>
    </row>
    <row r="461" spans="1:4" x14ac:dyDescent="0.25">
      <c r="A461" t="s">
        <v>35</v>
      </c>
      <c r="B461" t="s">
        <v>77</v>
      </c>
      <c r="C461" t="s">
        <v>115</v>
      </c>
      <c r="D461">
        <v>253</v>
      </c>
    </row>
    <row r="462" spans="1:4" x14ac:dyDescent="0.25">
      <c r="A462" t="s">
        <v>35</v>
      </c>
      <c r="B462" t="s">
        <v>77</v>
      </c>
      <c r="C462" t="s">
        <v>95</v>
      </c>
      <c r="D462">
        <v>27</v>
      </c>
    </row>
    <row r="463" spans="1:4" x14ac:dyDescent="0.25">
      <c r="A463" t="s">
        <v>35</v>
      </c>
      <c r="B463" t="s">
        <v>77</v>
      </c>
      <c r="C463" t="s">
        <v>96</v>
      </c>
      <c r="D463">
        <v>244</v>
      </c>
    </row>
    <row r="464" spans="1:4" x14ac:dyDescent="0.25">
      <c r="A464" t="s">
        <v>35</v>
      </c>
      <c r="B464" t="s">
        <v>77</v>
      </c>
      <c r="C464" t="s">
        <v>97</v>
      </c>
      <c r="D464">
        <v>-605273.71</v>
      </c>
    </row>
    <row r="465" spans="1:4" x14ac:dyDescent="0.25">
      <c r="A465" t="s">
        <v>35</v>
      </c>
      <c r="B465" t="s">
        <v>77</v>
      </c>
      <c r="C465" t="s">
        <v>98</v>
      </c>
      <c r="D465">
        <v>41578.06</v>
      </c>
    </row>
    <row r="466" spans="1:4" x14ac:dyDescent="0.25">
      <c r="A466" t="s">
        <v>35</v>
      </c>
      <c r="B466" t="s">
        <v>77</v>
      </c>
      <c r="C466" t="s">
        <v>110</v>
      </c>
      <c r="D466">
        <v>11331.76</v>
      </c>
    </row>
    <row r="467" spans="1:4" x14ac:dyDescent="0.25">
      <c r="A467" t="s">
        <v>35</v>
      </c>
      <c r="B467" t="s">
        <v>77</v>
      </c>
      <c r="C467" t="s">
        <v>111</v>
      </c>
      <c r="D467">
        <v>54954.720000000001</v>
      </c>
    </row>
    <row r="468" spans="1:4" x14ac:dyDescent="0.25">
      <c r="A468" t="s">
        <v>35</v>
      </c>
      <c r="B468" t="s">
        <v>77</v>
      </c>
      <c r="C468" t="s">
        <v>100</v>
      </c>
      <c r="D468">
        <v>16027.71</v>
      </c>
    </row>
    <row r="469" spans="1:4" x14ac:dyDescent="0.25">
      <c r="A469" t="s">
        <v>35</v>
      </c>
      <c r="B469" t="s">
        <v>77</v>
      </c>
      <c r="C469" t="s">
        <v>101</v>
      </c>
      <c r="D469">
        <v>40324.910000000003</v>
      </c>
    </row>
    <row r="470" spans="1:4" x14ac:dyDescent="0.25">
      <c r="A470" t="s">
        <v>35</v>
      </c>
      <c r="B470" t="s">
        <v>77</v>
      </c>
      <c r="C470" t="s">
        <v>102</v>
      </c>
      <c r="D470">
        <v>106152.27</v>
      </c>
    </row>
    <row r="471" spans="1:4" x14ac:dyDescent="0.25">
      <c r="A471" t="s">
        <v>35</v>
      </c>
      <c r="B471" t="s">
        <v>77</v>
      </c>
      <c r="C471" t="s">
        <v>104</v>
      </c>
      <c r="D471">
        <v>40105.49</v>
      </c>
    </row>
    <row r="472" spans="1:4" x14ac:dyDescent="0.25">
      <c r="A472" t="s">
        <v>35</v>
      </c>
      <c r="B472" t="s">
        <v>77</v>
      </c>
      <c r="C472" t="s">
        <v>105</v>
      </c>
      <c r="D472">
        <v>56352.62</v>
      </c>
    </row>
    <row r="473" spans="1:4" x14ac:dyDescent="0.25">
      <c r="A473" t="s">
        <v>35</v>
      </c>
      <c r="B473" t="s">
        <v>77</v>
      </c>
      <c r="C473" t="s">
        <v>106</v>
      </c>
      <c r="D473">
        <v>107864.54</v>
      </c>
    </row>
    <row r="474" spans="1:4" x14ac:dyDescent="0.25">
      <c r="A474" t="s">
        <v>35</v>
      </c>
      <c r="B474" t="s">
        <v>77</v>
      </c>
      <c r="C474" t="s">
        <v>107</v>
      </c>
      <c r="D474">
        <v>47.95</v>
      </c>
    </row>
    <row r="475" spans="1:4" x14ac:dyDescent="0.25">
      <c r="A475" t="s">
        <v>35</v>
      </c>
      <c r="B475" t="s">
        <v>77</v>
      </c>
      <c r="C475" t="s">
        <v>112</v>
      </c>
      <c r="D475">
        <v>9.5</v>
      </c>
    </row>
    <row r="476" spans="1:4" x14ac:dyDescent="0.25">
      <c r="A476" t="s">
        <v>35</v>
      </c>
      <c r="B476" t="s">
        <v>77</v>
      </c>
      <c r="C476" t="s">
        <v>108</v>
      </c>
      <c r="D476">
        <v>32</v>
      </c>
    </row>
    <row r="477" spans="1:4" x14ac:dyDescent="0.25">
      <c r="A477" t="s">
        <v>35</v>
      </c>
      <c r="B477" t="s">
        <v>77</v>
      </c>
      <c r="C477" t="s">
        <v>113</v>
      </c>
      <c r="D477">
        <v>15</v>
      </c>
    </row>
    <row r="478" spans="1:4" x14ac:dyDescent="0.25">
      <c r="A478" t="s">
        <v>36</v>
      </c>
      <c r="B478" t="s">
        <v>77</v>
      </c>
      <c r="C478" t="s">
        <v>78</v>
      </c>
      <c r="D478">
        <v>8049.9900000000007</v>
      </c>
    </row>
    <row r="479" spans="1:4" x14ac:dyDescent="0.25">
      <c r="A479" t="s">
        <v>36</v>
      </c>
      <c r="B479" t="s">
        <v>77</v>
      </c>
      <c r="C479" t="s">
        <v>79</v>
      </c>
      <c r="D479">
        <v>-20.82</v>
      </c>
    </row>
    <row r="480" spans="1:4" x14ac:dyDescent="0.25">
      <c r="A480" t="s">
        <v>36</v>
      </c>
      <c r="B480" t="s">
        <v>77</v>
      </c>
      <c r="C480" t="s">
        <v>87</v>
      </c>
      <c r="D480">
        <v>3382.84</v>
      </c>
    </row>
    <row r="481" spans="1:4" x14ac:dyDescent="0.25">
      <c r="A481" t="s">
        <v>36</v>
      </c>
      <c r="B481" t="s">
        <v>77</v>
      </c>
      <c r="C481" t="s">
        <v>88</v>
      </c>
      <c r="D481">
        <v>1521.02</v>
      </c>
    </row>
    <row r="482" spans="1:4" x14ac:dyDescent="0.25">
      <c r="A482" t="s">
        <v>36</v>
      </c>
      <c r="B482" t="s">
        <v>77</v>
      </c>
      <c r="C482" t="s">
        <v>89</v>
      </c>
      <c r="D482">
        <v>18</v>
      </c>
    </row>
    <row r="483" spans="1:4" x14ac:dyDescent="0.25">
      <c r="A483" t="s">
        <v>36</v>
      </c>
      <c r="B483" t="s">
        <v>77</v>
      </c>
      <c r="C483" t="s">
        <v>114</v>
      </c>
      <c r="D483">
        <v>4651</v>
      </c>
    </row>
    <row r="484" spans="1:4" x14ac:dyDescent="0.25">
      <c r="A484" t="s">
        <v>36</v>
      </c>
      <c r="B484" t="s">
        <v>77</v>
      </c>
      <c r="C484" t="s">
        <v>94</v>
      </c>
      <c r="D484">
        <v>0.05</v>
      </c>
    </row>
    <row r="485" spans="1:4" x14ac:dyDescent="0.25">
      <c r="A485" t="s">
        <v>36</v>
      </c>
      <c r="B485" t="s">
        <v>77</v>
      </c>
      <c r="C485" t="s">
        <v>109</v>
      </c>
      <c r="D485">
        <v>0.04</v>
      </c>
    </row>
    <row r="486" spans="1:4" x14ac:dyDescent="0.25">
      <c r="A486" t="s">
        <v>36</v>
      </c>
      <c r="B486" t="s">
        <v>77</v>
      </c>
      <c r="C486" t="s">
        <v>115</v>
      </c>
      <c r="D486">
        <v>4651</v>
      </c>
    </row>
    <row r="487" spans="1:4" x14ac:dyDescent="0.25">
      <c r="A487" t="s">
        <v>36</v>
      </c>
      <c r="B487" t="s">
        <v>77</v>
      </c>
      <c r="C487" t="s">
        <v>95</v>
      </c>
      <c r="D487">
        <v>27</v>
      </c>
    </row>
    <row r="488" spans="1:4" x14ac:dyDescent="0.25">
      <c r="A488" t="s">
        <v>36</v>
      </c>
      <c r="B488" t="s">
        <v>77</v>
      </c>
      <c r="C488" t="s">
        <v>96</v>
      </c>
      <c r="D488">
        <v>183</v>
      </c>
    </row>
    <row r="489" spans="1:4" x14ac:dyDescent="0.25">
      <c r="A489" t="s">
        <v>36</v>
      </c>
      <c r="B489" t="s">
        <v>77</v>
      </c>
      <c r="C489" t="s">
        <v>97</v>
      </c>
      <c r="D489">
        <v>-65642.070000000007</v>
      </c>
    </row>
    <row r="490" spans="1:4" x14ac:dyDescent="0.25">
      <c r="A490" t="s">
        <v>36</v>
      </c>
      <c r="B490" t="s">
        <v>77</v>
      </c>
      <c r="C490" t="s">
        <v>98</v>
      </c>
      <c r="D490">
        <v>9002.4599999999991</v>
      </c>
    </row>
    <row r="491" spans="1:4" x14ac:dyDescent="0.25">
      <c r="A491" t="s">
        <v>36</v>
      </c>
      <c r="B491" t="s">
        <v>77</v>
      </c>
      <c r="C491" t="s">
        <v>110</v>
      </c>
      <c r="D491">
        <v>256.12</v>
      </c>
    </row>
    <row r="492" spans="1:4" x14ac:dyDescent="0.25">
      <c r="A492" t="s">
        <v>36</v>
      </c>
      <c r="B492" t="s">
        <v>77</v>
      </c>
      <c r="C492" t="s">
        <v>111</v>
      </c>
      <c r="D492">
        <v>2323.31</v>
      </c>
    </row>
    <row r="493" spans="1:4" x14ac:dyDescent="0.25">
      <c r="A493" t="s">
        <v>36</v>
      </c>
      <c r="B493" t="s">
        <v>77</v>
      </c>
      <c r="C493" t="s">
        <v>100</v>
      </c>
      <c r="D493">
        <v>21</v>
      </c>
    </row>
    <row r="494" spans="1:4" x14ac:dyDescent="0.25">
      <c r="A494" t="s">
        <v>36</v>
      </c>
      <c r="B494" t="s">
        <v>77</v>
      </c>
      <c r="C494" t="s">
        <v>101</v>
      </c>
      <c r="D494">
        <v>2255.29</v>
      </c>
    </row>
    <row r="495" spans="1:4" x14ac:dyDescent="0.25">
      <c r="A495" t="s">
        <v>36</v>
      </c>
      <c r="B495" t="s">
        <v>77</v>
      </c>
      <c r="C495" t="s">
        <v>102</v>
      </c>
      <c r="D495">
        <v>11581.89</v>
      </c>
    </row>
    <row r="496" spans="1:4" x14ac:dyDescent="0.25">
      <c r="A496" t="s">
        <v>36</v>
      </c>
      <c r="B496" t="s">
        <v>77</v>
      </c>
      <c r="C496" t="s">
        <v>104</v>
      </c>
      <c r="D496">
        <v>2255.29</v>
      </c>
    </row>
    <row r="497" spans="1:4" x14ac:dyDescent="0.25">
      <c r="A497" t="s">
        <v>36</v>
      </c>
      <c r="B497" t="s">
        <v>77</v>
      </c>
      <c r="C497" t="s">
        <v>105</v>
      </c>
      <c r="D497">
        <v>2276.29</v>
      </c>
    </row>
    <row r="498" spans="1:4" x14ac:dyDescent="0.25">
      <c r="A498" t="s">
        <v>36</v>
      </c>
      <c r="B498" t="s">
        <v>77</v>
      </c>
      <c r="C498" t="s">
        <v>106</v>
      </c>
      <c r="D498">
        <v>11581.89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Rtrv</vt:lpstr>
      <vt:lpstr>infUnits</vt:lpstr>
      <vt:lpstr>infAdmin</vt:lpstr>
      <vt:lpstr>infInputs</vt:lpstr>
      <vt:lpstr>dataFinal</vt:lpstr>
      <vt:lpstr>Sheet1</vt:lpstr>
      <vt:lpstr>EssTime</vt:lpstr>
    </vt:vector>
  </TitlesOfParts>
  <Company>Sodexo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Synder</dc:creator>
  <cp:lastModifiedBy>Winston Synder</cp:lastModifiedBy>
  <dcterms:created xsi:type="dcterms:W3CDTF">2015-03-04T05:01:40Z</dcterms:created>
  <dcterms:modified xsi:type="dcterms:W3CDTF">2015-03-06T20:10:10Z</dcterms:modified>
</cp:coreProperties>
</file>