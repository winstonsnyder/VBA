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wsnyder\Documents\VBA\Pivot Table Text\"/>
    </mc:Choice>
  </mc:AlternateContent>
  <bookViews>
    <workbookView xWindow="240" yWindow="210" windowWidth="15480" windowHeight="7950"/>
  </bookViews>
  <sheets>
    <sheet name="Pivot Table Risks" sheetId="7" r:id="rId1"/>
    <sheet name="Risk List" sheetId="4" r:id="rId2"/>
    <sheet name="Control" sheetId="8" r:id="rId3"/>
  </sheets>
  <functionGroups builtInGroupCount="18"/>
  <definedNames>
    <definedName name="myData">'Risk List'!$B$4:$F$154</definedName>
    <definedName name="myFilterSelection">Control!$C$11</definedName>
    <definedName name="myPivotTable">'Pivot Table Risks'!$B$4:$G$17</definedName>
    <definedName name="myPivotTableDefinition">Control!$B$4:$C$9</definedName>
    <definedName name="myPivotTableStart">'Pivot Table Risks'!$B$4</definedName>
  </definedNames>
  <calcPr calcId="162913"/>
</workbook>
</file>

<file path=xl/calcChain.xml><?xml version="1.0" encoding="utf-8"?>
<calcChain xmlns="http://schemas.openxmlformats.org/spreadsheetml/2006/main">
  <c r="B6" i="4" l="1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</calcChain>
</file>

<file path=xl/sharedStrings.xml><?xml version="1.0" encoding="utf-8"?>
<sst xmlns="http://schemas.openxmlformats.org/spreadsheetml/2006/main" count="602" uniqueCount="171">
  <si>
    <t>Risk Matrix</t>
  </si>
  <si>
    <t>Type</t>
  </si>
  <si>
    <t>Probability</t>
  </si>
  <si>
    <t>High</t>
  </si>
  <si>
    <t>Low</t>
  </si>
  <si>
    <t>Medium</t>
  </si>
  <si>
    <t>Very high</t>
  </si>
  <si>
    <t>Impact</t>
  </si>
  <si>
    <t>Change requests due to differing site conditions</t>
  </si>
  <si>
    <t>Street or ramp closures not coordinated with local community</t>
  </si>
  <si>
    <t xml:space="preserve">Temporary excavation and shoring system design is not adequate </t>
  </si>
  <si>
    <t>Delay in demolition due to sensitive habitat requirements or other reasons</t>
  </si>
  <si>
    <t>Insufficient or limited construction or staging areas</t>
  </si>
  <si>
    <t xml:space="preserve">Falsework design is not adequate </t>
  </si>
  <si>
    <t>Long lead time for utilities caused by design and manufacture of special components (steel towers or special pipe)</t>
  </si>
  <si>
    <t>Inaccurate contract time estimates</t>
  </si>
  <si>
    <t>Temporary construction easements expire</t>
  </si>
  <si>
    <t>Unidentified utilities</t>
  </si>
  <si>
    <t>Electrical power lines not seen and in conflict with construction</t>
  </si>
  <si>
    <t>Experimental or research features incorporated</t>
  </si>
  <si>
    <t>Permit work window time is insufficient</t>
  </si>
  <si>
    <t>Dewatering is required due to change in water table</t>
  </si>
  <si>
    <t>Buried man-made objects/unidentified hazardous waste</t>
  </si>
  <si>
    <t>Unexpected paleontology findings</t>
  </si>
  <si>
    <t>Changes during construction require additional coordination with resource agencies</t>
  </si>
  <si>
    <t>Late discovery of aerially deposited lead</t>
  </si>
  <si>
    <t>Risk List</t>
  </si>
  <si>
    <t>#</t>
  </si>
  <si>
    <t>Risk description</t>
  </si>
  <si>
    <t>Environmental analysis incomplete</t>
  </si>
  <si>
    <t>Environmental Risks</t>
  </si>
  <si>
    <t>Availability of project data and mapping at the beginning of the environmental study is insufficient</t>
  </si>
  <si>
    <t>New information after Environmental Document is completed may require re-evaluation or a new document (i.e. utility relocation beyond document coverage)</t>
  </si>
  <si>
    <t xml:space="preserve">New alternatives required to avoid, mitigate or minimize impact </t>
  </si>
  <si>
    <t>Acquisition, creation or restoration of on or off-site mitigation</t>
  </si>
  <si>
    <t>Environmental clearance for staging or borrow sites required</t>
  </si>
  <si>
    <t>Historic site, endangered species, riparian areas, wetlands and/or public park present</t>
  </si>
  <si>
    <t>Design changes require additional Environmental analysis</t>
  </si>
  <si>
    <t>Unforeseen formal NEPA/404 consultation is required</t>
  </si>
  <si>
    <t>Unforeseen formal Section 7 consultation is required</t>
  </si>
  <si>
    <t>Unexpected Section 106 issues expected</t>
  </si>
  <si>
    <t>Unexpected Native American concerns</t>
  </si>
  <si>
    <t>Unforeseen Section 4(f) resources affected</t>
  </si>
  <si>
    <t>Project may encroach into the Coastal Zone</t>
  </si>
  <si>
    <t>Project may encroach onto a Scenic Highway</t>
  </si>
  <si>
    <t>Project may encroach to a Wild and Scenic River</t>
  </si>
  <si>
    <t>Unanticipated noise impacts</t>
  </si>
  <si>
    <t>Project causes an unanticipated barrier to wildlife</t>
  </si>
  <si>
    <t>Project may encroach into a floodplain or a regulatory floodway</t>
  </si>
  <si>
    <t>Project does not conform to the state implementation plan for air quality at the program and plan level</t>
  </si>
  <si>
    <t>Unanticipated cumulative impact issues</t>
  </si>
  <si>
    <t>Design incomplete</t>
  </si>
  <si>
    <t>Design Risks</t>
  </si>
  <si>
    <t>Unexpected geotechnical or groundwater issues</t>
  </si>
  <si>
    <t>Inaccurate assumptions on technical issues in planning stage</t>
  </si>
  <si>
    <t>Surveys incomplete</t>
  </si>
  <si>
    <t>Changes to materials/geotechnical/foundation</t>
  </si>
  <si>
    <t>Bridge site data incomplete to DES</t>
  </si>
  <si>
    <t>Hazardous waste site analysis incomplete</t>
  </si>
  <si>
    <t>Unforeseen design exceptions required</t>
  </si>
  <si>
    <t>Consultant design not up to Department standards</t>
  </si>
  <si>
    <t>Unresolved constructability items</t>
  </si>
  <si>
    <t>Complex hydraulic features</t>
  </si>
  <si>
    <t>Unable to meet Americans with Disabilities Act requirements</t>
  </si>
  <si>
    <t>Project in a critical water shortage area and a water source agreement required</t>
  </si>
  <si>
    <t>Incomplete quantity estimates</t>
  </si>
  <si>
    <t>Unforeseen construction window and/or rainy season requirements</t>
  </si>
  <si>
    <t>New or revised design standard</t>
  </si>
  <si>
    <t>Landowners unwilling to sell</t>
  </si>
  <si>
    <t>External Risks</t>
  </si>
  <si>
    <t>Local communities pose objections</t>
  </si>
  <si>
    <t>Unreasonably high expectations from stakeholders</t>
  </si>
  <si>
    <t>Political factors or support for project changes</t>
  </si>
  <si>
    <t>Stakeholders request late changes</t>
  </si>
  <si>
    <t xml:space="preserve">New stakeholders emerge and request changes </t>
  </si>
  <si>
    <t xml:space="preserve">Threat of lawsuits </t>
  </si>
  <si>
    <t xml:space="preserve">Increase in material cost due to market forces </t>
  </si>
  <si>
    <t>Water quality regulations change</t>
  </si>
  <si>
    <t xml:space="preserve">New permits or additional information required </t>
  </si>
  <si>
    <t>Reviewing agency requires longer than expected review time</t>
  </si>
  <si>
    <t>Changes to storm-water requirements</t>
  </si>
  <si>
    <t>Permits or agency actions delayed or take longer than expected</t>
  </si>
  <si>
    <t>New information required for permits</t>
  </si>
  <si>
    <t>Environmental regulations change</t>
  </si>
  <si>
    <t>Controversy on environmental grounds expected</t>
  </si>
  <si>
    <t>Pressure to deliver project on an accelerated schedule</t>
  </si>
  <si>
    <t>Labor shortage or strike</t>
  </si>
  <si>
    <t>Construction or pile driving noise and vibration impacting adjacent businesses or residents</t>
  </si>
  <si>
    <t>Foundations utilizing Cast-In-Drilled-Hole or Cast-In-Steel-Shell pile 30” in diameter or greater may require tunneling and mining provisions within the contract documents and early notification of Cal-OSHA</t>
  </si>
  <si>
    <t>Engineering Services Risks</t>
  </si>
  <si>
    <t>Bridges constructed at grade and then excavated underneath may require tunneling and mining provisions within the contract documents and early notification of Cal-OSHA</t>
  </si>
  <si>
    <t>Hazardous materials in existing structure or                                                                                                    surrounding soil; lead paint, contaminated soil, asbestos pipe, asbestos bearings and shims</t>
  </si>
  <si>
    <t>Piles driven into fish habitat may require special noise attenuation to protect marine species</t>
  </si>
  <si>
    <t>Special railroad requirements are necessary including an extensive geotechnical report for temporary shoring system adjacent to tracks</t>
  </si>
  <si>
    <t>Access to adjacent properties is necessary to resolve constructability requirements</t>
  </si>
  <si>
    <t>Existing structures planned for modification not evaluated for seismic retrofit, scour potential and structural capacity</t>
  </si>
  <si>
    <t>Foundation and geotechnical tasks (foundation drilling and material testing) not identified and included in project workplan</t>
  </si>
  <si>
    <t>Bridge is a habitat to bats or other species requiring mitigation or seasonal construction</t>
  </si>
  <si>
    <t>Condition of the bridge deck unknown</t>
  </si>
  <si>
    <t>For projects involving bridge removal, bridge carries traffic during staging</t>
  </si>
  <si>
    <t>Verify that all seasonal constraints and permitting requirements are identified and incorporated in the project schedule</t>
  </si>
  <si>
    <t>Complex structures hydraulic design requiring investigation and planning</t>
  </si>
  <si>
    <t>Assumptions upon which the Advance Planning Study is based on are realistic and verification of these assumptions prior to completion of the Project Report</t>
  </si>
  <si>
    <t>Design changes to alignment, profile, typical cross section, stage construction between Advance Planning Study and the Bridge Site Submittal</t>
  </si>
  <si>
    <t>Unexpected environmental constraints that impact bridge construction</t>
  </si>
  <si>
    <t>Unforeseen aesthetic requirements</t>
  </si>
  <si>
    <t>Delay due to permits or agreements, from Federal, State, or local agencies for geotechnical subsurface exploration</t>
  </si>
  <si>
    <t>Delay due to Right-of-Entry agreements for geotechnical subsurface exploration</t>
  </si>
  <si>
    <t>Delay due to traffic management and lane closure for geotechnical subsurface exploration</t>
  </si>
  <si>
    <t>Utility relocation requires more time than planned</t>
  </si>
  <si>
    <t>Right of Way Risks</t>
  </si>
  <si>
    <t>Unforeseen railroad involvement</t>
  </si>
  <si>
    <t>Resolving objections to Right of Way appraisal takes more time and/or money</t>
  </si>
  <si>
    <t>Right of Way datasheet incomplete or underestimated</t>
  </si>
  <si>
    <t>Need for “Permits to Enter” not considered in project schedule development</t>
  </si>
  <si>
    <t>Condemnation process takes longer than anticipated</t>
  </si>
  <si>
    <t>Acquisition of parcels controlled by a State or Federal Agency may take longer than anticipated</t>
  </si>
  <si>
    <t>Discovery of hazardous waste in the right of way phase</t>
  </si>
  <si>
    <t>Seasonal requirements during utility relocation</t>
  </si>
  <si>
    <t>Utility company workload, financial condition or timeline</t>
  </si>
  <si>
    <t>Expired temporary construction easements</t>
  </si>
  <si>
    <t>Inadequate pool of expert witnesses or qualified appraisers</t>
  </si>
  <si>
    <t>Construction Risks</t>
  </si>
  <si>
    <t>Project purpose and need is not well-defined</t>
  </si>
  <si>
    <t>Project Management Risks</t>
  </si>
  <si>
    <t>Project scope definition is incomplete</t>
  </si>
  <si>
    <t>Project scope, schedule, objectives, cost, and deliverables are not clearly defined or understood</t>
  </si>
  <si>
    <t>No control over staff priorities</t>
  </si>
  <si>
    <t>Consultant or contractor delays</t>
  </si>
  <si>
    <t>Estimating and/or scheduling errors</t>
  </si>
  <si>
    <t>Unplanned work that must be accommodated</t>
  </si>
  <si>
    <t>Lack of coordination/communication</t>
  </si>
  <si>
    <t>Underestimated support resources or overly optimistic delivery schedule</t>
  </si>
  <si>
    <t>Scope creep</t>
  </si>
  <si>
    <t>Unresolved project conflicts not escalated in a timely manner</t>
  </si>
  <si>
    <t>Unanticipated escalation in right of way values or construction cost</t>
  </si>
  <si>
    <t>Delay in earlier project phases jeopardizes ability to meet programmed delivery commitment</t>
  </si>
  <si>
    <t>Added workload or time requirements because of new direction, policy, or statute</t>
  </si>
  <si>
    <t>Local agency support not attained</t>
  </si>
  <si>
    <t>Public awareness/campaign not planned</t>
  </si>
  <si>
    <t>Unforeseen agreements required</t>
  </si>
  <si>
    <t>Priorities change on existing program</t>
  </si>
  <si>
    <t>Inconsistent cost, time, scope, and quality objectives</t>
  </si>
  <si>
    <t>Inexperienced staff assigned</t>
  </si>
  <si>
    <t>Organizational Risks</t>
  </si>
  <si>
    <t>Losing critical staff at crucial point of the project</t>
  </si>
  <si>
    <t>Insufficient time to plan</t>
  </si>
  <si>
    <t>Unanticipated project manager workload</t>
  </si>
  <si>
    <t>Internal “red tape” causes delay getting approvals, decisions</t>
  </si>
  <si>
    <t>Functional units not available, overloaded</t>
  </si>
  <si>
    <t>Lack of understanding of complex internal funding procedures</t>
  </si>
  <si>
    <t>Inconsistent cost, time, scope and quality objectives</t>
  </si>
  <si>
    <t>Overlapping of one or more project limits, scope of work or schedule</t>
  </si>
  <si>
    <t>Funding changes for fiscal year</t>
  </si>
  <si>
    <t>Lack of specialized staff (biology, anthropology, geotechnical, archeology, etc.)</t>
  </si>
  <si>
    <t>Capital funding unavailable for right of way or construction</t>
  </si>
  <si>
    <t>Control</t>
  </si>
  <si>
    <t>Values column</t>
  </si>
  <si>
    <t>The number of the column in the data table containing the texts to be displayed in the value area of the pseudo Pivot Table</t>
  </si>
  <si>
    <t>Rows column</t>
  </si>
  <si>
    <t>The number of the column in the data table containing the category to be displayed in the rows of the pseudo Pivot Table</t>
  </si>
  <si>
    <t>Columns column</t>
  </si>
  <si>
    <t>The number of the column in the data table containing the category to be displayed in the columns of the pseudo Pivot Table</t>
  </si>
  <si>
    <t>Filter column</t>
  </si>
  <si>
    <t>The number of the column in the data table containing the category to be used as the filter of the pseudo Pivot Table</t>
  </si>
  <si>
    <t>Column width</t>
  </si>
  <si>
    <t>The column width of the pseudo Pivot Table</t>
  </si>
  <si>
    <t>Header color</t>
  </si>
  <si>
    <t>Select a fill color to be used in the row and column headers of the pseudo Pivot Table</t>
  </si>
  <si>
    <t>Filter Selection</t>
  </si>
  <si>
    <t>The actual selected 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</si>
</sst>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NumberFormat="1" applyFill="1" applyProtection="1"/>
    <xf numFmtId="0" fontId="0" fillId="0" borderId="0" xfId="0" applyProtection="1"/>
    <xf numFmtId="0" fontId="0" fillId="0" borderId="0" xfId="0" applyNumberFormat="1" applyFill="1" applyAlignment="1" applyProtection="1">
      <alignment horizontal="center"/>
    </xf>
    <xf numFmtId="0" fontId="0" fillId="0" borderId="1" xfId="0" applyNumberFormat="1" applyBorder="1"/>
    <xf numFmtId="0" fontId="4" fillId="0" borderId="1" xfId="0" applyNumberFormat="1" applyFont="1" applyFill="1" applyBorder="1" applyAlignment="1" applyProtection="1">
      <alignment horizontal="left" vertical="center" indent="1"/>
    </xf>
    <xf numFmtId="0" fontId="0" fillId="0" borderId="1" xfId="0" applyNumberFormat="1" applyFill="1" applyBorder="1" applyProtection="1"/>
    <xf numFmtId="0" fontId="3" fillId="0" borderId="1" xfId="0" applyNumberFormat="1" applyFont="1" applyBorder="1" applyAlignment="1">
      <alignment horizontal="left" vertical="center" indent="1"/>
    </xf>
    <xf numFmtId="0" fontId="0" fillId="0" borderId="0" xfId="0" applyNumberFormat="1" applyAlignment="1">
      <alignment vertical="center"/>
    </xf>
    <xf numFmtId="0" fontId="0" fillId="0" borderId="0" xfId="0" applyNumberFormat="1" applyProtection="1">
      <protection locked="0"/>
    </xf>
    <xf numFmtId="0" fontId="0" fillId="0" borderId="2" xfId="0" applyNumberFormat="1" applyFill="1" applyBorder="1" applyAlignment="1" applyProtection="1">
      <alignment horizontal="center" vertical="top" wrapText="1"/>
    </xf>
    <xf numFmtId="0" fontId="0" fillId="0" borderId="2" xfId="0" applyNumberFormat="1" applyFill="1" applyBorder="1" applyAlignment="1" applyProtection="1">
      <alignment vertical="top" wrapText="1"/>
      <protection locked="0"/>
    </xf>
    <xf numFmtId="0" fontId="0" fillId="0" borderId="2" xfId="0" applyNumberFormat="1" applyFill="1" applyBorder="1" applyAlignment="1" applyProtection="1">
      <alignment horizontal="center" vertical="top" wrapText="1"/>
      <protection locked="0"/>
    </xf>
    <xf numFmtId="0" fontId="0" fillId="0" borderId="3" xfId="0" applyNumberFormat="1" applyFill="1" applyBorder="1" applyAlignment="1" applyProtection="1">
      <alignment horizontal="center" vertical="top" wrapText="1"/>
    </xf>
    <xf numFmtId="0" fontId="0" fillId="0" borderId="3" xfId="0" applyNumberFormat="1" applyFill="1" applyBorder="1" applyAlignment="1" applyProtection="1">
      <alignment vertical="top" wrapText="1"/>
      <protection locked="0"/>
    </xf>
    <xf numFmtId="0" fontId="0" fillId="0" borderId="3" xfId="0" applyNumberFormat="1" applyFill="1" applyBorder="1" applyAlignment="1" applyProtection="1">
      <alignment horizontal="center" vertical="top" wrapText="1"/>
      <protection locked="0"/>
    </xf>
    <xf numFmtId="0" fontId="2" fillId="2" borderId="4" xfId="0" applyNumberFormat="1" applyFont="1" applyFill="1" applyBorder="1" applyAlignment="1" applyProtection="1">
      <alignment horizontal="center" vertical="top" wrapText="1"/>
    </xf>
    <xf numFmtId="0" fontId="2" fillId="2" borderId="4" xfId="0" applyNumberFormat="1" applyFont="1" applyFill="1" applyBorder="1" applyAlignment="1" applyProtection="1">
      <alignment vertical="top" wrapText="1"/>
    </xf>
    <xf numFmtId="0" fontId="0" fillId="0" borderId="4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0" xfId="0" applyNumberFormat="1" applyAlignment="1" applyProtection="1">
      <alignment vertical="center"/>
      <protection locked="0"/>
    </xf>
    <xf numFmtId="0" fontId="5" fillId="0" borderId="0" xfId="0" applyNumberFormat="1" applyFont="1" applyAlignment="1" applyProtection="1">
      <alignment horizontal="left" vertical="center" indent="1"/>
      <protection locked="0"/>
    </xf>
    <xf numFmtId="0" fontId="2" fillId="3" borderId="5" xfId="0" applyFont="1" applyFill="1" applyBorder="1" applyAlignment="1">
      <alignment horizontal="left" vertical="center"/>
    </xf>
    <xf numFmtId="0" fontId="0" fillId="3" borderId="6" xfId="0" applyFill="1" applyBorder="1" applyAlignment="1">
      <alignment horizontal="center" vertical="center"/>
    </xf>
    <xf numFmtId="0" fontId="0" fillId="4" borderId="0" xfId="0" applyFill="1" applyBorder="1" applyAlignment="1" applyProtection="1">
      <alignment horizontal="right" vertical="center"/>
      <protection locked="0"/>
    </xf>
    <xf numFmtId="0" fontId="0" fillId="0" borderId="2" xfId="0" applyBorder="1" applyAlignment="1">
      <alignment horizontal="center" vertical="top" wrapText="1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15" sel="1" val="0">
  <itemLst>
    <item val="Construction Risks"/>
    <item val="Design Risks"/>
    <item val="Engineering Services Risks"/>
    <item val="Environmental Risks"/>
    <item val="External Risks"/>
    <item val="Organizational Risks"/>
    <item val="Project Management Risks"/>
    <item val="Right of Way Risks"/>
    <item val="All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4</xdr:col>
          <xdr:colOff>9525</xdr:colOff>
          <xdr:row>4</xdr:row>
          <xdr:rowOff>0</xdr:rowOff>
        </xdr:to>
        <xdr:sp macro="" textlink="">
          <xdr:nvSpPr>
            <xdr:cNvPr id="1029" name="myPTFilterDropDown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B1:G17"/>
  <sheetViews>
    <sheetView showGridLines="0" tabSelected="1" zoomScaleNormal="100" workbookViewId="0">
      <selection activeCell="B2" sqref="B2"/>
    </sheetView>
  </sheetViews>
  <sheetFormatPr defaultColWidth="10.7109375" defaultRowHeight="12.75" x14ac:dyDescent="0.2"/>
  <cols>
    <col min="1" max="1" width="1.7109375" style="1" customWidth="1"/>
    <col min="2" max="2" width="18" style="1" bestFit="1" customWidth="1"/>
    <col min="3" max="3" width="7.5703125" style="1" bestFit="1" customWidth="1"/>
    <col min="4" max="4" width="40.7109375" style="1" customWidth="1"/>
    <col min="5" max="7" width="40.7109375" style="2" customWidth="1"/>
    <col min="8" max="8" width="1.7109375" style="1" customWidth="1"/>
    <col min="9" max="16384" width="10.7109375" style="1"/>
  </cols>
  <sheetData>
    <row r="1" spans="2:7" ht="18" customHeight="1" x14ac:dyDescent="0.2">
      <c r="E1" s="1"/>
      <c r="F1" s="1"/>
      <c r="G1" s="1"/>
    </row>
    <row r="2" spans="2:7" ht="24.95" customHeight="1" thickBot="1" x14ac:dyDescent="0.25">
      <c r="B2" s="9" t="s">
        <v>0</v>
      </c>
      <c r="C2" s="6"/>
      <c r="D2" s="6"/>
      <c r="E2" s="6"/>
      <c r="F2" s="6"/>
      <c r="G2"/>
    </row>
    <row r="3" spans="2:7" ht="12.75" customHeight="1" x14ac:dyDescent="0.2">
      <c r="E3" s="1"/>
      <c r="F3" s="1"/>
      <c r="G3" s="1"/>
    </row>
    <row r="4" spans="2:7" ht="15" customHeight="1" x14ac:dyDescent="0.2">
      <c r="B4" s="24" t="s">
        <v>1</v>
      </c>
      <c r="C4"/>
      <c r="D4"/>
      <c r="E4"/>
      <c r="F4"/>
      <c r="G4"/>
    </row>
    <row r="5" spans="2:7" x14ac:dyDescent="0.2">
      <c r="B5"/>
      <c r="C5"/>
      <c r="D5"/>
      <c r="E5"/>
      <c r="F5"/>
      <c r="G5"/>
    </row>
    <row r="6" spans="2:7" x14ac:dyDescent="0.2">
      <c r="B6"/>
      <c r="C6"/>
      <c r="D6" s="28" t="s">
        <v>2</v>
      </c>
      <c r="E6" s="28"/>
      <c r="F6" s="28"/>
      <c r="G6" s="28"/>
    </row>
    <row r="7" spans="2:7" x14ac:dyDescent="0.2">
      <c r="B7"/>
      <c r="C7"/>
      <c r="D7" s="25" t="s">
        <v>3</v>
      </c>
      <c r="E7" s="25" t="s">
        <v>4</v>
      </c>
      <c r="F7" s="25" t="s">
        <v>5</v>
      </c>
      <c r="G7" s="25" t="s">
        <v>6</v>
      </c>
    </row>
    <row r="8" spans="2:7" ht="25.5" x14ac:dyDescent="0.2">
      <c r="B8" s="29" t="s">
        <v>7</v>
      </c>
      <c r="C8" s="30" t="s">
        <v>3</v>
      </c>
      <c r="D8" s="20" t="s">
        <v>8</v>
      </c>
      <c r="E8" s="20" t="s">
        <v>9</v>
      </c>
      <c r="F8" s="20"/>
      <c r="G8" s="20" t="s">
        <v>10</v>
      </c>
    </row>
    <row r="9" spans="2:7" ht="25.5" x14ac:dyDescent="0.2">
      <c r="B9" s="29"/>
      <c r="C9" s="31"/>
      <c r="D9" s="27" t="s">
        <v>11</v>
      </c>
      <c r="E9" s="27" t="s">
        <v>12</v>
      </c>
      <c r="F9" s="27"/>
      <c r="G9" s="27" t="s">
        <v>13</v>
      </c>
    </row>
    <row r="10" spans="2:7" ht="38.25" x14ac:dyDescent="0.2">
      <c r="B10" s="29"/>
      <c r="C10" s="32"/>
      <c r="D10" s="21"/>
      <c r="E10" s="21" t="s">
        <v>14</v>
      </c>
      <c r="F10" s="21"/>
      <c r="G10" s="21"/>
    </row>
    <row r="11" spans="2:7" x14ac:dyDescent="0.2">
      <c r="B11" s="29"/>
      <c r="C11" s="30" t="s">
        <v>4</v>
      </c>
      <c r="D11" s="20"/>
      <c r="E11" s="20"/>
      <c r="F11" s="20" t="s">
        <v>15</v>
      </c>
      <c r="G11" s="20" t="s">
        <v>16</v>
      </c>
    </row>
    <row r="12" spans="2:7" ht="25.5" x14ac:dyDescent="0.2">
      <c r="B12" s="29"/>
      <c r="C12" s="31"/>
      <c r="D12" s="27"/>
      <c r="E12" s="27"/>
      <c r="F12" s="27" t="s">
        <v>17</v>
      </c>
      <c r="G12" s="27" t="s">
        <v>18</v>
      </c>
    </row>
    <row r="13" spans="2:7" x14ac:dyDescent="0.2">
      <c r="B13" s="29"/>
      <c r="C13" s="32"/>
      <c r="D13" s="21"/>
      <c r="E13" s="21"/>
      <c r="F13" s="21" t="s">
        <v>19</v>
      </c>
      <c r="G13" s="21"/>
    </row>
    <row r="14" spans="2:7" ht="25.5" x14ac:dyDescent="0.2">
      <c r="B14" s="29"/>
      <c r="C14" s="30" t="s">
        <v>5</v>
      </c>
      <c r="D14" s="20"/>
      <c r="E14" s="20" t="s">
        <v>20</v>
      </c>
      <c r="F14" s="20"/>
      <c r="G14" s="20" t="s">
        <v>21</v>
      </c>
    </row>
    <row r="15" spans="2:7" ht="25.5" x14ac:dyDescent="0.2">
      <c r="B15" s="29"/>
      <c r="C15" s="31"/>
      <c r="D15" s="27"/>
      <c r="E15" s="27" t="s">
        <v>22</v>
      </c>
      <c r="F15" s="27"/>
      <c r="G15" s="27" t="s">
        <v>23</v>
      </c>
    </row>
    <row r="16" spans="2:7" ht="25.5" x14ac:dyDescent="0.2">
      <c r="B16" s="29"/>
      <c r="C16" s="31"/>
      <c r="D16" s="27"/>
      <c r="E16" s="27" t="s">
        <v>24</v>
      </c>
      <c r="F16" s="27"/>
      <c r="G16" s="27"/>
    </row>
    <row r="17" spans="2:7" x14ac:dyDescent="0.2">
      <c r="B17" s="29"/>
      <c r="C17" s="32"/>
      <c r="D17" s="21"/>
      <c r="E17" s="21" t="s">
        <v>25</v>
      </c>
      <c r="F17" s="21"/>
      <c r="G17" s="21"/>
    </row>
  </sheetData>
  <mergeCells count="5">
    <mergeCell ref="D6:G6"/>
    <mergeCell ref="B8:B17"/>
    <mergeCell ref="C8:C10"/>
    <mergeCell ref="C11:C13"/>
    <mergeCell ref="C14:C17"/>
  </mergeCells>
  <phoneticPr fontId="1" type="noConversion"/>
  <printOptions horizontalCentered="1" verticalCentered="1"/>
  <pageMargins left="0.19685039370078741" right="0.19685039370078741" top="0.39370078740157483" bottom="0.39370078740157483" header="0.19685039370078741" footer="0.19685039370078741"/>
  <pageSetup paperSize="9" scale="5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myPTFilterDropDown">
              <controlPr defaultSize="0" autoFill="0" autoPict="0" macro="[0]!UpdateFilterDropDown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B1:G154"/>
  <sheetViews>
    <sheetView showGridLines="0" zoomScaleNormal="100" workbookViewId="0">
      <pane ySplit="4" topLeftCell="A26" activePane="bottomLeft" state="frozen"/>
      <selection pane="bottomLeft" activeCell="A5" sqref="A5"/>
    </sheetView>
  </sheetViews>
  <sheetFormatPr defaultColWidth="10.7109375" defaultRowHeight="12.75" x14ac:dyDescent="0.2"/>
  <cols>
    <col min="1" max="1" width="1.7109375" style="3" customWidth="1"/>
    <col min="2" max="2" width="5.7109375" style="3" customWidth="1"/>
    <col min="3" max="3" width="70.7109375" style="3" customWidth="1"/>
    <col min="4" max="4" width="25.7109375" style="5" customWidth="1"/>
    <col min="5" max="6" width="20.7109375" style="5" customWidth="1"/>
    <col min="7" max="7" width="1.7109375" style="4" customWidth="1"/>
    <col min="8" max="16384" width="10.7109375" style="3"/>
  </cols>
  <sheetData>
    <row r="1" spans="2:6" x14ac:dyDescent="0.2">
      <c r="D1" s="3"/>
      <c r="E1" s="3"/>
      <c r="F1" s="3"/>
    </row>
    <row r="2" spans="2:6" ht="16.5" thickBot="1" x14ac:dyDescent="0.25">
      <c r="B2" s="7" t="s">
        <v>26</v>
      </c>
      <c r="C2" s="8"/>
      <c r="D2" s="8"/>
      <c r="E2" s="8"/>
      <c r="F2" s="8"/>
    </row>
    <row r="3" spans="2:6" x14ac:dyDescent="0.2">
      <c r="D3" s="3"/>
      <c r="E3" s="3"/>
      <c r="F3" s="3"/>
    </row>
    <row r="4" spans="2:6" x14ac:dyDescent="0.2">
      <c r="B4" s="18" t="s">
        <v>27</v>
      </c>
      <c r="C4" s="19" t="s">
        <v>28</v>
      </c>
      <c r="D4" s="18" t="s">
        <v>1</v>
      </c>
      <c r="E4" s="18" t="s">
        <v>7</v>
      </c>
      <c r="F4" s="18" t="s">
        <v>2</v>
      </c>
    </row>
    <row r="5" spans="2:6" x14ac:dyDescent="0.2">
      <c r="B5" s="12">
        <v>1</v>
      </c>
      <c r="C5" s="13" t="s">
        <v>29</v>
      </c>
      <c r="D5" s="14" t="s">
        <v>30</v>
      </c>
      <c r="E5" s="14" t="s">
        <v>4</v>
      </c>
      <c r="F5" s="14" t="s">
        <v>6</v>
      </c>
    </row>
    <row r="6" spans="2:6" ht="25.5" x14ac:dyDescent="0.2">
      <c r="B6" s="12">
        <f>B5+1</f>
        <v>2</v>
      </c>
      <c r="C6" s="13" t="s">
        <v>31</v>
      </c>
      <c r="D6" s="14" t="s">
        <v>30</v>
      </c>
      <c r="E6" s="14" t="s">
        <v>5</v>
      </c>
      <c r="F6" s="14" t="s">
        <v>6</v>
      </c>
    </row>
    <row r="7" spans="2:6" ht="25.5" x14ac:dyDescent="0.2">
      <c r="B7" s="12">
        <f t="shared" ref="B7:B70" si="0">B6+1</f>
        <v>3</v>
      </c>
      <c r="C7" s="13" t="s">
        <v>32</v>
      </c>
      <c r="D7" s="14" t="s">
        <v>30</v>
      </c>
      <c r="E7" s="14" t="s">
        <v>4</v>
      </c>
      <c r="F7" s="14" t="s">
        <v>6</v>
      </c>
    </row>
    <row r="8" spans="2:6" x14ac:dyDescent="0.2">
      <c r="B8" s="12">
        <f t="shared" si="0"/>
        <v>4</v>
      </c>
      <c r="C8" s="13" t="s">
        <v>33</v>
      </c>
      <c r="D8" s="14" t="s">
        <v>30</v>
      </c>
      <c r="E8" s="14" t="s">
        <v>5</v>
      </c>
      <c r="F8" s="14" t="s">
        <v>4</v>
      </c>
    </row>
    <row r="9" spans="2:6" x14ac:dyDescent="0.2">
      <c r="B9" s="12">
        <f t="shared" si="0"/>
        <v>5</v>
      </c>
      <c r="C9" s="13" t="s">
        <v>34</v>
      </c>
      <c r="D9" s="14" t="s">
        <v>30</v>
      </c>
      <c r="E9" s="14" t="s">
        <v>4</v>
      </c>
      <c r="F9" s="14" t="s">
        <v>5</v>
      </c>
    </row>
    <row r="10" spans="2:6" x14ac:dyDescent="0.2">
      <c r="B10" s="12">
        <f t="shared" si="0"/>
        <v>6</v>
      </c>
      <c r="C10" s="13" t="s">
        <v>35</v>
      </c>
      <c r="D10" s="14" t="s">
        <v>30</v>
      </c>
      <c r="E10" s="14" t="s">
        <v>5</v>
      </c>
      <c r="F10" s="14" t="s">
        <v>4</v>
      </c>
    </row>
    <row r="11" spans="2:6" ht="25.5" x14ac:dyDescent="0.2">
      <c r="B11" s="12">
        <f t="shared" si="0"/>
        <v>7</v>
      </c>
      <c r="C11" s="13" t="s">
        <v>36</v>
      </c>
      <c r="D11" s="14" t="s">
        <v>30</v>
      </c>
      <c r="E11" s="14" t="s">
        <v>4</v>
      </c>
      <c r="F11" s="14" t="s">
        <v>6</v>
      </c>
    </row>
    <row r="12" spans="2:6" x14ac:dyDescent="0.2">
      <c r="B12" s="12">
        <f t="shared" si="0"/>
        <v>8</v>
      </c>
      <c r="C12" s="13" t="s">
        <v>37</v>
      </c>
      <c r="D12" s="14" t="s">
        <v>30</v>
      </c>
      <c r="E12" s="14" t="s">
        <v>4</v>
      </c>
      <c r="F12" s="14" t="s">
        <v>6</v>
      </c>
    </row>
    <row r="13" spans="2:6" x14ac:dyDescent="0.2">
      <c r="B13" s="12">
        <f t="shared" si="0"/>
        <v>9</v>
      </c>
      <c r="C13" s="13" t="s">
        <v>38</v>
      </c>
      <c r="D13" s="14" t="s">
        <v>30</v>
      </c>
      <c r="E13" s="14" t="s">
        <v>5</v>
      </c>
      <c r="F13" s="14" t="s">
        <v>3</v>
      </c>
    </row>
    <row r="14" spans="2:6" x14ac:dyDescent="0.2">
      <c r="B14" s="12">
        <f t="shared" si="0"/>
        <v>10</v>
      </c>
      <c r="C14" s="13" t="s">
        <v>39</v>
      </c>
      <c r="D14" s="14" t="s">
        <v>30</v>
      </c>
      <c r="E14" s="14" t="s">
        <v>4</v>
      </c>
      <c r="F14" s="14" t="s">
        <v>4</v>
      </c>
    </row>
    <row r="15" spans="2:6" x14ac:dyDescent="0.2">
      <c r="B15" s="12">
        <f t="shared" si="0"/>
        <v>11</v>
      </c>
      <c r="C15" s="13" t="s">
        <v>40</v>
      </c>
      <c r="D15" s="14" t="s">
        <v>30</v>
      </c>
      <c r="E15" s="14" t="s">
        <v>5</v>
      </c>
      <c r="F15" s="14" t="s">
        <v>4</v>
      </c>
    </row>
    <row r="16" spans="2:6" x14ac:dyDescent="0.2">
      <c r="B16" s="12">
        <f t="shared" si="0"/>
        <v>12</v>
      </c>
      <c r="C16" s="13" t="s">
        <v>41</v>
      </c>
      <c r="D16" s="14" t="s">
        <v>30</v>
      </c>
      <c r="E16" s="14" t="s">
        <v>4</v>
      </c>
      <c r="F16" s="14" t="s">
        <v>5</v>
      </c>
    </row>
    <row r="17" spans="2:6" x14ac:dyDescent="0.2">
      <c r="B17" s="12">
        <f t="shared" si="0"/>
        <v>13</v>
      </c>
      <c r="C17" s="13" t="s">
        <v>42</v>
      </c>
      <c r="D17" s="14" t="s">
        <v>30</v>
      </c>
      <c r="E17" s="14" t="s">
        <v>5</v>
      </c>
      <c r="F17" s="14" t="s">
        <v>4</v>
      </c>
    </row>
    <row r="18" spans="2:6" x14ac:dyDescent="0.2">
      <c r="B18" s="12">
        <f t="shared" si="0"/>
        <v>14</v>
      </c>
      <c r="C18" s="13" t="s">
        <v>43</v>
      </c>
      <c r="D18" s="14" t="s">
        <v>30</v>
      </c>
      <c r="E18" s="14" t="s">
        <v>5</v>
      </c>
      <c r="F18" s="14" t="s">
        <v>4</v>
      </c>
    </row>
    <row r="19" spans="2:6" x14ac:dyDescent="0.2">
      <c r="B19" s="12">
        <f t="shared" si="0"/>
        <v>15</v>
      </c>
      <c r="C19" s="13" t="s">
        <v>44</v>
      </c>
      <c r="D19" s="14" t="s">
        <v>30</v>
      </c>
      <c r="E19" s="14" t="s">
        <v>4</v>
      </c>
      <c r="F19" s="14" t="s">
        <v>6</v>
      </c>
    </row>
    <row r="20" spans="2:6" x14ac:dyDescent="0.2">
      <c r="B20" s="12">
        <f t="shared" si="0"/>
        <v>16</v>
      </c>
      <c r="C20" s="13" t="s">
        <v>45</v>
      </c>
      <c r="D20" s="14" t="s">
        <v>30</v>
      </c>
      <c r="E20" s="14" t="s">
        <v>5</v>
      </c>
      <c r="F20" s="14" t="s">
        <v>3</v>
      </c>
    </row>
    <row r="21" spans="2:6" x14ac:dyDescent="0.2">
      <c r="B21" s="12">
        <f t="shared" si="0"/>
        <v>17</v>
      </c>
      <c r="C21" s="13" t="s">
        <v>46</v>
      </c>
      <c r="D21" s="14" t="s">
        <v>30</v>
      </c>
      <c r="E21" s="14" t="s">
        <v>5</v>
      </c>
      <c r="F21" s="14" t="s">
        <v>4</v>
      </c>
    </row>
    <row r="22" spans="2:6" x14ac:dyDescent="0.2">
      <c r="B22" s="12">
        <f t="shared" si="0"/>
        <v>18</v>
      </c>
      <c r="C22" s="13" t="s">
        <v>47</v>
      </c>
      <c r="D22" s="14" t="s">
        <v>30</v>
      </c>
      <c r="E22" s="14" t="s">
        <v>4</v>
      </c>
      <c r="F22" s="14" t="s">
        <v>5</v>
      </c>
    </row>
    <row r="23" spans="2:6" x14ac:dyDescent="0.2">
      <c r="B23" s="12">
        <f t="shared" si="0"/>
        <v>19</v>
      </c>
      <c r="C23" s="13" t="s">
        <v>48</v>
      </c>
      <c r="D23" s="14" t="s">
        <v>30</v>
      </c>
      <c r="E23" s="14" t="s">
        <v>4</v>
      </c>
      <c r="F23" s="14" t="s">
        <v>6</v>
      </c>
    </row>
    <row r="24" spans="2:6" ht="25.5" x14ac:dyDescent="0.2">
      <c r="B24" s="12">
        <f t="shared" si="0"/>
        <v>20</v>
      </c>
      <c r="C24" s="13" t="s">
        <v>49</v>
      </c>
      <c r="D24" s="14" t="s">
        <v>30</v>
      </c>
      <c r="E24" s="14" t="s">
        <v>4</v>
      </c>
      <c r="F24" s="14" t="s">
        <v>3</v>
      </c>
    </row>
    <row r="25" spans="2:6" x14ac:dyDescent="0.2">
      <c r="B25" s="12">
        <f t="shared" si="0"/>
        <v>21</v>
      </c>
      <c r="C25" s="13" t="s">
        <v>50</v>
      </c>
      <c r="D25" s="14" t="s">
        <v>30</v>
      </c>
      <c r="E25" s="14" t="s">
        <v>4</v>
      </c>
      <c r="F25" s="14" t="s">
        <v>3</v>
      </c>
    </row>
    <row r="26" spans="2:6" x14ac:dyDescent="0.2">
      <c r="B26" s="12">
        <f t="shared" si="0"/>
        <v>22</v>
      </c>
      <c r="C26" s="13" t="s">
        <v>51</v>
      </c>
      <c r="D26" s="14" t="s">
        <v>52</v>
      </c>
      <c r="E26" s="14" t="s">
        <v>5</v>
      </c>
      <c r="F26" s="14" t="s">
        <v>4</v>
      </c>
    </row>
    <row r="27" spans="2:6" x14ac:dyDescent="0.2">
      <c r="B27" s="12">
        <f t="shared" si="0"/>
        <v>23</v>
      </c>
      <c r="C27" s="13" t="s">
        <v>53</v>
      </c>
      <c r="D27" s="14" t="s">
        <v>52</v>
      </c>
      <c r="E27" s="14" t="s">
        <v>3</v>
      </c>
      <c r="F27" s="14" t="s">
        <v>3</v>
      </c>
    </row>
    <row r="28" spans="2:6" x14ac:dyDescent="0.2">
      <c r="B28" s="12">
        <f t="shared" si="0"/>
        <v>24</v>
      </c>
      <c r="C28" s="13" t="s">
        <v>54</v>
      </c>
      <c r="D28" s="14" t="s">
        <v>52</v>
      </c>
      <c r="E28" s="14" t="s">
        <v>4</v>
      </c>
      <c r="F28" s="14" t="s">
        <v>3</v>
      </c>
    </row>
    <row r="29" spans="2:6" x14ac:dyDescent="0.2">
      <c r="B29" s="12">
        <f t="shared" si="0"/>
        <v>25</v>
      </c>
      <c r="C29" s="13" t="s">
        <v>55</v>
      </c>
      <c r="D29" s="14" t="s">
        <v>52</v>
      </c>
      <c r="E29" s="14" t="s">
        <v>3</v>
      </c>
      <c r="F29" s="14" t="s">
        <v>5</v>
      </c>
    </row>
    <row r="30" spans="2:6" x14ac:dyDescent="0.2">
      <c r="B30" s="12">
        <f t="shared" si="0"/>
        <v>26</v>
      </c>
      <c r="C30" s="13" t="s">
        <v>56</v>
      </c>
      <c r="D30" s="14" t="s">
        <v>52</v>
      </c>
      <c r="E30" s="14" t="s">
        <v>3</v>
      </c>
      <c r="F30" s="14" t="s">
        <v>4</v>
      </c>
    </row>
    <row r="31" spans="2:6" x14ac:dyDescent="0.2">
      <c r="B31" s="12">
        <f t="shared" si="0"/>
        <v>27</v>
      </c>
      <c r="C31" s="13" t="s">
        <v>57</v>
      </c>
      <c r="D31" s="14" t="s">
        <v>52</v>
      </c>
      <c r="E31" s="14" t="s">
        <v>4</v>
      </c>
      <c r="F31" s="14" t="s">
        <v>3</v>
      </c>
    </row>
    <row r="32" spans="2:6" x14ac:dyDescent="0.2">
      <c r="B32" s="12">
        <f t="shared" si="0"/>
        <v>28</v>
      </c>
      <c r="C32" s="13" t="s">
        <v>58</v>
      </c>
      <c r="D32" s="14" t="s">
        <v>52</v>
      </c>
      <c r="E32" s="14" t="s">
        <v>4</v>
      </c>
      <c r="F32" s="14" t="s">
        <v>5</v>
      </c>
    </row>
    <row r="33" spans="2:6" x14ac:dyDescent="0.2">
      <c r="B33" s="12">
        <f t="shared" si="0"/>
        <v>29</v>
      </c>
      <c r="C33" s="13" t="s">
        <v>59</v>
      </c>
      <c r="D33" s="14" t="s">
        <v>52</v>
      </c>
      <c r="E33" s="14" t="s">
        <v>3</v>
      </c>
      <c r="F33" s="14" t="s">
        <v>6</v>
      </c>
    </row>
    <row r="34" spans="2:6" x14ac:dyDescent="0.2">
      <c r="B34" s="12">
        <f t="shared" si="0"/>
        <v>30</v>
      </c>
      <c r="C34" s="13" t="s">
        <v>60</v>
      </c>
      <c r="D34" s="14" t="s">
        <v>52</v>
      </c>
      <c r="E34" s="14" t="s">
        <v>3</v>
      </c>
      <c r="F34" s="14" t="s">
        <v>3</v>
      </c>
    </row>
    <row r="35" spans="2:6" x14ac:dyDescent="0.2">
      <c r="B35" s="12">
        <f t="shared" si="0"/>
        <v>31</v>
      </c>
      <c r="C35" s="13" t="s">
        <v>61</v>
      </c>
      <c r="D35" s="14" t="s">
        <v>52</v>
      </c>
      <c r="E35" s="14" t="s">
        <v>5</v>
      </c>
      <c r="F35" s="14" t="s">
        <v>5</v>
      </c>
    </row>
    <row r="36" spans="2:6" x14ac:dyDescent="0.2">
      <c r="B36" s="12">
        <f t="shared" si="0"/>
        <v>32</v>
      </c>
      <c r="C36" s="13" t="s">
        <v>62</v>
      </c>
      <c r="D36" s="14" t="s">
        <v>52</v>
      </c>
      <c r="E36" s="14" t="s">
        <v>3</v>
      </c>
      <c r="F36" s="14" t="s">
        <v>6</v>
      </c>
    </row>
    <row r="37" spans="2:6" x14ac:dyDescent="0.2">
      <c r="B37" s="12">
        <f t="shared" si="0"/>
        <v>33</v>
      </c>
      <c r="C37" s="13" t="s">
        <v>63</v>
      </c>
      <c r="D37" s="14" t="s">
        <v>52</v>
      </c>
      <c r="E37" s="14" t="s">
        <v>3</v>
      </c>
      <c r="F37" s="14" t="s">
        <v>3</v>
      </c>
    </row>
    <row r="38" spans="2:6" x14ac:dyDescent="0.2">
      <c r="B38" s="12">
        <f t="shared" si="0"/>
        <v>34</v>
      </c>
      <c r="C38" s="13" t="s">
        <v>64</v>
      </c>
      <c r="D38" s="14" t="s">
        <v>52</v>
      </c>
      <c r="E38" s="14" t="s">
        <v>5</v>
      </c>
      <c r="F38" s="14" t="s">
        <v>4</v>
      </c>
    </row>
    <row r="39" spans="2:6" x14ac:dyDescent="0.2">
      <c r="B39" s="12">
        <f t="shared" si="0"/>
        <v>35</v>
      </c>
      <c r="C39" s="13" t="s">
        <v>65</v>
      </c>
      <c r="D39" s="14" t="s">
        <v>52</v>
      </c>
      <c r="E39" s="14" t="s">
        <v>3</v>
      </c>
      <c r="F39" s="14" t="s">
        <v>6</v>
      </c>
    </row>
    <row r="40" spans="2:6" x14ac:dyDescent="0.2">
      <c r="B40" s="12">
        <f t="shared" si="0"/>
        <v>36</v>
      </c>
      <c r="C40" s="13" t="s">
        <v>66</v>
      </c>
      <c r="D40" s="14" t="s">
        <v>52</v>
      </c>
      <c r="E40" s="14" t="s">
        <v>5</v>
      </c>
      <c r="F40" s="14" t="s">
        <v>6</v>
      </c>
    </row>
    <row r="41" spans="2:6" x14ac:dyDescent="0.2">
      <c r="B41" s="12">
        <f t="shared" si="0"/>
        <v>37</v>
      </c>
      <c r="C41" s="13" t="s">
        <v>67</v>
      </c>
      <c r="D41" s="14" t="s">
        <v>52</v>
      </c>
      <c r="E41" s="14" t="s">
        <v>3</v>
      </c>
      <c r="F41" s="14" t="s">
        <v>6</v>
      </c>
    </row>
    <row r="42" spans="2:6" x14ac:dyDescent="0.2">
      <c r="B42" s="12">
        <f t="shared" si="0"/>
        <v>38</v>
      </c>
      <c r="C42" s="13" t="s">
        <v>68</v>
      </c>
      <c r="D42" s="14" t="s">
        <v>69</v>
      </c>
      <c r="E42" s="14" t="s">
        <v>4</v>
      </c>
      <c r="F42" s="14" t="s">
        <v>5</v>
      </c>
    </row>
    <row r="43" spans="2:6" x14ac:dyDescent="0.2">
      <c r="B43" s="12">
        <f t="shared" si="0"/>
        <v>39</v>
      </c>
      <c r="C43" s="13" t="s">
        <v>70</v>
      </c>
      <c r="D43" s="14" t="s">
        <v>69</v>
      </c>
      <c r="E43" s="14" t="s">
        <v>3</v>
      </c>
      <c r="F43" s="14" t="s">
        <v>6</v>
      </c>
    </row>
    <row r="44" spans="2:6" x14ac:dyDescent="0.2">
      <c r="B44" s="12">
        <f t="shared" si="0"/>
        <v>40</v>
      </c>
      <c r="C44" s="13" t="s">
        <v>71</v>
      </c>
      <c r="D44" s="14" t="s">
        <v>69</v>
      </c>
      <c r="E44" s="14" t="s">
        <v>5</v>
      </c>
      <c r="F44" s="14" t="s">
        <v>3</v>
      </c>
    </row>
    <row r="45" spans="2:6" x14ac:dyDescent="0.2">
      <c r="B45" s="12">
        <f t="shared" si="0"/>
        <v>41</v>
      </c>
      <c r="C45" s="13" t="s">
        <v>72</v>
      </c>
      <c r="D45" s="14" t="s">
        <v>69</v>
      </c>
      <c r="E45" s="14" t="s">
        <v>5</v>
      </c>
      <c r="F45" s="14" t="s">
        <v>5</v>
      </c>
    </row>
    <row r="46" spans="2:6" x14ac:dyDescent="0.2">
      <c r="B46" s="12">
        <f t="shared" si="0"/>
        <v>42</v>
      </c>
      <c r="C46" s="13" t="s">
        <v>73</v>
      </c>
      <c r="D46" s="14" t="s">
        <v>69</v>
      </c>
      <c r="E46" s="14" t="s">
        <v>3</v>
      </c>
      <c r="F46" s="14" t="s">
        <v>4</v>
      </c>
    </row>
    <row r="47" spans="2:6" x14ac:dyDescent="0.2">
      <c r="B47" s="12">
        <f t="shared" si="0"/>
        <v>43</v>
      </c>
      <c r="C47" s="13" t="s">
        <v>74</v>
      </c>
      <c r="D47" s="14" t="s">
        <v>69</v>
      </c>
      <c r="E47" s="14" t="s">
        <v>3</v>
      </c>
      <c r="F47" s="14" t="s">
        <v>5</v>
      </c>
    </row>
    <row r="48" spans="2:6" x14ac:dyDescent="0.2">
      <c r="B48" s="12">
        <f t="shared" si="0"/>
        <v>44</v>
      </c>
      <c r="C48" s="13" t="s">
        <v>75</v>
      </c>
      <c r="D48" s="14" t="s">
        <v>69</v>
      </c>
      <c r="E48" s="14" t="s">
        <v>4</v>
      </c>
      <c r="F48" s="14" t="s">
        <v>3</v>
      </c>
    </row>
    <row r="49" spans="2:6" x14ac:dyDescent="0.2">
      <c r="B49" s="12">
        <f t="shared" si="0"/>
        <v>45</v>
      </c>
      <c r="C49" s="13" t="s">
        <v>76</v>
      </c>
      <c r="D49" s="14" t="s">
        <v>69</v>
      </c>
      <c r="E49" s="14" t="s">
        <v>5</v>
      </c>
      <c r="F49" s="14" t="s">
        <v>5</v>
      </c>
    </row>
    <row r="50" spans="2:6" x14ac:dyDescent="0.2">
      <c r="B50" s="12">
        <f t="shared" si="0"/>
        <v>46</v>
      </c>
      <c r="C50" s="13" t="s">
        <v>77</v>
      </c>
      <c r="D50" s="14" t="s">
        <v>69</v>
      </c>
      <c r="E50" s="14" t="s">
        <v>5</v>
      </c>
      <c r="F50" s="14" t="s">
        <v>3</v>
      </c>
    </row>
    <row r="51" spans="2:6" x14ac:dyDescent="0.2">
      <c r="B51" s="12">
        <f t="shared" si="0"/>
        <v>47</v>
      </c>
      <c r="C51" s="13" t="s">
        <v>78</v>
      </c>
      <c r="D51" s="14" t="s">
        <v>69</v>
      </c>
      <c r="E51" s="14" t="s">
        <v>3</v>
      </c>
      <c r="F51" s="14" t="s">
        <v>4</v>
      </c>
    </row>
    <row r="52" spans="2:6" x14ac:dyDescent="0.2">
      <c r="B52" s="12">
        <f t="shared" si="0"/>
        <v>48</v>
      </c>
      <c r="C52" s="13" t="s">
        <v>79</v>
      </c>
      <c r="D52" s="14" t="s">
        <v>69</v>
      </c>
      <c r="E52" s="14" t="s">
        <v>3</v>
      </c>
      <c r="F52" s="14" t="s">
        <v>3</v>
      </c>
    </row>
    <row r="53" spans="2:6" x14ac:dyDescent="0.2">
      <c r="B53" s="12">
        <f t="shared" si="0"/>
        <v>49</v>
      </c>
      <c r="C53" s="13" t="s">
        <v>80</v>
      </c>
      <c r="D53" s="14" t="s">
        <v>69</v>
      </c>
      <c r="E53" s="14" t="s">
        <v>4</v>
      </c>
      <c r="F53" s="14" t="s">
        <v>5</v>
      </c>
    </row>
    <row r="54" spans="2:6" x14ac:dyDescent="0.2">
      <c r="B54" s="12">
        <f t="shared" si="0"/>
        <v>50</v>
      </c>
      <c r="C54" s="13" t="s">
        <v>81</v>
      </c>
      <c r="D54" s="14" t="s">
        <v>69</v>
      </c>
      <c r="E54" s="14" t="s">
        <v>3</v>
      </c>
      <c r="F54" s="14" t="s">
        <v>5</v>
      </c>
    </row>
    <row r="55" spans="2:6" x14ac:dyDescent="0.2">
      <c r="B55" s="12">
        <f t="shared" si="0"/>
        <v>51</v>
      </c>
      <c r="C55" s="13" t="s">
        <v>82</v>
      </c>
      <c r="D55" s="14" t="s">
        <v>69</v>
      </c>
      <c r="E55" s="14" t="s">
        <v>4</v>
      </c>
      <c r="F55" s="14" t="s">
        <v>6</v>
      </c>
    </row>
    <row r="56" spans="2:6" x14ac:dyDescent="0.2">
      <c r="B56" s="12">
        <f t="shared" si="0"/>
        <v>52</v>
      </c>
      <c r="C56" s="13" t="s">
        <v>83</v>
      </c>
      <c r="D56" s="14" t="s">
        <v>69</v>
      </c>
      <c r="E56" s="14" t="s">
        <v>3</v>
      </c>
      <c r="F56" s="14" t="s">
        <v>5</v>
      </c>
    </row>
    <row r="57" spans="2:6" x14ac:dyDescent="0.2">
      <c r="B57" s="12">
        <f t="shared" si="0"/>
        <v>53</v>
      </c>
      <c r="C57" s="13" t="s">
        <v>84</v>
      </c>
      <c r="D57" s="14" t="s">
        <v>69</v>
      </c>
      <c r="E57" s="14" t="s">
        <v>4</v>
      </c>
      <c r="F57" s="14" t="s">
        <v>4</v>
      </c>
    </row>
    <row r="58" spans="2:6" x14ac:dyDescent="0.2">
      <c r="B58" s="12">
        <f t="shared" si="0"/>
        <v>54</v>
      </c>
      <c r="C58" s="13" t="s">
        <v>85</v>
      </c>
      <c r="D58" s="14" t="s">
        <v>69</v>
      </c>
      <c r="E58" s="14" t="s">
        <v>4</v>
      </c>
      <c r="F58" s="14" t="s">
        <v>5</v>
      </c>
    </row>
    <row r="59" spans="2:6" x14ac:dyDescent="0.2">
      <c r="B59" s="12">
        <f t="shared" si="0"/>
        <v>55</v>
      </c>
      <c r="C59" s="13" t="s">
        <v>86</v>
      </c>
      <c r="D59" s="14" t="s">
        <v>69</v>
      </c>
      <c r="E59" s="14" t="s">
        <v>3</v>
      </c>
      <c r="F59" s="14" t="s">
        <v>3</v>
      </c>
    </row>
    <row r="60" spans="2:6" ht="25.5" x14ac:dyDescent="0.2">
      <c r="B60" s="12">
        <f t="shared" si="0"/>
        <v>56</v>
      </c>
      <c r="C60" s="13" t="s">
        <v>87</v>
      </c>
      <c r="D60" s="14" t="s">
        <v>69</v>
      </c>
      <c r="E60" s="14" t="s">
        <v>3</v>
      </c>
      <c r="F60" s="14" t="s">
        <v>6</v>
      </c>
    </row>
    <row r="61" spans="2:6" ht="38.25" x14ac:dyDescent="0.2">
      <c r="B61" s="12">
        <f t="shared" si="0"/>
        <v>57</v>
      </c>
      <c r="C61" s="13" t="s">
        <v>88</v>
      </c>
      <c r="D61" s="14" t="s">
        <v>89</v>
      </c>
      <c r="E61" s="14" t="s">
        <v>5</v>
      </c>
      <c r="F61" s="14" t="s">
        <v>3</v>
      </c>
    </row>
    <row r="62" spans="2:6" ht="38.25" x14ac:dyDescent="0.2">
      <c r="B62" s="12">
        <f t="shared" si="0"/>
        <v>58</v>
      </c>
      <c r="C62" s="13" t="s">
        <v>90</v>
      </c>
      <c r="D62" s="14" t="s">
        <v>89</v>
      </c>
      <c r="E62" s="14" t="s">
        <v>5</v>
      </c>
      <c r="F62" s="14" t="s">
        <v>5</v>
      </c>
    </row>
    <row r="63" spans="2:6" ht="38.25" x14ac:dyDescent="0.2">
      <c r="B63" s="12">
        <f t="shared" si="0"/>
        <v>59</v>
      </c>
      <c r="C63" s="13" t="s">
        <v>91</v>
      </c>
      <c r="D63" s="14" t="s">
        <v>89</v>
      </c>
      <c r="E63" s="14" t="s">
        <v>5</v>
      </c>
      <c r="F63" s="14" t="s">
        <v>3</v>
      </c>
    </row>
    <row r="64" spans="2:6" ht="25.5" x14ac:dyDescent="0.2">
      <c r="B64" s="12">
        <f t="shared" si="0"/>
        <v>60</v>
      </c>
      <c r="C64" s="13" t="s">
        <v>92</v>
      </c>
      <c r="D64" s="14" t="s">
        <v>89</v>
      </c>
      <c r="E64" s="14" t="s">
        <v>4</v>
      </c>
      <c r="F64" s="14" t="s">
        <v>3</v>
      </c>
    </row>
    <row r="65" spans="2:6" ht="25.5" x14ac:dyDescent="0.2">
      <c r="B65" s="12">
        <f t="shared" si="0"/>
        <v>61</v>
      </c>
      <c r="C65" s="13" t="s">
        <v>93</v>
      </c>
      <c r="D65" s="14" t="s">
        <v>89</v>
      </c>
      <c r="E65" s="14" t="s">
        <v>3</v>
      </c>
      <c r="F65" s="14" t="s">
        <v>4</v>
      </c>
    </row>
    <row r="66" spans="2:6" ht="25.5" x14ac:dyDescent="0.2">
      <c r="B66" s="12">
        <f t="shared" si="0"/>
        <v>62</v>
      </c>
      <c r="C66" s="13" t="s">
        <v>94</v>
      </c>
      <c r="D66" s="14" t="s">
        <v>89</v>
      </c>
      <c r="E66" s="14" t="s">
        <v>5</v>
      </c>
      <c r="F66" s="14" t="s">
        <v>5</v>
      </c>
    </row>
    <row r="67" spans="2:6" ht="25.5" x14ac:dyDescent="0.2">
      <c r="B67" s="12">
        <f t="shared" si="0"/>
        <v>63</v>
      </c>
      <c r="C67" s="13" t="s">
        <v>95</v>
      </c>
      <c r="D67" s="14" t="s">
        <v>89</v>
      </c>
      <c r="E67" s="14" t="s">
        <v>3</v>
      </c>
      <c r="F67" s="14" t="s">
        <v>4</v>
      </c>
    </row>
    <row r="68" spans="2:6" ht="25.5" x14ac:dyDescent="0.2">
      <c r="B68" s="12">
        <f t="shared" si="0"/>
        <v>64</v>
      </c>
      <c r="C68" s="13" t="s">
        <v>96</v>
      </c>
      <c r="D68" s="14" t="s">
        <v>89</v>
      </c>
      <c r="E68" s="14" t="s">
        <v>4</v>
      </c>
      <c r="F68" s="14" t="s">
        <v>4</v>
      </c>
    </row>
    <row r="69" spans="2:6" ht="25.5" x14ac:dyDescent="0.2">
      <c r="B69" s="12">
        <f t="shared" si="0"/>
        <v>65</v>
      </c>
      <c r="C69" s="13" t="s">
        <v>97</v>
      </c>
      <c r="D69" s="14" t="s">
        <v>89</v>
      </c>
      <c r="E69" s="14" t="s">
        <v>5</v>
      </c>
      <c r="F69" s="14" t="s">
        <v>4</v>
      </c>
    </row>
    <row r="70" spans="2:6" x14ac:dyDescent="0.2">
      <c r="B70" s="12">
        <f t="shared" si="0"/>
        <v>66</v>
      </c>
      <c r="C70" s="13" t="s">
        <v>98</v>
      </c>
      <c r="D70" s="14" t="s">
        <v>89</v>
      </c>
      <c r="E70" s="14" t="s">
        <v>4</v>
      </c>
      <c r="F70" s="14" t="s">
        <v>3</v>
      </c>
    </row>
    <row r="71" spans="2:6" x14ac:dyDescent="0.2">
      <c r="B71" s="12">
        <f t="shared" ref="B71:B134" si="1">B70+1</f>
        <v>67</v>
      </c>
      <c r="C71" s="13" t="s">
        <v>99</v>
      </c>
      <c r="D71" s="14" t="s">
        <v>89</v>
      </c>
      <c r="E71" s="14" t="s">
        <v>4</v>
      </c>
      <c r="F71" s="14" t="s">
        <v>3</v>
      </c>
    </row>
    <row r="72" spans="2:6" ht="25.5" x14ac:dyDescent="0.2">
      <c r="B72" s="12">
        <f t="shared" si="1"/>
        <v>68</v>
      </c>
      <c r="C72" s="13" t="s">
        <v>100</v>
      </c>
      <c r="D72" s="14" t="s">
        <v>89</v>
      </c>
      <c r="E72" s="14" t="s">
        <v>4</v>
      </c>
      <c r="F72" s="14" t="s">
        <v>3</v>
      </c>
    </row>
    <row r="73" spans="2:6" x14ac:dyDescent="0.2">
      <c r="B73" s="12">
        <f t="shared" si="1"/>
        <v>69</v>
      </c>
      <c r="C73" s="13" t="s">
        <v>101</v>
      </c>
      <c r="D73" s="14" t="s">
        <v>89</v>
      </c>
      <c r="E73" s="14" t="s">
        <v>5</v>
      </c>
      <c r="F73" s="14" t="s">
        <v>4</v>
      </c>
    </row>
    <row r="74" spans="2:6" ht="25.5" x14ac:dyDescent="0.2">
      <c r="B74" s="12">
        <f t="shared" si="1"/>
        <v>70</v>
      </c>
      <c r="C74" s="13" t="s">
        <v>102</v>
      </c>
      <c r="D74" s="14" t="s">
        <v>89</v>
      </c>
      <c r="E74" s="14" t="s">
        <v>3</v>
      </c>
      <c r="F74" s="14" t="s">
        <v>4</v>
      </c>
    </row>
    <row r="75" spans="2:6" ht="25.5" x14ac:dyDescent="0.2">
      <c r="B75" s="12">
        <f t="shared" si="1"/>
        <v>71</v>
      </c>
      <c r="C75" s="13" t="s">
        <v>103</v>
      </c>
      <c r="D75" s="14" t="s">
        <v>89</v>
      </c>
      <c r="E75" s="14" t="s">
        <v>3</v>
      </c>
      <c r="F75" s="14" t="s">
        <v>5</v>
      </c>
    </row>
    <row r="76" spans="2:6" x14ac:dyDescent="0.2">
      <c r="B76" s="12">
        <f t="shared" si="1"/>
        <v>72</v>
      </c>
      <c r="C76" s="13" t="s">
        <v>104</v>
      </c>
      <c r="D76" s="14" t="s">
        <v>89</v>
      </c>
      <c r="E76" s="14" t="s">
        <v>4</v>
      </c>
      <c r="F76" s="14" t="s">
        <v>5</v>
      </c>
    </row>
    <row r="77" spans="2:6" x14ac:dyDescent="0.2">
      <c r="B77" s="12">
        <f t="shared" si="1"/>
        <v>73</v>
      </c>
      <c r="C77" s="13" t="s">
        <v>105</v>
      </c>
      <c r="D77" s="14" t="s">
        <v>89</v>
      </c>
      <c r="E77" s="14" t="s">
        <v>4</v>
      </c>
      <c r="F77" s="14" t="s">
        <v>3</v>
      </c>
    </row>
    <row r="78" spans="2:6" ht="25.5" x14ac:dyDescent="0.2">
      <c r="B78" s="12">
        <f t="shared" si="1"/>
        <v>74</v>
      </c>
      <c r="C78" s="13" t="s">
        <v>106</v>
      </c>
      <c r="D78" s="14" t="s">
        <v>89</v>
      </c>
      <c r="E78" s="14" t="s">
        <v>4</v>
      </c>
      <c r="F78" s="14" t="s">
        <v>6</v>
      </c>
    </row>
    <row r="79" spans="2:6" x14ac:dyDescent="0.2">
      <c r="B79" s="12">
        <f t="shared" si="1"/>
        <v>75</v>
      </c>
      <c r="C79" s="13" t="s">
        <v>107</v>
      </c>
      <c r="D79" s="14" t="s">
        <v>89</v>
      </c>
      <c r="E79" s="14" t="s">
        <v>5</v>
      </c>
      <c r="F79" s="14" t="s">
        <v>5</v>
      </c>
    </row>
    <row r="80" spans="2:6" ht="25.5" x14ac:dyDescent="0.2">
      <c r="B80" s="12">
        <f t="shared" si="1"/>
        <v>76</v>
      </c>
      <c r="C80" s="13" t="s">
        <v>108</v>
      </c>
      <c r="D80" s="14" t="s">
        <v>89</v>
      </c>
      <c r="E80" s="14" t="s">
        <v>5</v>
      </c>
      <c r="F80" s="14" t="s">
        <v>3</v>
      </c>
    </row>
    <row r="81" spans="2:6" x14ac:dyDescent="0.2">
      <c r="B81" s="12">
        <f t="shared" si="1"/>
        <v>77</v>
      </c>
      <c r="C81" s="13" t="s">
        <v>109</v>
      </c>
      <c r="D81" s="14" t="s">
        <v>110</v>
      </c>
      <c r="E81" s="14" t="s">
        <v>3</v>
      </c>
      <c r="F81" s="14" t="s">
        <v>4</v>
      </c>
    </row>
    <row r="82" spans="2:6" x14ac:dyDescent="0.2">
      <c r="B82" s="12">
        <f t="shared" si="1"/>
        <v>78</v>
      </c>
      <c r="C82" s="13" t="s">
        <v>111</v>
      </c>
      <c r="D82" s="14" t="s">
        <v>110</v>
      </c>
      <c r="E82" s="14" t="s">
        <v>4</v>
      </c>
      <c r="F82" s="14" t="s">
        <v>3</v>
      </c>
    </row>
    <row r="83" spans="2:6" x14ac:dyDescent="0.2">
      <c r="B83" s="12">
        <f t="shared" si="1"/>
        <v>79</v>
      </c>
      <c r="C83" s="13" t="s">
        <v>112</v>
      </c>
      <c r="D83" s="14" t="s">
        <v>110</v>
      </c>
      <c r="E83" s="14" t="s">
        <v>3</v>
      </c>
      <c r="F83" s="14" t="s">
        <v>5</v>
      </c>
    </row>
    <row r="84" spans="2:6" x14ac:dyDescent="0.2">
      <c r="B84" s="12">
        <f t="shared" si="1"/>
        <v>80</v>
      </c>
      <c r="C84" s="13" t="s">
        <v>113</v>
      </c>
      <c r="D84" s="14" t="s">
        <v>110</v>
      </c>
      <c r="E84" s="14" t="s">
        <v>5</v>
      </c>
      <c r="F84" s="14" t="s">
        <v>5</v>
      </c>
    </row>
    <row r="85" spans="2:6" x14ac:dyDescent="0.2">
      <c r="B85" s="12">
        <f t="shared" si="1"/>
        <v>81</v>
      </c>
      <c r="C85" s="13" t="s">
        <v>114</v>
      </c>
      <c r="D85" s="14" t="s">
        <v>110</v>
      </c>
      <c r="E85" s="14" t="s">
        <v>3</v>
      </c>
      <c r="F85" s="14" t="s">
        <v>5</v>
      </c>
    </row>
    <row r="86" spans="2:6" x14ac:dyDescent="0.2">
      <c r="B86" s="12">
        <f t="shared" si="1"/>
        <v>82</v>
      </c>
      <c r="C86" s="13" t="s">
        <v>115</v>
      </c>
      <c r="D86" s="14" t="s">
        <v>110</v>
      </c>
      <c r="E86" s="14" t="s">
        <v>3</v>
      </c>
      <c r="F86" s="14" t="s">
        <v>5</v>
      </c>
    </row>
    <row r="87" spans="2:6" ht="25.5" x14ac:dyDescent="0.2">
      <c r="B87" s="12">
        <f t="shared" si="1"/>
        <v>83</v>
      </c>
      <c r="C87" s="13" t="s">
        <v>116</v>
      </c>
      <c r="D87" s="14" t="s">
        <v>110</v>
      </c>
      <c r="E87" s="14" t="s">
        <v>5</v>
      </c>
      <c r="F87" s="14" t="s">
        <v>4</v>
      </c>
    </row>
    <row r="88" spans="2:6" x14ac:dyDescent="0.2">
      <c r="B88" s="12">
        <f t="shared" si="1"/>
        <v>84</v>
      </c>
      <c r="C88" s="13" t="s">
        <v>117</v>
      </c>
      <c r="D88" s="14" t="s">
        <v>110</v>
      </c>
      <c r="E88" s="14" t="s">
        <v>4</v>
      </c>
      <c r="F88" s="14" t="s">
        <v>4</v>
      </c>
    </row>
    <row r="89" spans="2:6" x14ac:dyDescent="0.2">
      <c r="B89" s="12">
        <f t="shared" si="1"/>
        <v>85</v>
      </c>
      <c r="C89" s="13" t="s">
        <v>118</v>
      </c>
      <c r="D89" s="14" t="s">
        <v>110</v>
      </c>
      <c r="E89" s="14" t="s">
        <v>5</v>
      </c>
      <c r="F89" s="14" t="s">
        <v>4</v>
      </c>
    </row>
    <row r="90" spans="2:6" x14ac:dyDescent="0.2">
      <c r="B90" s="12">
        <f t="shared" si="1"/>
        <v>86</v>
      </c>
      <c r="C90" s="13" t="s">
        <v>119</v>
      </c>
      <c r="D90" s="14" t="s">
        <v>110</v>
      </c>
      <c r="E90" s="14" t="s">
        <v>5</v>
      </c>
      <c r="F90" s="14" t="s">
        <v>5</v>
      </c>
    </row>
    <row r="91" spans="2:6" x14ac:dyDescent="0.2">
      <c r="B91" s="12">
        <f t="shared" si="1"/>
        <v>87</v>
      </c>
      <c r="C91" s="13" t="s">
        <v>120</v>
      </c>
      <c r="D91" s="14" t="s">
        <v>110</v>
      </c>
      <c r="E91" s="14" t="s">
        <v>5</v>
      </c>
      <c r="F91" s="14" t="s">
        <v>4</v>
      </c>
    </row>
    <row r="92" spans="2:6" x14ac:dyDescent="0.2">
      <c r="B92" s="12">
        <f t="shared" si="1"/>
        <v>88</v>
      </c>
      <c r="C92" s="13" t="s">
        <v>121</v>
      </c>
      <c r="D92" s="14" t="s">
        <v>110</v>
      </c>
      <c r="E92" s="14" t="s">
        <v>5</v>
      </c>
      <c r="F92" s="14" t="s">
        <v>5</v>
      </c>
    </row>
    <row r="93" spans="2:6" x14ac:dyDescent="0.2">
      <c r="B93" s="12">
        <f t="shared" si="1"/>
        <v>89</v>
      </c>
      <c r="C93" s="13" t="s">
        <v>15</v>
      </c>
      <c r="D93" s="14" t="s">
        <v>122</v>
      </c>
      <c r="E93" s="14" t="s">
        <v>4</v>
      </c>
      <c r="F93" s="14" t="s">
        <v>5</v>
      </c>
    </row>
    <row r="94" spans="2:6" x14ac:dyDescent="0.2">
      <c r="B94" s="12">
        <f t="shared" si="1"/>
        <v>90</v>
      </c>
      <c r="C94" s="13" t="s">
        <v>20</v>
      </c>
      <c r="D94" s="14" t="s">
        <v>122</v>
      </c>
      <c r="E94" s="14" t="s">
        <v>5</v>
      </c>
      <c r="F94" s="14" t="s">
        <v>4</v>
      </c>
    </row>
    <row r="95" spans="2:6" x14ac:dyDescent="0.2">
      <c r="B95" s="12">
        <f t="shared" si="1"/>
        <v>91</v>
      </c>
      <c r="C95" s="13" t="s">
        <v>8</v>
      </c>
      <c r="D95" s="14" t="s">
        <v>122</v>
      </c>
      <c r="E95" s="14" t="s">
        <v>3</v>
      </c>
      <c r="F95" s="14" t="s">
        <v>3</v>
      </c>
    </row>
    <row r="96" spans="2:6" x14ac:dyDescent="0.2">
      <c r="B96" s="12">
        <f t="shared" si="1"/>
        <v>92</v>
      </c>
      <c r="C96" s="13" t="s">
        <v>10</v>
      </c>
      <c r="D96" s="14" t="s">
        <v>122</v>
      </c>
      <c r="E96" s="14" t="s">
        <v>3</v>
      </c>
      <c r="F96" s="14" t="s">
        <v>6</v>
      </c>
    </row>
    <row r="97" spans="2:6" x14ac:dyDescent="0.2">
      <c r="B97" s="12">
        <f t="shared" si="1"/>
        <v>93</v>
      </c>
      <c r="C97" s="13" t="s">
        <v>13</v>
      </c>
      <c r="D97" s="14" t="s">
        <v>122</v>
      </c>
      <c r="E97" s="14" t="s">
        <v>3</v>
      </c>
      <c r="F97" s="14" t="s">
        <v>6</v>
      </c>
    </row>
    <row r="98" spans="2:6" x14ac:dyDescent="0.2">
      <c r="B98" s="12">
        <f t="shared" si="1"/>
        <v>94</v>
      </c>
      <c r="C98" s="13" t="s">
        <v>17</v>
      </c>
      <c r="D98" s="14" t="s">
        <v>122</v>
      </c>
      <c r="E98" s="14" t="s">
        <v>4</v>
      </c>
      <c r="F98" s="14" t="s">
        <v>5</v>
      </c>
    </row>
    <row r="99" spans="2:6" x14ac:dyDescent="0.2">
      <c r="B99" s="12">
        <f t="shared" si="1"/>
        <v>95</v>
      </c>
      <c r="C99" s="13" t="s">
        <v>22</v>
      </c>
      <c r="D99" s="14" t="s">
        <v>122</v>
      </c>
      <c r="E99" s="14" t="s">
        <v>5</v>
      </c>
      <c r="F99" s="14" t="s">
        <v>4</v>
      </c>
    </row>
    <row r="100" spans="2:6" x14ac:dyDescent="0.2">
      <c r="B100" s="12">
        <f t="shared" si="1"/>
        <v>96</v>
      </c>
      <c r="C100" s="13" t="s">
        <v>21</v>
      </c>
      <c r="D100" s="14" t="s">
        <v>122</v>
      </c>
      <c r="E100" s="14" t="s">
        <v>5</v>
      </c>
      <c r="F100" s="14" t="s">
        <v>6</v>
      </c>
    </row>
    <row r="101" spans="2:6" x14ac:dyDescent="0.2">
      <c r="B101" s="12">
        <f t="shared" si="1"/>
        <v>97</v>
      </c>
      <c r="C101" s="13" t="s">
        <v>16</v>
      </c>
      <c r="D101" s="14" t="s">
        <v>122</v>
      </c>
      <c r="E101" s="14" t="s">
        <v>4</v>
      </c>
      <c r="F101" s="14" t="s">
        <v>6</v>
      </c>
    </row>
    <row r="102" spans="2:6" x14ac:dyDescent="0.2">
      <c r="B102" s="12">
        <f t="shared" si="1"/>
        <v>98</v>
      </c>
      <c r="C102" s="13" t="s">
        <v>18</v>
      </c>
      <c r="D102" s="14" t="s">
        <v>122</v>
      </c>
      <c r="E102" s="14" t="s">
        <v>4</v>
      </c>
      <c r="F102" s="14" t="s">
        <v>6</v>
      </c>
    </row>
    <row r="103" spans="2:6" x14ac:dyDescent="0.2">
      <c r="B103" s="12">
        <f t="shared" si="1"/>
        <v>99</v>
      </c>
      <c r="C103" s="13" t="s">
        <v>9</v>
      </c>
      <c r="D103" s="14" t="s">
        <v>122</v>
      </c>
      <c r="E103" s="14" t="s">
        <v>3</v>
      </c>
      <c r="F103" s="14" t="s">
        <v>4</v>
      </c>
    </row>
    <row r="104" spans="2:6" x14ac:dyDescent="0.2">
      <c r="B104" s="12">
        <f t="shared" si="1"/>
        <v>100</v>
      </c>
      <c r="C104" s="13" t="s">
        <v>12</v>
      </c>
      <c r="D104" s="14" t="s">
        <v>122</v>
      </c>
      <c r="E104" s="14" t="s">
        <v>3</v>
      </c>
      <c r="F104" s="14" t="s">
        <v>4</v>
      </c>
    </row>
    <row r="105" spans="2:6" ht="25.5" x14ac:dyDescent="0.2">
      <c r="B105" s="12">
        <f t="shared" si="1"/>
        <v>101</v>
      </c>
      <c r="C105" s="13" t="s">
        <v>24</v>
      </c>
      <c r="D105" s="14" t="s">
        <v>122</v>
      </c>
      <c r="E105" s="14" t="s">
        <v>5</v>
      </c>
      <c r="F105" s="14" t="s">
        <v>4</v>
      </c>
    </row>
    <row r="106" spans="2:6" x14ac:dyDescent="0.2">
      <c r="B106" s="12">
        <f t="shared" si="1"/>
        <v>102</v>
      </c>
      <c r="C106" s="13" t="s">
        <v>25</v>
      </c>
      <c r="D106" s="14" t="s">
        <v>122</v>
      </c>
      <c r="E106" s="14" t="s">
        <v>5</v>
      </c>
      <c r="F106" s="14" t="s">
        <v>4</v>
      </c>
    </row>
    <row r="107" spans="2:6" x14ac:dyDescent="0.2">
      <c r="B107" s="12">
        <f t="shared" si="1"/>
        <v>103</v>
      </c>
      <c r="C107" s="13" t="s">
        <v>19</v>
      </c>
      <c r="D107" s="14" t="s">
        <v>122</v>
      </c>
      <c r="E107" s="14" t="s">
        <v>4</v>
      </c>
      <c r="F107" s="14" t="s">
        <v>5</v>
      </c>
    </row>
    <row r="108" spans="2:6" x14ac:dyDescent="0.2">
      <c r="B108" s="12">
        <f t="shared" si="1"/>
        <v>104</v>
      </c>
      <c r="C108" s="13" t="s">
        <v>23</v>
      </c>
      <c r="D108" s="14" t="s">
        <v>122</v>
      </c>
      <c r="E108" s="14" t="s">
        <v>5</v>
      </c>
      <c r="F108" s="14" t="s">
        <v>6</v>
      </c>
    </row>
    <row r="109" spans="2:6" x14ac:dyDescent="0.2">
      <c r="B109" s="12">
        <f t="shared" si="1"/>
        <v>105</v>
      </c>
      <c r="C109" s="13" t="s">
        <v>11</v>
      </c>
      <c r="D109" s="14" t="s">
        <v>122</v>
      </c>
      <c r="E109" s="14" t="s">
        <v>3</v>
      </c>
      <c r="F109" s="14" t="s">
        <v>3</v>
      </c>
    </row>
    <row r="110" spans="2:6" ht="25.5" x14ac:dyDescent="0.2">
      <c r="B110" s="12">
        <f t="shared" si="1"/>
        <v>106</v>
      </c>
      <c r="C110" s="13" t="s">
        <v>14</v>
      </c>
      <c r="D110" s="14" t="s">
        <v>122</v>
      </c>
      <c r="E110" s="14" t="s">
        <v>3</v>
      </c>
      <c r="F110" s="14" t="s">
        <v>4</v>
      </c>
    </row>
    <row r="111" spans="2:6" x14ac:dyDescent="0.2">
      <c r="B111" s="12">
        <f t="shared" si="1"/>
        <v>107</v>
      </c>
      <c r="C111" s="13" t="s">
        <v>123</v>
      </c>
      <c r="D111" s="14" t="s">
        <v>124</v>
      </c>
      <c r="E111" s="14" t="s">
        <v>3</v>
      </c>
      <c r="F111" s="14" t="s">
        <v>5</v>
      </c>
    </row>
    <row r="112" spans="2:6" x14ac:dyDescent="0.2">
      <c r="B112" s="12">
        <f t="shared" si="1"/>
        <v>108</v>
      </c>
      <c r="C112" s="13" t="s">
        <v>125</v>
      </c>
      <c r="D112" s="14" t="s">
        <v>124</v>
      </c>
      <c r="E112" s="14" t="s">
        <v>4</v>
      </c>
      <c r="F112" s="14" t="s">
        <v>3</v>
      </c>
    </row>
    <row r="113" spans="2:6" ht="25.5" x14ac:dyDescent="0.2">
      <c r="B113" s="12">
        <f t="shared" si="1"/>
        <v>109</v>
      </c>
      <c r="C113" s="13" t="s">
        <v>126</v>
      </c>
      <c r="D113" s="14" t="s">
        <v>124</v>
      </c>
      <c r="E113" s="14" t="s">
        <v>5</v>
      </c>
      <c r="F113" s="14" t="s">
        <v>3</v>
      </c>
    </row>
    <row r="114" spans="2:6" x14ac:dyDescent="0.2">
      <c r="B114" s="12">
        <f t="shared" si="1"/>
        <v>110</v>
      </c>
      <c r="C114" s="13" t="s">
        <v>127</v>
      </c>
      <c r="D114" s="14" t="s">
        <v>124</v>
      </c>
      <c r="E114" s="14" t="s">
        <v>4</v>
      </c>
      <c r="F114" s="14" t="s">
        <v>5</v>
      </c>
    </row>
    <row r="115" spans="2:6" x14ac:dyDescent="0.2">
      <c r="B115" s="12">
        <f t="shared" si="1"/>
        <v>111</v>
      </c>
      <c r="C115" s="13" t="s">
        <v>128</v>
      </c>
      <c r="D115" s="14" t="s">
        <v>124</v>
      </c>
      <c r="E115" s="14" t="s">
        <v>4</v>
      </c>
      <c r="F115" s="14" t="s">
        <v>3</v>
      </c>
    </row>
    <row r="116" spans="2:6" x14ac:dyDescent="0.2">
      <c r="B116" s="12">
        <f t="shared" si="1"/>
        <v>112</v>
      </c>
      <c r="C116" s="13" t="s">
        <v>129</v>
      </c>
      <c r="D116" s="14" t="s">
        <v>124</v>
      </c>
      <c r="E116" s="14" t="s">
        <v>4</v>
      </c>
      <c r="F116" s="14" t="s">
        <v>3</v>
      </c>
    </row>
    <row r="117" spans="2:6" x14ac:dyDescent="0.2">
      <c r="B117" s="12">
        <f t="shared" si="1"/>
        <v>113</v>
      </c>
      <c r="C117" s="13" t="s">
        <v>130</v>
      </c>
      <c r="D117" s="14" t="s">
        <v>124</v>
      </c>
      <c r="E117" s="14" t="s">
        <v>4</v>
      </c>
      <c r="F117" s="14" t="s">
        <v>6</v>
      </c>
    </row>
    <row r="118" spans="2:6" x14ac:dyDescent="0.2">
      <c r="B118" s="12">
        <f t="shared" si="1"/>
        <v>114</v>
      </c>
      <c r="C118" s="13" t="s">
        <v>131</v>
      </c>
      <c r="D118" s="14" t="s">
        <v>124</v>
      </c>
      <c r="E118" s="14" t="s">
        <v>5</v>
      </c>
      <c r="F118" s="14" t="s">
        <v>5</v>
      </c>
    </row>
    <row r="119" spans="2:6" x14ac:dyDescent="0.2">
      <c r="B119" s="12">
        <f t="shared" si="1"/>
        <v>115</v>
      </c>
      <c r="C119" s="13" t="s">
        <v>132</v>
      </c>
      <c r="D119" s="14" t="s">
        <v>124</v>
      </c>
      <c r="E119" s="14" t="s">
        <v>4</v>
      </c>
      <c r="F119" s="14" t="s">
        <v>4</v>
      </c>
    </row>
    <row r="120" spans="2:6" x14ac:dyDescent="0.2">
      <c r="B120" s="12">
        <f t="shared" si="1"/>
        <v>116</v>
      </c>
      <c r="C120" s="13" t="s">
        <v>133</v>
      </c>
      <c r="D120" s="14" t="s">
        <v>124</v>
      </c>
      <c r="E120" s="14" t="s">
        <v>3</v>
      </c>
      <c r="F120" s="14" t="s">
        <v>6</v>
      </c>
    </row>
    <row r="121" spans="2:6" x14ac:dyDescent="0.2">
      <c r="B121" s="12">
        <f t="shared" si="1"/>
        <v>117</v>
      </c>
      <c r="C121" s="13" t="s">
        <v>134</v>
      </c>
      <c r="D121" s="14" t="s">
        <v>124</v>
      </c>
      <c r="E121" s="14" t="s">
        <v>4</v>
      </c>
      <c r="F121" s="14" t="s">
        <v>6</v>
      </c>
    </row>
    <row r="122" spans="2:6" x14ac:dyDescent="0.2">
      <c r="B122" s="12">
        <f t="shared" si="1"/>
        <v>118</v>
      </c>
      <c r="C122" s="13" t="s">
        <v>135</v>
      </c>
      <c r="D122" s="14" t="s">
        <v>124</v>
      </c>
      <c r="E122" s="14" t="s">
        <v>3</v>
      </c>
      <c r="F122" s="14" t="s">
        <v>5</v>
      </c>
    </row>
    <row r="123" spans="2:6" ht="25.5" x14ac:dyDescent="0.2">
      <c r="B123" s="12">
        <f t="shared" si="1"/>
        <v>119</v>
      </c>
      <c r="C123" s="13" t="s">
        <v>136</v>
      </c>
      <c r="D123" s="14" t="s">
        <v>124</v>
      </c>
      <c r="E123" s="14" t="s">
        <v>3</v>
      </c>
      <c r="F123" s="14" t="s">
        <v>4</v>
      </c>
    </row>
    <row r="124" spans="2:6" x14ac:dyDescent="0.2">
      <c r="B124" s="12">
        <f t="shared" si="1"/>
        <v>120</v>
      </c>
      <c r="C124" s="13" t="s">
        <v>137</v>
      </c>
      <c r="D124" s="14" t="s">
        <v>124</v>
      </c>
      <c r="E124" s="14" t="s">
        <v>3</v>
      </c>
      <c r="F124" s="14" t="s">
        <v>3</v>
      </c>
    </row>
    <row r="125" spans="2:6" x14ac:dyDescent="0.2">
      <c r="B125" s="12">
        <f t="shared" si="1"/>
        <v>121</v>
      </c>
      <c r="C125" s="13" t="s">
        <v>138</v>
      </c>
      <c r="D125" s="14" t="s">
        <v>124</v>
      </c>
      <c r="E125" s="14" t="s">
        <v>4</v>
      </c>
      <c r="F125" s="14" t="s">
        <v>6</v>
      </c>
    </row>
    <row r="126" spans="2:6" x14ac:dyDescent="0.2">
      <c r="B126" s="12">
        <f t="shared" si="1"/>
        <v>122</v>
      </c>
      <c r="C126" s="13" t="s">
        <v>139</v>
      </c>
      <c r="D126" s="14" t="s">
        <v>124</v>
      </c>
      <c r="E126" s="14" t="s">
        <v>3</v>
      </c>
      <c r="F126" s="14" t="s">
        <v>5</v>
      </c>
    </row>
    <row r="127" spans="2:6" x14ac:dyDescent="0.2">
      <c r="B127" s="12">
        <f t="shared" si="1"/>
        <v>123</v>
      </c>
      <c r="C127" s="13" t="s">
        <v>140</v>
      </c>
      <c r="D127" s="14" t="s">
        <v>124</v>
      </c>
      <c r="E127" s="14" t="s">
        <v>5</v>
      </c>
      <c r="F127" s="14" t="s">
        <v>3</v>
      </c>
    </row>
    <row r="128" spans="2:6" x14ac:dyDescent="0.2">
      <c r="B128" s="12">
        <f t="shared" si="1"/>
        <v>124</v>
      </c>
      <c r="C128" s="13" t="s">
        <v>141</v>
      </c>
      <c r="D128" s="14" t="s">
        <v>124</v>
      </c>
      <c r="E128" s="14" t="s">
        <v>5</v>
      </c>
      <c r="F128" s="14" t="s">
        <v>6</v>
      </c>
    </row>
    <row r="129" spans="2:6" x14ac:dyDescent="0.2">
      <c r="B129" s="12">
        <f t="shared" si="1"/>
        <v>125</v>
      </c>
      <c r="C129" s="13" t="s">
        <v>142</v>
      </c>
      <c r="D129" s="14" t="s">
        <v>124</v>
      </c>
      <c r="E129" s="14" t="s">
        <v>5</v>
      </c>
      <c r="F129" s="14" t="s">
        <v>6</v>
      </c>
    </row>
    <row r="130" spans="2:6" x14ac:dyDescent="0.2">
      <c r="B130" s="12">
        <f t="shared" si="1"/>
        <v>126</v>
      </c>
      <c r="C130" s="13" t="s">
        <v>143</v>
      </c>
      <c r="D130" s="14" t="s">
        <v>144</v>
      </c>
      <c r="E130" s="14" t="s">
        <v>4</v>
      </c>
      <c r="F130" s="14" t="s">
        <v>3</v>
      </c>
    </row>
    <row r="131" spans="2:6" x14ac:dyDescent="0.2">
      <c r="B131" s="12">
        <f t="shared" si="1"/>
        <v>127</v>
      </c>
      <c r="C131" s="13" t="s">
        <v>145</v>
      </c>
      <c r="D131" s="14" t="s">
        <v>144</v>
      </c>
      <c r="E131" s="14" t="s">
        <v>3</v>
      </c>
      <c r="F131" s="14" t="s">
        <v>3</v>
      </c>
    </row>
    <row r="132" spans="2:6" x14ac:dyDescent="0.2">
      <c r="B132" s="12">
        <f t="shared" si="1"/>
        <v>128</v>
      </c>
      <c r="C132" s="13" t="s">
        <v>146</v>
      </c>
      <c r="D132" s="14" t="s">
        <v>144</v>
      </c>
      <c r="E132" s="14" t="s">
        <v>3</v>
      </c>
      <c r="F132" s="14" t="s">
        <v>4</v>
      </c>
    </row>
    <row r="133" spans="2:6" x14ac:dyDescent="0.2">
      <c r="B133" s="12">
        <f t="shared" si="1"/>
        <v>129</v>
      </c>
      <c r="C133" s="13" t="s">
        <v>147</v>
      </c>
      <c r="D133" s="14" t="s">
        <v>144</v>
      </c>
      <c r="E133" s="14" t="s">
        <v>5</v>
      </c>
      <c r="F133" s="14" t="s">
        <v>4</v>
      </c>
    </row>
    <row r="134" spans="2:6" x14ac:dyDescent="0.2">
      <c r="B134" s="12">
        <f t="shared" si="1"/>
        <v>130</v>
      </c>
      <c r="C134" s="13" t="s">
        <v>148</v>
      </c>
      <c r="D134" s="14" t="s">
        <v>144</v>
      </c>
      <c r="E134" s="14" t="s">
        <v>3</v>
      </c>
      <c r="F134" s="14" t="s">
        <v>5</v>
      </c>
    </row>
    <row r="135" spans="2:6" x14ac:dyDescent="0.2">
      <c r="B135" s="12">
        <f t="shared" ref="B135:B154" si="2">B134+1</f>
        <v>131</v>
      </c>
      <c r="C135" s="13" t="s">
        <v>149</v>
      </c>
      <c r="D135" s="14" t="s">
        <v>144</v>
      </c>
      <c r="E135" s="14" t="s">
        <v>4</v>
      </c>
      <c r="F135" s="14" t="s">
        <v>3</v>
      </c>
    </row>
    <row r="136" spans="2:6" x14ac:dyDescent="0.2">
      <c r="B136" s="12">
        <f t="shared" si="2"/>
        <v>132</v>
      </c>
      <c r="C136" s="13" t="s">
        <v>150</v>
      </c>
      <c r="D136" s="14" t="s">
        <v>144</v>
      </c>
      <c r="E136" s="14" t="s">
        <v>5</v>
      </c>
      <c r="F136" s="14" t="s">
        <v>3</v>
      </c>
    </row>
    <row r="137" spans="2:6" x14ac:dyDescent="0.2">
      <c r="B137" s="12">
        <f t="shared" si="2"/>
        <v>133</v>
      </c>
      <c r="C137" s="13" t="s">
        <v>141</v>
      </c>
      <c r="D137" s="14" t="s">
        <v>144</v>
      </c>
      <c r="E137" s="14" t="s">
        <v>3</v>
      </c>
      <c r="F137" s="14" t="s">
        <v>3</v>
      </c>
    </row>
    <row r="138" spans="2:6" x14ac:dyDescent="0.2">
      <c r="B138" s="12">
        <f t="shared" si="2"/>
        <v>134</v>
      </c>
      <c r="C138" s="13" t="s">
        <v>151</v>
      </c>
      <c r="D138" s="14" t="s">
        <v>144</v>
      </c>
      <c r="E138" s="14" t="s">
        <v>4</v>
      </c>
      <c r="F138" s="14" t="s">
        <v>6</v>
      </c>
    </row>
    <row r="139" spans="2:6" x14ac:dyDescent="0.2">
      <c r="B139" s="12">
        <f t="shared" si="2"/>
        <v>135</v>
      </c>
      <c r="C139" s="13" t="s">
        <v>152</v>
      </c>
      <c r="D139" s="14" t="s">
        <v>144</v>
      </c>
      <c r="E139" s="14" t="s">
        <v>4</v>
      </c>
      <c r="F139" s="14" t="s">
        <v>6</v>
      </c>
    </row>
    <row r="140" spans="2:6" x14ac:dyDescent="0.2">
      <c r="B140" s="12">
        <f t="shared" si="2"/>
        <v>136</v>
      </c>
      <c r="C140" s="13" t="s">
        <v>153</v>
      </c>
      <c r="D140" s="14" t="s">
        <v>144</v>
      </c>
      <c r="E140" s="14" t="s">
        <v>5</v>
      </c>
      <c r="F140" s="14" t="s">
        <v>6</v>
      </c>
    </row>
    <row r="141" spans="2:6" x14ac:dyDescent="0.2">
      <c r="B141" s="12">
        <f t="shared" si="2"/>
        <v>137</v>
      </c>
      <c r="C141" s="13" t="s">
        <v>154</v>
      </c>
      <c r="D141" s="14" t="s">
        <v>144</v>
      </c>
      <c r="E141" s="14" t="s">
        <v>4</v>
      </c>
      <c r="F141" s="14" t="s">
        <v>4</v>
      </c>
    </row>
    <row r="142" spans="2:6" x14ac:dyDescent="0.2">
      <c r="B142" s="12">
        <f t="shared" si="2"/>
        <v>138</v>
      </c>
      <c r="C142" s="13" t="s">
        <v>155</v>
      </c>
      <c r="D142" s="14" t="s">
        <v>144</v>
      </c>
      <c r="E142" s="14" t="s">
        <v>5</v>
      </c>
      <c r="F142" s="14" t="s">
        <v>4</v>
      </c>
    </row>
    <row r="143" spans="2:6" x14ac:dyDescent="0.2">
      <c r="B143" s="12">
        <f t="shared" si="2"/>
        <v>139</v>
      </c>
      <c r="C143" s="13"/>
      <c r="D143" s="14"/>
      <c r="E143" s="14"/>
      <c r="F143" s="14"/>
    </row>
    <row r="144" spans="2:6" x14ac:dyDescent="0.2">
      <c r="B144" s="12">
        <f t="shared" si="2"/>
        <v>140</v>
      </c>
      <c r="C144" s="13"/>
      <c r="D144" s="14"/>
      <c r="E144" s="14"/>
      <c r="F144" s="14"/>
    </row>
    <row r="145" spans="2:6" x14ac:dyDescent="0.2">
      <c r="B145" s="12">
        <f t="shared" si="2"/>
        <v>141</v>
      </c>
      <c r="C145" s="13"/>
      <c r="D145" s="14"/>
      <c r="E145" s="14"/>
      <c r="F145" s="14"/>
    </row>
    <row r="146" spans="2:6" x14ac:dyDescent="0.2">
      <c r="B146" s="12">
        <f t="shared" si="2"/>
        <v>142</v>
      </c>
      <c r="C146" s="13"/>
      <c r="D146" s="14"/>
      <c r="E146" s="14"/>
      <c r="F146" s="14"/>
    </row>
    <row r="147" spans="2:6" x14ac:dyDescent="0.2">
      <c r="B147" s="12">
        <f t="shared" si="2"/>
        <v>143</v>
      </c>
      <c r="C147" s="13"/>
      <c r="D147" s="14"/>
      <c r="E147" s="14"/>
      <c r="F147" s="14"/>
    </row>
    <row r="148" spans="2:6" x14ac:dyDescent="0.2">
      <c r="B148" s="12">
        <f t="shared" si="2"/>
        <v>144</v>
      </c>
      <c r="C148" s="13"/>
      <c r="D148" s="14"/>
      <c r="E148" s="14"/>
      <c r="F148" s="14"/>
    </row>
    <row r="149" spans="2:6" x14ac:dyDescent="0.2">
      <c r="B149" s="12">
        <f t="shared" si="2"/>
        <v>145</v>
      </c>
      <c r="C149" s="13"/>
      <c r="D149" s="14"/>
      <c r="E149" s="14"/>
      <c r="F149" s="14"/>
    </row>
    <row r="150" spans="2:6" x14ac:dyDescent="0.2">
      <c r="B150" s="12">
        <f t="shared" si="2"/>
        <v>146</v>
      </c>
      <c r="C150" s="13"/>
      <c r="D150" s="14"/>
      <c r="E150" s="14"/>
      <c r="F150" s="14"/>
    </row>
    <row r="151" spans="2:6" x14ac:dyDescent="0.2">
      <c r="B151" s="12">
        <f t="shared" si="2"/>
        <v>147</v>
      </c>
      <c r="C151" s="13"/>
      <c r="D151" s="14"/>
      <c r="E151" s="14"/>
      <c r="F151" s="14"/>
    </row>
    <row r="152" spans="2:6" x14ac:dyDescent="0.2">
      <c r="B152" s="12">
        <f t="shared" si="2"/>
        <v>148</v>
      </c>
      <c r="C152" s="13"/>
      <c r="D152" s="14"/>
      <c r="E152" s="14"/>
      <c r="F152" s="14"/>
    </row>
    <row r="153" spans="2:6" x14ac:dyDescent="0.2">
      <c r="B153" s="12">
        <f t="shared" si="2"/>
        <v>149</v>
      </c>
      <c r="C153" s="13"/>
      <c r="D153" s="14"/>
      <c r="E153" s="14"/>
      <c r="F153" s="14"/>
    </row>
    <row r="154" spans="2:6" x14ac:dyDescent="0.2">
      <c r="B154" s="15">
        <f t="shared" si="2"/>
        <v>150</v>
      </c>
      <c r="C154" s="16"/>
      <c r="D154" s="17"/>
      <c r="E154" s="17"/>
      <c r="F154" s="17"/>
    </row>
  </sheetData>
  <phoneticPr fontId="1" type="noConversion"/>
  <pageMargins left="0.39370078740157483" right="0.39370078740157483" top="0.59055118110236227" bottom="0.59055118110236227" header="0.19685039370078741" footer="0.19685039370078741"/>
  <pageSetup paperSize="9" scale="66" fitToHeight="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B1:D11"/>
  <sheetViews>
    <sheetView showGridLines="0" zoomScaleNormal="100" workbookViewId="0">
      <selection activeCell="B11" sqref="B11:D11"/>
    </sheetView>
  </sheetViews>
  <sheetFormatPr defaultColWidth="11.42578125" defaultRowHeight="12.75" x14ac:dyDescent="0.2"/>
  <cols>
    <col min="1" max="1" width="1.7109375" style="1" customWidth="1"/>
    <col min="2" max="2" width="30.7109375" style="1" customWidth="1"/>
    <col min="3" max="3" width="10.7109375" style="1" customWidth="1"/>
    <col min="4" max="4" width="116.7109375" style="1" customWidth="1"/>
    <col min="5" max="5" width="1.7109375" style="1" customWidth="1"/>
    <col min="6" max="16384" width="11.42578125" style="1"/>
  </cols>
  <sheetData>
    <row r="1" spans="2:4" ht="18" customHeight="1" x14ac:dyDescent="0.2"/>
    <row r="2" spans="2:4" ht="24.95" customHeight="1" thickBot="1" x14ac:dyDescent="0.25">
      <c r="B2" s="9" t="s">
        <v>156</v>
      </c>
      <c r="C2" s="6"/>
      <c r="D2" s="6"/>
    </row>
    <row r="3" spans="2:4" ht="12.75" customHeight="1" x14ac:dyDescent="0.2"/>
    <row r="4" spans="2:4" x14ac:dyDescent="0.2">
      <c r="B4" s="22" t="s">
        <v>157</v>
      </c>
      <c r="C4" s="11">
        <v>2</v>
      </c>
      <c r="D4" s="23" t="s">
        <v>158</v>
      </c>
    </row>
    <row r="5" spans="2:4" x14ac:dyDescent="0.2">
      <c r="B5" s="22" t="s">
        <v>159</v>
      </c>
      <c r="C5" s="11">
        <v>4</v>
      </c>
      <c r="D5" s="23" t="s">
        <v>160</v>
      </c>
    </row>
    <row r="6" spans="2:4" x14ac:dyDescent="0.2">
      <c r="B6" s="22" t="s">
        <v>161</v>
      </c>
      <c r="C6" s="11">
        <v>5</v>
      </c>
      <c r="D6" s="23" t="s">
        <v>162</v>
      </c>
    </row>
    <row r="7" spans="2:4" x14ac:dyDescent="0.2">
      <c r="B7" s="22" t="s">
        <v>163</v>
      </c>
      <c r="C7" s="11">
        <v>3</v>
      </c>
      <c r="D7" s="23" t="s">
        <v>164</v>
      </c>
    </row>
    <row r="8" spans="2:4" x14ac:dyDescent="0.2">
      <c r="B8" s="22" t="s">
        <v>165</v>
      </c>
      <c r="C8" s="11">
        <v>40</v>
      </c>
      <c r="D8" s="23" t="s">
        <v>166</v>
      </c>
    </row>
    <row r="9" spans="2:4" x14ac:dyDescent="0.2">
      <c r="B9" s="22" t="s">
        <v>167</v>
      </c>
      <c r="C9" s="26"/>
      <c r="D9" s="23" t="s">
        <v>168</v>
      </c>
    </row>
    <row r="10" spans="2:4" x14ac:dyDescent="0.2">
      <c r="D10" s="11"/>
    </row>
    <row r="11" spans="2:4" x14ac:dyDescent="0.2">
      <c r="B11" s="10" t="s">
        <v>169</v>
      </c>
      <c r="C11" s="11">
        <v>1</v>
      </c>
      <c r="D11" s="23" t="s">
        <v>170</v>
      </c>
    </row>
  </sheetData>
  <pageMargins left="0.19685039370078741" right="0.19685039370078741" top="0.39370078740157483" bottom="0.39370078740157483" header="0.19685039370078741" footer="0.1968503937007874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Pivot Table Risks</vt:lpstr>
      <vt:lpstr>Risk List</vt:lpstr>
      <vt:lpstr>Control</vt:lpstr>
      <vt:lpstr>myData</vt:lpstr>
      <vt:lpstr>myFilterSelection</vt:lpstr>
      <vt:lpstr>myPivotTable</vt:lpstr>
      <vt:lpstr>myPivotTableDefinition</vt:lpstr>
      <vt:lpstr>myPivotTableStart</vt:lpstr>
    </vt:vector>
  </TitlesOfParts>
  <Manager>Robert</Manager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Pivot Table with Texts in the Value Area (VBA)</dc:title>
  <dc:subject/>
  <dc:creator>Robert</dc:creator>
  <cp:keywords/>
  <dc:description>www.clearlyandsimply.com</dc:description>
  <cp:lastModifiedBy>Winston Snyder</cp:lastModifiedBy>
  <cp:revision/>
  <dcterms:created xsi:type="dcterms:W3CDTF">2010-11-18T07:52:34Z</dcterms:created>
  <dcterms:modified xsi:type="dcterms:W3CDTF">2018-02-15T15:48:50Z</dcterms:modified>
  <cp:category>Data Analysis;Microsoft Excel</cp:category>
  <cp:contentStatus/>
</cp:coreProperties>
</file>